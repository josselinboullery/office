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58052ffa6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45eba8c8e2ee4251"/>
    <x:sheet xmlns:r="http://schemas.openxmlformats.org/officeDocument/2006/relationships" name="Synthese" sheetId="2" r:id="Ra03aa60db682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 ##0.00 €"/>
    <x:numFmt numFmtId="201" formatCode="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d9758ef454457" /><Relationship Type="http://schemas.openxmlformats.org/officeDocument/2006/relationships/theme" Target="/xl/theme/theme1.xml" Id="Rf120bc9cebf04330" /><Relationship Type="http://schemas.openxmlformats.org/officeDocument/2006/relationships/sharedStrings" Target="/xl/sharedStrings.xml" Id="R12e5debd93044aa3" /><Relationship Type="http://schemas.openxmlformats.org/officeDocument/2006/relationships/worksheet" Target="/xl/worksheets/sheet1.xml" Id="R45eba8c8e2ee4251" /><Relationship Type="http://schemas.openxmlformats.org/officeDocument/2006/relationships/worksheet" Target="/xl/worksheets/sheet2.xml" Id="Ra03aa60db6824f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7b98df9f9f46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 par catégorie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HT</c:v>
          </c:tx>
          <c:cat>
            <c:strRef>
              <c:f>'Synthese'!$A$7:$A$14</c:f>
              <c:strCache>
                <c:ptCount val="0"/>
              </c:strCache>
            </c:strRef>
          </c:cat>
          <c:val>
            <c:numRef>
              <c:f>'Synthese'!$B$7:$B$14</c:f>
              <c:numCache>
                <c:formatCode># ##0.00 €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 ##0 €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7b98df9f9f46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Forum" displayName="BudgetForum" ref="A1:H11" headerRowCount="1">
  <x:tableColumns count="8">
    <x:tableColumn id="1" name="Ligne"/>
    <x:tableColumn id="2" name="Poste"/>
    <x:tableColumn id="3" name="Catégorie"/>
    <x:tableColumn id="4" name="Quantité"/>
    <x:tableColumn id="5" name="Prix unitaire HT"/>
    <x:tableColumn id="6" name="Total HT"/>
    <x:tableColumn id="7" name="Source / devis"/>
    <x:tableColumn id="8" name="Stat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051e8b96854b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e6ad9cc97be4e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32.5" hidden="0" customWidth="1"/>
    <x:col min="3" max="3" width="15.630000114440918" hidden="0" customWidth="1"/>
    <x:col min="4" max="4" width="11.25" hidden="0" customWidth="1"/>
    <x:col min="5" max="5" width="15.630000114440918" hidden="0" customWidth="1"/>
    <x:col min="6" max="6" width="14.380000114440918" hidden="0" customWidth="1"/>
    <x:col min="7" max="7" width="23.1299991607666" hidden="0" customWidth="1"/>
    <x:col min="8" max="8" width="14.380000114440918" hidden="0" customWidth="1"/>
  </x:cols>
  <x:sheetData>
    <x:row r="1">
      <x:c r="A1" s="3" t="str">
        <x:v>Ligne</x:v>
      </x:c>
      <x:c r="B1" s="3" t="str">
        <x:v>Poste</x:v>
      </x:c>
      <x:c r="C1" s="3" t="str">
        <x:v>Catégorie</x:v>
      </x:c>
      <x:c r="D1" s="3" t="str">
        <x:v>Quantité</x:v>
      </x:c>
      <x:c r="E1" s="3" t="str">
        <x:v>Prix unitaire HT</x:v>
      </x:c>
      <x:c r="F1" s="3" t="str">
        <x:v>Total HT</x:v>
      </x:c>
      <x:c r="G1" s="3" t="str">
        <x:v>Source / devis</x:v>
      </x:c>
      <x:c r="H1" s="3" t="str">
        <x:v>Statut</x:v>
      </x:c>
    </x:row>
    <x:row r="2">
      <x:c r="A2" t="n">
        <x:v>1</x:v>
      </x:c>
      <x:c r="B2" t="str">
        <x:v>Location salle polyvalente Jean-Moulin</x:v>
      </x:c>
      <x:c r="C2" t="str">
        <x:v>Lieu</x:v>
      </x:c>
      <x:c r="D2" s="5" t="n">
        <x:v>1</x:v>
      </x:c>
      <x:c r="E2" s="4" t="n">
        <x:v>320</x:v>
      </x:c>
      <x:c r="F2" s="4" t="n">
        <x:f>D2*E2</x:f>
        <x:v>320</x:v>
      </x:c>
      <x:c r="G2" t="str">
        <x:v>Devis mairie reçu</x:v>
      </x:c>
      <x:c r="H2" t="str">
        <x:v>Confirmé</x:v>
      </x:c>
    </x:row>
    <x:row r="3">
      <x:c r="A3" t="n">
        <x:v>2</x:v>
      </x:c>
      <x:c r="B3" t="str">
        <x:v>Collations individuelles</x:v>
      </x:c>
      <x:c r="C3" t="str">
        <x:v>Accueil</x:v>
      </x:c>
      <x:c r="D3" s="5" t="n">
        <x:v>32</x:v>
      </x:c>
      <x:c r="E3" s="4" t="n">
        <x:v>4.5</x:v>
      </x:c>
      <x:c r="F3" s="4" t="n">
        <x:f>D3*E3</x:f>
        <x:v>144</x:v>
      </x:c>
      <x:c r="G3" t="str">
        <x:v>Traiteur local</x:v>
      </x:c>
      <x:c r="H3" t="str">
        <x:v>Confirmé</x:v>
      </x:c>
    </x:row>
    <x:row r="4">
      <x:c r="A4" t="n">
        <x:v>3</x:v>
      </x:c>
      <x:c r="B4" t="str">
        <x:v>Café, thé, eau</x:v>
      </x:c>
      <x:c r="C4" t="str">
        <x:v>Accueil</x:v>
      </x:c>
      <x:c r="D4" s="5" t="n">
        <x:v>1</x:v>
      </x:c>
      <x:c r="E4" s="4" t="n">
        <x:v>65</x:v>
      </x:c>
      <x:c r="F4" s="4" t="n">
        <x:f>D4*E4</x:f>
        <x:v>65</x:v>
      </x:c>
      <x:c r="G4" t="str">
        <x:v>Forfait boissons</x:v>
      </x:c>
      <x:c r="H4" t="str">
        <x:v>Confirmé</x:v>
      </x:c>
    </x:row>
    <x:row r="5">
      <x:c r="A5" t="n">
        <x:v>4</x:v>
      </x:c>
      <x:c r="B5" t="str">
        <x:v>Badges nominatifs</x:v>
      </x:c>
      <x:c r="C5" t="str">
        <x:v>Signalétique</x:v>
      </x:c>
      <x:c r="D5" s="5" t="n">
        <x:v>35</x:v>
      </x:c>
      <x:c r="E5" s="4" t="n">
        <x:v>0.65</x:v>
      </x:c>
      <x:c r="F5" s="4" t="n">
        <x:f>D5*E5</x:f>
        <x:v>22.75</x:v>
      </x:c>
      <x:c r="G5" t="str">
        <x:v>Fournisseur bureau</x:v>
      </x:c>
      <x:c r="H5" t="str">
        <x:v>À commander</x:v>
      </x:c>
    </x:row>
    <x:row r="6">
      <x:c r="A6" t="n">
        <x:v>5</x:v>
      </x:c>
      <x:c r="B6" t="str">
        <x:v>Impression programmes A4</x:v>
      </x:c>
      <x:c r="C6" t="str">
        <x:v>Impression</x:v>
      </x:c>
      <x:c r="D6" s="5" t="n">
        <x:v>45</x:v>
      </x:c>
      <x:c r="E6" s="4" t="n">
        <x:v>0.28</x:v>
      </x:c>
      <x:c r="F6" s="4" t="n">
        <x:f>D6*E6</x:f>
        <x:v>12.600000000000001</x:v>
      </x:c>
      <x:c r="G6" t="str">
        <x:v>Copieur interne</x:v>
      </x:c>
      <x:c r="H6" t="str">
        <x:v>Confirmé</x:v>
      </x:c>
    </x:row>
    <x:row r="7">
      <x:c r="A7" t="n">
        <x:v>6</x:v>
      </x:c>
      <x:c r="B7" t="str">
        <x:v>Affiches A3</x:v>
      </x:c>
      <x:c r="C7" t="str">
        <x:v>Communication</x:v>
      </x:c>
      <x:c r="D7" s="5" t="n">
        <x:v>10</x:v>
      </x:c>
      <x:c r="E7" s="4" t="n">
        <x:v>2.1</x:v>
      </x:c>
      <x:c r="F7" s="4" t="n">
        <x:f>D7*E7</x:f>
        <x:v>21</x:v>
      </x:c>
      <x:c r="G7" t="str">
        <x:v>Imprimeur local</x:v>
      </x:c>
      <x:c r="H7" t="str">
        <x:v>À valider</x:v>
      </x:c>
    </x:row>
    <x:row r="8">
      <x:c r="A8" t="n">
        <x:v>7</x:v>
      </x:c>
      <x:c r="B8" t="str">
        <x:v>Fournitures atelier</x:v>
      </x:c>
      <x:c r="C8" t="str">
        <x:v>Ateliers</x:v>
      </x:c>
      <x:c r="D8" s="5" t="n">
        <x:v>1</x:v>
      </x:c>
      <x:c r="E8" s="4" t="n">
        <x:v>85</x:v>
      </x:c>
      <x:c r="F8" s="4" t="n">
        <x:f>D8*E8</x:f>
        <x:v>85</x:v>
      </x:c>
      <x:c r="G8" t="str">
        <x:v>Papeterie</x:v>
      </x:c>
      <x:c r="H8" t="str">
        <x:v>Confirmé</x:v>
      </x:c>
    </x:row>
    <x:row r="9">
      <x:c r="A9" t="n">
        <x:v>8</x:v>
      </x:c>
      <x:c r="B9" t="str">
        <x:v>Défraiement intervenants</x:v>
      </x:c>
      <x:c r="C9" t="str">
        <x:v>Intervenants</x:v>
      </x:c>
      <x:c r="D9" s="5" t="n">
        <x:v>3</x:v>
      </x:c>
      <x:c r="E9" s="4" t="n">
        <x:v>90</x:v>
      </x:c>
      <x:c r="F9" s="4" t="n">
        <x:f>D9*E9</x:f>
        <x:v>270</x:v>
      </x:c>
      <x:c r="G9" t="str">
        <x:v>Forfait transport</x:v>
      </x:c>
      <x:c r="H9" t="str">
        <x:v>Confirmé</x:v>
      </x:c>
    </x:row>
    <x:row r="10">
      <x:c r="A10" t="n">
        <x:v>9</x:v>
      </x:c>
      <x:c r="B10" t="str">
        <x:v>Transport matériel</x:v>
      </x:c>
      <x:c r="C10" t="str">
        <x:v>Logistique</x:v>
      </x:c>
      <x:c r="D10" s="5" t="n">
        <x:v>1</x:v>
      </x:c>
      <x:c r="E10" s="4" t="n">
        <x:v>45</x:v>
      </x:c>
      <x:c r="F10" s="4" t="n">
        <x:f>D10*E10</x:f>
        <x:v>45</x:v>
      </x:c>
      <x:c r="G10" t="str">
        <x:v>Véhicule utilitaire</x:v>
      </x:c>
      <x:c r="H10" t="str">
        <x:v>À valider</x:v>
      </x:c>
    </x:row>
    <x:row r="11">
      <x:c r="A11" t="n">
        <x:v>10</x:v>
      </x:c>
      <x:c r="B11" t="str">
        <x:v>Kit papier participant</x:v>
      </x:c>
      <x:c r="C11" t="str">
        <x:v>Impression</x:v>
      </x:c>
      <x:c r="D11" s="5" t="n">
        <x:v>24</x:v>
      </x:c>
      <x:c r="E11" s="4" t="n">
        <x:v>1.8</x:v>
      </x:c>
      <x:c r="F11" s="4" t="n">
        <x:f>D11*E11</x:f>
        <x:v>43.2</x:v>
      </x:c>
      <x:c r="G11" t="str">
        <x:v>Dossier stagiaire</x:v>
      </x:c>
      <x:c r="H11" t="str">
        <x:v>Confirmé</x:v>
      </x:c>
    </x:row>
    <x:row r="12">
      <x:c r="D12" s="5"/>
      <x:c r="E12" s="4"/>
      <x:c r="F12" s="4"/>
    </x:row>
  </x:sheetData>
  <x:pageMargins left="0.7" right="0.7" top="0.75" bottom="0.75" header="0.3" footer="0.3"/>
  <x:tableParts count="1">
    <x:tablePart xmlns:r="http://schemas.openxmlformats.org/officeDocument/2006/relationships" r:id="R1d051e8b96854b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5" hidden="0" customWidth="1"/>
  </x:cols>
  <x:sheetData>
    <x:row r="1">
      <x:c r="A1" s="7" t="str">
        <x:v>Budget maximum autorisé</x:v>
      </x:c>
      <x:c r="B1" s="4" t="n">
        <x:v>1200</x:v>
      </x:c>
    </x:row>
    <x:row r="2">
      <x:c r="A2" s="7" t="str">
        <x:v>Total prévu</x:v>
      </x:c>
      <x:c r="B2" s="4" t="n">
        <x:f>SUM(Budget!F2:F11)</x:f>
        <x:v>1028.55</x:v>
      </x:c>
    </x:row>
    <x:row r="3">
      <x:c r="A3" s="7" t="str">
        <x:v>Reste disponible</x:v>
      </x:c>
      <x:c r="B3" s="4" t="n">
        <x:f>B1-B2</x:f>
        <x:v>171.45000000000005</x:v>
      </x:c>
    </x:row>
    <x:row r="4">
      <x:c r="A4" s="7" t="str">
        <x:v>Taux d'utilisation</x:v>
      </x:c>
      <x:c r="B4" s="8" t="n">
        <x:f>B2/B1</x:f>
        <x:v>0.8571249999999999</x:v>
      </x:c>
    </x:row>
    <x:row r="6">
      <x:c r="A6" s="3" t="str">
        <x:v>Catégorie</x:v>
      </x:c>
      <x:c r="B6" s="3" t="str">
        <x:v>Total HT</x:v>
      </x:c>
    </x:row>
    <x:row r="7">
      <x:c r="A7" t="str">
        <x:v>Lieu</x:v>
      </x:c>
      <x:c r="B7" s="4" t="n">
        <x:f>SUMIF(Budget!C2:C11,A7,Budget!F2:F11)</x:f>
        <x:v>320</x:v>
      </x:c>
    </x:row>
    <x:row r="8">
      <x:c r="A8" t="str">
        <x:v>Accueil</x:v>
      </x:c>
      <x:c r="B8" s="4" t="n">
        <x:f>SUMIF(Budget!C3:C12,A8,Budget!F3:F12)</x:f>
        <x:v>209</x:v>
      </x:c>
    </x:row>
    <x:row r="9">
      <x:c r="A9" t="str">
        <x:v>Signalétique</x:v>
      </x:c>
      <x:c r="B9" s="4" t="n">
        <x:f>SUMIF(Budget!C4:C13,A9,Budget!F4:F13)</x:f>
        <x:v>22.75</x:v>
      </x:c>
    </x:row>
    <x:row r="10">
      <x:c r="A10" t="str">
        <x:v>Impression</x:v>
      </x:c>
      <x:c r="B10" s="4" t="n">
        <x:f>SUMIF(Budget!C5:C14,A10,Budget!F5:F14)</x:f>
        <x:v>55.800000000000004</x:v>
      </x:c>
    </x:row>
    <x:row r="11">
      <x:c r="A11" t="str">
        <x:v>Communication</x:v>
      </x:c>
      <x:c r="B11" s="4" t="n">
        <x:f>SUMIF(Budget!C6:C15,A11,Budget!F6:F15)</x:f>
        <x:v>21</x:v>
      </x:c>
    </x:row>
    <x:row r="12">
      <x:c r="A12" t="str">
        <x:v>Ateliers</x:v>
      </x:c>
      <x:c r="B12" s="4" t="n">
        <x:f>SUMIF(Budget!C7:C16,A12,Budget!F7:F16)</x:f>
        <x:v>85</x:v>
      </x:c>
    </x:row>
    <x:row r="13">
      <x:c r="A13" t="str">
        <x:v>Intervenants</x:v>
      </x:c>
      <x:c r="B13" s="4" t="n">
        <x:f>SUMIF(Budget!C8:C17,A13,Budget!F8:F17)</x:f>
        <x:v>270</x:v>
      </x:c>
    </x:row>
    <x:row r="14">
      <x:c r="A14" t="str">
        <x:v>Logistique</x:v>
      </x:c>
      <x:c r="B14" s="4" t="n">
        <x:f>SUMIF(Budget!C9:C18,A14,Budget!F9:F18)</x:f>
        <x:v>45</x:v>
      </x:c>
    </x:row>
  </x:sheetData>
  <x:pageMargins left="0.7" right="0.7" top="0.75" bottom="0.75" header="0.3" footer="0.3"/>
  <x:drawing xmlns:r="http://schemas.openxmlformats.org/officeDocument/2006/relationships" r:id="R3e6ad9cc97be4ea2"/>
</x:worksheet>
</file>