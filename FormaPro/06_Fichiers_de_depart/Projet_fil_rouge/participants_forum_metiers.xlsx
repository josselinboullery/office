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7b91464b3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23e0063f0b7740c3"/>
    <x:sheet xmlns:r="http://schemas.openxmlformats.org/officeDocument/2006/relationships" name="Synthese" sheetId="2" r:id="R827cce90f661493f"/>
    <x:sheet xmlns:r="http://schemas.openxmlformats.org/officeDocument/2006/relationships" name="Ateliers" sheetId="3" r:id="Rdb8deb1794b244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a47a06fc24796" /><Relationship Type="http://schemas.openxmlformats.org/officeDocument/2006/relationships/theme" Target="/xl/theme/theme1.xml" Id="R8a9c67b86b674086" /><Relationship Type="http://schemas.openxmlformats.org/officeDocument/2006/relationships/sharedStrings" Target="/xl/sharedStrings.xml" Id="R077a415e9e914955" /><Relationship Type="http://schemas.openxmlformats.org/officeDocument/2006/relationships/worksheet" Target="/xl/worksheets/sheet1.xml" Id="R23e0063f0b7740c3" /><Relationship Type="http://schemas.openxmlformats.org/officeDocument/2006/relationships/worksheet" Target="/xl/worksheets/sheet2.xml" Id="R827cce90f661493f" /><Relationship Type="http://schemas.openxmlformats.org/officeDocument/2006/relationships/worksheet" Target="/xl/worksheets/sheet3.xml" Id="Rdb8deb1794b244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044be2d66947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Participants par atelier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Participants prévus</c:v>
          </c:tx>
          <c:cat>
            <c:strRef>
              <c:f>'Ateliers'!$A$2:$A$5</c:f>
              <c:strCache>
                <c:ptCount val="0"/>
              </c:strCache>
            </c:strRef>
          </c:cat>
          <c:val>
            <c:numRef>
              <c:f>'Ateliers'!$B$2:$B$5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044be2d66947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ticipantsForum" displayName="ParticipantsForum" ref="A1:J25" headerRowCount="1">
  <x:tableColumns count="10">
    <x:tableColumn id="1" name="ID"/>
    <x:tableColumn id="2" name="Nom"/>
    <x:tableColumn id="3" name="Email"/>
    <x:tableColumn id="4" name="Statut"/>
    <x:tableColumn id="5" name="Ville"/>
    <x:tableColumn id="6" name="Atelier prioritaire"/>
    <x:tableColumn id="7" name="Présence confirmée"/>
    <x:tableColumn id="8" name="Collation"/>
    <x:tableColumn id="9" name="Besoin particulier"/>
    <x:tableColumn id="10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d98c8c39cd4e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2629ae560c949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.75" hidden="0" customWidth="1"/>
    <x:col min="3" max="3" width="28.75" hidden="0" customWidth="1"/>
    <x:col min="4" max="4" width="20" hidden="0" customWidth="1"/>
    <x:col min="5" max="5" width="15" hidden="0" customWidth="1"/>
    <x:col min="6" max="6" width="23.75" hidden="0" customWidth="1"/>
    <x:col min="7" max="7" width="18.1299991607666" hidden="0" customWidth="1"/>
    <x:col min="8" max="8" width="11.880000114440918" hidden="0" customWidth="1"/>
    <x:col min="9" max="9" width="27.5" hidden="0" customWidth="1"/>
    <x:col min="10" max="10" width="23.75" hidden="0" customWidth="1"/>
  </x:cols>
  <x:sheetData>
    <x:row r="1">
      <x:c r="A1" s="3" t="str">
        <x:v>ID</x:v>
      </x:c>
      <x:c r="B1" s="3" t="str">
        <x:v>Nom</x:v>
      </x:c>
      <x:c r="C1" s="3" t="str">
        <x:v>Email</x:v>
      </x:c>
      <x:c r="D1" s="3" t="str">
        <x:v>Statut</x:v>
      </x:c>
      <x:c r="E1" s="3" t="str">
        <x:v>Ville</x:v>
      </x:c>
      <x:c r="F1" s="3" t="str">
        <x:v>Atelier prioritaire</x:v>
      </x:c>
      <x:c r="G1" s="3" t="str">
        <x:v>Présence confirmée</x:v>
      </x:c>
      <x:c r="H1" s="3" t="str">
        <x:v>Collation</x:v>
      </x:c>
      <x:c r="I1" s="3" t="str">
        <x:v>Besoin particulier</x:v>
      </x:c>
      <x:c r="J1" s="3" t="str">
        <x:v>Source</x:v>
      </x:c>
    </x:row>
    <x:row r="2">
      <x:c r="A2" s="4" t="n">
        <x:v>1</x:v>
      </x:c>
      <x:c r="B2" s="4" t="str">
        <x:v>Alice Martin</x:v>
      </x:c>
      <x:c r="C2" s="4" t="str">
        <x:v>alice.martin@example.local</x:v>
      </x:c>
      <x:c r="D2" s="4" t="str">
        <x:v>Demandeuse d'emploi</x:v>
      </x:c>
      <x:c r="E2" s="4" t="str">
        <x:v>Lille</x:v>
      </x:c>
      <x:c r="F2" s="4" t="str">
        <x:v>CV et candidature Word</x:v>
      </x:c>
      <x:c r="G2" s="4" t="str">
        <x:v>Oui</x:v>
      </x:c>
      <x:c r="H2" s="4" t="str">
        <x:v>Oui</x:v>
      </x:c>
      <x:c r="I2" s="4" t="str">
        <x:v>Aucun</x:v>
      </x:c>
      <x:c r="J2" s="4" t="str">
        <x:v>Formulaire inscription interne</x:v>
      </x:c>
    </x:row>
    <x:row r="3">
      <x:c r="A3" s="4" t="n">
        <x:v>2</x:v>
      </x:c>
      <x:c r="B3" s="4" t="str">
        <x:v>Karim Benali</x:v>
      </x:c>
      <x:c r="C3" s="4" t="str">
        <x:v>karim.benali@example.local</x:v>
      </x:c>
      <x:c r="D3" s="4" t="str">
        <x:v>Salarié en reconversion</x:v>
      </x:c>
      <x:c r="E3" s="4" t="str">
        <x:v>Roubaix</x:v>
      </x:c>
      <x:c r="F3" s="4" t="str">
        <x:v>Budget Excel</x:v>
      </x:c>
      <x:c r="G3" s="4" t="str">
        <x:v>Oui</x:v>
      </x:c>
      <x:c r="H3" s="4" t="str">
        <x:v>Oui</x:v>
      </x:c>
      <x:c r="I3" s="4" t="str">
        <x:v>Aucun</x:v>
      </x:c>
      <x:c r="J3" s="4" t="str">
        <x:v>Formulaire inscription interne</x:v>
      </x:c>
    </x:row>
    <x:row r="4">
      <x:c r="A4" s="4" t="n">
        <x:v>3</x:v>
      </x:c>
      <x:c r="B4" s="4" t="str">
        <x:v>Sophie Laurent</x:v>
      </x:c>
      <x:c r="C4" s="4" t="str">
        <x:v>sophie.laurent@example.local</x:v>
      </x:c>
      <x:c r="D4" s="4" t="str">
        <x:v>Assistante RH</x:v>
      </x:c>
      <x:c r="E4" s="4" t="str">
        <x:v>Tourcoing</x:v>
      </x:c>
      <x:c r="F4" s="4" t="str">
        <x:v>Présentation PowerPoint</x:v>
      </x:c>
      <x:c r="G4" s="4" t="str">
        <x:v>Oui</x:v>
      </x:c>
      <x:c r="H4" s="4" t="str">
        <x:v>Non</x:v>
      </x:c>
      <x:c r="I4" s="4" t="str">
        <x:v>Arrive à 14h30</x:v>
      </x:c>
      <x:c r="J4" s="4" t="str">
        <x:v>Formulaire inscription interne</x:v>
      </x:c>
    </x:row>
    <x:row r="5">
      <x:c r="A5" s="4" t="n">
        <x:v>4</x:v>
      </x:c>
      <x:c r="B5" s="4" t="str">
        <x:v>Thomas Petit</x:v>
      </x:c>
      <x:c r="C5" s="4" t="str">
        <x:v>thomas.petit@example.local</x:v>
      </x:c>
      <x:c r="D5" s="4" t="str">
        <x:v>Commercial junior</x:v>
      </x:c>
      <x:c r="E5" s="4" t="str">
        <x:v>Lille</x:v>
      </x:c>
      <x:c r="F5" s="4" t="str">
        <x:v>Budget Excel</x:v>
      </x:c>
      <x:c r="G5" s="4" t="str">
        <x:v>Oui</x:v>
      </x:c>
      <x:c r="H5" s="4" t="str">
        <x:v>Oui</x:v>
      </x:c>
      <x:c r="I5" s="4" t="str">
        <x:v>Aucun</x:v>
      </x:c>
      <x:c r="J5" s="4" t="str">
        <x:v>Formulaire inscription interne</x:v>
      </x:c>
    </x:row>
    <x:row r="6">
      <x:c r="A6" s="4" t="n">
        <x:v>5</x:v>
      </x:c>
      <x:c r="B6" s="4" t="str">
        <x:v>Nadia Diallo</x:v>
      </x:c>
      <x:c r="C6" s="4" t="str">
        <x:v>nadia.diallo@example.local</x:v>
      </x:c>
      <x:c r="D6" s="4" t="str">
        <x:v>Demandeuse d'emploi</x:v>
      </x:c>
      <x:c r="E6" s="4" t="str">
        <x:v>Villeneuve-d'Ascq</x:v>
      </x:c>
      <x:c r="F6" s="4" t="str">
        <x:v>CV et candidature Word</x:v>
      </x:c>
      <x:c r="G6" s="4" t="str">
        <x:v>À confirmer</x:v>
      </x:c>
      <x:c r="H6" s="4" t="str">
        <x:v>Oui</x:v>
      </x:c>
      <x:c r="I6" s="4" t="str">
        <x:v>Relance prévue le 25/06</x:v>
      </x:c>
      <x:c r="J6" s="4" t="str">
        <x:v>Formulaire inscription interne</x:v>
      </x:c>
    </x:row>
    <x:row r="7">
      <x:c r="A7" s="4" t="n">
        <x:v>6</x:v>
      </x:c>
      <x:c r="B7" s="4" t="str">
        <x:v>Hugo Moreau</x:v>
      </x:c>
      <x:c r="C7" s="4" t="str">
        <x:v>hugo.moreau@example.local</x:v>
      </x:c>
      <x:c r="D7" s="4" t="str">
        <x:v>Agent logistique</x:v>
      </x:c>
      <x:c r="E7" s="4" t="str">
        <x:v>Seclin</x:v>
      </x:c>
      <x:c r="F7" s="4" t="str">
        <x:v>Budget Excel</x:v>
      </x:c>
      <x:c r="G7" s="4" t="str">
        <x:v>Oui</x:v>
      </x:c>
      <x:c r="H7" s="4" t="str">
        <x:v>Oui</x:v>
      </x:c>
      <x:c r="I7" s="4" t="str">
        <x:v>Aucun</x:v>
      </x:c>
      <x:c r="J7" s="4" t="str">
        <x:v>Formulaire inscription interne</x:v>
      </x:c>
    </x:row>
    <x:row r="8">
      <x:c r="A8" s="4" t="n">
        <x:v>7</x:v>
      </x:c>
      <x:c r="B8" s="4" t="str">
        <x:v>Léa Nguyen</x:v>
      </x:c>
      <x:c r="C8" s="4" t="str">
        <x:v>lea.nguyen@example.local</x:v>
      </x:c>
      <x:c r="D8" s="4" t="str">
        <x:v>Apprentie</x:v>
      </x:c>
      <x:c r="E8" s="4" t="str">
        <x:v>Lomme</x:v>
      </x:c>
      <x:c r="F8" s="4" t="str">
        <x:v>Présentation PowerPoint</x:v>
      </x:c>
      <x:c r="G8" s="4" t="str">
        <x:v>Oui</x:v>
      </x:c>
      <x:c r="H8" s="4" t="str">
        <x:v>Oui</x:v>
      </x:c>
      <x:c r="I8" s="4" t="str">
        <x:v>Aucun</x:v>
      </x:c>
      <x:c r="J8" s="4" t="str">
        <x:v>Formulaire inscription interne</x:v>
      </x:c>
    </x:row>
    <x:row r="9">
      <x:c r="A9" s="4" t="n">
        <x:v>8</x:v>
      </x:c>
      <x:c r="B9" s="4" t="str">
        <x:v>Samir Haddad</x:v>
      </x:c>
      <x:c r="C9" s="4" t="str">
        <x:v>samir.haddad@example.local</x:v>
      </x:c>
      <x:c r="D9" s="4" t="str">
        <x:v>Demandeur d'emploi</x:v>
      </x:c>
      <x:c r="E9" s="4" t="str">
        <x:v>Lille</x:v>
      </x:c>
      <x:c r="F9" s="4" t="str">
        <x:v>CV et candidature Word</x:v>
      </x:c>
      <x:c r="G9" s="4" t="str">
        <x:v>Oui</x:v>
      </x:c>
      <x:c r="H9" s="4" t="str">
        <x:v>Oui</x:v>
      </x:c>
      <x:c r="I9" s="4" t="str">
        <x:v>Aucun</x:v>
      </x:c>
      <x:c r="J9" s="4" t="str">
        <x:v>Formulaire inscription interne</x:v>
      </x:c>
    </x:row>
    <x:row r="10">
      <x:c r="A10" s="4" t="n">
        <x:v>9</x:v>
      </x:c>
      <x:c r="B10" s="4" t="str">
        <x:v>Camille Bernard</x:v>
      </x:c>
      <x:c r="C10" s="4" t="str">
        <x:v>camille.bernard@example.local</x:v>
      </x:c>
      <x:c r="D10" s="4" t="str">
        <x:v>Coordinatrice formation</x:v>
      </x:c>
      <x:c r="E10" s="4" t="str">
        <x:v>Lille</x:v>
      </x:c>
      <x:c r="F10" s="4" t="str">
        <x:v>Présentation PowerPoint</x:v>
      </x:c>
      <x:c r="G10" s="4" t="str">
        <x:v>Oui</x:v>
      </x:c>
      <x:c r="H10" s="4" t="str">
        <x:v>Non</x:v>
      </x:c>
      <x:c r="I10" s="4" t="str">
        <x:v>Organisatrice</x:v>
      </x:c>
      <x:c r="J10" s="4" t="str">
        <x:v>Service formation</x:v>
      </x:c>
    </x:row>
    <x:row r="11">
      <x:c r="A11" s="4" t="n">
        <x:v>10</x:v>
      </x:c>
      <x:c r="B11" s="4" t="str">
        <x:v>Julien Robert</x:v>
      </x:c>
      <x:c r="C11" s="4" t="str">
        <x:v>julien.robert@example.local</x:v>
      </x:c>
      <x:c r="D11" s="4" t="str">
        <x:v>Technicien</x:v>
      </x:c>
      <x:c r="E11" s="4" t="str">
        <x:v>La Madeleine</x:v>
      </x:c>
      <x:c r="F11" s="4" t="str">
        <x:v>Budget Excel</x:v>
      </x:c>
      <x:c r="G11" s="4" t="str">
        <x:v>Oui</x:v>
      </x:c>
      <x:c r="H11" s="4" t="str">
        <x:v>Oui</x:v>
      </x:c>
      <x:c r="I11" s="4" t="str">
        <x:v>Aucun</x:v>
      </x:c>
      <x:c r="J11" s="4" t="str">
        <x:v>Formulaire inscription interne</x:v>
      </x:c>
    </x:row>
    <x:row r="12">
      <x:c r="A12" s="4" t="n">
        <x:v>11</x:v>
      </x:c>
      <x:c r="B12" s="4" t="str">
        <x:v>Inès Garcia</x:v>
      </x:c>
      <x:c r="C12" s="4" t="str">
        <x:v>ines.garcia@example.local</x:v>
      </x:c>
      <x:c r="D12" s="4" t="str">
        <x:v>Assistante administrative</x:v>
      </x:c>
      <x:c r="E12" s="4" t="str">
        <x:v>Marcq-en-Baroeul</x:v>
      </x:c>
      <x:c r="F12" s="4" t="str">
        <x:v>CV et candidature Word</x:v>
      </x:c>
      <x:c r="G12" s="4" t="str">
        <x:v>Oui</x:v>
      </x:c>
      <x:c r="H12" s="4" t="str">
        <x:v>Oui</x:v>
      </x:c>
      <x:c r="I12" s="4" t="str">
        <x:v>Aucun</x:v>
      </x:c>
      <x:c r="J12" s="4" t="str">
        <x:v>Formulaire inscription interne</x:v>
      </x:c>
    </x:row>
    <x:row r="13">
      <x:c r="A13" s="4" t="n">
        <x:v>12</x:v>
      </x:c>
      <x:c r="B13" s="4" t="str">
        <x:v>Mehdi Leroy</x:v>
      </x:c>
      <x:c r="C13" s="4" t="str">
        <x:v>mehdi.leroy@example.local</x:v>
      </x:c>
      <x:c r="D13" s="4" t="str">
        <x:v>Responsable équipe</x:v>
      </x:c>
      <x:c r="E13" s="4" t="str">
        <x:v>Wattrelos</x:v>
      </x:c>
      <x:c r="F13" s="4" t="str">
        <x:v>Budget Excel</x:v>
      </x:c>
      <x:c r="G13" s="4" t="str">
        <x:v>À confirmer</x:v>
      </x:c>
      <x:c r="H13" s="4" t="str">
        <x:v>Non</x:v>
      </x:c>
      <x:c r="I13" s="4" t="str">
        <x:v>A rappeler</x:v>
      </x:c>
      <x:c r="J13" s="4" t="str">
        <x:v>Formulaire inscription interne</x:v>
      </x:c>
    </x:row>
    <x:row r="14">
      <x:c r="A14" s="4" t="n">
        <x:v>13</x:v>
      </x:c>
      <x:c r="B14" s="4" t="str">
        <x:v>Clara Morel</x:v>
      </x:c>
      <x:c r="C14" s="4" t="str">
        <x:v>clara.morel@example.local</x:v>
      </x:c>
      <x:c r="D14" s="4" t="str">
        <x:v>Demandeuse d'emploi</x:v>
      </x:c>
      <x:c r="E14" s="4" t="str">
        <x:v>Lille</x:v>
      </x:c>
      <x:c r="F14" s="4" t="str">
        <x:v>CV et candidature Word</x:v>
      </x:c>
      <x:c r="G14" s="4" t="str">
        <x:v>Oui</x:v>
      </x:c>
      <x:c r="H14" s="4" t="str">
        <x:v>Oui</x:v>
      </x:c>
      <x:c r="I14" s="4" t="str">
        <x:v>Aucun</x:v>
      </x:c>
      <x:c r="J14" s="4" t="str">
        <x:v>Formulaire inscription interne</x:v>
      </x:c>
    </x:row>
    <x:row r="15">
      <x:c r="A15" s="4" t="n">
        <x:v>14</x:v>
      </x:c>
      <x:c r="B15" s="4" t="str">
        <x:v>Lucas Dubois</x:v>
      </x:c>
      <x:c r="C15" s="4" t="str">
        <x:v>lucas.dubois@example.local</x:v>
      </x:c>
      <x:c r="D15" s="4" t="str">
        <x:v>Alternant</x:v>
      </x:c>
      <x:c r="E15" s="4" t="str">
        <x:v>Croix</x:v>
      </x:c>
      <x:c r="F15" s="4" t="str">
        <x:v>Présentation PowerPoint</x:v>
      </x:c>
      <x:c r="G15" s="4" t="str">
        <x:v>Oui</x:v>
      </x:c>
      <x:c r="H15" s="4" t="str">
        <x:v>Oui</x:v>
      </x:c>
      <x:c r="I15" s="4" t="str">
        <x:v>Aucun</x:v>
      </x:c>
      <x:c r="J15" s="4" t="str">
        <x:v>Formulaire inscription interne</x:v>
      </x:c>
    </x:row>
    <x:row r="16">
      <x:c r="A16" s="4" t="n">
        <x:v>15</x:v>
      </x:c>
      <x:c r="B16" s="4" t="str">
        <x:v>Amina Traoré</x:v>
      </x:c>
      <x:c r="C16" s="4" t="str">
        <x:v>amina.traore@example.local</x:v>
      </x:c>
      <x:c r="D16" s="4" t="str">
        <x:v>Agent d'accueil</x:v>
      </x:c>
      <x:c r="E16" s="4" t="str">
        <x:v>Roubaix</x:v>
      </x:c>
      <x:c r="F16" s="4" t="str">
        <x:v>CV et candidature Word</x:v>
      </x:c>
      <x:c r="G16" s="4" t="str">
        <x:v>Oui</x:v>
      </x:c>
      <x:c r="H16" s="4" t="str">
        <x:v>Oui</x:v>
      </x:c>
      <x:c r="I16" s="4" t="str">
        <x:v>Aucun</x:v>
      </x:c>
      <x:c r="J16" s="4" t="str">
        <x:v>Formulaire inscription interne</x:v>
      </x:c>
    </x:row>
    <x:row r="17">
      <x:c r="A17" s="4" t="n">
        <x:v>16</x:v>
      </x:c>
      <x:c r="B17" s="4" t="str">
        <x:v>Élodie Simon</x:v>
      </x:c>
      <x:c r="C17" s="4" t="str">
        <x:v>elodie.simon@example.local</x:v>
      </x:c>
      <x:c r="D17" s="4" t="str">
        <x:v>Chargée de planning</x:v>
      </x:c>
      <x:c r="E17" s="4" t="str">
        <x:v>Lille</x:v>
      </x:c>
      <x:c r="F17" s="4" t="str">
        <x:v>Budget Excel</x:v>
      </x:c>
      <x:c r="G17" s="4" t="str">
        <x:v>Oui</x:v>
      </x:c>
      <x:c r="H17" s="4" t="str">
        <x:v>Oui</x:v>
      </x:c>
      <x:c r="I17" s="4" t="str">
        <x:v>Aucun</x:v>
      </x:c>
      <x:c r="J17" s="4" t="str">
        <x:v>Formulaire inscription interne</x:v>
      </x:c>
    </x:row>
    <x:row r="18">
      <x:c r="A18" s="4" t="n">
        <x:v>17</x:v>
      </x:c>
      <x:c r="B18" s="4" t="str">
        <x:v>Yanis Fontaine</x:v>
      </x:c>
      <x:c r="C18" s="4" t="str">
        <x:v>yanis.fontaine@example.local</x:v>
      </x:c>
      <x:c r="D18" s="4" t="str">
        <x:v>Magasinier</x:v>
      </x:c>
      <x:c r="E18" s="4" t="str">
        <x:v>Haubourdin</x:v>
      </x:c>
      <x:c r="F18" s="4" t="str">
        <x:v>Budget Excel</x:v>
      </x:c>
      <x:c r="G18" s="4" t="str">
        <x:v>Non</x:v>
      </x:c>
      <x:c r="H18" s="4" t="str">
        <x:v>Non</x:v>
      </x:c>
      <x:c r="I18" s="4" t="str">
        <x:v>Indisponible</x:v>
      </x:c>
      <x:c r="J18" s="4" t="str">
        <x:v>Formulaire inscription interne</x:v>
      </x:c>
    </x:row>
    <x:row r="19">
      <x:c r="A19" s="4" t="n">
        <x:v>18</x:v>
      </x:c>
      <x:c r="B19" s="4" t="str">
        <x:v>Marion Lefèvre</x:v>
      </x:c>
      <x:c r="C19" s="4" t="str">
        <x:v>marion.lefevre@example.local</x:v>
      </x:c>
      <x:c r="D19" s="4" t="str">
        <x:v>Assistante commerciale</x:v>
      </x:c>
      <x:c r="E19" s="4" t="str">
        <x:v>Lille</x:v>
      </x:c>
      <x:c r="F19" s="4" t="str">
        <x:v>Présentation PowerPoint</x:v>
      </x:c>
      <x:c r="G19" s="4" t="str">
        <x:v>Oui</x:v>
      </x:c>
      <x:c r="H19" s="4" t="str">
        <x:v>Oui</x:v>
      </x:c>
      <x:c r="I19" s="4" t="str">
        <x:v>Aucun</x:v>
      </x:c>
      <x:c r="J19" s="4" t="str">
        <x:v>Formulaire inscription interne</x:v>
      </x:c>
    </x:row>
    <x:row r="20">
      <x:c r="A20" s="4" t="n">
        <x:v>19</x:v>
      </x:c>
      <x:c r="B20" s="4" t="str">
        <x:v>Paul Richard</x:v>
      </x:c>
      <x:c r="C20" s="4" t="str">
        <x:v>paul.richard@example.local</x:v>
      </x:c>
      <x:c r="D20" s="4" t="str">
        <x:v>Demandeur d'emploi</x:v>
      </x:c>
      <x:c r="E20" s="4" t="str">
        <x:v>Loos</x:v>
      </x:c>
      <x:c r="F20" s="4" t="str">
        <x:v>CV et candidature Word</x:v>
      </x:c>
      <x:c r="G20" s="4" t="str">
        <x:v>Oui</x:v>
      </x:c>
      <x:c r="H20" s="4" t="str">
        <x:v>Oui</x:v>
      </x:c>
      <x:c r="I20" s="4" t="str">
        <x:v>Aucun</x:v>
      </x:c>
      <x:c r="J20" s="4" t="str">
        <x:v>Formulaire inscription interne</x:v>
      </x:c>
    </x:row>
    <x:row r="21">
      <x:c r="A21" s="4" t="n">
        <x:v>20</x:v>
      </x:c>
      <x:c r="B21" s="4" t="str">
        <x:v>Sarah Mercier</x:v>
      </x:c>
      <x:c r="C21" s="4" t="str">
        <x:v>sarah.mercier@example.local</x:v>
      </x:c>
      <x:c r="D21" s="4" t="str">
        <x:v>Responsable accueil</x:v>
      </x:c>
      <x:c r="E21" s="4" t="str">
        <x:v>Lille</x:v>
      </x:c>
      <x:c r="F21" s="4" t="str">
        <x:v>Présentation PowerPoint</x:v>
      </x:c>
      <x:c r="G21" s="4" t="str">
        <x:v>Oui</x:v>
      </x:c>
      <x:c r="H21" s="4" t="str">
        <x:v>Non</x:v>
      </x:c>
      <x:c r="I21" s="4" t="str">
        <x:v>Anime l'accueil</x:v>
      </x:c>
      <x:c r="J21" s="4" t="str">
        <x:v>Service formation</x:v>
      </x:c>
    </x:row>
    <x:row r="22">
      <x:c r="A22" s="4" t="n">
        <x:v>21</x:v>
      </x:c>
      <x:c r="B22" s="4" t="str">
        <x:v>Baptiste Roux</x:v>
      </x:c>
      <x:c r="C22" s="4" t="str">
        <x:v>baptiste.roux@example.local</x:v>
      </x:c>
      <x:c r="D22" s="4" t="str">
        <x:v>Technicien support</x:v>
      </x:c>
      <x:c r="E22" s="4" t="str">
        <x:v>Wasquehal</x:v>
      </x:c>
      <x:c r="F22" s="4" t="str">
        <x:v>Budget Excel</x:v>
      </x:c>
      <x:c r="G22" s="4" t="str">
        <x:v>Oui</x:v>
      </x:c>
      <x:c r="H22" s="4" t="str">
        <x:v>Oui</x:v>
      </x:c>
      <x:c r="I22" s="4" t="str">
        <x:v>Aucun</x:v>
      </x:c>
      <x:c r="J22" s="4" t="str">
        <x:v>Formulaire inscription interne</x:v>
      </x:c>
    </x:row>
    <x:row r="23">
      <x:c r="A23" s="4" t="n">
        <x:v>22</x:v>
      </x:c>
      <x:c r="B23" s="4" t="str">
        <x:v>Fatou Ndiaye</x:v>
      </x:c>
      <x:c r="C23" s="4" t="str">
        <x:v>fatou.ndiaye@example.local</x:v>
      </x:c>
      <x:c r="D23" s="4" t="str">
        <x:v>Demandeuse d'emploi</x:v>
      </x:c>
      <x:c r="E23" s="4" t="str">
        <x:v>Roubaix</x:v>
      </x:c>
      <x:c r="F23" s="4" t="str">
        <x:v>CV et candidature Word</x:v>
      </x:c>
      <x:c r="G23" s="4" t="str">
        <x:v>À confirmer</x:v>
      </x:c>
      <x:c r="H23" s="4" t="str">
        <x:v>Oui</x:v>
      </x:c>
      <x:c r="I23" s="4" t="str">
        <x:v>Besoin police grande taille</x:v>
      </x:c>
      <x:c r="J23" s="4" t="str">
        <x:v>Formulaire inscription interne</x:v>
      </x:c>
    </x:row>
    <x:row r="24">
      <x:c r="A24" s="4" t="n">
        <x:v>23</x:v>
      </x:c>
      <x:c r="B24" s="4" t="str">
        <x:v>Romain Girard</x:v>
      </x:c>
      <x:c r="C24" s="4" t="str">
        <x:v>romain.girard@example.local</x:v>
      </x:c>
      <x:c r="D24" s="4" t="str">
        <x:v>Assistant polyvalent</x:v>
      </x:c>
      <x:c r="E24" s="4" t="str">
        <x:v>Lille</x:v>
      </x:c>
      <x:c r="F24" s="4" t="str">
        <x:v>Budget Excel</x:v>
      </x:c>
      <x:c r="G24" s="4" t="str">
        <x:v>Oui</x:v>
      </x:c>
      <x:c r="H24" s="4" t="str">
        <x:v>Oui</x:v>
      </x:c>
      <x:c r="I24" s="4" t="str">
        <x:v>Aucun</x:v>
      </x:c>
      <x:c r="J24" s="4" t="str">
        <x:v>Formulaire inscription interne</x:v>
      </x:c>
    </x:row>
    <x:row r="25">
      <x:c r="A25" s="4" t="n">
        <x:v>24</x:v>
      </x:c>
      <x:c r="B25" s="4" t="str">
        <x:v>Chloé Perrin</x:v>
      </x:c>
      <x:c r="C25" s="4" t="str">
        <x:v>chloe.perrin@example.local</x:v>
      </x:c>
      <x:c r="D25" s="4" t="str">
        <x:v>Apprentie RH</x:v>
      </x:c>
      <x:c r="E25" s="4" t="str">
        <x:v>Tourcoing</x:v>
      </x:c>
      <x:c r="F25" s="4" t="str">
        <x:v>Présentation PowerPoint</x:v>
      </x:c>
      <x:c r="G25" s="4" t="str">
        <x:v>Oui</x:v>
      </x:c>
      <x:c r="H25" s="4" t="str">
        <x:v>Oui</x:v>
      </x:c>
      <x:c r="I25" s="4" t="str">
        <x:v>Aucun</x:v>
      </x:c>
      <x:c r="J25" s="4" t="str">
        <x:v>Formulaire inscription interne</x:v>
      </x:c>
    </x:row>
  </x:sheetData>
  <x:pageMargins left="0.7" right="0.7" top="0.75" bottom="0.75" header="0.3" footer="0.3"/>
  <x:tableParts count="1">
    <x:tablePart xmlns:r="http://schemas.openxmlformats.org/officeDocument/2006/relationships" r:id="Rf2d98c8c39cd4ec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1.25" hidden="0" customWidth="1"/>
    <x:col min="3" max="3" width="41.25" hidden="0" customWidth="1"/>
    <x:col min="4" max="4" width="26.25" hidden="0" customWidth="1"/>
  </x:cols>
  <x:sheetData>
    <x:row r="1">
      <x:c r="A1" s="3" t="str">
        <x:v>Indicateur</x:v>
      </x:c>
      <x:c r="B1" s="3" t="str">
        <x:v>Valeur</x:v>
      </x:c>
      <x:c r="C1" s="3" t="str">
        <x:v>Méthode</x:v>
      </x:c>
      <x:c r="D1" s="3" t="str">
        <x:v>Source</x:v>
      </x:c>
    </x:row>
    <x:row r="2">
      <x:c r="A2" t="str">
        <x:v>Participants inscrits</x:v>
      </x:c>
      <x:c r="B2" t="n">
        <x:f>COUNTA(Participants!B2:B25)</x:f>
        <x:v>24</x:v>
      </x:c>
      <x:c r="C2" t="str">
        <x:v>Nombre total de lignes participants</x:v>
      </x:c>
      <x:c r="D2" t="str">
        <x:v>Participants!A2:A25</x:v>
      </x:c>
    </x:row>
    <x:row r="3">
      <x:c r="A3" t="str">
        <x:v>Présences confirmées</x:v>
      </x:c>
      <x:c r="B3" t="n">
        <x:f>COUNTIF(Participants!G2:G25,"Oui")</x:f>
        <x:v>20</x:v>
      </x:c>
      <x:c r="C3" t="str">
        <x:v>Nombre de Oui dans la colonne Présence confirmée</x:v>
      </x:c>
      <x:c r="D3" t="str">
        <x:v>Participants!G2:G25</x:v>
      </x:c>
    </x:row>
    <x:row r="4">
      <x:c r="A4" t="str">
        <x:v>À confirmer</x:v>
      </x:c>
      <x:c r="B4" t="n">
        <x:f>COUNTIF(Participants!G2:G25,"À confirmer")</x:f>
        <x:v>3</x:v>
      </x:c>
      <x:c r="C4" t="str">
        <x:v>Nombre de À confirmer dans la colonne Présence confirmée</x:v>
      </x:c>
      <x:c r="D4" t="str">
        <x:v>Participants!G2:G25</x:v>
      </x:c>
    </x:row>
    <x:row r="5">
      <x:c r="A5" t="str">
        <x:v>Absents annoncés</x:v>
      </x:c>
      <x:c r="B5" t="n">
        <x:f>COUNTIF(Participants!G2:G25,"Non")</x:f>
        <x:v>1</x:v>
      </x:c>
      <x:c r="C5" t="str">
        <x:v>Nombre de Non dans la colonne Présence confirmée</x:v>
      </x:c>
      <x:c r="D5" t="str">
        <x:v>Participants!G2:G25</x:v>
      </x:c>
    </x:row>
    <x:row r="6">
      <x:c r="A6" t="str">
        <x:v>Collations à prévoir</x:v>
      </x:c>
      <x:c r="B6" t="n">
        <x:f>COUNTIF(Participants!H2:H25,"Oui")</x:f>
        <x:v>19</x:v>
      </x:c>
      <x:c r="C6" t="str">
        <x:v>Nombre de Oui dans la colonne Collation</x:v>
      </x:c>
      <x:c r="D6" t="str">
        <x:v>Participants!H2:H25</x:v>
      </x:c>
    </x:row>
    <x:row r="7">
      <x:c r="A7" t="str">
        <x:v>Participants avec besoin particulier</x:v>
      </x:c>
      <x:c r="B7" t="n">
        <x:f>COUNTIFS(Participants!I2:I25,"&lt;&gt;Aucun",Participants!I2:I25,"&lt;&gt;")</x:f>
        <x:v>7</x:v>
      </x:c>
      <x:c r="C7" t="str">
        <x:v>Cellules différentes de Aucun</x:v>
      </x:c>
      <x:c r="D7" t="str">
        <x:v>Participants!I2:I25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</x:cols>
  <x:sheetData>
    <x:row r="1">
      <x:c r="A1" s="3" t="str">
        <x:v>Atelier</x:v>
      </x:c>
      <x:c r="B1" s="3" t="str">
        <x:v>Participants prévus</x:v>
      </x:c>
    </x:row>
    <x:row r="2">
      <x:c r="A2" t="str">
        <x:v>CV et candidature Word</x:v>
      </x:c>
      <x:c r="B2" t="n">
        <x:v>7</x:v>
      </x:c>
    </x:row>
    <x:row r="3">
      <x:c r="A3" t="str">
        <x:v>Budget Excel</x:v>
      </x:c>
      <x:c r="B3" t="n">
        <x:v>8</x:v>
      </x:c>
    </x:row>
    <x:row r="4">
      <x:c r="A4" t="str">
        <x:v>Présentation PowerPoint</x:v>
      </x:c>
      <x:c r="B4" t="n">
        <x:v>6</x:v>
      </x:c>
    </x:row>
    <x:row r="5">
      <x:c r="A5" t="str">
        <x:v>À confirmer / indisponible</x:v>
      </x:c>
      <x:c r="B5" t="n">
        <x:v>3</x:v>
      </x:c>
    </x:row>
  </x:sheetData>
  <x:pageMargins left="0.7" right="0.7" top="0.75" bottom="0.75" header="0.3" footer="0.3"/>
  <x:drawing xmlns:r="http://schemas.openxmlformats.org/officeDocument/2006/relationships" r:id="R12629ae560c94922"/>
</x:worksheet>
</file>