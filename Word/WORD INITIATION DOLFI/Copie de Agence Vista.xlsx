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H:\WORD INITIATION DOLFI\"/>
    </mc:Choice>
  </mc:AlternateContent>
  <xr:revisionPtr revIDLastSave="0" documentId="13_ncr:1_{BA0682D9-B99A-47DD-BCA7-7D4A4E125E66}" xr6:coauthVersionLast="37" xr6:coauthVersionMax="37" xr10:uidLastSave="{00000000-0000-0000-0000-000000000000}"/>
  <bookViews>
    <workbookView xWindow="0" yWindow="0" windowWidth="16380" windowHeight="8190" xr2:uid="{00000000-000D-0000-FFFF-FFFF00000000}"/>
  </bookViews>
  <sheets>
    <sheet name="Feuil1" sheetId="1" r:id="rId1"/>
    <sheet name="Feuil2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C17" i="1" l="1"/>
  <c r="D17" i="1"/>
  <c r="E17" i="1"/>
  <c r="C18" i="1"/>
  <c r="D18" i="1"/>
  <c r="E18" i="1"/>
  <c r="C19" i="1"/>
  <c r="D19" i="1"/>
  <c r="E19" i="1"/>
  <c r="B19" i="1"/>
  <c r="B18" i="1"/>
  <c r="B17" i="1"/>
  <c r="F11" i="1"/>
  <c r="F12" i="1"/>
  <c r="F13" i="1"/>
  <c r="F14" i="1"/>
  <c r="F15" i="1"/>
  <c r="B16" i="1"/>
  <c r="C16" i="1"/>
  <c r="D16" i="1"/>
  <c r="E16" i="1"/>
  <c r="F16" i="1" l="1"/>
  <c r="G15" i="1" l="1"/>
  <c r="G12" i="1"/>
  <c r="G16" i="1"/>
  <c r="G13" i="1"/>
  <c r="G14" i="1"/>
  <c r="G11" i="1"/>
</calcChain>
</file>

<file path=xl/sharedStrings.xml><?xml version="1.0" encoding="utf-8"?>
<sst xmlns="http://schemas.openxmlformats.org/spreadsheetml/2006/main" count="18" uniqueCount="17">
  <si>
    <t>Chiffre d'affaires en K€</t>
  </si>
  <si>
    <t>Nice</t>
  </si>
  <si>
    <t>Bordeaux</t>
  </si>
  <si>
    <t>Lyon</t>
  </si>
  <si>
    <t>Rennes</t>
  </si>
  <si>
    <t>Nancy</t>
  </si>
  <si>
    <t>CA Maximal</t>
  </si>
  <si>
    <t>CA Minimal</t>
  </si>
  <si>
    <t>CA Moyen</t>
  </si>
  <si>
    <t>AGENCE VISTA</t>
  </si>
  <si>
    <t>TOTAL</t>
  </si>
  <si>
    <t>SUCCURSALES</t>
  </si>
  <si>
    <t>Année 2015</t>
  </si>
  <si>
    <t>Année 2016</t>
  </si>
  <si>
    <t>Année 2017</t>
  </si>
  <si>
    <t>Année 2018</t>
  </si>
  <si>
    <t>%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</si>
</sst>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6" formatCode="#,##0_ ;\-#,##0\ 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vertical="center"/>
    </xf>
    <xf numFmtId="9" fontId="2" fillId="0" borderId="1" xfId="2" applyFont="1" applyBorder="1" applyAlignment="1">
      <alignment vertical="center"/>
    </xf>
    <xf numFmtId="9" fontId="2" fillId="0" borderId="1" xfId="2" applyFont="1" applyFill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166" fontId="0" fillId="0" borderId="1" xfId="1" applyNumberFormat="1" applyFont="1" applyBorder="1" applyAlignment="1">
      <alignment vertical="center"/>
    </xf>
    <xf numFmtId="166" fontId="2" fillId="0" borderId="1" xfId="1" applyNumberFormat="1" applyFont="1" applyBorder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166" fontId="0" fillId="0" borderId="0" xfId="1" applyNumberFormat="1" applyFont="1" applyFill="1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SUCCURSALES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Feuil1!$A$11</c:f>
              <c:strCache>
                <c:ptCount val="1"/>
                <c:pt idx="0">
                  <c:v>Nice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Feuil1!$B$10:$E$10</c:f>
              <c:strCache>
                <c:ptCount val="4"/>
                <c:pt idx="0">
                  <c:v>Année 2015</c:v>
                </c:pt>
                <c:pt idx="1">
                  <c:v>Année 2016</c:v>
                </c:pt>
                <c:pt idx="2">
                  <c:v>Année 2017</c:v>
                </c:pt>
                <c:pt idx="3">
                  <c:v>Année 2018</c:v>
                </c:pt>
              </c:strCache>
            </c:strRef>
          </c:cat>
          <c:val>
            <c:numRef>
              <c:f>Feuil1!$B$11:$E$11</c:f>
              <c:numCache>
                <c:formatCode>#\ ##0_ ;\-#\ ##0\ </c:formatCode>
                <c:ptCount val="4"/>
                <c:pt idx="0">
                  <c:v>500</c:v>
                </c:pt>
                <c:pt idx="1">
                  <c:v>450</c:v>
                </c:pt>
                <c:pt idx="2">
                  <c:v>487</c:v>
                </c:pt>
                <c:pt idx="3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5-451A-A3EB-CFBEDC57A468}"/>
            </c:ext>
          </c:extLst>
        </c:ser>
        <c:ser>
          <c:idx val="1"/>
          <c:order val="1"/>
          <c:tx>
            <c:strRef>
              <c:f>Feuil1!$A$12</c:f>
              <c:strCache>
                <c:ptCount val="1"/>
                <c:pt idx="0">
                  <c:v>Bordeaux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Feuil1!$B$10:$E$10</c:f>
              <c:strCache>
                <c:ptCount val="4"/>
                <c:pt idx="0">
                  <c:v>Année 2015</c:v>
                </c:pt>
                <c:pt idx="1">
                  <c:v>Année 2016</c:v>
                </c:pt>
                <c:pt idx="2">
                  <c:v>Année 2017</c:v>
                </c:pt>
                <c:pt idx="3">
                  <c:v>Année 2018</c:v>
                </c:pt>
              </c:strCache>
            </c:strRef>
          </c:cat>
          <c:val>
            <c:numRef>
              <c:f>Feuil1!$B$12:$E$12</c:f>
              <c:numCache>
                <c:formatCode>#\ ##0_ ;\-#\ ##0\ </c:formatCode>
                <c:ptCount val="4"/>
                <c:pt idx="0">
                  <c:v>458</c:v>
                </c:pt>
                <c:pt idx="1">
                  <c:v>335</c:v>
                </c:pt>
                <c:pt idx="2">
                  <c:v>553</c:v>
                </c:pt>
                <c:pt idx="3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D5-451A-A3EB-CFBEDC57A468}"/>
            </c:ext>
          </c:extLst>
        </c:ser>
        <c:ser>
          <c:idx val="2"/>
          <c:order val="2"/>
          <c:tx>
            <c:strRef>
              <c:f>Feuil1!$A$13</c:f>
              <c:strCache>
                <c:ptCount val="1"/>
                <c:pt idx="0">
                  <c:v>Lyon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Feuil1!$B$10:$E$10</c:f>
              <c:strCache>
                <c:ptCount val="4"/>
                <c:pt idx="0">
                  <c:v>Année 2015</c:v>
                </c:pt>
                <c:pt idx="1">
                  <c:v>Année 2016</c:v>
                </c:pt>
                <c:pt idx="2">
                  <c:v>Année 2017</c:v>
                </c:pt>
                <c:pt idx="3">
                  <c:v>Année 2018</c:v>
                </c:pt>
              </c:strCache>
            </c:strRef>
          </c:cat>
          <c:val>
            <c:numRef>
              <c:f>Feuil1!$B$13:$E$13</c:f>
              <c:numCache>
                <c:formatCode>#\ ##0_ ;\-#\ ##0\ </c:formatCode>
                <c:ptCount val="4"/>
                <c:pt idx="0">
                  <c:v>345</c:v>
                </c:pt>
                <c:pt idx="1">
                  <c:v>358</c:v>
                </c:pt>
                <c:pt idx="2">
                  <c:v>506</c:v>
                </c:pt>
                <c:pt idx="3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5-451A-A3EB-CFBEDC57A468}"/>
            </c:ext>
          </c:extLst>
        </c:ser>
        <c:ser>
          <c:idx val="3"/>
          <c:order val="3"/>
          <c:tx>
            <c:strRef>
              <c:f>Feuil1!$A$14</c:f>
              <c:strCache>
                <c:ptCount val="1"/>
                <c:pt idx="0">
                  <c:v>Rennes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Feuil1!$B$10:$E$10</c:f>
              <c:strCache>
                <c:ptCount val="4"/>
                <c:pt idx="0">
                  <c:v>Année 2015</c:v>
                </c:pt>
                <c:pt idx="1">
                  <c:v>Année 2016</c:v>
                </c:pt>
                <c:pt idx="2">
                  <c:v>Année 2017</c:v>
                </c:pt>
                <c:pt idx="3">
                  <c:v>Année 2018</c:v>
                </c:pt>
              </c:strCache>
            </c:strRef>
          </c:cat>
          <c:val>
            <c:numRef>
              <c:f>Feuil1!$B$14:$E$14</c:f>
              <c:numCache>
                <c:formatCode>#\ ##0_ ;\-#\ ##0\ </c:formatCode>
                <c:ptCount val="4"/>
                <c:pt idx="0">
                  <c:v>445</c:v>
                </c:pt>
                <c:pt idx="1">
                  <c:v>468</c:v>
                </c:pt>
                <c:pt idx="2">
                  <c:v>398</c:v>
                </c:pt>
                <c:pt idx="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D5-451A-A3EB-CFBEDC57A468}"/>
            </c:ext>
          </c:extLst>
        </c:ser>
        <c:ser>
          <c:idx val="4"/>
          <c:order val="4"/>
          <c:tx>
            <c:strRef>
              <c:f>Feuil1!$A$15</c:f>
              <c:strCache>
                <c:ptCount val="1"/>
                <c:pt idx="0">
                  <c:v>Nancy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Feuil1!$B$10:$E$10</c:f>
              <c:strCache>
                <c:ptCount val="4"/>
                <c:pt idx="0">
                  <c:v>Année 2015</c:v>
                </c:pt>
                <c:pt idx="1">
                  <c:v>Année 2016</c:v>
                </c:pt>
                <c:pt idx="2">
                  <c:v>Année 2017</c:v>
                </c:pt>
                <c:pt idx="3">
                  <c:v>Année 2018</c:v>
                </c:pt>
              </c:strCache>
            </c:strRef>
          </c:cat>
          <c:val>
            <c:numRef>
              <c:f>Feuil1!$B$15:$E$15</c:f>
              <c:numCache>
                <c:formatCode>#\ ##0_ ;\-#\ ##0\ </c:formatCode>
                <c:ptCount val="4"/>
                <c:pt idx="0">
                  <c:v>551</c:v>
                </c:pt>
                <c:pt idx="1">
                  <c:v>324</c:v>
                </c:pt>
                <c:pt idx="2">
                  <c:v>480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D5-451A-A3EB-CFBEDC57A4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91832592"/>
        <c:axId val="291834232"/>
        <c:axId val="0"/>
      </c:bar3DChart>
      <c:catAx>
        <c:axId val="29183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1834232"/>
        <c:crosses val="autoZero"/>
        <c:auto val="1"/>
        <c:lblAlgn val="ctr"/>
        <c:lblOffset val="100"/>
        <c:noMultiLvlLbl val="0"/>
      </c:catAx>
      <c:valAx>
        <c:axId val="29183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183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21</xdr:row>
      <xdr:rowOff>7937</xdr:rowOff>
    </xdr:from>
    <xdr:to>
      <xdr:col>5</xdr:col>
      <xdr:colOff>730250</xdr:colOff>
      <xdr:row>40</xdr:row>
      <xdr:rowOff>15875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CEF882-0F33-4242-9B0C-9EC8C9057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G19"/>
  <sheetViews>
    <sheetView tabSelected="1" zoomScale="120" zoomScaleNormal="120" zoomScaleSheetLayoutView="100" workbookViewId="0">
      <selection activeCell="B13" sqref="B13"/>
    </sheetView>
  </sheetViews>
  <sheetFormatPr baseColWidth="10" defaultRowHeight="12.75" x14ac:dyDescent="0.2"/>
  <cols>
    <col min="1" max="5" width="18" customWidth="1"/>
  </cols>
  <sheetData>
    <row r="3" spans="1:7" ht="18" x14ac:dyDescent="0.25">
      <c r="A3" s="1" t="s">
        <v>9</v>
      </c>
      <c r="B3" s="1"/>
      <c r="C3" s="1"/>
      <c r="D3" s="1"/>
      <c r="E3" s="1"/>
      <c r="F3" s="1"/>
      <c r="G3" s="1"/>
    </row>
    <row r="8" spans="1:7" x14ac:dyDescent="0.2">
      <c r="A8" s="2" t="s">
        <v>0</v>
      </c>
    </row>
    <row r="10" spans="1:7" s="4" customFormat="1" ht="22.5" customHeight="1" x14ac:dyDescent="0.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10</v>
      </c>
      <c r="G10" s="3" t="s">
        <v>16</v>
      </c>
    </row>
    <row r="11" spans="1:7" s="4" customFormat="1" ht="21.75" customHeight="1" x14ac:dyDescent="0.2">
      <c r="A11" s="9" t="s">
        <v>1</v>
      </c>
      <c r="B11" s="10">
        <v>500</v>
      </c>
      <c r="C11" s="10">
        <v>450</v>
      </c>
      <c r="D11" s="10">
        <v>487</v>
      </c>
      <c r="E11" s="10">
        <v>688</v>
      </c>
      <c r="F11" s="11">
        <f t="shared" ref="F11:F15" si="0">SUM(B11:E11)</f>
        <v>2125</v>
      </c>
      <c r="G11" s="7">
        <f t="shared" ref="G11:G16" si="1">F11/$F$16</f>
        <v>0.22780874785591768</v>
      </c>
    </row>
    <row r="12" spans="1:7" s="4" customFormat="1" ht="21.75" customHeight="1" x14ac:dyDescent="0.2">
      <c r="A12" s="9" t="s">
        <v>2</v>
      </c>
      <c r="B12" s="10">
        <v>458</v>
      </c>
      <c r="C12" s="10">
        <v>335</v>
      </c>
      <c r="D12" s="10">
        <v>553</v>
      </c>
      <c r="E12" s="10">
        <v>445</v>
      </c>
      <c r="F12" s="11">
        <f t="shared" si="0"/>
        <v>1791</v>
      </c>
      <c r="G12" s="7">
        <f t="shared" si="1"/>
        <v>0.19200257289879932</v>
      </c>
    </row>
    <row r="13" spans="1:7" s="4" customFormat="1" ht="21.75" customHeight="1" x14ac:dyDescent="0.2">
      <c r="A13" s="9" t="s">
        <v>3</v>
      </c>
      <c r="B13" s="10">
        <v>345</v>
      </c>
      <c r="C13" s="10">
        <v>358</v>
      </c>
      <c r="D13" s="10">
        <v>506</v>
      </c>
      <c r="E13" s="10">
        <v>410</v>
      </c>
      <c r="F13" s="11">
        <f t="shared" si="0"/>
        <v>1619</v>
      </c>
      <c r="G13" s="7">
        <f t="shared" si="1"/>
        <v>0.17356346483704974</v>
      </c>
    </row>
    <row r="14" spans="1:7" s="4" customFormat="1" ht="21.75" customHeight="1" x14ac:dyDescent="0.2">
      <c r="A14" s="9" t="s">
        <v>4</v>
      </c>
      <c r="B14" s="10">
        <v>445</v>
      </c>
      <c r="C14" s="10">
        <v>468</v>
      </c>
      <c r="D14" s="10">
        <v>398</v>
      </c>
      <c r="E14" s="10">
        <v>527</v>
      </c>
      <c r="F14" s="11">
        <f t="shared" si="0"/>
        <v>1838</v>
      </c>
      <c r="G14" s="7">
        <f t="shared" si="1"/>
        <v>0.19704116638078903</v>
      </c>
    </row>
    <row r="15" spans="1:7" s="4" customFormat="1" ht="21.75" customHeight="1" x14ac:dyDescent="0.2">
      <c r="A15" s="9" t="s">
        <v>5</v>
      </c>
      <c r="B15" s="10">
        <v>551</v>
      </c>
      <c r="C15" s="10">
        <v>324</v>
      </c>
      <c r="D15" s="10">
        <v>480</v>
      </c>
      <c r="E15" s="10">
        <v>600</v>
      </c>
      <c r="F15" s="11">
        <f t="shared" si="0"/>
        <v>1955</v>
      </c>
      <c r="G15" s="7">
        <f t="shared" si="1"/>
        <v>0.20958404802744426</v>
      </c>
    </row>
    <row r="16" spans="1:7" s="4" customFormat="1" ht="21.75" customHeight="1" x14ac:dyDescent="0.2">
      <c r="A16" s="6" t="s">
        <v>10</v>
      </c>
      <c r="B16" s="12">
        <f t="shared" ref="B16:F16" si="2">SUM(B11:B15)</f>
        <v>2299</v>
      </c>
      <c r="C16" s="12">
        <f t="shared" si="2"/>
        <v>1935</v>
      </c>
      <c r="D16" s="12">
        <f t="shared" si="2"/>
        <v>2424</v>
      </c>
      <c r="E16" s="12">
        <f t="shared" si="2"/>
        <v>2670</v>
      </c>
      <c r="F16" s="12">
        <f t="shared" si="2"/>
        <v>9328</v>
      </c>
      <c r="G16" s="8">
        <f t="shared" si="1"/>
        <v>1</v>
      </c>
    </row>
    <row r="17" spans="1:7" s="4" customFormat="1" ht="21.75" customHeight="1" x14ac:dyDescent="0.2">
      <c r="A17" s="6" t="s">
        <v>6</v>
      </c>
      <c r="B17" s="12">
        <f>MAX(B11:B15)</f>
        <v>551</v>
      </c>
      <c r="C17" s="12">
        <f t="shared" ref="C17:E17" si="3">MAX(C11:C15)</f>
        <v>468</v>
      </c>
      <c r="D17" s="12">
        <f t="shared" si="3"/>
        <v>553</v>
      </c>
      <c r="E17" s="12">
        <f t="shared" si="3"/>
        <v>688</v>
      </c>
      <c r="F17" s="13"/>
      <c r="G17" s="5"/>
    </row>
    <row r="18" spans="1:7" s="4" customFormat="1" ht="21.75" customHeight="1" x14ac:dyDescent="0.2">
      <c r="A18" s="6" t="s">
        <v>7</v>
      </c>
      <c r="B18" s="12">
        <f>MIN(B11:B15)</f>
        <v>345</v>
      </c>
      <c r="C18" s="12">
        <f t="shared" ref="C18:E18" si="4">MIN(C11:C15)</f>
        <v>324</v>
      </c>
      <c r="D18" s="12">
        <f t="shared" si="4"/>
        <v>398</v>
      </c>
      <c r="E18" s="12">
        <f t="shared" si="4"/>
        <v>410</v>
      </c>
      <c r="F18" s="13"/>
      <c r="G18" s="5"/>
    </row>
    <row r="19" spans="1:7" s="4" customFormat="1" ht="21.75" customHeight="1" x14ac:dyDescent="0.2">
      <c r="A19" s="6" t="s">
        <v>8</v>
      </c>
      <c r="B19" s="12">
        <f>AVERAGE(B11:B15)</f>
        <v>459.8</v>
      </c>
      <c r="C19" s="12">
        <f t="shared" ref="C19:E19" si="5">AVERAGE(C11:C15)</f>
        <v>387</v>
      </c>
      <c r="D19" s="12">
        <f t="shared" si="5"/>
        <v>484.8</v>
      </c>
      <c r="E19" s="12">
        <f t="shared" si="5"/>
        <v>534</v>
      </c>
      <c r="F19" s="13"/>
      <c r="G19" s="5"/>
    </row>
  </sheetData>
  <mergeCells count="1">
    <mergeCell ref="A3:G3"/>
  </mergeCells>
  <pageMargins left="0.74803149606299213" right="0.74803149606299213" top="0.98425196850393704" bottom="0.98425196850393704" header="0.51181102362204722" footer="0.51181102362204722"/>
  <pageSetup paperSize="9" scale="78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workbookViewId="0"/>
  </sheetViews>
  <sheetFormatPr baseColWidth="10" defaultRowHeight="12.75" x14ac:dyDescent="0.2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view="pageBreakPreview" workbookViewId="0"/>
  </sheetViews>
  <sheetFormatPr baseColWidth="10" defaultRowHeight="12.75" x14ac:dyDescent="0.2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Stagiaire</cp:lastModifiedBy>
  <cp:lastPrinted>2019-02-20T10:11:04Z</cp:lastPrinted>
  <dcterms:created xsi:type="dcterms:W3CDTF">2014-06-25T07:11:50Z</dcterms:created>
  <dcterms:modified xsi:type="dcterms:W3CDTF">2019-02-20T10:17:01Z</dcterms:modified>
</cp:coreProperties>
</file>