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WORD INITIATION DOLFI\"/>
    </mc:Choice>
  </mc:AlternateContent>
  <xr:revisionPtr revIDLastSave="0" documentId="13_ncr:1_{E830F9AF-E96D-4944-9C30-ECAFDDEC592A}" xr6:coauthVersionLast="37" xr6:coauthVersionMax="37" xr10:uidLastSave="{00000000-0000-0000-0000-000000000000}"/>
  <bookViews>
    <workbookView xWindow="390" yWindow="30" windowWidth="18375" windowHeight="7440" xr2:uid="{00000000-000D-0000-FFFF-FFFF00000000}"/>
  </bookViews>
  <sheets>
    <sheet name="voyage" sheetId="1" r:id="rId1"/>
  </sheets>
  <calcPr calcId="162913"/>
</workbook>
</file>

<file path=xl/calcChain.xml><?xml version="1.0" encoding="utf-8"?>
<calcChain xmlns="http://schemas.openxmlformats.org/spreadsheetml/2006/main">
  <c r="E13" i="1" l="1"/>
  <c r="B8" i="1"/>
  <c r="H13" i="1" l="1"/>
  <c r="I13" i="1" s="1"/>
  <c r="E17" i="1"/>
  <c r="H17" i="1" s="1"/>
  <c r="I17" i="1" s="1"/>
  <c r="E15" i="1"/>
  <c r="H15" i="1" s="1"/>
  <c r="I15" i="1" s="1"/>
  <c r="E14" i="1"/>
  <c r="H14" i="1" s="1"/>
  <c r="I14" i="1" s="1"/>
  <c r="E12" i="1"/>
  <c r="H12" i="1" s="1"/>
  <c r="I12" i="1" s="1"/>
  <c r="E16" i="1"/>
  <c r="H16" i="1" l="1"/>
  <c r="I16" i="1" s="1"/>
  <c r="I19" i="1" s="1"/>
</calcChain>
</file>

<file path=xl/sharedStrings.xml><?xml version="1.0" encoding="utf-8"?>
<sst xmlns="http://schemas.openxmlformats.org/spreadsheetml/2006/main" count="24" uniqueCount="23">
  <si>
    <t>TVA</t>
  </si>
  <si>
    <t xml:space="preserve">Dorado Club 3*   </t>
  </si>
  <si>
    <t>République Dominicaine</t>
  </si>
  <si>
    <t xml:space="preserve">Albatros Royal 2*  </t>
  </si>
  <si>
    <t>Mexique</t>
  </si>
  <si>
    <t>Pointe aux Biches 3* </t>
  </si>
  <si>
    <t>Maurice</t>
  </si>
  <si>
    <t>Argana 4*</t>
  </si>
  <si>
    <t>Maroc</t>
  </si>
  <si>
    <t>Othon Copacabana 3*  </t>
  </si>
  <si>
    <t>Brésil</t>
  </si>
  <si>
    <t>TTC</t>
  </si>
  <si>
    <t>Total</t>
  </si>
  <si>
    <t>Taxe 
Aéroport</t>
  </si>
  <si>
    <t>Sous Total</t>
  </si>
  <si>
    <t>Prix 9 jours 
7 nuits</t>
  </si>
  <si>
    <t>Hôtel</t>
  </si>
  <si>
    <t>Pays</t>
  </si>
  <si>
    <t>Nb
Personnes</t>
  </si>
  <si>
    <t>Assurance
 annulation</t>
  </si>
  <si>
    <t>TARIF AU :</t>
  </si>
  <si>
    <t>Congo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</si>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</sst>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5" formatCode="[$-F800]dddd\,\ mmmm\ dd\,\ yyyy"/>
    <numFmt numFmtId="167" formatCode="#,##0.00_ ;\-#,##0.00\ "/>
  </numFmts>
  <fonts count="4" x14ac:knownFonts="1">
    <font>
      <sz val="12"/>
      <name val="Comic Sans MS"/>
      <family val="4"/>
    </font>
    <font>
      <sz val="10"/>
      <name val="Arial"/>
      <family val="2"/>
    </font>
    <font>
      <sz val="12"/>
      <name val="Calibri"/>
      <family val="2"/>
    </font>
    <font>
      <sz val="12"/>
      <name val="Comic Sans MS"/>
      <family val="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65" fontId="2" fillId="0" borderId="0" xfId="0" applyNumberFormat="1" applyFont="1"/>
    <xf numFmtId="167" fontId="2" fillId="0" borderId="1" xfId="2" applyNumberFormat="1" applyFont="1" applyBorder="1" applyAlignment="1">
      <alignment vertical="center"/>
    </xf>
    <xf numFmtId="167" fontId="2" fillId="0" borderId="6" xfId="2" applyNumberFormat="1" applyFont="1" applyBorder="1" applyAlignment="1">
      <alignment vertical="center"/>
    </xf>
    <xf numFmtId="167" fontId="2" fillId="0" borderId="8" xfId="2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7" fontId="2" fillId="0" borderId="9" xfId="2" applyNumberFormat="1" applyFont="1" applyBorder="1" applyAlignment="1">
      <alignment vertical="center"/>
    </xf>
    <xf numFmtId="0" fontId="2" fillId="0" borderId="0" xfId="0" applyFont="1" applyBorder="1"/>
    <xf numFmtId="0" fontId="2" fillId="0" borderId="10" xfId="0" applyFont="1" applyBorder="1" applyAlignment="1">
      <alignment vertical="center"/>
    </xf>
    <xf numFmtId="9" fontId="2" fillId="0" borderId="11" xfId="0" applyNumberFormat="1" applyFont="1" applyBorder="1" applyAlignment="1">
      <alignment horizontal="left" vertical="center"/>
    </xf>
    <xf numFmtId="167" fontId="2" fillId="0" borderId="13" xfId="2" applyNumberFormat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</cellXfs>
  <cellStyles count="3">
    <cellStyle name="Euro" xfId="1" xr:uid="{00000000-0005-0000-0000-000000000000}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0</xdr:rowOff>
    </xdr:from>
    <xdr:to>
      <xdr:col>6</xdr:col>
      <xdr:colOff>57150</xdr:colOff>
      <xdr:row>4</xdr:row>
      <xdr:rowOff>47624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B1D33B40-54C1-4A7D-92C1-EBA396AF9E4F}"/>
            </a:ext>
          </a:extLst>
        </xdr:cNvPr>
        <xdr:cNvSpPr/>
      </xdr:nvSpPr>
      <xdr:spPr>
        <a:xfrm>
          <a:off x="3324225" y="0"/>
          <a:ext cx="3286125" cy="847724"/>
        </a:xfrm>
        <a:prstGeom prst="roundRect">
          <a:avLst>
            <a:gd name="adj" fmla="val 23395"/>
          </a:avLst>
        </a:prstGeom>
        <a:solidFill>
          <a:schemeClr val="accent6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VOYAGES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I178"/>
  <sheetViews>
    <sheetView tabSelected="1" zoomScaleNormal="100" workbookViewId="0">
      <selection activeCell="A9" sqref="A9"/>
    </sheetView>
  </sheetViews>
  <sheetFormatPr baseColWidth="10" defaultColWidth="8" defaultRowHeight="15.75" x14ac:dyDescent="0.25"/>
  <cols>
    <col min="1" max="1" width="19.69921875" style="1" customWidth="1"/>
    <col min="2" max="2" width="17" style="1" customWidth="1"/>
    <col min="3" max="3" width="9.296875" style="1" customWidth="1"/>
    <col min="4" max="9" width="8.5" style="1" customWidth="1"/>
    <col min="10" max="16384" width="8" style="1"/>
  </cols>
  <sheetData>
    <row r="8" spans="1:9" x14ac:dyDescent="0.25">
      <c r="A8" s="1" t="s">
        <v>20</v>
      </c>
      <c r="B8" s="8">
        <f ca="1">TODAY()</f>
        <v>43515</v>
      </c>
    </row>
    <row r="10" spans="1:9" ht="16.5" thickBot="1" x14ac:dyDescent="0.3"/>
    <row r="11" spans="1:9" s="14" customFormat="1" ht="51.75" customHeight="1" x14ac:dyDescent="0.4">
      <c r="A11" s="12" t="s">
        <v>17</v>
      </c>
      <c r="B11" s="2" t="s">
        <v>16</v>
      </c>
      <c r="C11" s="2" t="s">
        <v>15</v>
      </c>
      <c r="D11" s="2" t="s">
        <v>18</v>
      </c>
      <c r="E11" s="2" t="s">
        <v>14</v>
      </c>
      <c r="F11" s="2" t="s">
        <v>13</v>
      </c>
      <c r="G11" s="2" t="s">
        <v>19</v>
      </c>
      <c r="H11" s="2" t="s">
        <v>12</v>
      </c>
      <c r="I11" s="13" t="s">
        <v>11</v>
      </c>
    </row>
    <row r="12" spans="1:9" s="5" customFormat="1" ht="26.25" customHeight="1" x14ac:dyDescent="0.4">
      <c r="A12" s="3" t="s">
        <v>10</v>
      </c>
      <c r="B12" s="4" t="s">
        <v>9</v>
      </c>
      <c r="C12" s="9">
        <v>760</v>
      </c>
      <c r="D12" s="9">
        <v>7</v>
      </c>
      <c r="E12" s="9">
        <f>C12*D12</f>
        <v>5320</v>
      </c>
      <c r="F12" s="9">
        <v>22</v>
      </c>
      <c r="G12" s="9">
        <v>100</v>
      </c>
      <c r="H12" s="9">
        <f>E12+F12*D12+G12*D12</f>
        <v>6174</v>
      </c>
      <c r="I12" s="10">
        <f>H12*$B$20+H12</f>
        <v>7408.8</v>
      </c>
    </row>
    <row r="13" spans="1:9" s="5" customFormat="1" ht="26.25" customHeight="1" x14ac:dyDescent="0.4">
      <c r="A13" s="3" t="s">
        <v>21</v>
      </c>
      <c r="B13" s="4" t="s">
        <v>1</v>
      </c>
      <c r="C13" s="9">
        <v>1200</v>
      </c>
      <c r="D13" s="9">
        <v>6</v>
      </c>
      <c r="E13" s="9">
        <f>C13*D13</f>
        <v>7200</v>
      </c>
      <c r="F13" s="9">
        <v>20</v>
      </c>
      <c r="G13" s="9">
        <v>100</v>
      </c>
      <c r="H13" s="9">
        <f>E13+F13*D13+G13*D13</f>
        <v>7920</v>
      </c>
      <c r="I13" s="10">
        <f>H13*$B$20+H13</f>
        <v>9504</v>
      </c>
    </row>
    <row r="14" spans="1:9" s="5" customFormat="1" ht="26.25" customHeight="1" x14ac:dyDescent="0.4">
      <c r="A14" s="3" t="s">
        <v>8</v>
      </c>
      <c r="B14" s="4" t="s">
        <v>7</v>
      </c>
      <c r="C14" s="9">
        <v>340</v>
      </c>
      <c r="D14" s="9">
        <v>6</v>
      </c>
      <c r="E14" s="9">
        <f>C14*D14</f>
        <v>2040</v>
      </c>
      <c r="F14" s="9">
        <v>22</v>
      </c>
      <c r="G14" s="9">
        <v>100</v>
      </c>
      <c r="H14" s="9">
        <f>E14+F14*D14+G14*D14</f>
        <v>2772</v>
      </c>
      <c r="I14" s="10">
        <f>H14*$B$20+H14</f>
        <v>3326.4</v>
      </c>
    </row>
    <row r="15" spans="1:9" s="5" customFormat="1" ht="26.25" customHeight="1" x14ac:dyDescent="0.4">
      <c r="A15" s="3" t="s">
        <v>6</v>
      </c>
      <c r="B15" s="4" t="s">
        <v>5</v>
      </c>
      <c r="C15" s="9">
        <v>1025</v>
      </c>
      <c r="D15" s="9">
        <v>2</v>
      </c>
      <c r="E15" s="9">
        <f>C15*D15</f>
        <v>2050</v>
      </c>
      <c r="F15" s="9">
        <v>22</v>
      </c>
      <c r="G15" s="9">
        <v>100</v>
      </c>
      <c r="H15" s="9">
        <f>E15+F15*D15+G15*D15</f>
        <v>2294</v>
      </c>
      <c r="I15" s="10">
        <f>H15*$B$20+H15</f>
        <v>2752.8</v>
      </c>
    </row>
    <row r="16" spans="1:9" s="5" customFormat="1" ht="26.25" customHeight="1" x14ac:dyDescent="0.4">
      <c r="A16" s="3" t="s">
        <v>4</v>
      </c>
      <c r="B16" s="4" t="s">
        <v>3</v>
      </c>
      <c r="C16" s="9">
        <v>660</v>
      </c>
      <c r="D16" s="9">
        <v>2</v>
      </c>
      <c r="E16" s="9">
        <f>C16*D16</f>
        <v>1320</v>
      </c>
      <c r="F16" s="9">
        <v>15</v>
      </c>
      <c r="G16" s="9">
        <v>100</v>
      </c>
      <c r="H16" s="9">
        <f>E16+F16*D16+G16*D16</f>
        <v>1550</v>
      </c>
      <c r="I16" s="10">
        <f>H16*$B$20+H16</f>
        <v>1860</v>
      </c>
    </row>
    <row r="17" spans="1:9" s="5" customFormat="1" ht="26.25" customHeight="1" thickBot="1" x14ac:dyDescent="0.45">
      <c r="A17" s="6" t="s">
        <v>2</v>
      </c>
      <c r="B17" s="7" t="s">
        <v>1</v>
      </c>
      <c r="C17" s="11">
        <v>490</v>
      </c>
      <c r="D17" s="11">
        <v>4</v>
      </c>
      <c r="E17" s="11">
        <f>C17*D17</f>
        <v>1960</v>
      </c>
      <c r="F17" s="11">
        <v>20</v>
      </c>
      <c r="G17" s="11">
        <v>100</v>
      </c>
      <c r="H17" s="11">
        <f>E17+F17*D17+G17*D17</f>
        <v>2440</v>
      </c>
      <c r="I17" s="15">
        <f>H17*$B$20+H17</f>
        <v>2928</v>
      </c>
    </row>
    <row r="18" spans="1:9" ht="26.25" customHeight="1" thickBot="1" x14ac:dyDescent="0.3">
      <c r="A18" s="16"/>
      <c r="B18" s="16"/>
      <c r="C18" s="16"/>
      <c r="D18" s="16"/>
      <c r="E18" s="16"/>
      <c r="F18" s="16"/>
      <c r="G18" s="16"/>
      <c r="H18" s="16"/>
    </row>
    <row r="19" spans="1:9" ht="26.25" customHeight="1" thickBot="1" x14ac:dyDescent="0.3">
      <c r="A19" s="16"/>
      <c r="B19" s="16"/>
      <c r="H19" s="20" t="s">
        <v>22</v>
      </c>
      <c r="I19" s="19">
        <f>SUM(I12:I17)</f>
        <v>27780</v>
      </c>
    </row>
    <row r="20" spans="1:9" ht="26.25" customHeight="1" thickBot="1" x14ac:dyDescent="0.3">
      <c r="A20" s="17" t="s">
        <v>0</v>
      </c>
      <c r="B20" s="18">
        <v>0.2</v>
      </c>
      <c r="I20" s="16"/>
    </row>
    <row r="21" spans="1:9" ht="18" customHeight="1" x14ac:dyDescent="0.25"/>
    <row r="22" spans="1:9" ht="14.25" customHeight="1" x14ac:dyDescent="0.25"/>
    <row r="23" spans="1:9" ht="14.25" customHeight="1" x14ac:dyDescent="0.25"/>
    <row r="24" spans="1:9" ht="14.25" customHeight="1" x14ac:dyDescent="0.25"/>
    <row r="25" spans="1:9" ht="14.25" customHeight="1" x14ac:dyDescent="0.25"/>
    <row r="26" spans="1:9" ht="14.25" customHeight="1" x14ac:dyDescent="0.25"/>
    <row r="27" spans="1:9" ht="14.25" customHeight="1" x14ac:dyDescent="0.25"/>
    <row r="28" spans="1:9" ht="14.25" customHeight="1" x14ac:dyDescent="0.25"/>
    <row r="29" spans="1:9" ht="14.25" customHeight="1" x14ac:dyDescent="0.25"/>
    <row r="30" spans="1:9" ht="14.25" customHeight="1" x14ac:dyDescent="0.25"/>
    <row r="31" spans="1:9" ht="14.25" customHeight="1" x14ac:dyDescent="0.25"/>
    <row r="32" spans="1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</sheetData>
  <sortState ref="A12:I17">
    <sortCondition ref="A12:A17"/>
  </sortState>
  <printOptions horizontalCentered="1"/>
  <pageMargins left="0" right="0" top="0.98425196850393704" bottom="0.98425196850393704" header="0.51181102362204722" footer="0.5118110236220472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voyage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</dc:creator>
  <cp:lastModifiedBy>Stagiaire</cp:lastModifiedBy>
  <cp:lastPrinted>2019-02-19T14:01:40Z</cp:lastPrinted>
  <dcterms:created xsi:type="dcterms:W3CDTF">2014-09-24T07:30:46Z</dcterms:created>
  <dcterms:modified xsi:type="dcterms:W3CDTF">2019-02-19T14:05:17Z</dcterms:modified>
</cp:coreProperties>
</file>