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ORD INITIATION DOLFI\"/>
    </mc:Choice>
  </mc:AlternateContent>
  <xr:revisionPtr revIDLastSave="0" documentId="8_{4AA8FB89-7B27-461B-861C-AED471FF25BE}" xr6:coauthVersionLast="37" xr6:coauthVersionMax="37" xr10:uidLastSave="{00000000-0000-0000-0000-000000000000}"/>
  <bookViews>
    <workbookView xWindow="0" yWindow="0" windowWidth="28800" windowHeight="12225" activeTab="1" xr2:uid="{CBCFC982-A8A4-4066-918C-353FDE589380}"/>
  </bookViews>
  <sheets>
    <sheet name="ET MARTIN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2" l="1"/>
  <c r="B15" i="2"/>
  <c r="B14" i="2"/>
  <c r="B13" i="2"/>
  <c r="D11" i="2"/>
  <c r="B11" i="2"/>
  <c r="E10" i="2"/>
  <c r="F10" i="2" s="1"/>
  <c r="G10" i="2" s="1"/>
  <c r="E9" i="2"/>
  <c r="F9" i="2" s="1"/>
  <c r="G9" i="2" s="1"/>
  <c r="E8" i="2"/>
  <c r="F8" i="2" s="1"/>
  <c r="G8" i="2" s="1"/>
  <c r="E7" i="2"/>
  <c r="F7" i="2" s="1"/>
  <c r="G7" i="2" s="1"/>
  <c r="E6" i="2"/>
  <c r="F6" i="2" s="1"/>
  <c r="G6" i="2" s="1"/>
  <c r="E5" i="2"/>
  <c r="F5" i="2" s="1"/>
  <c r="G5" i="2" s="1"/>
  <c r="C11" i="1"/>
  <c r="D11" i="1"/>
  <c r="E11" i="1"/>
  <c r="B11" i="1"/>
  <c r="F9" i="1"/>
  <c r="F10" i="1"/>
  <c r="F8" i="1"/>
  <c r="E11" i="2" l="1"/>
  <c r="F11" i="1"/>
  <c r="F11" i="2" l="1"/>
  <c r="G11" i="2" s="1"/>
  <c r="H11" i="2" l="1"/>
  <c r="H10" i="2"/>
  <c r="H6" i="2"/>
  <c r="H9" i="2"/>
  <c r="H8" i="2"/>
  <c r="H7" i="2"/>
  <c r="H5" i="2"/>
</calcChain>
</file>

<file path=xl/sharedStrings.xml><?xml version="1.0" encoding="utf-8"?>
<sst xmlns="http://schemas.openxmlformats.org/spreadsheetml/2006/main" count="29" uniqueCount="29">
  <si>
    <t>FILIALES</t>
  </si>
  <si>
    <t>TRIMESTRE 1</t>
  </si>
  <si>
    <t>TRIMESTRE 2</t>
  </si>
  <si>
    <t>TRIMESTRE 3</t>
  </si>
  <si>
    <t>TRIMESTRE 4</t>
  </si>
  <si>
    <t>MOYENNE</t>
  </si>
  <si>
    <t>LYON</t>
  </si>
  <si>
    <t>PARIS</t>
  </si>
  <si>
    <t>BORDEAUX</t>
  </si>
  <si>
    <t>TOTAL</t>
  </si>
  <si>
    <t>LIBRAIRIE DE LA CITE</t>
  </si>
  <si>
    <t>VENTES</t>
  </si>
  <si>
    <t>JANVIER</t>
  </si>
  <si>
    <t>FÉVRIER</t>
  </si>
  <si>
    <t>MARS</t>
  </si>
  <si>
    <t>TOTAL HT</t>
  </si>
  <si>
    <t>MONTANT TVA</t>
  </si>
  <si>
    <t>TOTAL TTC</t>
  </si>
  <si>
    <t>% réalisé par catégorie</t>
  </si>
  <si>
    <t>Romans</t>
  </si>
  <si>
    <t>B.D.</t>
  </si>
  <si>
    <t>Nouvelles</t>
  </si>
  <si>
    <t>Science fiction</t>
  </si>
  <si>
    <t>Biographies</t>
  </si>
  <si>
    <t>Voyage</t>
  </si>
  <si>
    <t>TOTAL GENERAL</t>
  </si>
  <si>
    <t>Minimum janvier</t>
  </si>
  <si>
    <t>Maximum février</t>
  </si>
  <si>
    <t>Moyenne 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</si>
</sst>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165" fontId="2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10" fontId="6" fillId="0" borderId="0" xfId="0" applyNumberFormat="1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5" fontId="6" fillId="0" borderId="1" xfId="1" applyNumberFormat="1" applyFont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9" fontId="7" fillId="0" borderId="1" xfId="2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0" fontId="7" fillId="2" borderId="1" xfId="0" applyFont="1" applyFill="1" applyBorder="1" applyAlignment="1">
      <alignment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0</xdr:row>
      <xdr:rowOff>85726</xdr:rowOff>
    </xdr:from>
    <xdr:to>
      <xdr:col>4</xdr:col>
      <xdr:colOff>838200</xdr:colOff>
      <xdr:row>3</xdr:row>
      <xdr:rowOff>142876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89B00C53-D820-4AF3-A46C-B7E97B370E4F}"/>
            </a:ext>
          </a:extLst>
        </xdr:cNvPr>
        <xdr:cNvSpPr/>
      </xdr:nvSpPr>
      <xdr:spPr>
        <a:xfrm>
          <a:off x="1704975" y="85726"/>
          <a:ext cx="3362325" cy="6286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/>
            <a:t>ETABLISSEMENT</a:t>
          </a:r>
          <a:r>
            <a:rPr lang="fr-FR" sz="1400" baseline="0"/>
            <a:t> MARTIN</a:t>
          </a:r>
        </a:p>
        <a:p>
          <a:pPr algn="ctr"/>
          <a:r>
            <a:rPr lang="fr-FR" sz="1400" baseline="0"/>
            <a:t>Résultats des ventes toutes filiales</a:t>
          </a:r>
        </a:p>
      </xdr:txBody>
    </xdr:sp>
    <xdr:clientData/>
  </xdr:twoCellAnchor>
  <xdr:twoCellAnchor>
    <xdr:from>
      <xdr:col>3</xdr:col>
      <xdr:colOff>571500</xdr:colOff>
      <xdr:row>13</xdr:row>
      <xdr:rowOff>104775</xdr:rowOff>
    </xdr:from>
    <xdr:to>
      <xdr:col>5</xdr:col>
      <xdr:colOff>866775</xdr:colOff>
      <xdr:row>16</xdr:row>
      <xdr:rowOff>76200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9E64AF10-3981-4939-A9A5-5D2C2FB31868}"/>
            </a:ext>
          </a:extLst>
        </xdr:cNvPr>
        <xdr:cNvSpPr/>
      </xdr:nvSpPr>
      <xdr:spPr>
        <a:xfrm>
          <a:off x="3743325" y="3724275"/>
          <a:ext cx="2409825" cy="5429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tx1"/>
              </a:solidFill>
            </a:rPr>
            <a:t>Excellent résultat !!</a:t>
          </a:r>
        </a:p>
      </xdr:txBody>
    </xdr:sp>
    <xdr:clientData/>
  </xdr:twoCellAnchor>
  <xdr:twoCellAnchor>
    <xdr:from>
      <xdr:col>4</xdr:col>
      <xdr:colOff>514350</xdr:colOff>
      <xdr:row>10</xdr:row>
      <xdr:rowOff>304799</xdr:rowOff>
    </xdr:from>
    <xdr:to>
      <xdr:col>5</xdr:col>
      <xdr:colOff>352425</xdr:colOff>
      <xdr:row>13</xdr:row>
      <xdr:rowOff>104775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AA28D7F5-D8DA-4AA9-BEA1-BFF7F2B0D727}"/>
            </a:ext>
          </a:extLst>
        </xdr:cNvPr>
        <xdr:cNvCxnSpPr/>
      </xdr:nvCxnSpPr>
      <xdr:spPr>
        <a:xfrm flipV="1">
          <a:off x="4743450" y="3238499"/>
          <a:ext cx="895350" cy="48577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9</xdr:row>
      <xdr:rowOff>295275</xdr:rowOff>
    </xdr:from>
    <xdr:to>
      <xdr:col>6</xdr:col>
      <xdr:colOff>57150</xdr:colOff>
      <xdr:row>11</xdr:row>
      <xdr:rowOff>28575</xdr:rowOff>
    </xdr:to>
    <xdr:sp macro="" textlink="">
      <xdr:nvSpPr>
        <xdr:cNvPr id="7" name="Ellipse 6">
          <a:extLst>
            <a:ext uri="{FF2B5EF4-FFF2-40B4-BE49-F238E27FC236}">
              <a16:creationId xmlns:a16="http://schemas.microsoft.com/office/drawing/2014/main" id="{BC03EF30-D6E1-49FE-A0C4-E7D54874200A}"/>
            </a:ext>
          </a:extLst>
        </xdr:cNvPr>
        <xdr:cNvSpPr/>
      </xdr:nvSpPr>
      <xdr:spPr>
        <a:xfrm>
          <a:off x="5572125" y="2352675"/>
          <a:ext cx="828675" cy="3429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67A1-C0E1-4B7B-A8DC-E5355B546D90}">
  <dimension ref="A7:F11"/>
  <sheetViews>
    <sheetView workbookViewId="0">
      <selection activeCell="D7" sqref="D7"/>
    </sheetView>
  </sheetViews>
  <sheetFormatPr baseColWidth="10" defaultRowHeight="15" x14ac:dyDescent="0.25"/>
  <cols>
    <col min="1" max="6" width="15.85546875" customWidth="1"/>
  </cols>
  <sheetData>
    <row r="7" spans="1:6" s="1" customFormat="1" ht="24" customHeight="1" x14ac:dyDescent="0.25">
      <c r="A7" s="2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</row>
    <row r="8" spans="1:6" s="1" customFormat="1" ht="24" customHeight="1" x14ac:dyDescent="0.25">
      <c r="A8" s="5" t="s">
        <v>6</v>
      </c>
      <c r="B8" s="4">
        <v>8000</v>
      </c>
      <c r="C8" s="4">
        <v>9500</v>
      </c>
      <c r="D8" s="4">
        <v>9000</v>
      </c>
      <c r="E8" s="4">
        <v>8000</v>
      </c>
      <c r="F8" s="4">
        <f>AVERAGE(B8:E8)</f>
        <v>8625</v>
      </c>
    </row>
    <row r="9" spans="1:6" s="1" customFormat="1" ht="24" customHeight="1" x14ac:dyDescent="0.25">
      <c r="A9" s="5" t="s">
        <v>7</v>
      </c>
      <c r="B9" s="4">
        <v>10000</v>
      </c>
      <c r="C9" s="4">
        <v>8000</v>
      </c>
      <c r="D9" s="4">
        <v>7500</v>
      </c>
      <c r="E9" s="4">
        <v>7800</v>
      </c>
      <c r="F9" s="4">
        <f t="shared" ref="F9:F10" si="0">AVERAGE(B9:E9)</f>
        <v>8325</v>
      </c>
    </row>
    <row r="10" spans="1:6" s="1" customFormat="1" ht="24" customHeight="1" x14ac:dyDescent="0.25">
      <c r="A10" s="5" t="s">
        <v>8</v>
      </c>
      <c r="B10" s="4">
        <v>15000</v>
      </c>
      <c r="C10" s="4">
        <v>17000</v>
      </c>
      <c r="D10" s="4">
        <v>16000</v>
      </c>
      <c r="E10" s="4">
        <v>15500</v>
      </c>
      <c r="F10" s="4">
        <f t="shared" si="0"/>
        <v>15875</v>
      </c>
    </row>
    <row r="11" spans="1:6" s="1" customFormat="1" ht="24" customHeight="1" x14ac:dyDescent="0.25">
      <c r="A11" s="2" t="s">
        <v>9</v>
      </c>
      <c r="B11" s="4">
        <f>SUM(B8:B10)</f>
        <v>33000</v>
      </c>
      <c r="C11" s="4">
        <f t="shared" ref="C11:F11" si="1">SUM(C8:C10)</f>
        <v>34500</v>
      </c>
      <c r="D11" s="4">
        <f t="shared" si="1"/>
        <v>32500</v>
      </c>
      <c r="E11" s="4">
        <f t="shared" si="1"/>
        <v>31300</v>
      </c>
      <c r="F11" s="4">
        <f t="shared" si="1"/>
        <v>32825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71B4-6BD3-4CF8-924A-DE5A2D1701B1}">
  <dimension ref="A1:H15"/>
  <sheetViews>
    <sheetView tabSelected="1" workbookViewId="0">
      <selection activeCell="F19" sqref="F19"/>
    </sheetView>
  </sheetViews>
  <sheetFormatPr baseColWidth="10" defaultColWidth="13.85546875" defaultRowHeight="15" x14ac:dyDescent="0.25"/>
  <cols>
    <col min="1" max="1" width="27" customWidth="1"/>
    <col min="2" max="8" width="16.7109375" customWidth="1"/>
  </cols>
  <sheetData>
    <row r="1" spans="1:8" ht="18" x14ac:dyDescent="0.25">
      <c r="A1" s="6" t="s">
        <v>10</v>
      </c>
      <c r="B1" s="6"/>
      <c r="C1" s="6"/>
      <c r="D1" s="6"/>
      <c r="E1" s="6"/>
      <c r="F1" s="6"/>
      <c r="G1" s="6"/>
      <c r="H1" s="6"/>
    </row>
    <row r="2" spans="1:8" ht="15.75" x14ac:dyDescent="0.25">
      <c r="A2" s="7"/>
      <c r="B2" s="7"/>
      <c r="C2" s="7"/>
      <c r="D2" s="7"/>
      <c r="E2" s="7"/>
      <c r="F2" s="8">
        <v>5.5E-2</v>
      </c>
      <c r="G2" s="7"/>
      <c r="H2" s="7"/>
    </row>
    <row r="3" spans="1:8" ht="15.75" x14ac:dyDescent="0.25">
      <c r="A3" s="7"/>
      <c r="B3" s="7"/>
      <c r="C3" s="7"/>
      <c r="D3" s="7"/>
      <c r="E3" s="7"/>
      <c r="F3" s="7"/>
      <c r="G3" s="7"/>
      <c r="H3" s="7"/>
    </row>
    <row r="4" spans="1:8" ht="47.25" x14ac:dyDescent="0.25">
      <c r="A4" s="9" t="s">
        <v>11</v>
      </c>
      <c r="B4" s="9" t="s">
        <v>12</v>
      </c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</row>
    <row r="5" spans="1:8" ht="29.25" customHeight="1" x14ac:dyDescent="0.25">
      <c r="A5" s="10" t="s">
        <v>19</v>
      </c>
      <c r="B5" s="11">
        <v>1906</v>
      </c>
      <c r="C5" s="11">
        <v>1677</v>
      </c>
      <c r="D5" s="11">
        <v>2211</v>
      </c>
      <c r="E5" s="12">
        <f t="shared" ref="E5:E10" si="0">SUM(B5:D5)</f>
        <v>5794</v>
      </c>
      <c r="F5" s="12">
        <f>E5*$F$2</f>
        <v>318.67</v>
      </c>
      <c r="G5" s="12">
        <f>E5+F5</f>
        <v>6112.67</v>
      </c>
      <c r="H5" s="13">
        <f>G5/$G$11</f>
        <v>0.11779774732647501</v>
      </c>
    </row>
    <row r="6" spans="1:8" ht="29.25" customHeight="1" x14ac:dyDescent="0.25">
      <c r="A6" s="10" t="s">
        <v>20</v>
      </c>
      <c r="B6" s="11">
        <v>3506</v>
      </c>
      <c r="C6" s="11">
        <v>2592</v>
      </c>
      <c r="D6" s="11">
        <v>3506</v>
      </c>
      <c r="E6" s="12">
        <f t="shared" si="0"/>
        <v>9604</v>
      </c>
      <c r="F6" s="12">
        <f>E6*$F$2</f>
        <v>528.22</v>
      </c>
      <c r="G6" s="12">
        <f t="shared" ref="G6:G11" si="1">E6+F6</f>
        <v>10132.219999999999</v>
      </c>
      <c r="H6" s="13">
        <f t="shared" ref="H6:H11" si="2">G6/$G$11</f>
        <v>0.19525881348351154</v>
      </c>
    </row>
    <row r="7" spans="1:8" ht="29.25" customHeight="1" x14ac:dyDescent="0.25">
      <c r="A7" s="10" t="s">
        <v>21</v>
      </c>
      <c r="B7" s="11">
        <v>3003</v>
      </c>
      <c r="C7" s="11">
        <v>2858</v>
      </c>
      <c r="D7" s="11">
        <v>2897</v>
      </c>
      <c r="E7" s="12">
        <f t="shared" si="0"/>
        <v>8758</v>
      </c>
      <c r="F7" s="12">
        <f>E7*$F$2</f>
        <v>481.69</v>
      </c>
      <c r="G7" s="12">
        <f t="shared" si="1"/>
        <v>9239.69</v>
      </c>
      <c r="H7" s="13">
        <f t="shared" si="2"/>
        <v>0.17805879721872078</v>
      </c>
    </row>
    <row r="8" spans="1:8" ht="29.25" customHeight="1" x14ac:dyDescent="0.25">
      <c r="A8" s="10" t="s">
        <v>22</v>
      </c>
      <c r="B8" s="11">
        <v>2508</v>
      </c>
      <c r="C8" s="11">
        <v>2381</v>
      </c>
      <c r="D8" s="11">
        <v>2558</v>
      </c>
      <c r="E8" s="12">
        <f t="shared" si="0"/>
        <v>7447</v>
      </c>
      <c r="F8" s="12">
        <f>E8*$F$2</f>
        <v>409.58499999999998</v>
      </c>
      <c r="G8" s="12">
        <f t="shared" si="1"/>
        <v>7856.585</v>
      </c>
      <c r="H8" s="13">
        <f t="shared" si="2"/>
        <v>0.15140487130484284</v>
      </c>
    </row>
    <row r="9" spans="1:8" ht="29.25" customHeight="1" x14ac:dyDescent="0.25">
      <c r="A9" s="10" t="s">
        <v>23</v>
      </c>
      <c r="B9" s="11">
        <v>3201</v>
      </c>
      <c r="C9" s="11">
        <v>3009</v>
      </c>
      <c r="D9" s="11">
        <v>3598</v>
      </c>
      <c r="E9" s="12">
        <f t="shared" si="0"/>
        <v>9808</v>
      </c>
      <c r="F9" s="12">
        <f>E9*$F$2</f>
        <v>539.44000000000005</v>
      </c>
      <c r="G9" s="12">
        <f t="shared" si="1"/>
        <v>10347.44</v>
      </c>
      <c r="H9" s="13">
        <f t="shared" si="2"/>
        <v>0.1994063351360143</v>
      </c>
    </row>
    <row r="10" spans="1:8" ht="29.25" customHeight="1" x14ac:dyDescent="0.25">
      <c r="A10" s="10" t="s">
        <v>24</v>
      </c>
      <c r="B10" s="11">
        <v>2439</v>
      </c>
      <c r="C10" s="11">
        <v>2592</v>
      </c>
      <c r="D10" s="11">
        <v>2744</v>
      </c>
      <c r="E10" s="12">
        <f t="shared" si="0"/>
        <v>7775</v>
      </c>
      <c r="F10" s="12">
        <f>E10*$F$2</f>
        <v>427.625</v>
      </c>
      <c r="G10" s="12">
        <f t="shared" si="1"/>
        <v>8202.625</v>
      </c>
      <c r="H10" s="13">
        <f t="shared" si="2"/>
        <v>0.15807343553043549</v>
      </c>
    </row>
    <row r="11" spans="1:8" ht="29.25" customHeight="1" x14ac:dyDescent="0.25">
      <c r="A11" s="10" t="s">
        <v>25</v>
      </c>
      <c r="B11" s="12">
        <f t="shared" ref="B11:E11" si="3">SUM(B5:B10)</f>
        <v>16563</v>
      </c>
      <c r="C11" s="12">
        <f>SUM(C5:C10)</f>
        <v>15109</v>
      </c>
      <c r="D11" s="12">
        <f t="shared" si="3"/>
        <v>17514</v>
      </c>
      <c r="E11" s="12">
        <f t="shared" si="3"/>
        <v>49186</v>
      </c>
      <c r="F11" s="12">
        <f>E11*$F$2</f>
        <v>2705.23</v>
      </c>
      <c r="G11" s="12">
        <f t="shared" si="1"/>
        <v>51891.23</v>
      </c>
      <c r="H11" s="13">
        <f t="shared" si="2"/>
        <v>1</v>
      </c>
    </row>
    <row r="12" spans="1:8" ht="29.2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29.25" customHeight="1" x14ac:dyDescent="0.25">
      <c r="A13" s="15" t="s">
        <v>26</v>
      </c>
      <c r="B13" s="14">
        <f>MIN(B5:B10)</f>
        <v>1906</v>
      </c>
      <c r="C13" s="7"/>
      <c r="D13" s="7"/>
      <c r="E13" s="7"/>
      <c r="F13" s="7"/>
      <c r="G13" s="7"/>
      <c r="H13" s="7"/>
    </row>
    <row r="14" spans="1:8" ht="29.25" customHeight="1" x14ac:dyDescent="0.25">
      <c r="A14" s="15" t="s">
        <v>27</v>
      </c>
      <c r="B14" s="14">
        <f>MAX(C5:C10)</f>
        <v>3009</v>
      </c>
      <c r="C14" s="7"/>
      <c r="D14" s="7"/>
      <c r="E14" s="7"/>
      <c r="F14" s="7"/>
      <c r="G14" s="7"/>
      <c r="H14" s="7"/>
    </row>
    <row r="15" spans="1:8" ht="29.25" customHeight="1" x14ac:dyDescent="0.25">
      <c r="A15" s="15" t="s">
        <v>28</v>
      </c>
      <c r="B15" s="14">
        <f>AVERAGE(D5:D10)</f>
        <v>2919</v>
      </c>
      <c r="C15" s="7"/>
      <c r="D15" s="7"/>
      <c r="E15" s="7"/>
      <c r="F15" s="7"/>
      <c r="G15" s="7"/>
      <c r="H15" s="7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ET MARTIN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Stagiaire</cp:lastModifiedBy>
  <cp:lastPrinted>2019-02-20T14:40:57Z</cp:lastPrinted>
  <dcterms:created xsi:type="dcterms:W3CDTF">2019-02-20T14:21:15Z</dcterms:created>
  <dcterms:modified xsi:type="dcterms:W3CDTF">2019-02-20T15:42:36Z</dcterms:modified>
</cp:coreProperties>
</file>