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8BE2F28-A01D-439D-9B19-B62D1EDF1996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TCD1" sheetId="2" r:id="rId1"/>
    <sheet name="TCD2" sheetId="3" r:id="rId2"/>
    <sheet name="TCD3" sheetId="4" r:id="rId3"/>
    <sheet name="Feuil4" sheetId="5" r:id="rId4"/>
    <sheet name="bdd Cave" sheetId="1" r:id="rId5"/>
  </sheets>
  <externalReferences>
    <externalReference r:id="rId6"/>
  </externalReferences>
  <definedNames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NOTE">'[1]NOTES (2)'!$A$1:$H$5</definedName>
  </definedNames>
  <calcPr calcId="18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22" i="1" l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<sst xmlns="http://schemas.openxmlformats.org/spreadsheetml/2006/main" count="150" uniqueCount="52">
  <si>
    <t>Nom</t>
  </si>
  <si>
    <t>Pays</t>
  </si>
  <si>
    <t>Région</t>
  </si>
  <si>
    <t>Couleur</t>
  </si>
  <si>
    <t>Millésime</t>
  </si>
  <si>
    <t>Stock</t>
  </si>
  <si>
    <t>Stock mini</t>
  </si>
  <si>
    <t>Prix</t>
  </si>
  <si>
    <t>Valeur</t>
  </si>
  <si>
    <t>RETOUR MENU</t>
  </si>
  <si>
    <t>Ravello</t>
  </si>
  <si>
    <t>Italie</t>
  </si>
  <si>
    <t>Salerno</t>
  </si>
  <si>
    <t>rosé</t>
  </si>
  <si>
    <t>Ortenau</t>
  </si>
  <si>
    <t>Allemagne</t>
  </si>
  <si>
    <t>Baden</t>
  </si>
  <si>
    <t>rouge</t>
  </si>
  <si>
    <t>Médoc</t>
  </si>
  <si>
    <t>France</t>
  </si>
  <si>
    <t>Bordeaux</t>
  </si>
  <si>
    <t>Madiran</t>
  </si>
  <si>
    <t>Beaujolais</t>
  </si>
  <si>
    <t>Bourgogne</t>
  </si>
  <si>
    <t>Freisa</t>
  </si>
  <si>
    <t>Piémont</t>
  </si>
  <si>
    <t>Grignolino</t>
  </si>
  <si>
    <t>Barolo</t>
  </si>
  <si>
    <t>Chianti</t>
  </si>
  <si>
    <t>Toscane</t>
  </si>
  <si>
    <t>Brolio</t>
  </si>
  <si>
    <t>Valpolicella</t>
  </si>
  <si>
    <t>Vérone</t>
  </si>
  <si>
    <t>Riesling</t>
  </si>
  <si>
    <t>Moselle</t>
  </si>
  <si>
    <t>blanc</t>
  </si>
  <si>
    <t>Müller-Turgau</t>
  </si>
  <si>
    <t>Silvaner</t>
  </si>
  <si>
    <t>Rhin</t>
  </si>
  <si>
    <t>Oppenheimer</t>
  </si>
  <si>
    <t>Sauternes</t>
  </si>
  <si>
    <t>Chablis</t>
  </si>
  <si>
    <t>Frascati</t>
  </si>
  <si>
    <t>Rome</t>
  </si>
  <si>
    <t>Soave</t>
  </si>
  <si>
    <t>Étiquettes de lignes</t>
  </si>
  <si>
    <t>Total général</t>
  </si>
  <si>
    <t>Étiquettes de colonnes</t>
  </si>
  <si>
    <t>Somme de Valeur</t>
  </si>
  <si>
    <t>Somme de Stock</t>
  </si>
  <si>
    <t>Moyenne de Prix</t>
  </si>
  <si>
    <t>Nombre de 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</si>
</sst>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-40C]_-;\-* #,##0.00\ [$€-40C]_-;_-* &quot;-&quot;??\ [$€-40C]_-;_-@_-"/>
    <numFmt numFmtId="167" formatCode="_-* #,##0.00\ [$€]_-;\-* #,##0.00\ [$€]_-;_-* &quot;-&quot;??\ [$€]_-;_-@_-"/>
    <numFmt numFmtId="168" formatCode="_-* #,##0.00\ _F_-;\-* #,##0.00\ _F_-;_-* &quot;-&quot;??\ _F_-;_-@_-"/>
    <numFmt numFmtId="169" formatCode="_-* #,##0.00\ &quot;F&quot;_-;\-* #,##0.00\ &quot;F&quot;_-;_-* &quot;-&quot;??\ &quot;F&quot;_-;_-@_-"/>
    <numFmt numFmtId="170" formatCode="_ * #,##0.00_)\ &quot;$&quot;_ ;_ * \(#,##0.00\)\ &quot;$&quot;_ ;_ * &quot;-&quot;??_)\ &quot;$&quot;_ ;_ @_ "/>
    <numFmt numFmtId="171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0"/>
      <name val="Arial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0" fillId="0" borderId="0"/>
    <xf numFmtId="0" fontId="11" fillId="8" borderId="1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71" fontId="11" fillId="8" borderId="4">
      <alignment horizontal="center"/>
    </xf>
    <xf numFmtId="0" fontId="13" fillId="9" borderId="5">
      <alignment horizontal="center"/>
    </xf>
    <xf numFmtId="0" fontId="14" fillId="10" borderId="0"/>
    <xf numFmtId="0" fontId="15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10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166" fontId="6" fillId="0" borderId="0" xfId="3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7" fillId="7" borderId="0" xfId="2" applyFill="1" applyAlignment="1" applyProtection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1">
    <cellStyle name="20 % - Accent1 2" xfId="4" xr:uid="{00000000-0005-0000-0000-000000000000}"/>
    <cellStyle name="Accent1 2" xfId="5" xr:uid="{00000000-0005-0000-0000-000001000000}"/>
    <cellStyle name="Accent2 2" xfId="6" xr:uid="{00000000-0005-0000-0000-000002000000}"/>
    <cellStyle name="Accent3 2" xfId="7" xr:uid="{00000000-0005-0000-0000-000003000000}"/>
    <cellStyle name="Dezimal [0]" xfId="8" xr:uid="{00000000-0005-0000-0000-000004000000}"/>
    <cellStyle name="Dezimal_Tabelle1" xfId="9" xr:uid="{00000000-0005-0000-0000-000005000000}"/>
    <cellStyle name="Euro" xfId="10" xr:uid="{00000000-0005-0000-0000-000006000000}"/>
    <cellStyle name="Euro 2" xfId="11" xr:uid="{00000000-0005-0000-0000-000007000000}"/>
    <cellStyle name="Euro 3" xfId="12" xr:uid="{00000000-0005-0000-0000-000008000000}"/>
    <cellStyle name="Excel Built-in Normal" xfId="13" xr:uid="{00000000-0005-0000-0000-000009000000}"/>
    <cellStyle name="Lien hypertexte" xfId="2" builtinId="8"/>
    <cellStyle name="ligne" xfId="14" xr:uid="{00000000-0005-0000-0000-00000B000000}"/>
    <cellStyle name="Milliers [0] 2" xfId="15" xr:uid="{00000000-0005-0000-0000-00000C000000}"/>
    <cellStyle name="Milliers 2" xfId="16" xr:uid="{00000000-0005-0000-0000-00000D000000}"/>
    <cellStyle name="Milliers 3" xfId="17" xr:uid="{00000000-0005-0000-0000-00000E000000}"/>
    <cellStyle name="Milliers 4" xfId="18" xr:uid="{00000000-0005-0000-0000-00000F000000}"/>
    <cellStyle name="Monétaire 2" xfId="19" xr:uid="{00000000-0005-0000-0000-000010000000}"/>
    <cellStyle name="Monétaire 2 2" xfId="20" xr:uid="{00000000-0005-0000-0000-000011000000}"/>
    <cellStyle name="Monétaire 3" xfId="3" xr:uid="{00000000-0005-0000-0000-000012000000}"/>
    <cellStyle name="Monétaire 4" xfId="21" xr:uid="{00000000-0005-0000-0000-000013000000}"/>
    <cellStyle name="Normal" xfId="0" builtinId="0"/>
    <cellStyle name="Normal 2" xfId="1" xr:uid="{00000000-0005-0000-0000-000015000000}"/>
    <cellStyle name="Normal 3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Pourcentage 2" xfId="27" xr:uid="{00000000-0005-0000-0000-00001B000000}"/>
    <cellStyle name="Pourcentage 3" xfId="28" xr:uid="{00000000-0005-0000-0000-00001C000000}"/>
    <cellStyle name="Pourcentage 4" xfId="29" xr:uid="{00000000-0005-0000-0000-00001D000000}"/>
    <cellStyle name="Satisfaisant 2" xfId="30" xr:uid="{00000000-0005-0000-0000-00001E000000}"/>
    <cellStyle name="Standard_Tabelle1" xfId="31" xr:uid="{00000000-0005-0000-0000-00001F000000}"/>
    <cellStyle name="Style 1" xfId="32" xr:uid="{00000000-0005-0000-0000-000020000000}"/>
    <cellStyle name="Summen" xfId="33" xr:uid="{00000000-0005-0000-0000-000021000000}"/>
    <cellStyle name="table" xfId="34" xr:uid="{00000000-0005-0000-0000-000022000000}"/>
    <cellStyle name="TITCOL" xfId="35" xr:uid="{00000000-0005-0000-0000-000023000000}"/>
    <cellStyle name="Titel" xfId="36" xr:uid="{00000000-0005-0000-0000-000024000000}"/>
    <cellStyle name="Untertitel" xfId="37" xr:uid="{00000000-0005-0000-0000-000025000000}"/>
    <cellStyle name="Währung [0]" xfId="38" xr:uid="{00000000-0005-0000-0000-000026000000}"/>
    <cellStyle name="Währung_Tabelle1" xfId="39" xr:uid="{00000000-0005-0000-0000-000027000000}"/>
    <cellStyle name="Zwischensummen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bert 7" refreshedDate="44183.675925347219" createdVersion="6" refreshedVersion="6" minRefreshableVersion="3" recordCount="21" xr:uid="{159446A4-4649-4F90-9345-31FFB7F184AB}">
  <cacheSource type="worksheet">
    <worksheetSource ref="A1:I22" sheet="bdd Cave"/>
  </cacheSource>
  <cacheFields count="9">
    <cacheField name="Nom" numFmtId="0">
      <sharedItems count="21">
        <s v="Ravello"/>
        <s v="Ortenau"/>
        <s v="Médoc"/>
        <s v="Madiran"/>
        <s v="Beaujolais"/>
        <s v="Freisa"/>
        <s v="Grignolino"/>
        <s v="Barolo"/>
        <s v="Chianti"/>
        <s v="Brolio"/>
        <s v="Valpolicella"/>
        <s v="Riesling"/>
        <s v="Müller-Turgau"/>
        <s v="Silvaner"/>
        <s v="Oppenheimer"/>
        <s v="Sauternes"/>
        <s v="Bordeaux"/>
        <s v="Bourgogne"/>
        <s v="Chablis"/>
        <s v="Frascati"/>
        <s v="Soave"/>
      </sharedItems>
    </cacheField>
    <cacheField name="Pays" numFmtId="0">
      <sharedItems count="3">
        <s v="Italie"/>
        <s v="Allemagne"/>
        <s v="France"/>
      </sharedItems>
    </cacheField>
    <cacheField name="Région" numFmtId="0">
      <sharedItems/>
    </cacheField>
    <cacheField name="Couleur" numFmtId="0">
      <sharedItems count="3">
        <s v="rosé"/>
        <s v="rouge"/>
        <s v="blanc"/>
      </sharedItems>
    </cacheField>
    <cacheField name="Millésime" numFmtId="0">
      <sharedItems containsSemiMixedTypes="0" containsString="0" containsNumber="1" containsInteger="1" minValue="1991" maxValue="1993" count="3">
        <n v="1992"/>
        <n v="1993"/>
        <n v="1991"/>
      </sharedItems>
    </cacheField>
    <cacheField name="Stock" numFmtId="0">
      <sharedItems containsSemiMixedTypes="0" containsString="0" containsNumber="1" containsInteger="1" minValue="120" maxValue="340"/>
    </cacheField>
    <cacheField name="Stock mini" numFmtId="0">
      <sharedItems containsSemiMixedTypes="0" containsString="0" containsNumber="1" containsInteger="1" minValue="100" maxValue="300"/>
    </cacheField>
    <cacheField name="Prix" numFmtId="166">
      <sharedItems containsSemiMixedTypes="0" containsString="0" containsNumber="1" minValue="10.5" maxValue="35"/>
    </cacheField>
    <cacheField name="Valeur" numFmtId="0">
      <sharedItems containsSemiMixedTypes="0" containsString="0" containsNumber="1" minValue="1638" maxValue="8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s v="Salerno"/>
    <x v="0"/>
    <x v="0"/>
    <n v="200"/>
    <n v="150"/>
    <n v="20.65"/>
    <n v="4130"/>
  </r>
  <r>
    <x v="1"/>
    <x v="1"/>
    <s v="Baden"/>
    <x v="1"/>
    <x v="1"/>
    <n v="340"/>
    <n v="300"/>
    <n v="14"/>
    <n v="4760"/>
  </r>
  <r>
    <x v="2"/>
    <x v="2"/>
    <s v="Bordeaux"/>
    <x v="1"/>
    <x v="1"/>
    <n v="300"/>
    <n v="250"/>
    <n v="29"/>
    <n v="8700"/>
  </r>
  <r>
    <x v="3"/>
    <x v="2"/>
    <s v="Madiran"/>
    <x v="1"/>
    <x v="2"/>
    <n v="200"/>
    <n v="250"/>
    <n v="32"/>
    <n v="6400"/>
  </r>
  <r>
    <x v="4"/>
    <x v="2"/>
    <s v="Bourgogne"/>
    <x v="1"/>
    <x v="0"/>
    <n v="200"/>
    <n v="220"/>
    <n v="28"/>
    <n v="5600"/>
  </r>
  <r>
    <x v="5"/>
    <x v="0"/>
    <s v="Piémont"/>
    <x v="1"/>
    <x v="1"/>
    <n v="120"/>
    <n v="100"/>
    <n v="13.65"/>
    <n v="1638"/>
  </r>
  <r>
    <x v="6"/>
    <x v="0"/>
    <s v="Piémont"/>
    <x v="1"/>
    <x v="1"/>
    <n v="230"/>
    <n v="250"/>
    <n v="14.7"/>
    <n v="3381"/>
  </r>
  <r>
    <x v="7"/>
    <x v="0"/>
    <s v="Piémont"/>
    <x v="1"/>
    <x v="2"/>
    <n v="300"/>
    <n v="200"/>
    <n v="13.3"/>
    <n v="3990"/>
  </r>
  <r>
    <x v="8"/>
    <x v="0"/>
    <s v="Toscane"/>
    <x v="1"/>
    <x v="1"/>
    <n v="120"/>
    <n v="100"/>
    <n v="17.5"/>
    <n v="2100"/>
  </r>
  <r>
    <x v="9"/>
    <x v="0"/>
    <s v="Toscane"/>
    <x v="1"/>
    <x v="2"/>
    <n v="230"/>
    <n v="200"/>
    <n v="16.45"/>
    <n v="3783.5"/>
  </r>
  <r>
    <x v="10"/>
    <x v="0"/>
    <s v="Vérone"/>
    <x v="1"/>
    <x v="1"/>
    <n v="300"/>
    <n v="250"/>
    <n v="20.3"/>
    <n v="6090"/>
  </r>
  <r>
    <x v="11"/>
    <x v="1"/>
    <s v="Moselle"/>
    <x v="2"/>
    <x v="1"/>
    <n v="200"/>
    <n v="200"/>
    <n v="19"/>
    <n v="3800"/>
  </r>
  <r>
    <x v="12"/>
    <x v="1"/>
    <s v="Moselle"/>
    <x v="2"/>
    <x v="2"/>
    <n v="340"/>
    <n v="300"/>
    <n v="24"/>
    <n v="8160"/>
  </r>
  <r>
    <x v="13"/>
    <x v="1"/>
    <s v="Rhin"/>
    <x v="2"/>
    <x v="1"/>
    <n v="230"/>
    <n v="200"/>
    <n v="10.5"/>
    <n v="2415"/>
  </r>
  <r>
    <x v="14"/>
    <x v="1"/>
    <s v="Rhin"/>
    <x v="2"/>
    <x v="1"/>
    <n v="300"/>
    <n v="250"/>
    <n v="17.5"/>
    <n v="5250"/>
  </r>
  <r>
    <x v="15"/>
    <x v="2"/>
    <s v="Bordeaux"/>
    <x v="2"/>
    <x v="2"/>
    <n v="170"/>
    <n v="190"/>
    <n v="35"/>
    <n v="5950"/>
  </r>
  <r>
    <x v="16"/>
    <x v="2"/>
    <s v="Bordeaux"/>
    <x v="2"/>
    <x v="1"/>
    <n v="260"/>
    <n v="200"/>
    <n v="16.100000000000001"/>
    <n v="4186"/>
  </r>
  <r>
    <x v="17"/>
    <x v="2"/>
    <s v="Bourgogne"/>
    <x v="2"/>
    <x v="1"/>
    <n v="230"/>
    <n v="170"/>
    <n v="18.55"/>
    <n v="4266.5"/>
  </r>
  <r>
    <x v="18"/>
    <x v="2"/>
    <s v="Bourgogne"/>
    <x v="2"/>
    <x v="0"/>
    <n v="230"/>
    <n v="150"/>
    <n v="23.8"/>
    <n v="5474"/>
  </r>
  <r>
    <x v="19"/>
    <x v="0"/>
    <s v="Rome"/>
    <x v="2"/>
    <x v="1"/>
    <n v="230"/>
    <n v="280"/>
    <n v="13.3"/>
    <n v="3059"/>
  </r>
  <r>
    <x v="20"/>
    <x v="0"/>
    <s v="Vérone"/>
    <x v="2"/>
    <x v="1"/>
    <n v="170"/>
    <n v="200"/>
    <n v="13.65"/>
    <n v="232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1E6B6-31FB-409C-854F-3318F790F32A}" name="Tableau croisé dynamique1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E12" firstHeaderRow="1" firstDataRow="2" firstDataCol="1" rowPageCount="1" colPageCount="1"/>
  <pivotFields count="9">
    <pivotField axis="axisRow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  <pivotField axis="axisCol" showAll="0" sortType="ascending">
      <items count="4">
        <item x="2"/>
        <item x="0"/>
        <item x="1"/>
        <item t="default"/>
      </items>
    </pivotField>
    <pivotField showAll="0"/>
    <pivotField showAll="0"/>
    <pivotField numFmtId="166" showAll="0"/>
    <pivotField dataField="1" showAll="0"/>
  </pivotFields>
  <rowFields count="1">
    <field x="0"/>
  </rowFields>
  <rowItems count="8">
    <i>
      <x v="1"/>
    </i>
    <i>
      <x v="2"/>
    </i>
    <i>
      <x v="3"/>
    </i>
    <i>
      <x v="5"/>
    </i>
    <i>
      <x v="10"/>
    </i>
    <i>
      <x v="11"/>
    </i>
    <i>
      <x v="1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" item="1" hier="-1"/>
  </pageFields>
  <dataFields count="1">
    <dataField name="Somme de Valeur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57198-3030-42AD-8DCA-426CD70F12A1}" name="Tableau croisé dynamique2" cacheId="8" applyNumberFormats="0" applyBorderFormats="0" applyFontFormats="0" applyPatternFormats="0" applyAlignmentFormats="0" applyWidthHeightFormats="1" dataCaption="Valeurs" missingCaption="0" updatedVersion="6" minRefreshableVersion="3" useAutoFormatting="1" itemPrintTitles="1" createdVersion="6" indent="0" outline="1" outlineData="1" multipleFieldFilters="0">
  <location ref="A3:E15" firstHeaderRow="1" firstDataRow="2" firstDataCol="1" rowPageCount="1" colPageCount="1"/>
  <pivotFields count="9">
    <pivotField axis="axisRow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numFmtId="166" showAll="0"/>
    <pivotField showAll="0"/>
  </pivotFields>
  <rowFields count="1">
    <field x="0"/>
  </rowFields>
  <rowItems count="11">
    <i>
      <x/>
    </i>
    <i>
      <x v="1"/>
    </i>
    <i>
      <x v="4"/>
    </i>
    <i>
      <x v="6"/>
    </i>
    <i>
      <x v="8"/>
    </i>
    <i>
      <x v="9"/>
    </i>
    <i>
      <x v="10"/>
    </i>
    <i>
      <x v="11"/>
    </i>
    <i>
      <x v="14"/>
    </i>
    <i>
      <x v="2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item="2" hier="-1"/>
  </pageFields>
  <dataFields count="1">
    <dataField name="Somme de Stock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7A236-053A-4768-A171-F1091A34036E}" name="Tableau croisé dynamique3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compact="0" compactData="0" multipleFieldFilters="0">
  <location ref="A4:D12" firstHeaderRow="1" firstDataRow="2" firstDataCol="1" rowPageCount="2" colPageCount="1"/>
  <pivotFields count="9">
    <pivotField axis="axisRow" compact="0" outline="0" showAll="0">
      <items count="22">
        <item x="7"/>
        <item x="4"/>
        <item x="16"/>
        <item x="17"/>
        <item x="9"/>
        <item x="18"/>
        <item x="8"/>
        <item x="19"/>
        <item x="5"/>
        <item x="6"/>
        <item x="3"/>
        <item x="2"/>
        <item x="12"/>
        <item x="14"/>
        <item x="1"/>
        <item x="0"/>
        <item x="11"/>
        <item x="15"/>
        <item x="13"/>
        <item x="20"/>
        <item x="1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Page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dataField="1" compact="0" numFmtId="166" outline="0" showAll="0"/>
    <pivotField compact="0" outline="0" showAll="0"/>
  </pivotFields>
  <rowFields count="1">
    <field x="0"/>
  </rowFields>
  <rowItems count="7">
    <i>
      <x v="6"/>
    </i>
    <i>
      <x v="7"/>
    </i>
    <i>
      <x v="8"/>
    </i>
    <i>
      <x v="9"/>
    </i>
    <i>
      <x v="19"/>
    </i>
    <i>
      <x v="20"/>
    </i>
    <i t="grand">
      <x/>
    </i>
  </rowItems>
  <colFields count="1">
    <field x="3"/>
  </colFields>
  <colItems count="3">
    <i>
      <x/>
    </i>
    <i>
      <x v="2"/>
    </i>
    <i t="grand">
      <x/>
    </i>
  </colItems>
  <pageFields count="2">
    <pageField fld="1" item="2" hier="-1"/>
    <pageField fld="4" item="2" hier="-1"/>
  </pageFields>
  <dataFields count="1">
    <dataField name="Moyenne de Prix" fld="7" subtotal="average" baseField="0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A40BC-F3B9-4CB1-BCA8-5F107A23AC6F}" name="Tableau croisé dynamique4" cacheId="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7" firstHeaderRow="1" firstDataRow="1" firstDataCol="1"/>
  <pivotFields count="9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6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mbre de Valeur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6479-08AE-42AD-9F68-D44BA143E942}">
  <dimension ref="A1:E12"/>
  <sheetViews>
    <sheetView workbookViewId="0">
      <selection activeCell="B6" sqref="B6"/>
    </sheetView>
  </sheetViews>
  <sheetFormatPr baseColWidth="10" defaultRowHeight="15"/>
  <cols>
    <col min="1" max="1" width="21" bestFit="1" customWidth="1"/>
    <col min="2" max="2" width="23.85546875" bestFit="1" customWidth="1"/>
    <col min="3" max="3" width="6" bestFit="1" customWidth="1"/>
    <col min="4" max="4" width="8" bestFit="1" customWidth="1"/>
    <col min="5" max="5" width="12.5703125" bestFit="1" customWidth="1"/>
  </cols>
  <sheetData>
    <row r="1" spans="1:5">
      <c r="A1" s="7" t="s">
        <v>1</v>
      </c>
      <c r="B1" t="s">
        <v>19</v>
      </c>
    </row>
    <row r="3" spans="1:5">
      <c r="A3" s="7" t="s">
        <v>48</v>
      </c>
      <c r="B3" s="7" t="s">
        <v>47</v>
      </c>
    </row>
    <row r="4" spans="1:5">
      <c r="A4" s="7" t="s">
        <v>45</v>
      </c>
      <c r="B4">
        <v>1991</v>
      </c>
      <c r="C4">
        <v>1992</v>
      </c>
      <c r="D4">
        <v>1993</v>
      </c>
      <c r="E4" t="s">
        <v>46</v>
      </c>
    </row>
    <row r="5" spans="1:5">
      <c r="A5" s="8" t="s">
        <v>22</v>
      </c>
      <c r="B5" s="9"/>
      <c r="C5" s="9">
        <v>5600</v>
      </c>
      <c r="D5" s="9"/>
      <c r="E5" s="9">
        <v>5600</v>
      </c>
    </row>
    <row r="6" spans="1:5">
      <c r="A6" s="8" t="s">
        <v>20</v>
      </c>
      <c r="B6" s="9"/>
      <c r="C6" s="9"/>
      <c r="D6" s="9">
        <v>4186</v>
      </c>
      <c r="E6" s="9">
        <v>4186</v>
      </c>
    </row>
    <row r="7" spans="1:5">
      <c r="A7" s="8" t="s">
        <v>23</v>
      </c>
      <c r="B7" s="9"/>
      <c r="C7" s="9"/>
      <c r="D7" s="9">
        <v>4266.5</v>
      </c>
      <c r="E7" s="9">
        <v>4266.5</v>
      </c>
    </row>
    <row r="8" spans="1:5">
      <c r="A8" s="8" t="s">
        <v>41</v>
      </c>
      <c r="B8" s="9"/>
      <c r="C8" s="9">
        <v>5474</v>
      </c>
      <c r="D8" s="9"/>
      <c r="E8" s="9">
        <v>5474</v>
      </c>
    </row>
    <row r="9" spans="1:5">
      <c r="A9" s="8" t="s">
        <v>21</v>
      </c>
      <c r="B9" s="9">
        <v>6400</v>
      </c>
      <c r="C9" s="9"/>
      <c r="D9" s="9"/>
      <c r="E9" s="9">
        <v>6400</v>
      </c>
    </row>
    <row r="10" spans="1:5">
      <c r="A10" s="8" t="s">
        <v>18</v>
      </c>
      <c r="B10" s="9"/>
      <c r="C10" s="9"/>
      <c r="D10" s="9">
        <v>8700</v>
      </c>
      <c r="E10" s="9">
        <v>8700</v>
      </c>
    </row>
    <row r="11" spans="1:5">
      <c r="A11" s="8" t="s">
        <v>40</v>
      </c>
      <c r="B11" s="9">
        <v>5950</v>
      </c>
      <c r="C11" s="9"/>
      <c r="D11" s="9"/>
      <c r="E11" s="9">
        <v>5950</v>
      </c>
    </row>
    <row r="12" spans="1:5">
      <c r="A12" s="8" t="s">
        <v>46</v>
      </c>
      <c r="B12" s="9">
        <v>12350</v>
      </c>
      <c r="C12" s="9">
        <v>11074</v>
      </c>
      <c r="D12" s="9">
        <v>17152.5</v>
      </c>
      <c r="E12" s="9">
        <v>40576.5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8BA1-6908-4A11-889C-DAC7CBFBBF97}">
  <dimension ref="A1:E15"/>
  <sheetViews>
    <sheetView workbookViewId="0">
      <selection activeCell="F30" sqref="F30"/>
    </sheetView>
  </sheetViews>
  <sheetFormatPr baseColWidth="10" defaultRowHeight="15"/>
  <cols>
    <col min="1" max="1" width="21" bestFit="1" customWidth="1"/>
    <col min="2" max="2" width="23.85546875" bestFit="1" customWidth="1"/>
    <col min="3" max="3" width="6.85546875" bestFit="1" customWidth="1"/>
    <col min="4" max="4" width="5.5703125" bestFit="1" customWidth="1"/>
    <col min="5" max="5" width="12.5703125" bestFit="1" customWidth="1"/>
  </cols>
  <sheetData>
    <row r="1" spans="1:5">
      <c r="A1" s="7" t="s">
        <v>3</v>
      </c>
      <c r="B1" t="s">
        <v>17</v>
      </c>
    </row>
    <row r="3" spans="1:5">
      <c r="A3" s="7" t="s">
        <v>49</v>
      </c>
      <c r="B3" s="7" t="s">
        <v>47</v>
      </c>
    </row>
    <row r="4" spans="1:5">
      <c r="A4" s="7" t="s">
        <v>45</v>
      </c>
      <c r="B4" t="s">
        <v>15</v>
      </c>
      <c r="C4" t="s">
        <v>19</v>
      </c>
      <c r="D4" t="s">
        <v>11</v>
      </c>
      <c r="E4" t="s">
        <v>46</v>
      </c>
    </row>
    <row r="5" spans="1:5">
      <c r="A5" s="8" t="s">
        <v>27</v>
      </c>
      <c r="B5" s="9">
        <v>0</v>
      </c>
      <c r="C5" s="9">
        <v>0</v>
      </c>
      <c r="D5" s="9">
        <v>300</v>
      </c>
      <c r="E5" s="9">
        <v>300</v>
      </c>
    </row>
    <row r="6" spans="1:5">
      <c r="A6" s="8" t="s">
        <v>22</v>
      </c>
      <c r="B6" s="9">
        <v>0</v>
      </c>
      <c r="C6" s="9">
        <v>200</v>
      </c>
      <c r="D6" s="9">
        <v>0</v>
      </c>
      <c r="E6" s="9">
        <v>200</v>
      </c>
    </row>
    <row r="7" spans="1:5">
      <c r="A7" s="8" t="s">
        <v>30</v>
      </c>
      <c r="B7" s="9">
        <v>0</v>
      </c>
      <c r="C7" s="9">
        <v>0</v>
      </c>
      <c r="D7" s="9">
        <v>230</v>
      </c>
      <c r="E7" s="9">
        <v>230</v>
      </c>
    </row>
    <row r="8" spans="1:5">
      <c r="A8" s="8" t="s">
        <v>28</v>
      </c>
      <c r="B8" s="9">
        <v>0</v>
      </c>
      <c r="C8" s="9">
        <v>0</v>
      </c>
      <c r="D8" s="9">
        <v>120</v>
      </c>
      <c r="E8" s="9">
        <v>120</v>
      </c>
    </row>
    <row r="9" spans="1:5">
      <c r="A9" s="8" t="s">
        <v>24</v>
      </c>
      <c r="B9" s="9">
        <v>0</v>
      </c>
      <c r="C9" s="9">
        <v>0</v>
      </c>
      <c r="D9" s="9">
        <v>120</v>
      </c>
      <c r="E9" s="9">
        <v>120</v>
      </c>
    </row>
    <row r="10" spans="1:5">
      <c r="A10" s="8" t="s">
        <v>26</v>
      </c>
      <c r="B10" s="9">
        <v>0</v>
      </c>
      <c r="C10" s="9">
        <v>0</v>
      </c>
      <c r="D10" s="9">
        <v>230</v>
      </c>
      <c r="E10" s="9">
        <v>230</v>
      </c>
    </row>
    <row r="11" spans="1:5">
      <c r="A11" s="8" t="s">
        <v>21</v>
      </c>
      <c r="B11" s="9">
        <v>0</v>
      </c>
      <c r="C11" s="9">
        <v>200</v>
      </c>
      <c r="D11" s="9">
        <v>0</v>
      </c>
      <c r="E11" s="9">
        <v>200</v>
      </c>
    </row>
    <row r="12" spans="1:5">
      <c r="A12" s="8" t="s">
        <v>18</v>
      </c>
      <c r="B12" s="9">
        <v>0</v>
      </c>
      <c r="C12" s="9">
        <v>300</v>
      </c>
      <c r="D12" s="9">
        <v>0</v>
      </c>
      <c r="E12" s="9">
        <v>300</v>
      </c>
    </row>
    <row r="13" spans="1:5">
      <c r="A13" s="8" t="s">
        <v>14</v>
      </c>
      <c r="B13" s="9">
        <v>340</v>
      </c>
      <c r="C13" s="9">
        <v>0</v>
      </c>
      <c r="D13" s="9">
        <v>0</v>
      </c>
      <c r="E13" s="9">
        <v>340</v>
      </c>
    </row>
    <row r="14" spans="1:5">
      <c r="A14" s="8" t="s">
        <v>31</v>
      </c>
      <c r="B14" s="9">
        <v>0</v>
      </c>
      <c r="C14" s="9">
        <v>0</v>
      </c>
      <c r="D14" s="9">
        <v>300</v>
      </c>
      <c r="E14" s="9">
        <v>300</v>
      </c>
    </row>
    <row r="15" spans="1:5">
      <c r="A15" s="8" t="s">
        <v>46</v>
      </c>
      <c r="B15" s="9">
        <v>340</v>
      </c>
      <c r="C15" s="9">
        <v>700</v>
      </c>
      <c r="D15" s="9">
        <v>1300</v>
      </c>
      <c r="E15" s="9">
        <v>2340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E359-B249-44CA-B7B0-4FF51C44C5C0}">
  <dimension ref="A1:D12"/>
  <sheetViews>
    <sheetView tabSelected="1" workbookViewId="0"/>
  </sheetViews>
  <sheetFormatPr baseColWidth="10" defaultRowHeight="15"/>
  <cols>
    <col min="1" max="1" width="16.28515625" bestFit="1" customWidth="1"/>
    <col min="2" max="3" width="10.28515625" bestFit="1" customWidth="1"/>
    <col min="4" max="4" width="12.5703125" bestFit="1" customWidth="1"/>
  </cols>
  <sheetData>
    <row r="1" spans="1:4">
      <c r="A1" s="7" t="s">
        <v>1</v>
      </c>
      <c r="B1" t="s">
        <v>11</v>
      </c>
    </row>
    <row r="2" spans="1:4">
      <c r="A2" s="7" t="s">
        <v>4</v>
      </c>
      <c r="B2" s="8">
        <v>1993</v>
      </c>
    </row>
    <row r="4" spans="1:4">
      <c r="A4" s="7" t="s">
        <v>50</v>
      </c>
      <c r="B4" s="7" t="s">
        <v>3</v>
      </c>
    </row>
    <row r="5" spans="1:4">
      <c r="A5" s="7" t="s">
        <v>0</v>
      </c>
      <c r="B5" t="s">
        <v>35</v>
      </c>
      <c r="C5" t="s">
        <v>17</v>
      </c>
      <c r="D5" t="s">
        <v>46</v>
      </c>
    </row>
    <row r="6" spans="1:4">
      <c r="A6" t="s">
        <v>28</v>
      </c>
      <c r="B6" s="9"/>
      <c r="C6" s="9">
        <v>17.5</v>
      </c>
      <c r="D6" s="9">
        <v>17.5</v>
      </c>
    </row>
    <row r="7" spans="1:4">
      <c r="A7" t="s">
        <v>42</v>
      </c>
      <c r="B7" s="9">
        <v>13.3</v>
      </c>
      <c r="C7" s="9"/>
      <c r="D7" s="9">
        <v>13.3</v>
      </c>
    </row>
    <row r="8" spans="1:4">
      <c r="A8" t="s">
        <v>24</v>
      </c>
      <c r="B8" s="9"/>
      <c r="C8" s="9">
        <v>13.65</v>
      </c>
      <c r="D8" s="9">
        <v>13.65</v>
      </c>
    </row>
    <row r="9" spans="1:4">
      <c r="A9" t="s">
        <v>26</v>
      </c>
      <c r="B9" s="9"/>
      <c r="C9" s="9">
        <v>14.7</v>
      </c>
      <c r="D9" s="9">
        <v>14.7</v>
      </c>
    </row>
    <row r="10" spans="1:4">
      <c r="A10" t="s">
        <v>44</v>
      </c>
      <c r="B10" s="9">
        <v>13.65</v>
      </c>
      <c r="C10" s="9"/>
      <c r="D10" s="9">
        <v>13.65</v>
      </c>
    </row>
    <row r="11" spans="1:4">
      <c r="A11" t="s">
        <v>31</v>
      </c>
      <c r="B11" s="9"/>
      <c r="C11" s="9">
        <v>20.3</v>
      </c>
      <c r="D11" s="9">
        <v>20.3</v>
      </c>
    </row>
    <row r="12" spans="1:4">
      <c r="A12" t="s">
        <v>46</v>
      </c>
      <c r="B12" s="9">
        <v>13.475000000000001</v>
      </c>
      <c r="C12" s="9">
        <v>16.537499999999998</v>
      </c>
      <c r="D12" s="9">
        <v>15.516666666666667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D653-F6B6-4412-BEAC-E51216CCCBCE}">
  <dimension ref="A3:B7"/>
  <sheetViews>
    <sheetView workbookViewId="0">
      <selection activeCell="A5" sqref="A4:A6"/>
      <pivotSelection pane="bottomRight" showHeader="1" axis="axisRow" activeRow="4" previousRow="4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RowHeight="15"/>
  <cols>
    <col min="1" max="1" width="21" bestFit="1" customWidth="1"/>
    <col min="2" max="2" width="17.42578125" bestFit="1" customWidth="1"/>
  </cols>
  <sheetData>
    <row r="3" spans="1:2">
      <c r="A3" s="7" t="s">
        <v>45</v>
      </c>
      <c r="B3" t="s">
        <v>51</v>
      </c>
    </row>
    <row r="4" spans="1:2">
      <c r="A4" s="8" t="s">
        <v>15</v>
      </c>
      <c r="B4" s="9">
        <v>5</v>
      </c>
    </row>
    <row r="5" spans="1:2">
      <c r="A5" s="8" t="s">
        <v>19</v>
      </c>
      <c r="B5" s="9">
        <v>7</v>
      </c>
    </row>
    <row r="6" spans="1:2">
      <c r="A6" s="8" t="s">
        <v>11</v>
      </c>
      <c r="B6" s="9">
        <v>9</v>
      </c>
    </row>
    <row r="7" spans="1:2">
      <c r="A7" s="8" t="s">
        <v>46</v>
      </c>
      <c r="B7" s="9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22"/>
  <sheetViews>
    <sheetView workbookViewId="0">
      <selection activeCell="E6" sqref="E6"/>
    </sheetView>
  </sheetViews>
  <sheetFormatPr baseColWidth="10" defaultRowHeight="15"/>
  <cols>
    <col min="1" max="1" width="14.85546875" style="3" customWidth="1"/>
    <col min="2" max="2" width="11.85546875" style="3" customWidth="1"/>
    <col min="3" max="3" width="12.28515625" style="3" customWidth="1"/>
    <col min="4" max="4" width="10" style="3" customWidth="1"/>
    <col min="5" max="5" width="11.28515625" style="3" customWidth="1"/>
    <col min="6" max="6" width="7.5703125" style="3" customWidth="1"/>
    <col min="7" max="7" width="12.7109375" style="3" customWidth="1"/>
    <col min="8" max="8" width="10.28515625" style="3" bestFit="1" customWidth="1"/>
    <col min="9" max="9" width="12.140625" style="3" customWidth="1"/>
    <col min="10" max="16384" width="11.42578125" style="3"/>
  </cols>
  <sheetData>
    <row r="1" spans="1:15" s="2" customFormat="1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N1" s="6" t="s">
        <v>9</v>
      </c>
      <c r="O1" s="6"/>
    </row>
    <row r="2" spans="1:15" ht="20.100000000000001" customHeight="1">
      <c r="A2" s="3" t="s">
        <v>10</v>
      </c>
      <c r="B2" s="3" t="s">
        <v>11</v>
      </c>
      <c r="C2" s="3" t="s">
        <v>12</v>
      </c>
      <c r="D2" s="3" t="s">
        <v>13</v>
      </c>
      <c r="E2" s="3">
        <v>1992</v>
      </c>
      <c r="F2" s="3">
        <v>200</v>
      </c>
      <c r="G2" s="3">
        <v>150</v>
      </c>
      <c r="H2" s="4">
        <v>20.65</v>
      </c>
      <c r="I2" s="5">
        <f t="shared" ref="I2:I22" si="0">H2*F2</f>
        <v>4130</v>
      </c>
    </row>
    <row r="3" spans="1:15" ht="20.100000000000001" customHeight="1">
      <c r="A3" s="3" t="s">
        <v>14</v>
      </c>
      <c r="B3" s="3" t="s">
        <v>15</v>
      </c>
      <c r="C3" s="3" t="s">
        <v>16</v>
      </c>
      <c r="D3" s="3" t="s">
        <v>17</v>
      </c>
      <c r="E3" s="3">
        <v>1993</v>
      </c>
      <c r="F3" s="3">
        <v>340</v>
      </c>
      <c r="G3" s="3">
        <v>300</v>
      </c>
      <c r="H3" s="4">
        <v>14</v>
      </c>
      <c r="I3" s="5">
        <f t="shared" si="0"/>
        <v>4760</v>
      </c>
    </row>
    <row r="4" spans="1:15" ht="20.100000000000001" customHeight="1">
      <c r="A4" s="3" t="s">
        <v>18</v>
      </c>
      <c r="B4" s="3" t="s">
        <v>19</v>
      </c>
      <c r="C4" s="3" t="s">
        <v>20</v>
      </c>
      <c r="D4" s="3" t="s">
        <v>17</v>
      </c>
      <c r="E4" s="3">
        <v>1993</v>
      </c>
      <c r="F4" s="3">
        <v>300</v>
      </c>
      <c r="G4" s="3">
        <v>250</v>
      </c>
      <c r="H4" s="4">
        <v>29</v>
      </c>
      <c r="I4" s="5">
        <f t="shared" si="0"/>
        <v>8700</v>
      </c>
    </row>
    <row r="5" spans="1:15" ht="20.100000000000001" customHeight="1">
      <c r="A5" s="3" t="s">
        <v>21</v>
      </c>
      <c r="B5" s="3" t="s">
        <v>19</v>
      </c>
      <c r="C5" s="3" t="s">
        <v>21</v>
      </c>
      <c r="D5" s="3" t="s">
        <v>17</v>
      </c>
      <c r="E5" s="3">
        <v>1991</v>
      </c>
      <c r="F5" s="3">
        <v>200</v>
      </c>
      <c r="G5" s="3">
        <v>250</v>
      </c>
      <c r="H5" s="4">
        <v>32</v>
      </c>
      <c r="I5" s="5">
        <f t="shared" si="0"/>
        <v>6400</v>
      </c>
    </row>
    <row r="6" spans="1:15" ht="20.100000000000001" customHeight="1">
      <c r="A6" s="3" t="s">
        <v>22</v>
      </c>
      <c r="B6" s="3" t="s">
        <v>19</v>
      </c>
      <c r="C6" s="3" t="s">
        <v>23</v>
      </c>
      <c r="D6" s="3" t="s">
        <v>17</v>
      </c>
      <c r="E6" s="3">
        <v>1992</v>
      </c>
      <c r="F6" s="3">
        <v>200</v>
      </c>
      <c r="G6" s="3">
        <v>220</v>
      </c>
      <c r="H6" s="4">
        <v>28</v>
      </c>
      <c r="I6" s="5">
        <f t="shared" si="0"/>
        <v>5600</v>
      </c>
    </row>
    <row r="7" spans="1:15" ht="20.100000000000001" customHeight="1">
      <c r="A7" s="3" t="s">
        <v>24</v>
      </c>
      <c r="B7" s="3" t="s">
        <v>11</v>
      </c>
      <c r="C7" s="3" t="s">
        <v>25</v>
      </c>
      <c r="D7" s="3" t="s">
        <v>17</v>
      </c>
      <c r="E7" s="3">
        <v>1993</v>
      </c>
      <c r="F7" s="3">
        <v>120</v>
      </c>
      <c r="G7" s="3">
        <v>100</v>
      </c>
      <c r="H7" s="4">
        <v>13.65</v>
      </c>
      <c r="I7" s="5">
        <f t="shared" si="0"/>
        <v>1638</v>
      </c>
    </row>
    <row r="8" spans="1:15" ht="20.100000000000001" customHeight="1">
      <c r="A8" s="3" t="s">
        <v>26</v>
      </c>
      <c r="B8" s="3" t="s">
        <v>11</v>
      </c>
      <c r="C8" s="3" t="s">
        <v>25</v>
      </c>
      <c r="D8" s="3" t="s">
        <v>17</v>
      </c>
      <c r="E8" s="3">
        <v>1993</v>
      </c>
      <c r="F8" s="3">
        <v>230</v>
      </c>
      <c r="G8" s="3">
        <v>250</v>
      </c>
      <c r="H8" s="4">
        <v>14.7</v>
      </c>
      <c r="I8" s="5">
        <f t="shared" si="0"/>
        <v>3381</v>
      </c>
    </row>
    <row r="9" spans="1:15" ht="20.100000000000001" customHeight="1">
      <c r="A9" s="3" t="s">
        <v>27</v>
      </c>
      <c r="B9" s="3" t="s">
        <v>11</v>
      </c>
      <c r="C9" s="3" t="s">
        <v>25</v>
      </c>
      <c r="D9" s="3" t="s">
        <v>17</v>
      </c>
      <c r="E9" s="3">
        <v>1991</v>
      </c>
      <c r="F9" s="3">
        <v>300</v>
      </c>
      <c r="G9" s="3">
        <v>200</v>
      </c>
      <c r="H9" s="4">
        <v>13.3</v>
      </c>
      <c r="I9" s="5">
        <f t="shared" si="0"/>
        <v>3990</v>
      </c>
    </row>
    <row r="10" spans="1:15" ht="20.100000000000001" customHeight="1">
      <c r="A10" s="3" t="s">
        <v>28</v>
      </c>
      <c r="B10" s="3" t="s">
        <v>11</v>
      </c>
      <c r="C10" s="3" t="s">
        <v>29</v>
      </c>
      <c r="D10" s="3" t="s">
        <v>17</v>
      </c>
      <c r="E10" s="3">
        <v>1993</v>
      </c>
      <c r="F10" s="3">
        <v>120</v>
      </c>
      <c r="G10" s="3">
        <v>100</v>
      </c>
      <c r="H10" s="4">
        <v>17.5</v>
      </c>
      <c r="I10" s="5">
        <f t="shared" si="0"/>
        <v>2100</v>
      </c>
    </row>
    <row r="11" spans="1:15" ht="20.100000000000001" customHeight="1">
      <c r="A11" s="3" t="s">
        <v>30</v>
      </c>
      <c r="B11" s="3" t="s">
        <v>11</v>
      </c>
      <c r="C11" s="3" t="s">
        <v>29</v>
      </c>
      <c r="D11" s="3" t="s">
        <v>17</v>
      </c>
      <c r="E11" s="3">
        <v>1991</v>
      </c>
      <c r="F11" s="3">
        <v>230</v>
      </c>
      <c r="G11" s="3">
        <v>200</v>
      </c>
      <c r="H11" s="4">
        <v>16.45</v>
      </c>
      <c r="I11" s="5">
        <f t="shared" si="0"/>
        <v>3783.5</v>
      </c>
    </row>
    <row r="12" spans="1:15" ht="20.100000000000001" customHeight="1">
      <c r="A12" s="3" t="s">
        <v>31</v>
      </c>
      <c r="B12" s="3" t="s">
        <v>11</v>
      </c>
      <c r="C12" s="3" t="s">
        <v>32</v>
      </c>
      <c r="D12" s="3" t="s">
        <v>17</v>
      </c>
      <c r="E12" s="3">
        <v>1993</v>
      </c>
      <c r="F12" s="3">
        <v>300</v>
      </c>
      <c r="G12" s="3">
        <v>250</v>
      </c>
      <c r="H12" s="4">
        <v>20.3</v>
      </c>
      <c r="I12" s="5">
        <f t="shared" si="0"/>
        <v>6090</v>
      </c>
    </row>
    <row r="13" spans="1:15" ht="20.100000000000001" customHeight="1">
      <c r="A13" s="3" t="s">
        <v>33</v>
      </c>
      <c r="B13" s="3" t="s">
        <v>15</v>
      </c>
      <c r="C13" s="3" t="s">
        <v>34</v>
      </c>
      <c r="D13" s="3" t="s">
        <v>35</v>
      </c>
      <c r="E13" s="3">
        <v>1993</v>
      </c>
      <c r="F13" s="3">
        <v>200</v>
      </c>
      <c r="G13" s="3">
        <v>200</v>
      </c>
      <c r="H13" s="4">
        <v>19</v>
      </c>
      <c r="I13" s="5">
        <f t="shared" si="0"/>
        <v>3800</v>
      </c>
    </row>
    <row r="14" spans="1:15" ht="20.100000000000001" customHeight="1">
      <c r="A14" s="3" t="s">
        <v>36</v>
      </c>
      <c r="B14" s="3" t="s">
        <v>15</v>
      </c>
      <c r="C14" s="3" t="s">
        <v>34</v>
      </c>
      <c r="D14" s="3" t="s">
        <v>35</v>
      </c>
      <c r="E14" s="3">
        <v>1991</v>
      </c>
      <c r="F14" s="3">
        <v>340</v>
      </c>
      <c r="G14" s="3">
        <v>300</v>
      </c>
      <c r="H14" s="4">
        <v>24</v>
      </c>
      <c r="I14" s="5">
        <f t="shared" si="0"/>
        <v>8160</v>
      </c>
    </row>
    <row r="15" spans="1:15" ht="20.100000000000001" customHeight="1">
      <c r="A15" s="3" t="s">
        <v>37</v>
      </c>
      <c r="B15" s="3" t="s">
        <v>15</v>
      </c>
      <c r="C15" s="3" t="s">
        <v>38</v>
      </c>
      <c r="D15" s="3" t="s">
        <v>35</v>
      </c>
      <c r="E15" s="3">
        <v>1993</v>
      </c>
      <c r="F15" s="3">
        <v>230</v>
      </c>
      <c r="G15" s="3">
        <v>200</v>
      </c>
      <c r="H15" s="4">
        <v>10.5</v>
      </c>
      <c r="I15" s="5">
        <f t="shared" si="0"/>
        <v>2415</v>
      </c>
    </row>
    <row r="16" spans="1:15" ht="20.100000000000001" customHeight="1">
      <c r="A16" s="3" t="s">
        <v>39</v>
      </c>
      <c r="B16" s="3" t="s">
        <v>15</v>
      </c>
      <c r="C16" s="3" t="s">
        <v>38</v>
      </c>
      <c r="D16" s="3" t="s">
        <v>35</v>
      </c>
      <c r="E16" s="3">
        <v>1993</v>
      </c>
      <c r="F16" s="3">
        <v>300</v>
      </c>
      <c r="G16" s="3">
        <v>250</v>
      </c>
      <c r="H16" s="4">
        <v>17.5</v>
      </c>
      <c r="I16" s="5">
        <f t="shared" si="0"/>
        <v>5250</v>
      </c>
    </row>
    <row r="17" spans="1:9" ht="20.100000000000001" customHeight="1">
      <c r="A17" s="3" t="s">
        <v>40</v>
      </c>
      <c r="B17" s="3" t="s">
        <v>19</v>
      </c>
      <c r="C17" s="3" t="s">
        <v>20</v>
      </c>
      <c r="D17" s="3" t="s">
        <v>35</v>
      </c>
      <c r="E17" s="3">
        <v>1991</v>
      </c>
      <c r="F17" s="3">
        <v>170</v>
      </c>
      <c r="G17" s="3">
        <v>190</v>
      </c>
      <c r="H17" s="4">
        <v>35</v>
      </c>
      <c r="I17" s="5">
        <f t="shared" si="0"/>
        <v>5950</v>
      </c>
    </row>
    <row r="18" spans="1:9" ht="20.100000000000001" customHeight="1">
      <c r="A18" s="3" t="s">
        <v>20</v>
      </c>
      <c r="B18" s="3" t="s">
        <v>19</v>
      </c>
      <c r="C18" s="3" t="s">
        <v>20</v>
      </c>
      <c r="D18" s="3" t="s">
        <v>35</v>
      </c>
      <c r="E18" s="3">
        <v>1993</v>
      </c>
      <c r="F18" s="3">
        <v>260</v>
      </c>
      <c r="G18" s="3">
        <v>200</v>
      </c>
      <c r="H18" s="4">
        <v>16.100000000000001</v>
      </c>
      <c r="I18" s="5">
        <f t="shared" si="0"/>
        <v>4186</v>
      </c>
    </row>
    <row r="19" spans="1:9" ht="20.100000000000001" customHeight="1">
      <c r="A19" s="3" t="s">
        <v>23</v>
      </c>
      <c r="B19" s="3" t="s">
        <v>19</v>
      </c>
      <c r="C19" s="3" t="s">
        <v>23</v>
      </c>
      <c r="D19" s="3" t="s">
        <v>35</v>
      </c>
      <c r="E19" s="3">
        <v>1993</v>
      </c>
      <c r="F19" s="3">
        <v>230</v>
      </c>
      <c r="G19" s="3">
        <v>170</v>
      </c>
      <c r="H19" s="4">
        <v>18.55</v>
      </c>
      <c r="I19" s="5">
        <f t="shared" si="0"/>
        <v>4266.5</v>
      </c>
    </row>
    <row r="20" spans="1:9" ht="20.100000000000001" customHeight="1">
      <c r="A20" s="3" t="s">
        <v>41</v>
      </c>
      <c r="B20" s="3" t="s">
        <v>19</v>
      </c>
      <c r="C20" s="3" t="s">
        <v>23</v>
      </c>
      <c r="D20" s="3" t="s">
        <v>35</v>
      </c>
      <c r="E20" s="3">
        <v>1992</v>
      </c>
      <c r="F20" s="3">
        <v>230</v>
      </c>
      <c r="G20" s="3">
        <v>150</v>
      </c>
      <c r="H20" s="4">
        <v>23.8</v>
      </c>
      <c r="I20" s="5">
        <f t="shared" si="0"/>
        <v>5474</v>
      </c>
    </row>
    <row r="21" spans="1:9" ht="20.100000000000001" customHeight="1">
      <c r="A21" s="3" t="s">
        <v>42</v>
      </c>
      <c r="B21" s="3" t="s">
        <v>11</v>
      </c>
      <c r="C21" s="3" t="s">
        <v>43</v>
      </c>
      <c r="D21" s="3" t="s">
        <v>35</v>
      </c>
      <c r="E21" s="3">
        <v>1993</v>
      </c>
      <c r="F21" s="3">
        <v>230</v>
      </c>
      <c r="G21" s="3">
        <v>280</v>
      </c>
      <c r="H21" s="4">
        <v>13.3</v>
      </c>
      <c r="I21" s="5">
        <f t="shared" si="0"/>
        <v>3059</v>
      </c>
    </row>
    <row r="22" spans="1:9" ht="20.100000000000001" customHeight="1">
      <c r="A22" s="3" t="s">
        <v>44</v>
      </c>
      <c r="B22" s="3" t="s">
        <v>11</v>
      </c>
      <c r="C22" s="3" t="s">
        <v>32</v>
      </c>
      <c r="D22" s="3" t="s">
        <v>35</v>
      </c>
      <c r="E22" s="3">
        <v>1993</v>
      </c>
      <c r="F22" s="3">
        <v>170</v>
      </c>
      <c r="G22" s="3">
        <v>200</v>
      </c>
      <c r="H22" s="4">
        <v>13.65</v>
      </c>
      <c r="I22" s="5">
        <f t="shared" si="0"/>
        <v>2320.5</v>
      </c>
    </row>
  </sheetData>
  <mergeCells count="1">
    <mergeCell ref="N1:O1"/>
  </mergeCells>
  <hyperlinks>
    <hyperlink ref="N1:O1" location="MENU!A1" display="RETOUR MENU" xr:uid="{00000000-0004-0000-0000-000000000000}"/>
  </hyperlinks>
  <printOptions horizontalCentered="1" verticalCentered="1" gridLines="1" gridLinesSet="0"/>
  <pageMargins left="0.78740157480314965" right="0.78740157480314965" top="0.98425196850393704" bottom="0.98425196850393704" header="0.39370078740157483" footer="0.39370078740157483"/>
  <pageSetup paperSize="9" orientation="landscape" horizontalDpi="36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TCD1</vt:lpstr>
      <vt:lpstr>TCD2</vt:lpstr>
      <vt:lpstr>TCD3</vt:lpstr>
      <vt:lpstr>Feuil4</vt:lpstr>
      <vt:lpstr>bdd Cave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Aubert 7</cp:lastModifiedBy>
  <dcterms:created xsi:type="dcterms:W3CDTF">2013-06-20T13:09:28Z</dcterms:created>
  <dcterms:modified xsi:type="dcterms:W3CDTF">2020-12-18T15:37:07Z</dcterms:modified>
</cp:coreProperties>
</file>