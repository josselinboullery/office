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XL1 XL2\bdd\"/>
    </mc:Choice>
  </mc:AlternateContent>
  <xr:revisionPtr revIDLastSave="0" documentId="13_ncr:1_{EB992023-58EA-41CF-93F4-C4D6C3147A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dd commandes" sheetId="1" r:id="rId1"/>
  </sheets>
  <externalReferences>
    <externalReference r:id="rId2"/>
  </externalReferences>
  <definedNames>
    <definedName name="_xlnm._FilterDatabase" localSheetId="0" hidden="1">'bdd commandes'!$A$1:$H$50</definedName>
    <definedName name="CNE">'[1]ID ETUDIANT (2)'!$A$1:$E$5</definedName>
    <definedName name="_xlnm.Criteria" localSheetId="0">'bdd commandes'!$K$16:$P$17</definedName>
    <definedName name="cursource" hidden="1">#N/A</definedName>
    <definedName name="DATA">[1]BDLIRE!$A$3:$C$8</definedName>
    <definedName name="_xlnm.Print_Titles" localSheetId="0">'bdd commandes'!$1:$1</definedName>
    <definedName name="int_ext_sel" hidden="1">1</definedName>
    <definedName name="NOTE">'[1]NOTES (2)'!$A$1:$H$5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33" i="1" l="1"/>
  <c r="H18" i="1"/>
  <c r="H31" i="1"/>
  <c r="H11" i="1"/>
  <c r="H35" i="1"/>
  <c r="H9" i="1"/>
  <c r="H40" i="1"/>
  <c r="H2" i="1"/>
  <c r="H17" i="1"/>
  <c r="H28" i="1"/>
  <c r="H27" i="1"/>
  <c r="H44" i="1"/>
  <c r="H20" i="1"/>
  <c r="H29" i="1"/>
  <c r="H15" i="1"/>
  <c r="H43" i="1"/>
  <c r="H14" i="1"/>
  <c r="H16" i="1"/>
  <c r="H37" i="1"/>
  <c r="H4" i="1"/>
  <c r="H48" i="1"/>
  <c r="H47" i="1"/>
  <c r="H39" i="1"/>
  <c r="H12" i="1"/>
  <c r="H32" i="1"/>
  <c r="H24" i="1"/>
  <c r="H49" i="1"/>
  <c r="H41" i="1"/>
  <c r="H34" i="1"/>
  <c r="H22" i="1"/>
  <c r="H21" i="1"/>
  <c r="H46" i="1"/>
  <c r="H8" i="1"/>
  <c r="H50" i="1"/>
  <c r="H10" i="1"/>
  <c r="H25" i="1"/>
  <c r="H36" i="1"/>
  <c r="H19" i="1"/>
  <c r="H30" i="1"/>
  <c r="H45" i="1"/>
  <c r="H5" i="1"/>
  <c r="H3" i="1"/>
  <c r="H7" i="1"/>
  <c r="H26" i="1"/>
  <c r="H42" i="1"/>
  <c r="H38" i="1"/>
  <c r="H13" i="1"/>
  <c r="H23" i="1"/>
  <c r="H6" i="1"/>
</calcChain>
</file>

<file path=xl/sharedStrings.xml><?xml version="1.0" encoding="utf-8"?>
<sst xmlns="http://schemas.openxmlformats.org/spreadsheetml/2006/main" count="204" uniqueCount="35">
  <si>
    <t>DATE</t>
  </si>
  <si>
    <t>CLIENT</t>
  </si>
  <si>
    <t>SECTEUR</t>
  </si>
  <si>
    <t>PRODUIT</t>
  </si>
  <si>
    <t>PRIX</t>
  </si>
  <si>
    <t>QUANTITE</t>
  </si>
  <si>
    <t>MONTANT</t>
  </si>
  <si>
    <t>Martin</t>
  </si>
  <si>
    <t>Florus</t>
  </si>
  <si>
    <t>Centre</t>
  </si>
  <si>
    <t>Stylos</t>
  </si>
  <si>
    <t>Dupond</t>
  </si>
  <si>
    <t>Muse SA</t>
  </si>
  <si>
    <t>Nord</t>
  </si>
  <si>
    <t>Ifrane</t>
  </si>
  <si>
    <t>Ouest</t>
  </si>
  <si>
    <t>Dupuis</t>
  </si>
  <si>
    <t>Plein-nord</t>
  </si>
  <si>
    <t>Porte-clés</t>
  </si>
  <si>
    <t>Leveque</t>
  </si>
  <si>
    <t>Pubcité</t>
  </si>
  <si>
    <t>Sud</t>
  </si>
  <si>
    <t>Casquettes</t>
  </si>
  <si>
    <t>Balliard</t>
  </si>
  <si>
    <t>Nimbus</t>
  </si>
  <si>
    <t>Calculatrices</t>
  </si>
  <si>
    <t>Ball</t>
  </si>
  <si>
    <t>Montres</t>
  </si>
  <si>
    <t>Marrou</t>
  </si>
  <si>
    <t>Tardi</t>
  </si>
  <si>
    <t>Mar</t>
  </si>
  <si>
    <t>Calendriers</t>
  </si>
  <si>
    <t>Pellieux</t>
  </si>
  <si>
    <t>sieffert</t>
  </si>
  <si>
    <t>vendeurs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</si>
</sst>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-* #,##0.00\ [$€]_-;\-* #,##0.00\ [$€]_-;_-* &quot;-&quot;??\ [$€]_-;_-@_-"/>
    <numFmt numFmtId="167" formatCode="_-* #,##0.00\ _F_-;\-* #,##0.00\ _F_-;_-* &quot;-&quot;??\ _F_-;_-@_-"/>
    <numFmt numFmtId="168" formatCode="_-* #,##0.00\ &quot;F&quot;_-;\-* #,##0.00\ &quot;F&quot;_-;_-* &quot;-&quot;??\ &quot;F&quot;_-;_-@_-"/>
    <numFmt numFmtId="169" formatCode="_ * #,##0.00_)\ &quot;$&quot;_ ;_ * \(#,##0.00\)\ &quot;$&quot;_ ;_ * &quot;-&quot;??_)\ &quot;$&quot;_ ;_ @_ "/>
    <numFmt numFmtId="170" formatCode="0.0%"/>
  </numFmts>
  <fonts count="15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0">
    <xf numFmtId="0" fontId="0" fillId="0" borderId="0"/>
    <xf numFmtId="0" fontId="4" fillId="0" borderId="0"/>
    <xf numFmtId="0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7" fillId="0" borderId="0"/>
    <xf numFmtId="0" fontId="8" fillId="7" borderId="1"/>
    <xf numFmtId="164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2" borderId="0" applyNumberFormat="0" applyBorder="0" applyAlignment="0" applyProtection="0"/>
    <xf numFmtId="0" fontId="4" fillId="0" borderId="0"/>
    <xf numFmtId="0" fontId="2" fillId="0" borderId="2"/>
    <xf numFmtId="0" fontId="4" fillId="0" borderId="3"/>
    <xf numFmtId="170" fontId="8" fillId="7" borderId="4">
      <alignment horizontal="center"/>
    </xf>
    <xf numFmtId="0" fontId="10" fillId="8" borderId="5">
      <alignment horizontal="center"/>
    </xf>
    <xf numFmtId="0" fontId="11" fillId="9" borderId="0"/>
    <xf numFmtId="0" fontId="12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6"/>
  </cellStyleXfs>
  <cellXfs count="8">
    <xf numFmtId="0" fontId="0" fillId="0" borderId="0" xfId="0"/>
    <xf numFmtId="0" fontId="4" fillId="0" borderId="0" xfId="1"/>
    <xf numFmtId="0" fontId="13" fillId="0" borderId="7" xfId="1" applyFont="1" applyFill="1" applyBorder="1" applyAlignment="1">
      <alignment horizontal="center"/>
    </xf>
    <xf numFmtId="0" fontId="13" fillId="0" borderId="8" xfId="1" applyFont="1" applyFill="1" applyBorder="1" applyAlignment="1">
      <alignment horizontal="center"/>
    </xf>
    <xf numFmtId="0" fontId="14" fillId="0" borderId="9" xfId="1" applyFont="1" applyFill="1" applyBorder="1"/>
    <xf numFmtId="14" fontId="14" fillId="0" borderId="10" xfId="1" applyNumberFormat="1" applyFont="1" applyFill="1" applyBorder="1"/>
    <xf numFmtId="0" fontId="14" fillId="0" borderId="10" xfId="1" applyFont="1" applyFill="1" applyBorder="1"/>
    <xf numFmtId="166" fontId="14" fillId="0" borderId="10" xfId="2" applyNumberFormat="1" applyFont="1" applyFill="1" applyBorder="1"/>
  </cellXfs>
  <cellStyles count="40">
    <cellStyle name="20 % - Accent1 2" xfId="3" xr:uid="{00000000-0005-0000-0000-000000000000}"/>
    <cellStyle name="Accent1 2" xfId="4" xr:uid="{00000000-0005-0000-0000-000001000000}"/>
    <cellStyle name="Accent2 2" xfId="5" xr:uid="{00000000-0005-0000-0000-000002000000}"/>
    <cellStyle name="Accent3 2" xfId="6" xr:uid="{00000000-0005-0000-0000-000003000000}"/>
    <cellStyle name="Dezimal [0]" xfId="7" xr:uid="{00000000-0005-0000-0000-000004000000}"/>
    <cellStyle name="Dezimal_Tabelle1" xfId="8" xr:uid="{00000000-0005-0000-0000-000005000000}"/>
    <cellStyle name="Euro" xfId="9" xr:uid="{00000000-0005-0000-0000-000006000000}"/>
    <cellStyle name="Euro 2" xfId="2" xr:uid="{00000000-0005-0000-0000-000007000000}"/>
    <cellStyle name="Euro 3" xfId="10" xr:uid="{00000000-0005-0000-0000-000008000000}"/>
    <cellStyle name="Excel Built-in Normal" xfId="11" xr:uid="{00000000-0005-0000-0000-000009000000}"/>
    <cellStyle name="ligne" xfId="12" xr:uid="{00000000-0005-0000-0000-00000A000000}"/>
    <cellStyle name="Milliers [0] 2" xfId="13" xr:uid="{00000000-0005-0000-0000-00000B000000}"/>
    <cellStyle name="Milliers 2" xfId="14" xr:uid="{00000000-0005-0000-0000-00000C000000}"/>
    <cellStyle name="Milliers 3" xfId="15" xr:uid="{00000000-0005-0000-0000-00000D000000}"/>
    <cellStyle name="Milliers 4" xfId="16" xr:uid="{00000000-0005-0000-0000-00000E000000}"/>
    <cellStyle name="Monétaire 2" xfId="17" xr:uid="{00000000-0005-0000-0000-00000F000000}"/>
    <cellStyle name="Monétaire 2 2" xfId="18" xr:uid="{00000000-0005-0000-0000-000010000000}"/>
    <cellStyle name="Monétaire 3" xfId="19" xr:uid="{00000000-0005-0000-0000-000011000000}"/>
    <cellStyle name="Monétaire 4" xfId="20" xr:uid="{00000000-0005-0000-0000-000012000000}"/>
    <cellStyle name="Normal" xfId="0" builtinId="0"/>
    <cellStyle name="Normal 2" xfId="1" xr:uid="{00000000-0005-0000-0000-000014000000}"/>
    <cellStyle name="Normal 3" xfId="21" xr:uid="{00000000-0005-0000-0000-000015000000}"/>
    <cellStyle name="Normal 4" xfId="22" xr:uid="{00000000-0005-0000-0000-000016000000}"/>
    <cellStyle name="Normal 5" xfId="23" xr:uid="{00000000-0005-0000-0000-000017000000}"/>
    <cellStyle name="Normal 6" xfId="24" xr:uid="{00000000-0005-0000-0000-000018000000}"/>
    <cellStyle name="Normal 7" xfId="25" xr:uid="{00000000-0005-0000-0000-000019000000}"/>
    <cellStyle name="Pourcentage 2" xfId="26" xr:uid="{00000000-0005-0000-0000-00001A000000}"/>
    <cellStyle name="Pourcentage 3" xfId="27" xr:uid="{00000000-0005-0000-0000-00001B000000}"/>
    <cellStyle name="Pourcentage 4" xfId="28" xr:uid="{00000000-0005-0000-0000-00001C000000}"/>
    <cellStyle name="Satisfaisant 2" xfId="29" xr:uid="{00000000-0005-0000-0000-00001D000000}"/>
    <cellStyle name="Standard_Tabelle1" xfId="30" xr:uid="{00000000-0005-0000-0000-00001E000000}"/>
    <cellStyle name="Style 1" xfId="31" xr:uid="{00000000-0005-0000-0000-00001F000000}"/>
    <cellStyle name="Summen" xfId="32" xr:uid="{00000000-0005-0000-0000-000020000000}"/>
    <cellStyle name="table" xfId="33" xr:uid="{00000000-0005-0000-0000-000021000000}"/>
    <cellStyle name="TITCOL" xfId="34" xr:uid="{00000000-0005-0000-0000-000022000000}"/>
    <cellStyle name="Titel" xfId="35" xr:uid="{00000000-0005-0000-0000-000023000000}"/>
    <cellStyle name="Untertitel" xfId="36" xr:uid="{00000000-0005-0000-0000-000024000000}"/>
    <cellStyle name="Währung [0]" xfId="37" xr:uid="{00000000-0005-0000-0000-000025000000}"/>
    <cellStyle name="Währung_Tabelle1" xfId="38" xr:uid="{00000000-0005-0000-0000-000026000000}"/>
    <cellStyle name="Zwischensummen" xfId="39" xr:uid="{00000000-0005-0000-0000-00002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P50"/>
  <sheetViews>
    <sheetView tabSelected="1" zoomScaleNormal="100" workbookViewId="0">
      <selection activeCell="L17" sqref="L17"/>
    </sheetView>
  </sheetViews>
  <sheetFormatPr baseColWidth="10" defaultColWidth="11.42578125" defaultRowHeight="12.75"/>
  <cols>
    <col min="1" max="1" width="12.42578125" style="1" customWidth="1"/>
    <col min="2" max="2" width="11.42578125" style="1"/>
    <col min="3" max="3" width="9.5703125" style="1" customWidth="1"/>
    <col min="4" max="4" width="12.85546875" style="1" customWidth="1"/>
    <col min="5" max="5" width="14.85546875" style="1" customWidth="1"/>
    <col min="6" max="6" width="8.42578125" style="1" customWidth="1"/>
    <col min="7" max="7" width="12.140625" style="1" customWidth="1"/>
    <col min="8" max="8" width="13" style="1" customWidth="1"/>
    <col min="9" max="10" width="11.42578125" style="1"/>
    <col min="11" max="11" width="14.5703125" style="1" bestFit="1" customWidth="1"/>
    <col min="12" max="16384" width="11.42578125" style="1"/>
  </cols>
  <sheetData>
    <row r="1" spans="1:16" ht="13.5" thickBot="1">
      <c r="A1" s="2" t="s">
        <v>34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16" ht="18" customHeight="1">
      <c r="A2" s="4" t="s">
        <v>19</v>
      </c>
      <c r="B2" s="5">
        <v>42307</v>
      </c>
      <c r="C2" s="6" t="s">
        <v>8</v>
      </c>
      <c r="D2" s="6" t="s">
        <v>15</v>
      </c>
      <c r="E2" s="6" t="s">
        <v>31</v>
      </c>
      <c r="F2" s="7">
        <v>12</v>
      </c>
      <c r="G2" s="6">
        <v>5463</v>
      </c>
      <c r="H2" s="7">
        <f>F2*G2</f>
        <v>65556</v>
      </c>
    </row>
    <row r="3" spans="1:16" ht="18" customHeight="1">
      <c r="A3" s="4" t="s">
        <v>26</v>
      </c>
      <c r="B3" s="5">
        <v>42546</v>
      </c>
      <c r="C3" s="6" t="s">
        <v>8</v>
      </c>
      <c r="D3" s="6" t="s">
        <v>13</v>
      </c>
      <c r="E3" s="6" t="s">
        <v>27</v>
      </c>
      <c r="F3" s="7">
        <v>25</v>
      </c>
      <c r="G3" s="6">
        <v>7329</v>
      </c>
      <c r="H3" s="7">
        <f>F3*G3</f>
        <v>183225</v>
      </c>
    </row>
    <row r="4" spans="1:16" ht="18" customHeight="1">
      <c r="A4" s="4" t="s">
        <v>28</v>
      </c>
      <c r="B4" s="5">
        <v>42394</v>
      </c>
      <c r="C4" s="6" t="s">
        <v>8</v>
      </c>
      <c r="D4" s="6" t="s">
        <v>15</v>
      </c>
      <c r="E4" s="6" t="s">
        <v>18</v>
      </c>
      <c r="F4" s="7">
        <v>3.4</v>
      </c>
      <c r="G4" s="6">
        <v>7819</v>
      </c>
      <c r="H4" s="7">
        <f>F4*G4</f>
        <v>26584.6</v>
      </c>
    </row>
    <row r="5" spans="1:16" ht="18" customHeight="1">
      <c r="A5" s="4" t="s">
        <v>16</v>
      </c>
      <c r="B5" s="5">
        <v>42287</v>
      </c>
      <c r="C5" s="6" t="s">
        <v>8</v>
      </c>
      <c r="D5" s="6" t="s">
        <v>15</v>
      </c>
      <c r="E5" s="6" t="s">
        <v>10</v>
      </c>
      <c r="F5" s="7">
        <v>1.5</v>
      </c>
      <c r="G5" s="6">
        <v>5293</v>
      </c>
      <c r="H5" s="7">
        <f>F5*G5</f>
        <v>7939.5</v>
      </c>
    </row>
    <row r="6" spans="1:16" ht="18" customHeight="1">
      <c r="A6" s="4" t="s">
        <v>7</v>
      </c>
      <c r="B6" s="5">
        <v>42155</v>
      </c>
      <c r="C6" s="6" t="s">
        <v>8</v>
      </c>
      <c r="D6" s="6" t="s">
        <v>9</v>
      </c>
      <c r="E6" s="6" t="s">
        <v>10</v>
      </c>
      <c r="F6" s="7">
        <v>1.5</v>
      </c>
      <c r="G6" s="6">
        <v>7695</v>
      </c>
      <c r="H6" s="7">
        <f>F6*G6</f>
        <v>11542.5</v>
      </c>
    </row>
    <row r="7" spans="1:16" ht="18" customHeight="1">
      <c r="A7" s="4" t="s">
        <v>11</v>
      </c>
      <c r="B7" s="5">
        <v>42062</v>
      </c>
      <c r="C7" s="6" t="s">
        <v>14</v>
      </c>
      <c r="D7" s="6" t="s">
        <v>15</v>
      </c>
      <c r="E7" s="6" t="s">
        <v>25</v>
      </c>
      <c r="F7" s="7">
        <v>21</v>
      </c>
      <c r="G7" s="6">
        <v>5954</v>
      </c>
      <c r="H7" s="7">
        <f>F7*G7</f>
        <v>125034</v>
      </c>
    </row>
    <row r="8" spans="1:16" ht="18" customHeight="1">
      <c r="A8" s="4" t="s">
        <v>28</v>
      </c>
      <c r="B8" s="5">
        <v>42351</v>
      </c>
      <c r="C8" s="6" t="s">
        <v>14</v>
      </c>
      <c r="D8" s="6" t="s">
        <v>9</v>
      </c>
      <c r="E8" s="6" t="s">
        <v>25</v>
      </c>
      <c r="F8" s="7">
        <v>21</v>
      </c>
      <c r="G8" s="6">
        <v>8694</v>
      </c>
      <c r="H8" s="7">
        <f>F8*G8</f>
        <v>182574</v>
      </c>
    </row>
    <row r="9" spans="1:16" ht="18" customHeight="1">
      <c r="A9" s="4" t="s">
        <v>7</v>
      </c>
      <c r="B9" s="5">
        <v>42514</v>
      </c>
      <c r="C9" s="6" t="s">
        <v>14</v>
      </c>
      <c r="D9" s="6" t="s">
        <v>15</v>
      </c>
      <c r="E9" s="6" t="s">
        <v>31</v>
      </c>
      <c r="F9" s="7">
        <v>12</v>
      </c>
      <c r="G9" s="6">
        <v>7349</v>
      </c>
      <c r="H9" s="7">
        <f>F9*G9</f>
        <v>88188</v>
      </c>
    </row>
    <row r="10" spans="1:16" ht="18" customHeight="1">
      <c r="A10" s="4" t="s">
        <v>11</v>
      </c>
      <c r="B10" s="5">
        <v>42423</v>
      </c>
      <c r="C10" s="6" t="s">
        <v>14</v>
      </c>
      <c r="D10" s="6" t="s">
        <v>21</v>
      </c>
      <c r="E10" s="6" t="s">
        <v>31</v>
      </c>
      <c r="F10" s="7">
        <v>12</v>
      </c>
      <c r="G10" s="6">
        <v>9886</v>
      </c>
      <c r="H10" s="7">
        <f>F10*G10</f>
        <v>118632</v>
      </c>
    </row>
    <row r="11" spans="1:16" ht="18" customHeight="1">
      <c r="A11" s="4" t="s">
        <v>23</v>
      </c>
      <c r="B11" s="5">
        <v>42477</v>
      </c>
      <c r="C11" s="6" t="s">
        <v>14</v>
      </c>
      <c r="D11" s="6" t="s">
        <v>9</v>
      </c>
      <c r="E11" s="6" t="s">
        <v>27</v>
      </c>
      <c r="F11" s="7">
        <v>25</v>
      </c>
      <c r="G11" s="6">
        <v>6183</v>
      </c>
      <c r="H11" s="7">
        <f>F11*G11</f>
        <v>154575</v>
      </c>
    </row>
    <row r="12" spans="1:16" ht="18" customHeight="1">
      <c r="A12" s="4" t="s">
        <v>30</v>
      </c>
      <c r="B12" s="5">
        <v>42070</v>
      </c>
      <c r="C12" s="6" t="s">
        <v>14</v>
      </c>
      <c r="D12" s="6" t="s">
        <v>15</v>
      </c>
      <c r="E12" s="6" t="s">
        <v>27</v>
      </c>
      <c r="F12" s="7">
        <v>25</v>
      </c>
      <c r="G12" s="6">
        <v>7346</v>
      </c>
      <c r="H12" s="7">
        <f>F12*G12</f>
        <v>183650</v>
      </c>
    </row>
    <row r="13" spans="1:16" ht="18" customHeight="1">
      <c r="A13" s="4" t="s">
        <v>7</v>
      </c>
      <c r="B13" s="5">
        <v>42521</v>
      </c>
      <c r="C13" s="6" t="s">
        <v>14</v>
      </c>
      <c r="D13" s="6" t="s">
        <v>15</v>
      </c>
      <c r="E13" s="6" t="s">
        <v>10</v>
      </c>
      <c r="F13" s="7">
        <v>1.5</v>
      </c>
      <c r="G13" s="6">
        <v>9628</v>
      </c>
      <c r="H13" s="7">
        <f>F13*G13</f>
        <v>14442</v>
      </c>
    </row>
    <row r="14" spans="1:16" ht="18" customHeight="1">
      <c r="A14" s="4" t="s">
        <v>28</v>
      </c>
      <c r="B14" s="5">
        <v>42052</v>
      </c>
      <c r="C14" s="6" t="s">
        <v>12</v>
      </c>
      <c r="D14" s="6" t="s">
        <v>13</v>
      </c>
      <c r="E14" s="6" t="s">
        <v>25</v>
      </c>
      <c r="F14" s="7">
        <v>21</v>
      </c>
      <c r="G14" s="6">
        <v>9401</v>
      </c>
      <c r="H14" s="7">
        <f>F14*G14</f>
        <v>197421</v>
      </c>
      <c r="K14"/>
      <c r="L14"/>
      <c r="M14"/>
      <c r="N14"/>
      <c r="O14"/>
      <c r="P14"/>
    </row>
    <row r="15" spans="1:16" ht="18" customHeight="1">
      <c r="A15" s="4" t="s">
        <v>7</v>
      </c>
      <c r="B15" s="5">
        <v>42188</v>
      </c>
      <c r="C15" s="6" t="s">
        <v>12</v>
      </c>
      <c r="D15" s="6" t="s">
        <v>13</v>
      </c>
      <c r="E15" s="6" t="s">
        <v>31</v>
      </c>
      <c r="F15" s="7">
        <v>12</v>
      </c>
      <c r="G15" s="6">
        <v>9062</v>
      </c>
      <c r="H15" s="7">
        <f>F15*G15</f>
        <v>108744</v>
      </c>
      <c r="K15"/>
      <c r="L15"/>
      <c r="M15"/>
      <c r="N15"/>
      <c r="O15"/>
      <c r="P15"/>
    </row>
    <row r="16" spans="1:16" ht="18" customHeight="1">
      <c r="A16" s="4" t="s">
        <v>32</v>
      </c>
      <c r="B16" s="5">
        <v>42391</v>
      </c>
      <c r="C16" s="6" t="s">
        <v>12</v>
      </c>
      <c r="D16" s="6" t="s">
        <v>15</v>
      </c>
      <c r="E16" s="6" t="s">
        <v>22</v>
      </c>
      <c r="F16" s="7">
        <v>6</v>
      </c>
      <c r="G16" s="6">
        <v>6317</v>
      </c>
      <c r="H16" s="7">
        <f>F16*G16</f>
        <v>37902</v>
      </c>
      <c r="K16"/>
      <c r="L16"/>
      <c r="M16"/>
      <c r="N16"/>
      <c r="O16"/>
      <c r="P16"/>
    </row>
    <row r="17" spans="1:16" ht="18" customHeight="1">
      <c r="A17" s="4" t="s">
        <v>28</v>
      </c>
      <c r="B17" s="5">
        <v>42252</v>
      </c>
      <c r="C17" s="6" t="s">
        <v>12</v>
      </c>
      <c r="D17" s="6" t="s">
        <v>21</v>
      </c>
      <c r="E17" s="6" t="s">
        <v>22</v>
      </c>
      <c r="F17" s="7">
        <v>6</v>
      </c>
      <c r="G17" s="6">
        <v>9929</v>
      </c>
      <c r="H17" s="7">
        <f>F17*G17</f>
        <v>59574</v>
      </c>
      <c r="K17"/>
      <c r="L17"/>
      <c r="M17"/>
      <c r="N17"/>
      <c r="O17"/>
      <c r="P17"/>
    </row>
    <row r="18" spans="1:16" ht="18" customHeight="1">
      <c r="A18" s="4" t="s">
        <v>28</v>
      </c>
      <c r="B18" s="5">
        <v>42430</v>
      </c>
      <c r="C18" s="6" t="s">
        <v>12</v>
      </c>
      <c r="D18" s="6" t="s">
        <v>15</v>
      </c>
      <c r="E18" s="6" t="s">
        <v>27</v>
      </c>
      <c r="F18" s="7">
        <v>25</v>
      </c>
      <c r="G18" s="6">
        <v>6523</v>
      </c>
      <c r="H18" s="7">
        <f>F18*G18</f>
        <v>163075</v>
      </c>
      <c r="K18"/>
      <c r="L18"/>
      <c r="M18"/>
      <c r="N18"/>
      <c r="O18"/>
      <c r="P18"/>
    </row>
    <row r="19" spans="1:16" ht="18" customHeight="1">
      <c r="A19" s="4" t="s">
        <v>7</v>
      </c>
      <c r="B19" s="5">
        <v>42237</v>
      </c>
      <c r="C19" s="6" t="s">
        <v>12</v>
      </c>
      <c r="D19" s="6" t="s">
        <v>13</v>
      </c>
      <c r="E19" s="6" t="s">
        <v>18</v>
      </c>
      <c r="F19" s="7">
        <v>3.4</v>
      </c>
      <c r="G19" s="6">
        <v>5641</v>
      </c>
      <c r="H19" s="7">
        <f>F19*G19</f>
        <v>19179.399999999998</v>
      </c>
      <c r="K19"/>
      <c r="L19"/>
      <c r="M19"/>
      <c r="N19"/>
      <c r="O19"/>
      <c r="P19"/>
    </row>
    <row r="20" spans="1:16" ht="18" customHeight="1">
      <c r="A20" s="4" t="s">
        <v>23</v>
      </c>
      <c r="B20" s="5">
        <v>42246</v>
      </c>
      <c r="C20" s="6" t="s">
        <v>12</v>
      </c>
      <c r="D20" s="6" t="s">
        <v>13</v>
      </c>
      <c r="E20" s="6" t="s">
        <v>18</v>
      </c>
      <c r="F20" s="7">
        <v>3.4</v>
      </c>
      <c r="G20" s="6">
        <v>9165</v>
      </c>
      <c r="H20" s="7">
        <f>F20*G20</f>
        <v>31161</v>
      </c>
      <c r="K20"/>
    </row>
    <row r="21" spans="1:16" ht="18" customHeight="1">
      <c r="A21" s="4" t="s">
        <v>7</v>
      </c>
      <c r="B21" s="5">
        <v>42181</v>
      </c>
      <c r="C21" s="6" t="s">
        <v>12</v>
      </c>
      <c r="D21" s="6" t="s">
        <v>9</v>
      </c>
      <c r="E21" s="6" t="s">
        <v>10</v>
      </c>
      <c r="F21" s="7">
        <v>1.5</v>
      </c>
      <c r="G21" s="6">
        <v>8639</v>
      </c>
      <c r="H21" s="7">
        <f>F21*G21</f>
        <v>12958.5</v>
      </c>
      <c r="K21"/>
    </row>
    <row r="22" spans="1:16" ht="18" customHeight="1">
      <c r="A22" s="4" t="s">
        <v>16</v>
      </c>
      <c r="B22" s="5">
        <v>42398</v>
      </c>
      <c r="C22" s="6" t="s">
        <v>12</v>
      </c>
      <c r="D22" s="6" t="s">
        <v>9</v>
      </c>
      <c r="E22" s="6" t="s">
        <v>10</v>
      </c>
      <c r="F22" s="7">
        <v>1.5</v>
      </c>
      <c r="G22" s="6">
        <v>8804</v>
      </c>
      <c r="H22" s="7">
        <f>F22*G22</f>
        <v>13206</v>
      </c>
      <c r="K22"/>
    </row>
    <row r="23" spans="1:16" ht="18" customHeight="1">
      <c r="A23" s="4" t="s">
        <v>11</v>
      </c>
      <c r="B23" s="5">
        <v>42372</v>
      </c>
      <c r="C23" s="6" t="s">
        <v>12</v>
      </c>
      <c r="D23" s="6" t="s">
        <v>13</v>
      </c>
      <c r="E23" s="6" t="s">
        <v>10</v>
      </c>
      <c r="F23" s="7">
        <v>1.5</v>
      </c>
      <c r="G23" s="6">
        <v>9224</v>
      </c>
      <c r="H23" s="7">
        <f>F23*G23</f>
        <v>13836</v>
      </c>
      <c r="K23"/>
    </row>
    <row r="24" spans="1:16" ht="18" customHeight="1">
      <c r="A24" s="4" t="s">
        <v>26</v>
      </c>
      <c r="B24" s="5">
        <v>42540</v>
      </c>
      <c r="C24" s="6" t="s">
        <v>24</v>
      </c>
      <c r="D24" s="6" t="s">
        <v>13</v>
      </c>
      <c r="E24" s="6" t="s">
        <v>31</v>
      </c>
      <c r="F24" s="7">
        <v>12</v>
      </c>
      <c r="G24" s="6">
        <v>9924</v>
      </c>
      <c r="H24" s="7">
        <f>F24*G24</f>
        <v>119088</v>
      </c>
      <c r="K24"/>
    </row>
    <row r="25" spans="1:16" ht="18" customHeight="1">
      <c r="A25" s="4" t="s">
        <v>26</v>
      </c>
      <c r="B25" s="5">
        <v>42044</v>
      </c>
      <c r="C25" s="6" t="s">
        <v>24</v>
      </c>
      <c r="D25" s="6" t="s">
        <v>9</v>
      </c>
      <c r="E25" s="6" t="s">
        <v>22</v>
      </c>
      <c r="F25" s="7">
        <v>6</v>
      </c>
      <c r="G25" s="6">
        <v>5764</v>
      </c>
      <c r="H25" s="7">
        <f>F25*G25</f>
        <v>34584</v>
      </c>
    </row>
    <row r="26" spans="1:16" ht="18" customHeight="1">
      <c r="A26" s="4" t="s">
        <v>23</v>
      </c>
      <c r="B26" s="5">
        <v>42050</v>
      </c>
      <c r="C26" s="6" t="s">
        <v>24</v>
      </c>
      <c r="D26" s="6" t="s">
        <v>9</v>
      </c>
      <c r="E26" s="6" t="s">
        <v>22</v>
      </c>
      <c r="F26" s="7">
        <v>6</v>
      </c>
      <c r="G26" s="6">
        <v>6987</v>
      </c>
      <c r="H26" s="7">
        <f>F26*G26</f>
        <v>41922</v>
      </c>
    </row>
    <row r="27" spans="1:16" ht="18" customHeight="1">
      <c r="A27" s="4" t="s">
        <v>28</v>
      </c>
      <c r="B27" s="5">
        <v>42322</v>
      </c>
      <c r="C27" s="6" t="s">
        <v>24</v>
      </c>
      <c r="D27" s="6" t="s">
        <v>13</v>
      </c>
      <c r="E27" s="6" t="s">
        <v>22</v>
      </c>
      <c r="F27" s="7">
        <v>6</v>
      </c>
      <c r="G27" s="6">
        <v>8407</v>
      </c>
      <c r="H27" s="7">
        <f>F27*G27</f>
        <v>50442</v>
      </c>
    </row>
    <row r="28" spans="1:16" ht="18" customHeight="1">
      <c r="A28" s="4" t="s">
        <v>32</v>
      </c>
      <c r="B28" s="5">
        <v>42098</v>
      </c>
      <c r="C28" s="6" t="s">
        <v>24</v>
      </c>
      <c r="D28" s="6" t="s">
        <v>9</v>
      </c>
      <c r="E28" s="6" t="s">
        <v>22</v>
      </c>
      <c r="F28" s="7">
        <v>6</v>
      </c>
      <c r="G28" s="6">
        <v>8489</v>
      </c>
      <c r="H28" s="7">
        <f>F28*G28</f>
        <v>50934</v>
      </c>
    </row>
    <row r="29" spans="1:16" ht="18" customHeight="1">
      <c r="A29" s="4" t="s">
        <v>7</v>
      </c>
      <c r="B29" s="5">
        <v>42293</v>
      </c>
      <c r="C29" s="6" t="s">
        <v>24</v>
      </c>
      <c r="D29" s="6" t="s">
        <v>9</v>
      </c>
      <c r="E29" s="6" t="s">
        <v>18</v>
      </c>
      <c r="F29" s="7">
        <v>3.4</v>
      </c>
      <c r="G29" s="6">
        <v>5336</v>
      </c>
      <c r="H29" s="7">
        <f>F29*G29</f>
        <v>18142.399999999998</v>
      </c>
    </row>
    <row r="30" spans="1:16" ht="18" customHeight="1">
      <c r="A30" s="4" t="s">
        <v>29</v>
      </c>
      <c r="B30" s="5">
        <v>42517</v>
      </c>
      <c r="C30" s="6" t="s">
        <v>24</v>
      </c>
      <c r="D30" s="6" t="s">
        <v>15</v>
      </c>
      <c r="E30" s="6" t="s">
        <v>10</v>
      </c>
      <c r="F30" s="7">
        <v>1.5</v>
      </c>
      <c r="G30" s="6">
        <v>6852</v>
      </c>
      <c r="H30" s="7">
        <f>F30*G30</f>
        <v>10278</v>
      </c>
    </row>
    <row r="31" spans="1:16" ht="18" customHeight="1">
      <c r="A31" s="4" t="s">
        <v>19</v>
      </c>
      <c r="B31" s="5">
        <v>42293</v>
      </c>
      <c r="C31" s="6" t="s">
        <v>17</v>
      </c>
      <c r="D31" s="6" t="s">
        <v>9</v>
      </c>
      <c r="E31" s="6" t="s">
        <v>25</v>
      </c>
      <c r="F31" s="7">
        <v>21</v>
      </c>
      <c r="G31" s="6">
        <v>7464</v>
      </c>
      <c r="H31" s="7">
        <f>F31*G31</f>
        <v>156744</v>
      </c>
    </row>
    <row r="32" spans="1:16" ht="18" customHeight="1">
      <c r="A32" s="4" t="s">
        <v>7</v>
      </c>
      <c r="B32" s="5">
        <v>42379</v>
      </c>
      <c r="C32" s="6" t="s">
        <v>17</v>
      </c>
      <c r="D32" s="6" t="s">
        <v>9</v>
      </c>
      <c r="E32" s="6" t="s">
        <v>25</v>
      </c>
      <c r="F32" s="7">
        <v>21</v>
      </c>
      <c r="G32" s="6">
        <v>8279</v>
      </c>
      <c r="H32" s="7">
        <f>F32*G32</f>
        <v>173859</v>
      </c>
    </row>
    <row r="33" spans="1:8" ht="18" customHeight="1">
      <c r="A33" s="4" t="s">
        <v>28</v>
      </c>
      <c r="B33" s="5">
        <v>42013</v>
      </c>
      <c r="C33" s="6" t="s">
        <v>17</v>
      </c>
      <c r="D33" s="6" t="s">
        <v>15</v>
      </c>
      <c r="E33" s="6" t="s">
        <v>25</v>
      </c>
      <c r="F33" s="7">
        <v>21</v>
      </c>
      <c r="G33" s="6">
        <v>9201</v>
      </c>
      <c r="H33" s="7">
        <f>F33*G33</f>
        <v>193221</v>
      </c>
    </row>
    <row r="34" spans="1:8" ht="18" customHeight="1">
      <c r="A34" s="4" t="s">
        <v>32</v>
      </c>
      <c r="B34" s="5">
        <v>42317</v>
      </c>
      <c r="C34" s="6" t="s">
        <v>17</v>
      </c>
      <c r="D34" s="6" t="s">
        <v>21</v>
      </c>
      <c r="E34" s="6" t="s">
        <v>31</v>
      </c>
      <c r="F34" s="7">
        <v>12</v>
      </c>
      <c r="G34" s="6">
        <v>5136</v>
      </c>
      <c r="H34" s="7">
        <f>F34*G34</f>
        <v>61632</v>
      </c>
    </row>
    <row r="35" spans="1:8" ht="18" customHeight="1">
      <c r="A35" s="4" t="s">
        <v>30</v>
      </c>
      <c r="B35" s="5">
        <v>42398</v>
      </c>
      <c r="C35" s="6" t="s">
        <v>17</v>
      </c>
      <c r="D35" s="6" t="s">
        <v>21</v>
      </c>
      <c r="E35" s="6" t="s">
        <v>27</v>
      </c>
      <c r="F35" s="7">
        <v>25</v>
      </c>
      <c r="G35" s="6">
        <v>6075</v>
      </c>
      <c r="H35" s="7">
        <f>F35*G35</f>
        <v>151875</v>
      </c>
    </row>
    <row r="36" spans="1:8" ht="18" customHeight="1">
      <c r="A36" s="4" t="s">
        <v>30</v>
      </c>
      <c r="B36" s="5">
        <v>42393</v>
      </c>
      <c r="C36" s="6" t="s">
        <v>17</v>
      </c>
      <c r="D36" s="6" t="s">
        <v>21</v>
      </c>
      <c r="E36" s="6" t="s">
        <v>18</v>
      </c>
      <c r="F36" s="7">
        <v>3.4</v>
      </c>
      <c r="G36" s="6">
        <v>7212</v>
      </c>
      <c r="H36" s="7">
        <f>F36*G36</f>
        <v>24520.799999999999</v>
      </c>
    </row>
    <row r="37" spans="1:8" ht="18" customHeight="1">
      <c r="A37" s="4" t="s">
        <v>19</v>
      </c>
      <c r="B37" s="5">
        <v>42290</v>
      </c>
      <c r="C37" s="6" t="s">
        <v>17</v>
      </c>
      <c r="D37" s="6" t="s">
        <v>9</v>
      </c>
      <c r="E37" s="6" t="s">
        <v>18</v>
      </c>
      <c r="F37" s="7">
        <v>3.4</v>
      </c>
      <c r="G37" s="6">
        <v>8227</v>
      </c>
      <c r="H37" s="7">
        <f>F37*G37</f>
        <v>27971.8</v>
      </c>
    </row>
    <row r="38" spans="1:8" ht="18" customHeight="1">
      <c r="A38" s="4" t="s">
        <v>16</v>
      </c>
      <c r="B38" s="5">
        <v>42197</v>
      </c>
      <c r="C38" s="6" t="s">
        <v>17</v>
      </c>
      <c r="D38" s="6" t="s">
        <v>9</v>
      </c>
      <c r="E38" s="6" t="s">
        <v>18</v>
      </c>
      <c r="F38" s="7">
        <v>3.4</v>
      </c>
      <c r="G38" s="6">
        <v>8367</v>
      </c>
      <c r="H38" s="7">
        <f>F38*G38</f>
        <v>28447.8</v>
      </c>
    </row>
    <row r="39" spans="1:8" ht="18" customHeight="1">
      <c r="A39" s="4" t="s">
        <v>29</v>
      </c>
      <c r="B39" s="5">
        <v>42167</v>
      </c>
      <c r="C39" s="6" t="s">
        <v>17</v>
      </c>
      <c r="D39" s="6" t="s">
        <v>15</v>
      </c>
      <c r="E39" s="6" t="s">
        <v>10</v>
      </c>
      <c r="F39" s="7">
        <v>1.5</v>
      </c>
      <c r="G39" s="6">
        <v>6213</v>
      </c>
      <c r="H39" s="7">
        <f>F39*G39</f>
        <v>9319.5</v>
      </c>
    </row>
    <row r="40" spans="1:8" ht="18" customHeight="1">
      <c r="A40" s="4" t="s">
        <v>23</v>
      </c>
      <c r="B40" s="5">
        <v>42202</v>
      </c>
      <c r="C40" s="6" t="s">
        <v>20</v>
      </c>
      <c r="D40" s="6" t="s">
        <v>13</v>
      </c>
      <c r="E40" s="6" t="s">
        <v>31</v>
      </c>
      <c r="F40" s="7">
        <v>12</v>
      </c>
      <c r="G40" s="6">
        <v>6660</v>
      </c>
      <c r="H40" s="7">
        <f>F40*G40</f>
        <v>79920</v>
      </c>
    </row>
    <row r="41" spans="1:8" ht="18" customHeight="1">
      <c r="A41" s="4" t="s">
        <v>28</v>
      </c>
      <c r="B41" s="5">
        <v>42434</v>
      </c>
      <c r="C41" s="6" t="s">
        <v>20</v>
      </c>
      <c r="D41" s="6" t="s">
        <v>15</v>
      </c>
      <c r="E41" s="6" t="s">
        <v>31</v>
      </c>
      <c r="F41" s="7">
        <v>12</v>
      </c>
      <c r="G41" s="6">
        <v>7017</v>
      </c>
      <c r="H41" s="7">
        <f>F41*G41</f>
        <v>84204</v>
      </c>
    </row>
    <row r="42" spans="1:8" ht="18" customHeight="1">
      <c r="A42" s="4" t="s">
        <v>19</v>
      </c>
      <c r="B42" s="5">
        <v>42353</v>
      </c>
      <c r="C42" s="6" t="s">
        <v>20</v>
      </c>
      <c r="D42" s="6" t="s">
        <v>21</v>
      </c>
      <c r="E42" s="6" t="s">
        <v>22</v>
      </c>
      <c r="F42" s="7">
        <v>6</v>
      </c>
      <c r="G42" s="6">
        <v>6550</v>
      </c>
      <c r="H42" s="7">
        <f>F42*G42</f>
        <v>39300</v>
      </c>
    </row>
    <row r="43" spans="1:8" ht="18" customHeight="1">
      <c r="A43" s="4" t="s">
        <v>29</v>
      </c>
      <c r="B43" s="5">
        <v>42444</v>
      </c>
      <c r="C43" s="6" t="s">
        <v>20</v>
      </c>
      <c r="D43" s="6" t="s">
        <v>15</v>
      </c>
      <c r="E43" s="6" t="s">
        <v>22</v>
      </c>
      <c r="F43" s="7">
        <v>6</v>
      </c>
      <c r="G43" s="6">
        <v>7373</v>
      </c>
      <c r="H43" s="7">
        <f>F43*G43</f>
        <v>44238</v>
      </c>
    </row>
    <row r="44" spans="1:8" ht="18" customHeight="1">
      <c r="A44" s="4" t="s">
        <v>16</v>
      </c>
      <c r="B44" s="5">
        <v>42330</v>
      </c>
      <c r="C44" s="6" t="s">
        <v>20</v>
      </c>
      <c r="D44" s="6" t="s">
        <v>13</v>
      </c>
      <c r="E44" s="6" t="s">
        <v>22</v>
      </c>
      <c r="F44" s="7">
        <v>6</v>
      </c>
      <c r="G44" s="6">
        <v>7700</v>
      </c>
      <c r="H44" s="7">
        <f>F44*G44</f>
        <v>46200</v>
      </c>
    </row>
    <row r="45" spans="1:8" ht="18" customHeight="1">
      <c r="A45" s="4" t="s">
        <v>28</v>
      </c>
      <c r="B45" s="5">
        <v>42366</v>
      </c>
      <c r="C45" s="6" t="s">
        <v>20</v>
      </c>
      <c r="D45" s="6" t="s">
        <v>21</v>
      </c>
      <c r="E45" s="6" t="s">
        <v>10</v>
      </c>
      <c r="F45" s="7">
        <v>1.5</v>
      </c>
      <c r="G45" s="6">
        <v>5562</v>
      </c>
      <c r="H45" s="7">
        <f>F45*G45</f>
        <v>8343</v>
      </c>
    </row>
    <row r="46" spans="1:8" ht="18" customHeight="1">
      <c r="A46" s="4" t="s">
        <v>11</v>
      </c>
      <c r="B46" s="5">
        <v>42094</v>
      </c>
      <c r="C46" s="6" t="s">
        <v>20</v>
      </c>
      <c r="D46" s="6" t="s">
        <v>15</v>
      </c>
      <c r="E46" s="6" t="s">
        <v>10</v>
      </c>
      <c r="F46" s="7">
        <v>1.5</v>
      </c>
      <c r="G46" s="6">
        <v>5750</v>
      </c>
      <c r="H46" s="7">
        <f>F46*G46</f>
        <v>8625</v>
      </c>
    </row>
    <row r="47" spans="1:8" ht="18" customHeight="1">
      <c r="A47" s="4" t="s">
        <v>11</v>
      </c>
      <c r="B47" s="5">
        <v>42385</v>
      </c>
      <c r="C47" s="6" t="s">
        <v>20</v>
      </c>
      <c r="D47" s="6" t="s">
        <v>15</v>
      </c>
      <c r="E47" s="6" t="s">
        <v>10</v>
      </c>
      <c r="F47" s="7">
        <v>1.5</v>
      </c>
      <c r="G47" s="6">
        <v>7645</v>
      </c>
      <c r="H47" s="7">
        <f>F47*G47</f>
        <v>11467.5</v>
      </c>
    </row>
    <row r="48" spans="1:8" ht="18" customHeight="1">
      <c r="A48" s="4" t="s">
        <v>23</v>
      </c>
      <c r="B48" s="5">
        <v>42535</v>
      </c>
      <c r="C48" s="6" t="s">
        <v>20</v>
      </c>
      <c r="D48" s="6" t="s">
        <v>13</v>
      </c>
      <c r="E48" s="6" t="s">
        <v>10</v>
      </c>
      <c r="F48" s="7">
        <v>1.5</v>
      </c>
      <c r="G48" s="6">
        <v>8091</v>
      </c>
      <c r="H48" s="7">
        <f>F48*G48</f>
        <v>12136.5</v>
      </c>
    </row>
    <row r="49" spans="1:8" ht="18" customHeight="1">
      <c r="A49" s="4" t="s">
        <v>11</v>
      </c>
      <c r="B49" s="5">
        <v>42387</v>
      </c>
      <c r="C49" s="6" t="s">
        <v>20</v>
      </c>
      <c r="D49" s="6" t="s">
        <v>15</v>
      </c>
      <c r="E49" s="6" t="s">
        <v>10</v>
      </c>
      <c r="F49" s="7">
        <v>1.5</v>
      </c>
      <c r="G49" s="6">
        <v>8611</v>
      </c>
      <c r="H49" s="7">
        <f>F49*G49</f>
        <v>12916.5</v>
      </c>
    </row>
    <row r="50" spans="1:8" ht="18" customHeight="1">
      <c r="A50" s="4" t="s">
        <v>32</v>
      </c>
      <c r="B50" s="5">
        <v>42482</v>
      </c>
      <c r="C50" s="6" t="s">
        <v>33</v>
      </c>
      <c r="D50" s="6" t="s">
        <v>15</v>
      </c>
      <c r="E50" s="6" t="s">
        <v>27</v>
      </c>
      <c r="F50" s="7">
        <v>25</v>
      </c>
      <c r="G50" s="6">
        <v>6728</v>
      </c>
      <c r="H50" s="7">
        <f>F50*G50</f>
        <v>168200</v>
      </c>
    </row>
  </sheetData>
  <autoFilter ref="A1:H50" xr:uid="{B75F26A9-1B4B-48B3-A777-9EB01A7DB37D}"/>
  <sortState ref="A2:H50">
    <sortCondition ref="C2:C50"/>
    <sortCondition ref="E2:E50"/>
    <sortCondition ref="H2:H50"/>
  </sortState>
  <printOptions gridLines="1" gridLinesSet="0"/>
  <pageMargins left="0.78740157480314965" right="0.78740157480314965" top="0.98425196850393704" bottom="0.98425196850393704" header="0.51181102362204722" footer="0.51181102362204722"/>
  <pageSetup paperSize="9" scale="90" fitToHeight="0" orientation="portrait" horizontalDpi="4294967292" verticalDpi="360" r:id="rId1"/>
  <headerFooter alignWithMargins="0">
    <oddHeader>&amp;Lpage &amp;P/&amp;N&amp;C&amp;A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bdd commandes</vt:lpstr>
      <vt:lpstr>'bdd commandes'!Criteres</vt:lpstr>
      <vt:lpstr>'bdd commandes'!Impression_des_titres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Aubert 7</cp:lastModifiedBy>
  <cp:lastPrinted>2020-12-16T13:22:03Z</cp:lastPrinted>
  <dcterms:created xsi:type="dcterms:W3CDTF">2013-06-20T13:08:56Z</dcterms:created>
  <dcterms:modified xsi:type="dcterms:W3CDTF">2020-12-16T14:30:55Z</dcterms:modified>
</cp:coreProperties>
</file>