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bookViews>
    <workbookView xWindow="0" yWindow="0" windowWidth="20490" windowHeight="7755"/>
  </bookViews>
  <sheets>
    <sheet name="Feuil1" sheetId="1" r:id="rId1"/>
  </sheets>
  <definedNames>
    <definedName name="_xlnm._FilterDatabase" localSheetId="0" hidden="1">Feuil1!$A$11:$J$18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27" i="1"/>
  <c r="B26" i="1"/>
  <c r="J14" i="1"/>
  <c r="J15" i="1"/>
  <c r="J16" i="1"/>
  <c r="J17" i="1"/>
  <c r="J18" i="1"/>
  <c r="J13" i="1"/>
  <c r="I14" i="1"/>
  <c r="I15" i="1"/>
  <c r="I16" i="1"/>
  <c r="I17" i="1"/>
  <c r="I18" i="1"/>
  <c r="I13" i="1"/>
  <c r="D23" i="1" l="1"/>
  <c r="C23" i="1"/>
  <c r="D22" i="1"/>
  <c r="C22" i="1"/>
  <c r="D21" i="1"/>
  <c r="C21" i="1"/>
  <c r="D20" i="1"/>
  <c r="F14" i="1"/>
  <c r="F15" i="1"/>
  <c r="F16" i="1"/>
  <c r="F17" i="1"/>
  <c r="F18" i="1"/>
  <c r="F13" i="1"/>
  <c r="E14" i="1"/>
  <c r="E15" i="1"/>
  <c r="E16" i="1"/>
  <c r="G16" i="1" s="1"/>
  <c r="E17" i="1"/>
  <c r="E18" i="1"/>
  <c r="E13" i="1"/>
  <c r="G13" i="1" s="1"/>
  <c r="C20" i="1"/>
  <c r="G15" i="1" l="1"/>
  <c r="G17" i="1"/>
  <c r="E22" i="1"/>
  <c r="E20" i="1"/>
  <c r="H13" i="1" s="1"/>
  <c r="G18" i="1"/>
  <c r="G14" i="1"/>
  <c r="E21" i="1"/>
  <c r="E23" i="1"/>
  <c r="E24" i="1" l="1"/>
  <c r="H17" i="1"/>
  <c r="H16" i="1"/>
  <c r="H15" i="1"/>
  <c r="D24" i="1"/>
  <c r="H14" i="1"/>
  <c r="C24" i="1"/>
  <c r="H18" i="1"/>
</calcChain>
</file>

<file path=xl/sharedStrings.xml><?xml version="1.0" encoding="utf-8"?>
<sst xmlns="http://schemas.openxmlformats.org/spreadsheetml/2006/main" count="32" uniqueCount="26">
  <si>
    <t>sexe</t>
  </si>
  <si>
    <t>JANVIER</t>
  </si>
  <si>
    <t>FEVRIER</t>
  </si>
  <si>
    <t>TOTAL</t>
  </si>
  <si>
    <t>MOYENNE</t>
  </si>
  <si>
    <t>COMMISSION</t>
  </si>
  <si>
    <t>PART</t>
  </si>
  <si>
    <t>EN %</t>
  </si>
  <si>
    <t>VENDEUR 1</t>
  </si>
  <si>
    <t>VENDEUR 2</t>
  </si>
  <si>
    <t>VENDEUR 3</t>
  </si>
  <si>
    <t>VENDEUR 4</t>
  </si>
  <si>
    <t>VENDEUR 5</t>
  </si>
  <si>
    <t>VENDEUR 6</t>
  </si>
  <si>
    <t>MAXIMUM</t>
  </si>
  <si>
    <t>MINIMUM</t>
  </si>
  <si>
    <t>NB Vendeurs</t>
  </si>
  <si>
    <t>NB Femmes</t>
  </si>
  <si>
    <t>NB Hommes</t>
  </si>
  <si>
    <t>Part des mois</t>
  </si>
  <si>
    <t>ECART
en %</t>
  </si>
  <si>
    <t>Janvier/Fevrier</t>
  </si>
  <si>
    <t>Progression</t>
  </si>
  <si>
    <t>F</t>
  </si>
  <si>
    <t>H</t>
  </si>
  <si>
    <t>Vendeurs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</si>
</sst>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theme="7" tint="0.39994506668294322"/>
      </left>
      <right style="dashed">
        <color theme="7" tint="0.39994506668294322"/>
      </right>
      <top style="medium">
        <color theme="7" tint="0.39994506668294322"/>
      </top>
      <bottom/>
      <diagonal/>
    </border>
    <border>
      <left style="dashed">
        <color theme="7" tint="0.39994506668294322"/>
      </left>
      <right style="dashed">
        <color theme="7" tint="0.39994506668294322"/>
      </right>
      <top style="medium">
        <color theme="7" tint="0.39994506668294322"/>
      </top>
      <bottom/>
      <diagonal/>
    </border>
    <border>
      <left style="dashed">
        <color theme="7" tint="0.39994506668294322"/>
      </left>
      <right style="medium">
        <color theme="7" tint="0.39994506668294322"/>
      </right>
      <top style="medium">
        <color theme="7" tint="0.39994506668294322"/>
      </top>
      <bottom/>
      <diagonal/>
    </border>
    <border>
      <left style="medium">
        <color theme="7" tint="0.39994506668294322"/>
      </left>
      <right style="dashed">
        <color theme="7" tint="0.39994506668294322"/>
      </right>
      <top/>
      <bottom style="medium">
        <color theme="7" tint="0.39994506668294322"/>
      </bottom>
      <diagonal/>
    </border>
    <border>
      <left style="dashed">
        <color theme="7" tint="0.39994506668294322"/>
      </left>
      <right style="dashed">
        <color theme="7" tint="0.39994506668294322"/>
      </right>
      <top/>
      <bottom style="medium">
        <color theme="7" tint="0.39994506668294322"/>
      </bottom>
      <diagonal/>
    </border>
    <border>
      <left style="dashed">
        <color theme="7" tint="0.39994506668294322"/>
      </left>
      <right style="medium">
        <color theme="7" tint="0.39994506668294322"/>
      </right>
      <top/>
      <bottom style="medium">
        <color theme="7" tint="0.39994506668294322"/>
      </bottom>
      <diagonal/>
    </border>
    <border>
      <left style="medium">
        <color theme="7" tint="0.39994506668294322"/>
      </left>
      <right style="dashed">
        <color theme="7" tint="0.39994506668294322"/>
      </right>
      <top/>
      <bottom/>
      <diagonal/>
    </border>
    <border>
      <left style="dashed">
        <color theme="7" tint="0.39994506668294322"/>
      </left>
      <right style="dashed">
        <color theme="7" tint="0.39994506668294322"/>
      </right>
      <top/>
      <bottom/>
      <diagonal/>
    </border>
    <border>
      <left style="dashed">
        <color theme="7" tint="0.39994506668294322"/>
      </left>
      <right style="medium">
        <color theme="7" tint="0.39994506668294322"/>
      </right>
      <top/>
      <bottom/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/>
      <diagonal/>
    </border>
    <border>
      <left style="medium">
        <color theme="7" tint="0.39994506668294322"/>
      </left>
      <right style="medium">
        <color theme="7" tint="0.39994506668294322"/>
      </right>
      <top/>
      <bottom/>
      <diagonal/>
    </border>
    <border>
      <left style="medium">
        <color theme="7" tint="0.39994506668294322"/>
      </left>
      <right style="medium">
        <color theme="7" tint="0.39994506668294322"/>
      </right>
      <top/>
      <bottom style="medium">
        <color theme="7" tint="0.399945066682943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10" fontId="0" fillId="0" borderId="2" xfId="2" applyNumberFormat="1" applyFont="1" applyBorder="1"/>
    <xf numFmtId="10" fontId="0" fillId="0" borderId="3" xfId="2" applyNumberFormat="1" applyFont="1" applyBorder="1"/>
    <xf numFmtId="0" fontId="0" fillId="0" borderId="7" xfId="0" applyBorder="1"/>
    <xf numFmtId="10" fontId="0" fillId="0" borderId="8" xfId="2" applyNumberFormat="1" applyFont="1" applyBorder="1"/>
    <xf numFmtId="10" fontId="0" fillId="0" borderId="9" xfId="2" applyNumberFormat="1" applyFont="1" applyBorder="1"/>
    <xf numFmtId="0" fontId="0" fillId="0" borderId="4" xfId="0" applyBorder="1"/>
    <xf numFmtId="10" fontId="0" fillId="0" borderId="5" xfId="2" applyNumberFormat="1" applyFont="1" applyBorder="1"/>
    <xf numFmtId="10" fontId="0" fillId="0" borderId="6" xfId="2" applyNumberFormat="1" applyFont="1" applyBorder="1"/>
    <xf numFmtId="0" fontId="0" fillId="0" borderId="11" xfId="0" applyBorder="1"/>
    <xf numFmtId="0" fontId="0" fillId="0" borderId="12" xfId="0" applyBorder="1"/>
    <xf numFmtId="10" fontId="0" fillId="0" borderId="4" xfId="2" applyNumberFormat="1" applyFont="1" applyBorder="1"/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10" xfId="0" applyFill="1" applyBorder="1"/>
    <xf numFmtId="43" fontId="0" fillId="0" borderId="2" xfId="1" applyFont="1" applyBorder="1"/>
    <xf numFmtId="43" fontId="0" fillId="0" borderId="8" xfId="1" applyFont="1" applyBorder="1"/>
    <xf numFmtId="43" fontId="0" fillId="0" borderId="5" xfId="1" applyFont="1" applyBorder="1"/>
    <xf numFmtId="43" fontId="0" fillId="0" borderId="0" xfId="1" applyFont="1"/>
    <xf numFmtId="43" fontId="0" fillId="2" borderId="1" xfId="1" applyFont="1" applyFill="1" applyBorder="1"/>
    <xf numFmtId="43" fontId="0" fillId="2" borderId="2" xfId="1" applyFont="1" applyFill="1" applyBorder="1"/>
    <xf numFmtId="43" fontId="0" fillId="2" borderId="3" xfId="1" applyFont="1" applyFill="1" applyBorder="1"/>
    <xf numFmtId="43" fontId="0" fillId="0" borderId="7" xfId="1" applyFont="1" applyBorder="1"/>
    <xf numFmtId="43" fontId="0" fillId="0" borderId="9" xfId="1" applyFont="1" applyBorder="1"/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% Hommes</a:t>
            </a:r>
            <a:r>
              <a:rPr lang="fr-FR" baseline="0"/>
              <a:t> Femmes</a:t>
            </a:r>
            <a:endParaRPr lang="fr-FR"/>
          </a:p>
        </c:rich>
      </c:tx>
      <c:layout>
        <c:manualLayout>
          <c:xMode val="edge"/>
          <c:yMode val="edge"/>
          <c:x val="0.60940923705949246"/>
          <c:y val="6.0185185185185182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5591129650949404"/>
                  <c:y val="0.1521918597732422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Feuil1!$A$27:$A$28</c:f>
              <c:strCache>
                <c:ptCount val="2"/>
                <c:pt idx="0">
                  <c:v>NB Femmes</c:v>
                </c:pt>
                <c:pt idx="1">
                  <c:v>NB Hommes</c:v>
                </c:pt>
              </c:strCache>
            </c:strRef>
          </c:cat>
          <c:val>
            <c:numRef>
              <c:f>Feuil1!$B$27:$B$28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 des vendeurs</a:t>
            </a:r>
            <a:r>
              <a:rPr lang="fr-FR" baseline="0"/>
              <a:t> par mois</a:t>
            </a:r>
            <a:endParaRPr lang="fr-FR"/>
          </a:p>
        </c:rich>
      </c:tx>
      <c:layout>
        <c:manualLayout>
          <c:xMode val="edge"/>
          <c:yMode val="edge"/>
          <c:x val="0.39752777777777781"/>
          <c:y val="1.3888888888888888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677482906417142E-2"/>
          <c:y val="0"/>
          <c:w val="0.7112112423047946"/>
          <c:h val="0.842309128025663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Feuil1!$A$13</c:f>
              <c:strCache>
                <c:ptCount val="1"/>
                <c:pt idx="0">
                  <c:v>VENDEUR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Feuil1!$C$11:$D$12</c:f>
              <c:strCache>
                <c:ptCount val="2"/>
                <c:pt idx="0">
                  <c:v>JANVIER</c:v>
                </c:pt>
                <c:pt idx="1">
                  <c:v>FEVRIER</c:v>
                </c:pt>
              </c:strCache>
            </c:strRef>
          </c:cat>
          <c:val>
            <c:numRef>
              <c:f>Feuil1!$C$13:$D$13</c:f>
              <c:numCache>
                <c:formatCode>_(* #,##0.00_);_(* \(#,##0.00\);_(* "-"??_);_(@_)</c:formatCode>
                <c:ptCount val="2"/>
                <c:pt idx="0">
                  <c:v>120000</c:v>
                </c:pt>
                <c:pt idx="1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Feuil1!$A$14</c:f>
              <c:strCache>
                <c:ptCount val="1"/>
                <c:pt idx="0">
                  <c:v>VENDEUR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Feuil1!$C$11:$D$12</c:f>
              <c:strCache>
                <c:ptCount val="2"/>
                <c:pt idx="0">
                  <c:v>JANVIER</c:v>
                </c:pt>
                <c:pt idx="1">
                  <c:v>FEVRIER</c:v>
                </c:pt>
              </c:strCache>
            </c:strRef>
          </c:cat>
          <c:val>
            <c:numRef>
              <c:f>Feuil1!$C$14:$D$14</c:f>
              <c:numCache>
                <c:formatCode>_(* #,##0.00_);_(* \(#,##0.00\);_(* "-"??_);_(@_)</c:formatCode>
                <c:ptCount val="2"/>
                <c:pt idx="0">
                  <c:v>150000</c:v>
                </c:pt>
                <c:pt idx="1">
                  <c:v>150000</c:v>
                </c:pt>
              </c:numCache>
            </c:numRef>
          </c:val>
        </c:ser>
        <c:ser>
          <c:idx val="2"/>
          <c:order val="2"/>
          <c:tx>
            <c:strRef>
              <c:f>Feuil1!$A$15</c:f>
              <c:strCache>
                <c:ptCount val="1"/>
                <c:pt idx="0">
                  <c:v>VENDEUR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Feuil1!$C$11:$D$12</c:f>
              <c:strCache>
                <c:ptCount val="2"/>
                <c:pt idx="0">
                  <c:v>JANVIER</c:v>
                </c:pt>
                <c:pt idx="1">
                  <c:v>FEVRIER</c:v>
                </c:pt>
              </c:strCache>
            </c:strRef>
          </c:cat>
          <c:val>
            <c:numRef>
              <c:f>Feuil1!$C$15:$D$15</c:f>
              <c:numCache>
                <c:formatCode>_(* #,##0.00_);_(* \(#,##0.00\);_(* "-"??_);_(@_)</c:formatCode>
                <c:ptCount val="2"/>
                <c:pt idx="0">
                  <c:v>120000</c:v>
                </c:pt>
                <c:pt idx="1">
                  <c:v>160000</c:v>
                </c:pt>
              </c:numCache>
            </c:numRef>
          </c:val>
        </c:ser>
        <c:ser>
          <c:idx val="3"/>
          <c:order val="3"/>
          <c:tx>
            <c:strRef>
              <c:f>Feuil1!$A$16</c:f>
              <c:strCache>
                <c:ptCount val="1"/>
                <c:pt idx="0">
                  <c:v>VENDEUR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Feuil1!$C$11:$D$12</c:f>
              <c:strCache>
                <c:ptCount val="2"/>
                <c:pt idx="0">
                  <c:v>JANVIER</c:v>
                </c:pt>
                <c:pt idx="1">
                  <c:v>FEVRIER</c:v>
                </c:pt>
              </c:strCache>
            </c:strRef>
          </c:cat>
          <c:val>
            <c:numRef>
              <c:f>Feuil1!$C$16:$D$16</c:f>
              <c:numCache>
                <c:formatCode>_(* #,##0.00_);_(* \(#,##0.00\);_(* "-"??_);_(@_)</c:formatCode>
                <c:ptCount val="2"/>
                <c:pt idx="0">
                  <c:v>150000</c:v>
                </c:pt>
                <c:pt idx="1">
                  <c:v>110000</c:v>
                </c:pt>
              </c:numCache>
            </c:numRef>
          </c:val>
        </c:ser>
        <c:ser>
          <c:idx val="4"/>
          <c:order val="4"/>
          <c:tx>
            <c:strRef>
              <c:f>Feuil1!$A$17</c:f>
              <c:strCache>
                <c:ptCount val="1"/>
                <c:pt idx="0">
                  <c:v>VENDEUR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Feuil1!$C$11:$D$12</c:f>
              <c:strCache>
                <c:ptCount val="2"/>
                <c:pt idx="0">
                  <c:v>JANVIER</c:v>
                </c:pt>
                <c:pt idx="1">
                  <c:v>FEVRIER</c:v>
                </c:pt>
              </c:strCache>
            </c:strRef>
          </c:cat>
          <c:val>
            <c:numRef>
              <c:f>Feuil1!$C$17:$D$17</c:f>
              <c:numCache>
                <c:formatCode>_(* #,##0.00_);_(* \(#,##0.00\);_(* "-"??_);_(@_)</c:formatCode>
                <c:ptCount val="2"/>
                <c:pt idx="0">
                  <c:v>190000</c:v>
                </c:pt>
                <c:pt idx="1">
                  <c:v>220000</c:v>
                </c:pt>
              </c:numCache>
            </c:numRef>
          </c:val>
        </c:ser>
        <c:ser>
          <c:idx val="5"/>
          <c:order val="5"/>
          <c:tx>
            <c:strRef>
              <c:f>Feuil1!$A$18</c:f>
              <c:strCache>
                <c:ptCount val="1"/>
                <c:pt idx="0">
                  <c:v>VENDEUR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Feuil1!$C$11:$D$12</c:f>
              <c:strCache>
                <c:ptCount val="2"/>
                <c:pt idx="0">
                  <c:v>JANVIER</c:v>
                </c:pt>
                <c:pt idx="1">
                  <c:v>FEVRIER</c:v>
                </c:pt>
              </c:strCache>
            </c:strRef>
          </c:cat>
          <c:val>
            <c:numRef>
              <c:f>Feuil1!$C$18:$D$18</c:f>
              <c:numCache>
                <c:formatCode>_(* #,##0.00_);_(* \(#,##0.00\);_(* "-"??_);_(@_)</c:formatCode>
                <c:ptCount val="2"/>
                <c:pt idx="0">
                  <c:v>250000</c:v>
                </c:pt>
                <c:pt idx="1">
                  <c:v>260000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91342584"/>
        <c:axId val="191341800"/>
      </c:barChart>
      <c:catAx>
        <c:axId val="19134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341800"/>
        <c:crosses val="autoZero"/>
        <c:auto val="1"/>
        <c:lblAlgn val="ctr"/>
        <c:lblOffset val="100"/>
        <c:noMultiLvlLbl val="0"/>
      </c:catAx>
      <c:valAx>
        <c:axId val="19134180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9134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305650</xdr:colOff>
      <xdr:row>19</xdr:row>
      <xdr:rowOff>64743</xdr:rowOff>
    </xdr:from>
    <xdr:to>
      <xdr:col>9</xdr:col>
      <xdr:colOff>515470</xdr:colOff>
      <xdr:row>31</xdr:row>
      <xdr:rowOff>67236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470647</xdr:colOff>
      <xdr:row>0</xdr:row>
      <xdr:rowOff>1</xdr:rowOff>
    </xdr:from>
    <xdr:to>
      <xdr:col>9</xdr:col>
      <xdr:colOff>795617</xdr:colOff>
      <xdr:row>9</xdr:row>
      <xdr:rowOff>1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470647</xdr:colOff>
      <xdr:row>1</xdr:row>
      <xdr:rowOff>33617</xdr:rowOff>
    </xdr:from>
    <xdr:to>
      <xdr:col>4</xdr:col>
      <xdr:colOff>818029</xdr:colOff>
      <xdr:row>7</xdr:row>
      <xdr:rowOff>0</xdr:rowOff>
    </xdr:to>
    <xdr:sp macro="" textlink="">
      <xdr:nvSpPr>
        <xdr:cNvPr id="6" name="Rectangle à coins arrondis 5"/>
        <xdr:cNvSpPr/>
      </xdr:nvSpPr>
      <xdr:spPr>
        <a:xfrm>
          <a:off x="470647" y="224117"/>
          <a:ext cx="3843617" cy="1109383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800" b="1"/>
            <a:t>TABLEAU</a:t>
          </a:r>
          <a:r>
            <a:rPr lang="fr-FR" sz="1800" b="1" baseline="0"/>
            <a:t> DES COMMISSIONS</a:t>
          </a:r>
        </a:p>
        <a:p>
          <a:pPr algn="ctr"/>
          <a:r>
            <a:rPr lang="fr-FR" sz="1800" b="1" baseline="0"/>
            <a:t>JANVIER FEVRIER</a:t>
          </a:r>
          <a:endParaRPr lang="fr-FR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28"/>
  <sheetViews>
    <sheetView tabSelected="1" zoomScale="85" zoomScaleNormal="85" workbookViewId="0">
      <selection activeCell="F16" sqref="F16"/>
    </sheetView>
  </sheetViews>
  <sheetFormatPr baseColWidth="10" defaultRowHeight="15" x14ac:dyDescent="0.25"/>
  <cols>
    <col min="1" max="1" width="13.85546875" customWidth="1"/>
    <col min="3" max="3" width="12.85546875" bestFit="1" customWidth="1"/>
    <col min="4" max="5" width="14.28515625" bestFit="1" customWidth="1"/>
    <col min="6" max="6" width="12.85546875" bestFit="1" customWidth="1"/>
    <col min="7" max="7" width="14" bestFit="1" customWidth="1"/>
    <col min="9" max="9" width="13.7109375" customWidth="1"/>
    <col min="10" max="10" width="14.85546875" bestFit="1" customWidth="1"/>
  </cols>
  <sheetData>
    <row r="10" spans="1:10" ht="15.75" thickBot="1" x14ac:dyDescent="0.3"/>
    <row r="11" spans="1:10" s="1" customFormat="1" x14ac:dyDescent="0.25">
      <c r="A11" s="38" t="s">
        <v>25</v>
      </c>
      <c r="B11" s="39" t="s">
        <v>0</v>
      </c>
      <c r="C11" s="41" t="s">
        <v>1</v>
      </c>
      <c r="D11" s="41" t="s">
        <v>2</v>
      </c>
      <c r="E11" s="41" t="s">
        <v>3</v>
      </c>
      <c r="F11" s="41" t="s">
        <v>4</v>
      </c>
      <c r="G11" s="17" t="s">
        <v>5</v>
      </c>
      <c r="H11" s="17" t="s">
        <v>6</v>
      </c>
      <c r="I11" s="43" t="s">
        <v>20</v>
      </c>
      <c r="J11" s="18" t="s">
        <v>22</v>
      </c>
    </row>
    <row r="12" spans="1:10" s="1" customFormat="1" ht="15.75" thickBot="1" x14ac:dyDescent="0.3">
      <c r="A12" s="38"/>
      <c r="B12" s="40"/>
      <c r="C12" s="42"/>
      <c r="D12" s="42"/>
      <c r="E12" s="42"/>
      <c r="F12" s="42"/>
      <c r="G12" s="19">
        <v>0.02</v>
      </c>
      <c r="H12" s="20" t="s">
        <v>7</v>
      </c>
      <c r="I12" s="42"/>
      <c r="J12" s="21" t="s">
        <v>21</v>
      </c>
    </row>
    <row r="13" spans="1:10" x14ac:dyDescent="0.25">
      <c r="A13" s="22" t="s">
        <v>8</v>
      </c>
      <c r="B13" s="35" t="s">
        <v>24</v>
      </c>
      <c r="C13" s="26">
        <v>120000</v>
      </c>
      <c r="D13" s="26">
        <v>150000</v>
      </c>
      <c r="E13" s="26">
        <f>SUM(C13:D13)</f>
        <v>270000</v>
      </c>
      <c r="F13" s="26">
        <f>AVERAGE(C13:D13)</f>
        <v>135000</v>
      </c>
      <c r="G13" s="26">
        <f>E13*$G$12</f>
        <v>5400</v>
      </c>
      <c r="H13" s="3">
        <f>E13/$E$20</f>
        <v>0.13300492610837439</v>
      </c>
      <c r="I13" s="3">
        <f>(D13-C13)/D13</f>
        <v>0.2</v>
      </c>
      <c r="J13" s="4">
        <f>(D13-C13)/C13</f>
        <v>0.25</v>
      </c>
    </row>
    <row r="14" spans="1:10" x14ac:dyDescent="0.25">
      <c r="A14" s="23" t="s">
        <v>9</v>
      </c>
      <c r="B14" s="36" t="s">
        <v>24</v>
      </c>
      <c r="C14" s="27">
        <v>150000</v>
      </c>
      <c r="D14" s="27">
        <v>150000</v>
      </c>
      <c r="E14" s="27">
        <f>SUM(C14:D14)</f>
        <v>300000</v>
      </c>
      <c r="F14" s="27">
        <f t="shared" ref="F14:F18" si="0">AVERAGE(C14:D14)</f>
        <v>150000</v>
      </c>
      <c r="G14" s="27">
        <f t="shared" ref="G14:G18" si="1">E14*$G$12</f>
        <v>6000</v>
      </c>
      <c r="H14" s="6">
        <f t="shared" ref="H14:H18" si="2">E14/$E$20</f>
        <v>0.14778325123152711</v>
      </c>
      <c r="I14" s="6">
        <f t="shared" ref="I14:I18" si="3">(D14-C14)/D14</f>
        <v>0</v>
      </c>
      <c r="J14" s="7">
        <f t="shared" ref="J14:J18" si="4">(D14-C14)/C14</f>
        <v>0</v>
      </c>
    </row>
    <row r="15" spans="1:10" x14ac:dyDescent="0.25">
      <c r="A15" s="23" t="s">
        <v>10</v>
      </c>
      <c r="B15" s="36" t="s">
        <v>24</v>
      </c>
      <c r="C15" s="27">
        <v>120000</v>
      </c>
      <c r="D15" s="27">
        <v>160000</v>
      </c>
      <c r="E15" s="27">
        <f>SUM(C15:D15)</f>
        <v>280000</v>
      </c>
      <c r="F15" s="27">
        <f t="shared" si="0"/>
        <v>140000</v>
      </c>
      <c r="G15" s="27">
        <f t="shared" si="1"/>
        <v>5600</v>
      </c>
      <c r="H15" s="6">
        <f t="shared" si="2"/>
        <v>0.13793103448275862</v>
      </c>
      <c r="I15" s="6">
        <f t="shared" si="3"/>
        <v>0.25</v>
      </c>
      <c r="J15" s="7">
        <f t="shared" si="4"/>
        <v>0.33333333333333331</v>
      </c>
    </row>
    <row r="16" spans="1:10" x14ac:dyDescent="0.25">
      <c r="A16" s="23" t="s">
        <v>11</v>
      </c>
      <c r="B16" s="36" t="s">
        <v>23</v>
      </c>
      <c r="C16" s="27">
        <v>150000</v>
      </c>
      <c r="D16" s="27">
        <v>110000</v>
      </c>
      <c r="E16" s="27">
        <f>SUM(C16:D16)</f>
        <v>260000</v>
      </c>
      <c r="F16" s="27">
        <f t="shared" si="0"/>
        <v>130000</v>
      </c>
      <c r="G16" s="27">
        <f t="shared" si="1"/>
        <v>5200</v>
      </c>
      <c r="H16" s="6">
        <f t="shared" si="2"/>
        <v>0.12807881773399016</v>
      </c>
      <c r="I16" s="6">
        <f t="shared" si="3"/>
        <v>-0.36363636363636365</v>
      </c>
      <c r="J16" s="7">
        <f t="shared" si="4"/>
        <v>-0.26666666666666666</v>
      </c>
    </row>
    <row r="17" spans="1:10" x14ac:dyDescent="0.25">
      <c r="A17" s="23" t="s">
        <v>12</v>
      </c>
      <c r="B17" s="36" t="s">
        <v>23</v>
      </c>
      <c r="C17" s="27">
        <v>190000</v>
      </c>
      <c r="D17" s="27">
        <v>220000</v>
      </c>
      <c r="E17" s="27">
        <f>SUM(C17:D17)</f>
        <v>410000</v>
      </c>
      <c r="F17" s="27">
        <f t="shared" si="0"/>
        <v>205000</v>
      </c>
      <c r="G17" s="27">
        <f t="shared" si="1"/>
        <v>8200</v>
      </c>
      <c r="H17" s="6">
        <f t="shared" si="2"/>
        <v>0.2019704433497537</v>
      </c>
      <c r="I17" s="6">
        <f t="shared" si="3"/>
        <v>0.13636363636363635</v>
      </c>
      <c r="J17" s="7">
        <f t="shared" si="4"/>
        <v>0.15789473684210525</v>
      </c>
    </row>
    <row r="18" spans="1:10" ht="15.75" thickBot="1" x14ac:dyDescent="0.3">
      <c r="A18" s="24" t="s">
        <v>13</v>
      </c>
      <c r="B18" s="37" t="s">
        <v>24</v>
      </c>
      <c r="C18" s="28">
        <v>250000</v>
      </c>
      <c r="D18" s="28">
        <v>260000</v>
      </c>
      <c r="E18" s="28">
        <f>SUM(C18:D18)</f>
        <v>510000</v>
      </c>
      <c r="F18" s="28">
        <f t="shared" si="0"/>
        <v>255000</v>
      </c>
      <c r="G18" s="28">
        <f t="shared" si="1"/>
        <v>10200</v>
      </c>
      <c r="H18" s="9">
        <f t="shared" si="2"/>
        <v>0.25123152709359609</v>
      </c>
      <c r="I18" s="9">
        <f t="shared" si="3"/>
        <v>3.8461538461538464E-2</v>
      </c>
      <c r="J18" s="10">
        <f t="shared" si="4"/>
        <v>0.04</v>
      </c>
    </row>
    <row r="19" spans="1:10" ht="15.75" thickBot="1" x14ac:dyDescent="0.3">
      <c r="C19" s="29"/>
      <c r="D19" s="29"/>
      <c r="E19" s="29"/>
      <c r="F19" s="29"/>
      <c r="G19" s="29"/>
    </row>
    <row r="20" spans="1:10" x14ac:dyDescent="0.25">
      <c r="A20" s="25" t="s">
        <v>3</v>
      </c>
      <c r="C20" s="30">
        <f>SUM(C13:C19)</f>
        <v>980000</v>
      </c>
      <c r="D20" s="31">
        <f t="shared" ref="D20:E20" si="5">SUM(D13:D19)</f>
        <v>1050000</v>
      </c>
      <c r="E20" s="32">
        <f t="shared" si="5"/>
        <v>2030000</v>
      </c>
      <c r="F20" s="29"/>
      <c r="G20" s="29"/>
    </row>
    <row r="21" spans="1:10" x14ac:dyDescent="0.25">
      <c r="A21" s="11" t="s">
        <v>4</v>
      </c>
      <c r="C21" s="33">
        <f>AVERAGE(C13:C18)</f>
        <v>163333.33333333334</v>
      </c>
      <c r="D21" s="27">
        <f t="shared" ref="D21:E21" si="6">AVERAGE(D13:D18)</f>
        <v>175000</v>
      </c>
      <c r="E21" s="34">
        <f t="shared" si="6"/>
        <v>338333.33333333331</v>
      </c>
      <c r="F21" s="29"/>
      <c r="G21" s="29"/>
    </row>
    <row r="22" spans="1:10" x14ac:dyDescent="0.25">
      <c r="A22" s="11" t="s">
        <v>14</v>
      </c>
      <c r="C22" s="33">
        <f>MAX(C13:C18)</f>
        <v>250000</v>
      </c>
      <c r="D22" s="27">
        <f t="shared" ref="D22:E22" si="7">MAX(D13:D18)</f>
        <v>260000</v>
      </c>
      <c r="E22" s="34">
        <f t="shared" si="7"/>
        <v>510000</v>
      </c>
      <c r="F22" s="29"/>
      <c r="G22" s="29"/>
    </row>
    <row r="23" spans="1:10" x14ac:dyDescent="0.25">
      <c r="A23" s="11" t="s">
        <v>15</v>
      </c>
      <c r="C23" s="33">
        <f>MIN(C13:C18)</f>
        <v>120000</v>
      </c>
      <c r="D23" s="27">
        <f t="shared" ref="D23:E23" si="8">MIN(D13:D18)</f>
        <v>110000</v>
      </c>
      <c r="E23" s="34">
        <f t="shared" si="8"/>
        <v>260000</v>
      </c>
      <c r="F23" s="29"/>
      <c r="G23" s="29"/>
    </row>
    <row r="24" spans="1:10" ht="15.75" thickBot="1" x14ac:dyDescent="0.3">
      <c r="A24" s="12" t="s">
        <v>19</v>
      </c>
      <c r="C24" s="13">
        <f>C20/$E$20</f>
        <v>0.48275862068965519</v>
      </c>
      <c r="D24" s="9">
        <f t="shared" ref="D24:E24" si="9">D20/$E$20</f>
        <v>0.51724137931034486</v>
      </c>
      <c r="E24" s="10">
        <f t="shared" si="9"/>
        <v>1</v>
      </c>
    </row>
    <row r="25" spans="1:10" ht="15.75" thickBot="1" x14ac:dyDescent="0.3"/>
    <row r="26" spans="1:10" x14ac:dyDescent="0.25">
      <c r="A26" s="2" t="s">
        <v>16</v>
      </c>
      <c r="B26" s="14">
        <f>COUNTA(A13:A18)</f>
        <v>6</v>
      </c>
    </row>
    <row r="27" spans="1:10" x14ac:dyDescent="0.25">
      <c r="A27" s="5" t="s">
        <v>17</v>
      </c>
      <c r="B27" s="15">
        <f>COUNTIF(B13:B18,"f")</f>
        <v>2</v>
      </c>
    </row>
    <row r="28" spans="1:10" ht="15.75" thickBot="1" x14ac:dyDescent="0.3">
      <c r="A28" s="8" t="s">
        <v>18</v>
      </c>
      <c r="B28" s="16">
        <f>COUNTIF(B13:B18,"H")</f>
        <v>4</v>
      </c>
    </row>
  </sheetData>
  <mergeCells count="7">
    <mergeCell ref="F11:F12"/>
    <mergeCell ref="I11:I12"/>
    <mergeCell ref="A11:A12"/>
    <mergeCell ref="B11:B12"/>
    <mergeCell ref="C11:C12"/>
    <mergeCell ref="D11:D12"/>
    <mergeCell ref="E11:E12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9" orientation="landscape" r:id="rId1"/>
  <headerFooter>
    <oddHeader>&amp;L&amp;D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cp:lastPrinted>2016-05-04T14:13:30Z</cp:lastPrinted>
  <dcterms:created xsi:type="dcterms:W3CDTF">2016-05-04T09:18:24Z</dcterms:created>
  <dcterms:modified xsi:type="dcterms:W3CDTF">2016-05-04T14:15:59Z</dcterms:modified>
</cp:coreProperties>
</file>