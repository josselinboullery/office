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XL1 XL2\Exos a imprimer\"/>
    </mc:Choice>
  </mc:AlternateContent>
  <bookViews>
    <workbookView xWindow="360" yWindow="120" windowWidth="10515" windowHeight="4680"/>
  </bookViews>
  <sheets>
    <sheet name="Janvier" sheetId="1" r:id="rId1"/>
    <sheet name="Feuil2" sheetId="2" r:id="rId2"/>
    <sheet name="Feuil3" sheetId="3" r:id="rId3"/>
  </sheets>
  <calcPr calcId="152511"/>
</workbook>
</file>

<file path=xl/calcChain.xml><?xml version="1.0" encoding="utf-8"?>
<calcChain xmlns="http://schemas.openxmlformats.org/spreadsheetml/2006/main">
  <c r="B22" i="1" l="1"/>
  <c r="B21" i="1"/>
  <c r="B20" i="1"/>
  <c r="I9" i="1"/>
  <c r="I10" i="1"/>
  <c r="I11" i="1"/>
  <c r="I12" i="1"/>
  <c r="I13" i="1"/>
  <c r="I8" i="1"/>
  <c r="D18" i="1"/>
  <c r="C18" i="1"/>
  <c r="D17" i="1"/>
  <c r="C17" i="1"/>
  <c r="D16" i="1"/>
  <c r="C16" i="1"/>
  <c r="D15" i="1"/>
  <c r="C15" i="1"/>
  <c r="F9" i="1"/>
  <c r="F10" i="1"/>
  <c r="F11" i="1"/>
  <c r="F12" i="1"/>
  <c r="F13" i="1"/>
  <c r="F8" i="1"/>
  <c r="E9" i="1"/>
  <c r="G9" i="1" s="1"/>
  <c r="E10" i="1"/>
  <c r="E11" i="1"/>
  <c r="E12" i="1"/>
  <c r="G12" i="1" s="1"/>
  <c r="E13" i="1"/>
  <c r="G13" i="1" s="1"/>
  <c r="E8" i="1"/>
  <c r="H10" i="1" l="1"/>
  <c r="E17" i="1"/>
  <c r="G11" i="1"/>
  <c r="E16" i="1"/>
  <c r="G8" i="1"/>
  <c r="G10" i="1"/>
  <c r="E15" i="1"/>
  <c r="H8" i="1" s="1"/>
  <c r="E18" i="1"/>
  <c r="H12" i="1" l="1"/>
  <c r="H9" i="1"/>
  <c r="H13" i="1"/>
  <c r="H11" i="1"/>
</calcChain>
</file>

<file path=xl/sharedStrings.xml><?xml version="1.0" encoding="utf-8"?>
<sst xmlns="http://schemas.openxmlformats.org/spreadsheetml/2006/main" count="28" uniqueCount="24">
  <si>
    <t>Vendeur1</t>
  </si>
  <si>
    <t>Vendeur2</t>
  </si>
  <si>
    <t>Vendeur3</t>
  </si>
  <si>
    <t>Vendeur4</t>
  </si>
  <si>
    <t>Vendeur5</t>
  </si>
  <si>
    <t>Vendeur6</t>
  </si>
  <si>
    <t>Sexe</t>
  </si>
  <si>
    <t>H</t>
  </si>
  <si>
    <t>F</t>
  </si>
  <si>
    <t>Taux Com</t>
  </si>
  <si>
    <t>Commission
2%</t>
  </si>
  <si>
    <t>MOYENNE</t>
  </si>
  <si>
    <t>Total</t>
  </si>
  <si>
    <t>Moyenne</t>
  </si>
  <si>
    <t>Max</t>
  </si>
  <si>
    <t>Min</t>
  </si>
  <si>
    <t>Nb vendeurs</t>
  </si>
  <si>
    <t>Nb femmes</t>
  </si>
  <si>
    <t>Nb hommes</t>
  </si>
  <si>
    <t>Part
en %</t>
  </si>
  <si>
    <t>JANVIER</t>
  </si>
  <si>
    <t>FEVRIER</t>
  </si>
  <si>
    <t>TOTAL</t>
  </si>
  <si>
    <t>Progression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</si>
</sst>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thick">
        <color theme="5" tint="-0.24994659260841701"/>
      </left>
      <right style="dashed">
        <color theme="7" tint="0.39994506668294322"/>
      </right>
      <top style="thick">
        <color theme="5" tint="-0.24994659260841701"/>
      </top>
      <bottom style="thick">
        <color theme="5" tint="-0.24994659260841701"/>
      </bottom>
      <diagonal/>
    </border>
    <border>
      <left style="dashed">
        <color theme="7" tint="0.39994506668294322"/>
      </left>
      <right style="dashed">
        <color theme="7" tint="0.39994506668294322"/>
      </right>
      <top style="thick">
        <color theme="5" tint="-0.24994659260841701"/>
      </top>
      <bottom style="thick">
        <color theme="5" tint="-0.24994659260841701"/>
      </bottom>
      <diagonal/>
    </border>
    <border>
      <left style="dashed">
        <color theme="7" tint="0.39994506668294322"/>
      </left>
      <right style="thick">
        <color theme="5" tint="-0.24994659260841701"/>
      </right>
      <top style="thick">
        <color theme="5" tint="-0.24994659260841701"/>
      </top>
      <bottom style="thick">
        <color theme="5" tint="-0.24994659260841701"/>
      </bottom>
      <diagonal/>
    </border>
    <border>
      <left style="thick">
        <color theme="5" tint="-0.24994659260841701"/>
      </left>
      <right style="dashed">
        <color theme="7" tint="0.39994506668294322"/>
      </right>
      <top style="thick">
        <color theme="5" tint="-0.24994659260841701"/>
      </top>
      <bottom/>
      <diagonal/>
    </border>
    <border>
      <left style="dashed">
        <color theme="7" tint="0.39994506668294322"/>
      </left>
      <right style="dashed">
        <color theme="7" tint="0.39994506668294322"/>
      </right>
      <top style="thick">
        <color theme="5" tint="-0.24994659260841701"/>
      </top>
      <bottom/>
      <diagonal/>
    </border>
    <border>
      <left style="dashed">
        <color theme="7" tint="0.39994506668294322"/>
      </left>
      <right style="thick">
        <color theme="5" tint="-0.24994659260841701"/>
      </right>
      <top style="thick">
        <color theme="5" tint="-0.24994659260841701"/>
      </top>
      <bottom/>
      <diagonal/>
    </border>
    <border>
      <left style="thick">
        <color theme="5" tint="-0.24994659260841701"/>
      </left>
      <right style="dashed">
        <color theme="7" tint="0.39994506668294322"/>
      </right>
      <top/>
      <bottom/>
      <diagonal/>
    </border>
    <border>
      <left style="dashed">
        <color theme="7" tint="0.39994506668294322"/>
      </left>
      <right style="dashed">
        <color theme="7" tint="0.39994506668294322"/>
      </right>
      <top/>
      <bottom/>
      <diagonal/>
    </border>
    <border>
      <left style="dashed">
        <color theme="7" tint="0.39994506668294322"/>
      </left>
      <right style="thick">
        <color theme="5" tint="-0.24994659260841701"/>
      </right>
      <top/>
      <bottom/>
      <diagonal/>
    </border>
    <border>
      <left style="thick">
        <color theme="5" tint="-0.24994659260841701"/>
      </left>
      <right style="dashed">
        <color theme="7" tint="0.39994506668294322"/>
      </right>
      <top/>
      <bottom style="thick">
        <color theme="5" tint="-0.24994659260841701"/>
      </bottom>
      <diagonal/>
    </border>
    <border>
      <left style="dashed">
        <color theme="7" tint="0.39994506668294322"/>
      </left>
      <right style="dashed">
        <color theme="7" tint="0.39994506668294322"/>
      </right>
      <top/>
      <bottom style="thick">
        <color theme="5" tint="-0.24994659260841701"/>
      </bottom>
      <diagonal/>
    </border>
    <border>
      <left style="dashed">
        <color theme="7" tint="0.39994506668294322"/>
      </left>
      <right style="thick">
        <color theme="5" tint="-0.24994659260841701"/>
      </right>
      <top/>
      <bottom style="thick">
        <color theme="5" tint="-0.24994659260841701"/>
      </bottom>
      <diagonal/>
    </border>
    <border>
      <left style="thick">
        <color theme="5" tint="-0.24994659260841701"/>
      </left>
      <right style="thick">
        <color theme="5" tint="-0.24994659260841701"/>
      </right>
      <top style="thick">
        <color theme="5" tint="-0.24994659260841701"/>
      </top>
      <bottom/>
      <diagonal/>
    </border>
    <border>
      <left style="thick">
        <color theme="5" tint="-0.24994659260841701"/>
      </left>
      <right style="thick">
        <color theme="5" tint="-0.24994659260841701"/>
      </right>
      <top/>
      <bottom/>
      <diagonal/>
    </border>
    <border>
      <left style="thick">
        <color theme="5" tint="-0.24994659260841701"/>
      </left>
      <right style="thick">
        <color theme="5" tint="-0.24994659260841701"/>
      </right>
      <top/>
      <bottom style="thick">
        <color theme="5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4" xfId="0" applyBorder="1"/>
    <xf numFmtId="0" fontId="0" fillId="0" borderId="5" xfId="0" applyBorder="1" applyAlignment="1">
      <alignment horizontal="center"/>
    </xf>
    <xf numFmtId="43" fontId="0" fillId="0" borderId="5" xfId="1" applyFont="1" applyBorder="1"/>
    <xf numFmtId="43" fontId="0" fillId="0" borderId="5" xfId="0" applyNumberFormat="1" applyBorder="1"/>
    <xf numFmtId="10" fontId="0" fillId="0" borderId="5" xfId="2" applyNumberFormat="1" applyFont="1" applyBorder="1"/>
    <xf numFmtId="9" fontId="0" fillId="0" borderId="6" xfId="2" applyFont="1" applyBorder="1"/>
    <xf numFmtId="0" fontId="0" fillId="0" borderId="7" xfId="0" applyBorder="1"/>
    <xf numFmtId="0" fontId="0" fillId="0" borderId="8" xfId="0" applyBorder="1" applyAlignment="1">
      <alignment horizontal="center"/>
    </xf>
    <xf numFmtId="43" fontId="0" fillId="0" borderId="8" xfId="1" applyFont="1" applyBorder="1"/>
    <xf numFmtId="43" fontId="0" fillId="0" borderId="8" xfId="0" applyNumberFormat="1" applyBorder="1"/>
    <xf numFmtId="10" fontId="0" fillId="0" borderId="8" xfId="2" applyNumberFormat="1" applyFont="1" applyBorder="1"/>
    <xf numFmtId="9" fontId="0" fillId="0" borderId="9" xfId="2" applyFont="1" applyBorder="1"/>
    <xf numFmtId="0" fontId="0" fillId="0" borderId="10" xfId="0" applyBorder="1"/>
    <xf numFmtId="0" fontId="0" fillId="0" borderId="11" xfId="0" applyBorder="1" applyAlignment="1">
      <alignment horizontal="center"/>
    </xf>
    <xf numFmtId="43" fontId="0" fillId="0" borderId="11" xfId="1" applyFont="1" applyBorder="1"/>
    <xf numFmtId="43" fontId="0" fillId="0" borderId="11" xfId="0" applyNumberFormat="1" applyBorder="1"/>
    <xf numFmtId="10" fontId="0" fillId="0" borderId="11" xfId="2" applyNumberFormat="1" applyFont="1" applyBorder="1"/>
    <xf numFmtId="9" fontId="0" fillId="0" borderId="12" xfId="2" applyFont="1" applyBorder="1"/>
    <xf numFmtId="0" fontId="0" fillId="0" borderId="14" xfId="0" applyBorder="1"/>
    <xf numFmtId="0" fontId="0" fillId="0" borderId="15" xfId="0" applyBorder="1"/>
    <xf numFmtId="43" fontId="0" fillId="0" borderId="7" xfId="0" applyNumberFormat="1" applyBorder="1"/>
    <xf numFmtId="43" fontId="0" fillId="0" borderId="9" xfId="0" applyNumberFormat="1" applyBorder="1"/>
    <xf numFmtId="43" fontId="0" fillId="0" borderId="10" xfId="0" applyNumberFormat="1" applyBorder="1"/>
    <xf numFmtId="43" fontId="0" fillId="0" borderId="12" xfId="0" applyNumberFormat="1" applyBorder="1"/>
    <xf numFmtId="0" fontId="0" fillId="0" borderId="1" xfId="0" applyBorder="1"/>
    <xf numFmtId="43" fontId="0" fillId="2" borderId="5" xfId="0" applyNumberFormat="1" applyFill="1" applyBorder="1"/>
    <xf numFmtId="43" fontId="0" fillId="2" borderId="8" xfId="0" applyNumberFormat="1" applyFill="1" applyBorder="1"/>
    <xf numFmtId="43" fontId="0" fillId="2" borderId="11" xfId="0" applyNumberFormat="1" applyFill="1" applyBorder="1"/>
    <xf numFmtId="0" fontId="0" fillId="2" borderId="6" xfId="0" applyFill="1" applyBorder="1"/>
    <xf numFmtId="0" fontId="0" fillId="2" borderId="9" xfId="0" applyFill="1" applyBorder="1"/>
    <xf numFmtId="0" fontId="0" fillId="2" borderId="12" xfId="0" applyFill="1" applyBorder="1"/>
    <xf numFmtId="43" fontId="3" fillId="2" borderId="4" xfId="0" applyNumberFormat="1" applyFont="1" applyFill="1" applyBorder="1"/>
    <xf numFmtId="43" fontId="3" fillId="2" borderId="5" xfId="0" applyNumberFormat="1" applyFont="1" applyFill="1" applyBorder="1"/>
    <xf numFmtId="43" fontId="3" fillId="2" borderId="6" xfId="0" applyNumberFormat="1" applyFont="1" applyFill="1" applyBorder="1"/>
    <xf numFmtId="9" fontId="2" fillId="2" borderId="3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3" xfId="0" applyFill="1" applyBorder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dk1"/>
                </a:solidFill>
                <a:latin typeface="+mn-lt"/>
                <a:ea typeface="+mn-ea"/>
                <a:cs typeface="+mn-cs"/>
              </a:rPr>
              <a:t>Part en %</a:t>
            </a:r>
            <a:endParaRPr lang="fr-FR"/>
          </a:p>
        </c:rich>
      </c:tx>
      <c:layout>
        <c:manualLayout>
          <c:xMode val="edge"/>
          <c:yMode val="edge"/>
          <c:x val="6.3082159422732639E-2"/>
          <c:y val="5.5604223439953096E-2"/>
        </c:manualLayout>
      </c:layout>
      <c:overlay val="0"/>
      <c:spPr>
        <a:solidFill>
          <a:schemeClr val="lt1"/>
        </a:solidFill>
        <a:ln w="25400" cap="flat" cmpd="sng" algn="ctr">
          <a:solidFill>
            <a:schemeClr val="accent3"/>
          </a:solidFill>
          <a:prstDash val="solid"/>
        </a:ln>
        <a:effectLst/>
      </c:spPr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Janvier!$A$21:$A$22</c:f>
              <c:strCache>
                <c:ptCount val="2"/>
                <c:pt idx="0">
                  <c:v>Nb femmes</c:v>
                </c:pt>
                <c:pt idx="1">
                  <c:v>Nb hommes</c:v>
                </c:pt>
              </c:strCache>
            </c:strRef>
          </c:cat>
          <c:val>
            <c:numRef>
              <c:f>Janvier!$B$21:$B$22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747433</xdr:colOff>
      <xdr:row>0</xdr:row>
      <xdr:rowOff>111498</xdr:rowOff>
    </xdr:from>
    <xdr:to>
      <xdr:col>7</xdr:col>
      <xdr:colOff>717177</xdr:colOff>
      <xdr:row>2</xdr:row>
      <xdr:rowOff>123264</xdr:rowOff>
    </xdr:to>
    <xdr:sp macro="" textlink="">
      <xdr:nvSpPr>
        <xdr:cNvPr id="2" name="Rectangle à coins arrondis 1"/>
        <xdr:cNvSpPr/>
      </xdr:nvSpPr>
      <xdr:spPr>
        <a:xfrm>
          <a:off x="2484345" y="111498"/>
          <a:ext cx="4620185" cy="42638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TABLEAU DES</a:t>
          </a:r>
          <a:r>
            <a:rPr lang="fr-FR" sz="20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COMMISSIONS</a:t>
          </a:r>
          <a:endParaRPr lang="fr-FR" sz="20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362429</xdr:colOff>
      <xdr:row>14</xdr:row>
      <xdr:rowOff>30776</xdr:rowOff>
    </xdr:from>
    <xdr:to>
      <xdr:col>8</xdr:col>
      <xdr:colOff>504265</xdr:colOff>
      <xdr:row>29</xdr:row>
      <xdr:rowOff>56029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Débit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85" zoomScaleNormal="85" workbookViewId="0">
      <selection activeCell="F28" sqref="F28"/>
    </sheetView>
  </sheetViews>
  <sheetFormatPr baseColWidth="10" defaultRowHeight="15" x14ac:dyDescent="0.25"/>
  <cols>
    <col min="1" max="1" width="14.5703125" customWidth="1"/>
    <col min="3" max="3" width="13.140625" bestFit="1" customWidth="1"/>
    <col min="4" max="5" width="14.5703125" bestFit="1" customWidth="1"/>
    <col min="6" max="6" width="13.140625" bestFit="1" customWidth="1"/>
    <col min="7" max="7" width="14.28515625" customWidth="1"/>
    <col min="9" max="9" width="15.42578125" customWidth="1"/>
    <col min="10" max="10" width="14.42578125" customWidth="1"/>
  </cols>
  <sheetData>
    <row r="1" spans="1:10" ht="15.75" thickBot="1" x14ac:dyDescent="0.3"/>
    <row r="2" spans="1:10" ht="16.5" thickTop="1" thickBot="1" x14ac:dyDescent="0.3">
      <c r="A2" s="26" t="s">
        <v>9</v>
      </c>
      <c r="B2" s="36">
        <v>0.02</v>
      </c>
    </row>
    <row r="3" spans="1:10" ht="15.75" thickTop="1" x14ac:dyDescent="0.25"/>
    <row r="6" spans="1:10" ht="15.75" thickBot="1" x14ac:dyDescent="0.3"/>
    <row r="7" spans="1:10" ht="31.5" thickTop="1" thickBot="1" x14ac:dyDescent="0.3">
      <c r="B7" s="37" t="s">
        <v>6</v>
      </c>
      <c r="C7" s="38" t="s">
        <v>20</v>
      </c>
      <c r="D7" s="38" t="s">
        <v>21</v>
      </c>
      <c r="E7" s="38" t="s">
        <v>22</v>
      </c>
      <c r="F7" s="38" t="s">
        <v>11</v>
      </c>
      <c r="G7" s="38" t="s">
        <v>10</v>
      </c>
      <c r="H7" s="38" t="s">
        <v>19</v>
      </c>
      <c r="I7" s="39" t="s">
        <v>23</v>
      </c>
      <c r="J7" s="1"/>
    </row>
    <row r="8" spans="1:10" ht="15.75" thickTop="1" x14ac:dyDescent="0.25">
      <c r="A8" s="2" t="s">
        <v>0</v>
      </c>
      <c r="B8" s="3" t="s">
        <v>7</v>
      </c>
      <c r="C8" s="4">
        <v>120000</v>
      </c>
      <c r="D8" s="4">
        <v>150000</v>
      </c>
      <c r="E8" s="27">
        <f>SUM(C8:D8)</f>
        <v>270000</v>
      </c>
      <c r="F8" s="5">
        <f>AVERAGE(C8:D8)</f>
        <v>135000</v>
      </c>
      <c r="G8" s="5">
        <f>E8*$B$2</f>
        <v>5400</v>
      </c>
      <c r="H8" s="6">
        <f>E8/$E$15</f>
        <v>0.13300492610837439</v>
      </c>
      <c r="I8" s="7">
        <f>(D8-C8)/D8</f>
        <v>0.2</v>
      </c>
    </row>
    <row r="9" spans="1:10" x14ac:dyDescent="0.25">
      <c r="A9" s="8" t="s">
        <v>1</v>
      </c>
      <c r="B9" s="9" t="s">
        <v>7</v>
      </c>
      <c r="C9" s="10">
        <v>150000</v>
      </c>
      <c r="D9" s="10">
        <v>150000</v>
      </c>
      <c r="E9" s="28">
        <f t="shared" ref="E9:E13" si="0">SUM(C9:D9)</f>
        <v>300000</v>
      </c>
      <c r="F9" s="11">
        <f t="shared" ref="F9:F13" si="1">AVERAGE(C9:D9)</f>
        <v>150000</v>
      </c>
      <c r="G9" s="11">
        <f t="shared" ref="G9:G13" si="2">E9*$B$2</f>
        <v>6000</v>
      </c>
      <c r="H9" s="12">
        <f t="shared" ref="H9:H13" si="3">E9/$E$15</f>
        <v>0.14778325123152711</v>
      </c>
      <c r="I9" s="13">
        <f t="shared" ref="I9:I13" si="4">(D9-C9)/D9</f>
        <v>0</v>
      </c>
    </row>
    <row r="10" spans="1:10" x14ac:dyDescent="0.25">
      <c r="A10" s="8" t="s">
        <v>2</v>
      </c>
      <c r="B10" s="9" t="s">
        <v>7</v>
      </c>
      <c r="C10" s="10">
        <v>120000</v>
      </c>
      <c r="D10" s="10">
        <v>160000</v>
      </c>
      <c r="E10" s="28">
        <f t="shared" si="0"/>
        <v>280000</v>
      </c>
      <c r="F10" s="11">
        <f t="shared" si="1"/>
        <v>140000</v>
      </c>
      <c r="G10" s="11">
        <f t="shared" si="2"/>
        <v>5600</v>
      </c>
      <c r="H10" s="12">
        <f t="shared" si="3"/>
        <v>0.13793103448275862</v>
      </c>
      <c r="I10" s="13">
        <f t="shared" si="4"/>
        <v>0.25</v>
      </c>
    </row>
    <row r="11" spans="1:10" x14ac:dyDescent="0.25">
      <c r="A11" s="8" t="s">
        <v>3</v>
      </c>
      <c r="B11" s="9" t="s">
        <v>8</v>
      </c>
      <c r="C11" s="10">
        <v>150000</v>
      </c>
      <c r="D11" s="10">
        <v>110000</v>
      </c>
      <c r="E11" s="28">
        <f t="shared" si="0"/>
        <v>260000</v>
      </c>
      <c r="F11" s="11">
        <f t="shared" si="1"/>
        <v>130000</v>
      </c>
      <c r="G11" s="11">
        <f t="shared" si="2"/>
        <v>5200</v>
      </c>
      <c r="H11" s="12">
        <f t="shared" si="3"/>
        <v>0.12807881773399016</v>
      </c>
      <c r="I11" s="13">
        <f t="shared" si="4"/>
        <v>-0.36363636363636365</v>
      </c>
    </row>
    <row r="12" spans="1:10" x14ac:dyDescent="0.25">
      <c r="A12" s="8" t="s">
        <v>4</v>
      </c>
      <c r="B12" s="9" t="s">
        <v>8</v>
      </c>
      <c r="C12" s="10">
        <v>190000</v>
      </c>
      <c r="D12" s="10">
        <v>220000</v>
      </c>
      <c r="E12" s="28">
        <f t="shared" si="0"/>
        <v>410000</v>
      </c>
      <c r="F12" s="11">
        <f t="shared" si="1"/>
        <v>205000</v>
      </c>
      <c r="G12" s="11">
        <f t="shared" si="2"/>
        <v>8200</v>
      </c>
      <c r="H12" s="12">
        <f t="shared" si="3"/>
        <v>0.2019704433497537</v>
      </c>
      <c r="I12" s="13">
        <f t="shared" si="4"/>
        <v>0.13636363636363635</v>
      </c>
    </row>
    <row r="13" spans="1:10" ht="15.75" thickBot="1" x14ac:dyDescent="0.3">
      <c r="A13" s="14" t="s">
        <v>5</v>
      </c>
      <c r="B13" s="15" t="s">
        <v>7</v>
      </c>
      <c r="C13" s="16">
        <v>250000</v>
      </c>
      <c r="D13" s="16">
        <v>260000</v>
      </c>
      <c r="E13" s="29">
        <f t="shared" si="0"/>
        <v>510000</v>
      </c>
      <c r="F13" s="17">
        <f t="shared" si="1"/>
        <v>255000</v>
      </c>
      <c r="G13" s="17">
        <f t="shared" si="2"/>
        <v>10200</v>
      </c>
      <c r="H13" s="18">
        <f t="shared" si="3"/>
        <v>0.25123152709359609</v>
      </c>
      <c r="I13" s="19">
        <f t="shared" si="4"/>
        <v>3.8461538461538464E-2</v>
      </c>
    </row>
    <row r="14" spans="1:10" ht="16.5" thickTop="1" thickBot="1" x14ac:dyDescent="0.3"/>
    <row r="15" spans="1:10" ht="15.75" thickTop="1" x14ac:dyDescent="0.25">
      <c r="A15" s="40" t="s">
        <v>12</v>
      </c>
      <c r="C15" s="33">
        <f>SUM(C8:C14)</f>
        <v>980000</v>
      </c>
      <c r="D15" s="34">
        <f t="shared" ref="D15:E15" si="5">SUM(D8:D14)</f>
        <v>1050000</v>
      </c>
      <c r="E15" s="35">
        <f t="shared" si="5"/>
        <v>2030000</v>
      </c>
    </row>
    <row r="16" spans="1:10" x14ac:dyDescent="0.25">
      <c r="A16" s="20" t="s">
        <v>13</v>
      </c>
      <c r="C16" s="22">
        <f>AVERAGE(C8:C13)</f>
        <v>163333.33333333334</v>
      </c>
      <c r="D16" s="11">
        <f t="shared" ref="D16:E16" si="6">AVERAGE(D8:D13)</f>
        <v>175000</v>
      </c>
      <c r="E16" s="23">
        <f t="shared" si="6"/>
        <v>338333.33333333331</v>
      </c>
    </row>
    <row r="17" spans="1:5" x14ac:dyDescent="0.25">
      <c r="A17" s="20" t="s">
        <v>14</v>
      </c>
      <c r="C17" s="22">
        <f>MAX(C8:C13)</f>
        <v>250000</v>
      </c>
      <c r="D17" s="11">
        <f t="shared" ref="D17:E17" si="7">MAX(D8:D13)</f>
        <v>260000</v>
      </c>
      <c r="E17" s="23">
        <f t="shared" si="7"/>
        <v>510000</v>
      </c>
    </row>
    <row r="18" spans="1:5" ht="15.75" thickBot="1" x14ac:dyDescent="0.3">
      <c r="A18" s="21" t="s">
        <v>15</v>
      </c>
      <c r="C18" s="24">
        <f>MIN(C8:C13)</f>
        <v>120000</v>
      </c>
      <c r="D18" s="17">
        <f t="shared" ref="D18:E18" si="8">MIN(D8:D13)</f>
        <v>110000</v>
      </c>
      <c r="E18" s="25">
        <f t="shared" si="8"/>
        <v>260000</v>
      </c>
    </row>
    <row r="19" spans="1:5" ht="16.5" thickTop="1" thickBot="1" x14ac:dyDescent="0.3"/>
    <row r="20" spans="1:5" ht="15.75" thickTop="1" x14ac:dyDescent="0.25">
      <c r="A20" s="2" t="s">
        <v>16</v>
      </c>
      <c r="B20" s="30">
        <f>COUNTA(A8:A13)</f>
        <v>6</v>
      </c>
    </row>
    <row r="21" spans="1:5" x14ac:dyDescent="0.25">
      <c r="A21" s="8" t="s">
        <v>17</v>
      </c>
      <c r="B21" s="31">
        <f>COUNTIF(B8:B13,"F")</f>
        <v>2</v>
      </c>
    </row>
    <row r="22" spans="1:5" ht="15.75" thickBot="1" x14ac:dyDescent="0.3">
      <c r="A22" s="14" t="s">
        <v>18</v>
      </c>
      <c r="B22" s="32">
        <f>COUNTIF(B8:B13,"H")</f>
        <v>4</v>
      </c>
    </row>
    <row r="23" spans="1:5" ht="15.75" thickTop="1" x14ac:dyDescent="0.25"/>
  </sheetData>
  <printOptions horizontalCentered="1" verticalCentered="1"/>
  <pageMargins left="0.31496062992125984" right="0.31496062992125984" top="0.74803149606299213" bottom="0.74803149606299213" header="0.31496062992125984" footer="0.31496062992125984"/>
  <pageSetup paperSize="9" orientation="landscape" r:id="rId1"/>
  <headerFooter>
    <oddHeader>&amp;L&amp;"-,Gras"&amp;14&amp;A</oddHeader>
    <oddFooter>&amp;L&amp;"-,Gras"&amp;14&amp;D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Janvier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dolfi</dc:creator>
  <cp:lastModifiedBy>Formateur</cp:lastModifiedBy>
  <cp:lastPrinted>2016-06-21T06:26:12Z</cp:lastPrinted>
  <dcterms:created xsi:type="dcterms:W3CDTF">2016-04-29T06:13:53Z</dcterms:created>
  <dcterms:modified xsi:type="dcterms:W3CDTF">2016-06-21T06:26:40Z</dcterms:modified>
</cp:coreProperties>
</file>