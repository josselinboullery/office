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XL1 XL2\Exos a imprimer\"/>
    </mc:Choice>
  </mc:AlternateContent>
  <xr:revisionPtr revIDLastSave="0" documentId="8_{1D4DD281-37EE-4617-B669-A89BAE1C4556}" xr6:coauthVersionLast="43" xr6:coauthVersionMax="43" xr10:uidLastSave="{00000000-0000-0000-0000-000000000000}"/>
  <bookViews>
    <workbookView xWindow="-120" yWindow="-120" windowWidth="29040" windowHeight="15840" xr2:uid="{0B40AF13-D5AC-46C0-93EB-59DDD43EF295}"/>
  </bookViews>
  <sheets>
    <sheet name="Trimestre 1" sheetId="1" r:id="rId1"/>
    <sheet name="Trimestre 2" sheetId="2" r:id="rId2"/>
    <sheet name="Trimestre 3" sheetId="3" r:id="rId3"/>
    <sheet name="Trimestre 4" sheetId="4" r:id="rId4"/>
    <sheet name="RECAP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12" i="6" l="1"/>
  <c r="F7" i="6"/>
  <c r="F3" i="6"/>
  <c r="D15" i="4"/>
  <c r="C15" i="4"/>
  <c r="B15" i="4"/>
  <c r="D14" i="4"/>
  <c r="C14" i="4"/>
  <c r="B14" i="4"/>
  <c r="D13" i="4"/>
  <c r="C13" i="4"/>
  <c r="B13" i="4"/>
  <c r="B11" i="4"/>
  <c r="B12" i="4" s="1"/>
  <c r="D10" i="4"/>
  <c r="F14" i="6" s="1"/>
  <c r="C10" i="4"/>
  <c r="C11" i="4" s="1"/>
  <c r="C12" i="4" s="1"/>
  <c r="B10" i="4"/>
  <c r="H9" i="4"/>
  <c r="G9" i="4"/>
  <c r="F9" i="4"/>
  <c r="E9" i="4"/>
  <c r="H8" i="4"/>
  <c r="G8" i="4"/>
  <c r="F8" i="4"/>
  <c r="E8" i="4"/>
  <c r="H7" i="4"/>
  <c r="G7" i="4"/>
  <c r="F7" i="4"/>
  <c r="E7" i="4"/>
  <c r="H6" i="4"/>
  <c r="G6" i="4"/>
  <c r="F6" i="4"/>
  <c r="E6" i="4"/>
  <c r="H5" i="4"/>
  <c r="G5" i="4"/>
  <c r="F5" i="4"/>
  <c r="E5" i="4"/>
  <c r="E6" i="3"/>
  <c r="E7" i="3"/>
  <c r="E8" i="3"/>
  <c r="E9" i="3"/>
  <c r="D15" i="3"/>
  <c r="C15" i="3"/>
  <c r="B15" i="3"/>
  <c r="D14" i="3"/>
  <c r="C14" i="3"/>
  <c r="B14" i="3"/>
  <c r="D13" i="3"/>
  <c r="C13" i="3"/>
  <c r="B13" i="3"/>
  <c r="D10" i="3"/>
  <c r="E10" i="3" s="1"/>
  <c r="C10" i="3"/>
  <c r="F10" i="6" s="1"/>
  <c r="B10" i="3"/>
  <c r="F9" i="6" s="1"/>
  <c r="H9" i="3"/>
  <c r="G9" i="3"/>
  <c r="F9" i="3"/>
  <c r="H8" i="3"/>
  <c r="G8" i="3"/>
  <c r="F8" i="3"/>
  <c r="H7" i="3"/>
  <c r="G7" i="3"/>
  <c r="F7" i="3"/>
  <c r="H6" i="3"/>
  <c r="G6" i="3"/>
  <c r="F6" i="3"/>
  <c r="H5" i="3"/>
  <c r="G5" i="3"/>
  <c r="F5" i="3"/>
  <c r="E5" i="3"/>
  <c r="D15" i="2"/>
  <c r="C15" i="2"/>
  <c r="B15" i="2"/>
  <c r="D14" i="2"/>
  <c r="C14" i="2"/>
  <c r="B14" i="2"/>
  <c r="D13" i="2"/>
  <c r="C13" i="2"/>
  <c r="B13" i="2"/>
  <c r="D10" i="2"/>
  <c r="D11" i="2" s="1"/>
  <c r="D12" i="2" s="1"/>
  <c r="C10" i="2"/>
  <c r="B10" i="2"/>
  <c r="F6" i="6" s="1"/>
  <c r="H9" i="2"/>
  <c r="G9" i="2"/>
  <c r="F9" i="2"/>
  <c r="E9" i="2"/>
  <c r="H8" i="2"/>
  <c r="G8" i="2"/>
  <c r="F8" i="2"/>
  <c r="E8" i="2"/>
  <c r="H7" i="2"/>
  <c r="G7" i="2"/>
  <c r="F7" i="2"/>
  <c r="E7" i="2"/>
  <c r="H6" i="2"/>
  <c r="G6" i="2"/>
  <c r="F6" i="2"/>
  <c r="E6" i="2"/>
  <c r="H5" i="2"/>
  <c r="G5" i="2"/>
  <c r="F5" i="2"/>
  <c r="E5" i="2"/>
  <c r="H6" i="1"/>
  <c r="H7" i="1"/>
  <c r="H8" i="1"/>
  <c r="H9" i="1"/>
  <c r="H5" i="1"/>
  <c r="G6" i="1"/>
  <c r="G7" i="1"/>
  <c r="G8" i="1"/>
  <c r="G9" i="1"/>
  <c r="G5" i="1"/>
  <c r="C15" i="1"/>
  <c r="D15" i="1"/>
  <c r="B15" i="1"/>
  <c r="C14" i="1"/>
  <c r="D14" i="1"/>
  <c r="B14" i="1"/>
  <c r="C13" i="1"/>
  <c r="D13" i="1"/>
  <c r="F6" i="1"/>
  <c r="F7" i="1"/>
  <c r="F8" i="1"/>
  <c r="F9" i="1"/>
  <c r="F5" i="1"/>
  <c r="B13" i="1"/>
  <c r="E6" i="1"/>
  <c r="E7" i="1"/>
  <c r="E8" i="1"/>
  <c r="E9" i="1"/>
  <c r="E5" i="1"/>
  <c r="B11" i="1"/>
  <c r="B12" i="1" s="1"/>
  <c r="C10" i="1"/>
  <c r="E10" i="1" s="1"/>
  <c r="D10" i="1"/>
  <c r="F5" i="6" s="1"/>
  <c r="B10" i="1"/>
  <c r="D11" i="3" l="1"/>
  <c r="D12" i="3" s="1"/>
  <c r="D11" i="1"/>
  <c r="D12" i="1" s="1"/>
  <c r="B11" i="3"/>
  <c r="B12" i="3" s="1"/>
  <c r="D11" i="4"/>
  <c r="D12" i="4" s="1"/>
  <c r="F13" i="6"/>
  <c r="F11" i="6"/>
  <c r="F4" i="6"/>
  <c r="F8" i="6"/>
  <c r="C11" i="3"/>
  <c r="C12" i="3" s="1"/>
  <c r="E10" i="4"/>
  <c r="C11" i="2"/>
  <c r="C12" i="2" s="1"/>
  <c r="E10" i="2"/>
  <c r="B11" i="2"/>
  <c r="B12" i="2" s="1"/>
  <c r="C11" i="1"/>
  <c r="C12" i="1" s="1"/>
</calcChain>
</file>

<file path=xl/sharedStrings.xml><?xml version="1.0" encoding="utf-8"?>
<sst xmlns="http://schemas.openxmlformats.org/spreadsheetml/2006/main" count="117" uniqueCount="33">
  <si>
    <t>combinaisons</t>
  </si>
  <si>
    <t>gants</t>
  </si>
  <si>
    <t>chaussures</t>
  </si>
  <si>
    <t>skis</t>
  </si>
  <si>
    <t>bâtons</t>
  </si>
  <si>
    <t>total</t>
  </si>
  <si>
    <t>tva 20%</t>
  </si>
  <si>
    <t>TTC</t>
  </si>
  <si>
    <t>Moyenne</t>
  </si>
  <si>
    <t>Maximum</t>
  </si>
  <si>
    <t>Minimum</t>
  </si>
  <si>
    <t>Janvier</t>
  </si>
  <si>
    <t>Février</t>
  </si>
  <si>
    <t>Mars</t>
  </si>
  <si>
    <t>Total</t>
  </si>
  <si>
    <t>Avril</t>
  </si>
  <si>
    <t>Mai</t>
  </si>
  <si>
    <t>Juin</t>
  </si>
  <si>
    <t>Juillet</t>
  </si>
  <si>
    <t>Août</t>
  </si>
  <si>
    <t>Septembre</t>
  </si>
  <si>
    <t>Oct</t>
  </si>
  <si>
    <t>Nov</t>
  </si>
  <si>
    <t>Déc</t>
  </si>
  <si>
    <t>CA vente</t>
  </si>
  <si>
    <t>Octobre</t>
  </si>
  <si>
    <t>Novembre</t>
  </si>
  <si>
    <t>Décembre</t>
  </si>
  <si>
    <t>Ca vente</t>
  </si>
  <si>
    <t>Trim 1</t>
  </si>
  <si>
    <t>Trim 2</t>
  </si>
  <si>
    <t>Trim 3</t>
  </si>
  <si>
    <t>Trim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</si>
</sst>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_-* #,##0.00\ _€_-;\-* #,##0.00\ _€_-;_-* &quot;-&quot;??\ _€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double">
        <color theme="4"/>
      </left>
      <right style="dashed">
        <color theme="4"/>
      </right>
      <top style="double">
        <color theme="4"/>
      </top>
      <bottom style="double">
        <color theme="4"/>
      </bottom>
      <diagonal/>
    </border>
    <border>
      <left style="dashed">
        <color theme="4"/>
      </left>
      <right style="dashed">
        <color theme="4"/>
      </right>
      <top style="double">
        <color theme="4"/>
      </top>
      <bottom style="double">
        <color theme="4"/>
      </bottom>
      <diagonal/>
    </border>
    <border>
      <left style="dashed">
        <color theme="4"/>
      </left>
      <right style="double">
        <color theme="4"/>
      </right>
      <top style="double">
        <color theme="4"/>
      </top>
      <bottom style="double">
        <color theme="4"/>
      </bottom>
      <diagonal/>
    </border>
    <border>
      <left style="double">
        <color theme="4"/>
      </left>
      <right style="dashed">
        <color theme="4"/>
      </right>
      <top style="double">
        <color theme="4"/>
      </top>
      <bottom/>
      <diagonal/>
    </border>
    <border>
      <left style="dashed">
        <color theme="4"/>
      </left>
      <right style="dashed">
        <color theme="4"/>
      </right>
      <top style="double">
        <color theme="4"/>
      </top>
      <bottom/>
      <diagonal/>
    </border>
    <border>
      <left style="dashed">
        <color theme="4"/>
      </left>
      <right style="double">
        <color theme="4"/>
      </right>
      <top style="double">
        <color theme="4"/>
      </top>
      <bottom/>
      <diagonal/>
    </border>
    <border>
      <left style="double">
        <color theme="4"/>
      </left>
      <right style="dashed">
        <color theme="4"/>
      </right>
      <top/>
      <bottom/>
      <diagonal/>
    </border>
    <border>
      <left style="dashed">
        <color theme="4"/>
      </left>
      <right style="dashed">
        <color theme="4"/>
      </right>
      <top/>
      <bottom/>
      <diagonal/>
    </border>
    <border>
      <left style="dashed">
        <color theme="4"/>
      </left>
      <right style="double">
        <color theme="4"/>
      </right>
      <top/>
      <bottom/>
      <diagonal/>
    </border>
    <border>
      <left style="double">
        <color theme="4"/>
      </left>
      <right style="dashed">
        <color theme="4"/>
      </right>
      <top/>
      <bottom style="double">
        <color theme="4"/>
      </bottom>
      <diagonal/>
    </border>
    <border>
      <left style="dashed">
        <color theme="4"/>
      </left>
      <right style="dashed">
        <color theme="4"/>
      </right>
      <top/>
      <bottom style="double">
        <color theme="4"/>
      </bottom>
      <diagonal/>
    </border>
    <border>
      <left style="dashed">
        <color theme="4"/>
      </left>
      <right style="double">
        <color theme="4"/>
      </right>
      <top/>
      <bottom style="double">
        <color theme="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64" fontId="4" fillId="2" borderId="11" xfId="1" applyFont="1" applyFill="1" applyBorder="1"/>
    <xf numFmtId="0" fontId="3" fillId="2" borderId="7" xfId="0" applyFont="1" applyFill="1" applyBorder="1"/>
    <xf numFmtId="164" fontId="4" fillId="2" borderId="8" xfId="1" applyFont="1" applyFill="1" applyBorder="1"/>
    <xf numFmtId="0" fontId="3" fillId="0" borderId="4" xfId="0" applyFont="1" applyBorder="1"/>
    <xf numFmtId="164" fontId="4" fillId="0" borderId="5" xfId="1" applyFont="1" applyBorder="1"/>
    <xf numFmtId="164" fontId="4" fillId="0" borderId="6" xfId="1" applyFont="1" applyBorder="1"/>
    <xf numFmtId="0" fontId="3" fillId="0" borderId="7" xfId="0" applyFont="1" applyBorder="1"/>
    <xf numFmtId="164" fontId="4" fillId="0" borderId="8" xfId="1" applyFont="1" applyBorder="1"/>
    <xf numFmtId="164" fontId="4" fillId="0" borderId="9" xfId="1" applyFont="1" applyBorder="1"/>
    <xf numFmtId="164" fontId="4" fillId="0" borderId="11" xfId="1" applyFont="1" applyBorder="1"/>
    <xf numFmtId="164" fontId="4" fillId="0" borderId="12" xfId="1" applyFont="1" applyBorder="1"/>
    <xf numFmtId="8" fontId="3" fillId="0" borderId="10" xfId="0" applyNumberFormat="1" applyFont="1" applyBorder="1"/>
    <xf numFmtId="164" fontId="5" fillId="2" borderId="8" xfId="1" applyFont="1" applyFill="1" applyBorder="1"/>
    <xf numFmtId="164" fontId="5" fillId="2" borderId="9" xfId="1" applyFont="1" applyFill="1" applyBorder="1"/>
    <xf numFmtId="164" fontId="4" fillId="2" borderId="5" xfId="1" applyFont="1" applyFill="1" applyBorder="1"/>
    <xf numFmtId="0" fontId="4" fillId="0" borderId="0" xfId="0" applyFont="1" applyBorder="1"/>
    <xf numFmtId="164" fontId="4" fillId="0" borderId="0" xfId="1" applyFont="1" applyBorder="1"/>
    <xf numFmtId="0" fontId="3" fillId="0" borderId="10" xfId="0" applyFont="1" applyBorder="1"/>
    <xf numFmtId="0" fontId="3" fillId="2" borderId="1" xfId="0" applyFont="1" applyFill="1" applyBorder="1"/>
    <xf numFmtId="164" fontId="5" fillId="2" borderId="2" xfId="1" applyFont="1" applyFill="1" applyBorder="1"/>
    <xf numFmtId="164" fontId="5" fillId="3" borderId="3" xfId="1" applyFont="1" applyFill="1" applyBorder="1"/>
    <xf numFmtId="0" fontId="3" fillId="0" borderId="7" xfId="0" applyFont="1" applyFill="1" applyBorder="1"/>
    <xf numFmtId="164" fontId="0" fillId="0" borderId="0" xfId="0" applyNumberFormat="1"/>
    <xf numFmtId="0" fontId="4" fillId="0" borderId="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Repartition des ventes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'Trimestre 1'!$A$5</c:f>
              <c:strCache>
                <c:ptCount val="1"/>
                <c:pt idx="0">
                  <c:v>combinaisons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'Trimestre 1'!$B$4:$D$4</c:f>
              <c:strCache>
                <c:ptCount val="3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</c:strCache>
            </c:strRef>
          </c:cat>
          <c:val>
            <c:numRef>
              <c:f>'Trimestre 1'!$B$5:$D$5</c:f>
              <c:numCache>
                <c:formatCode>_-* #\ ##0.00\ _€_-;\-* #\ ##0.00\ _€_-;_-* "-"??\ _€_-;_-@_-</c:formatCode>
                <c:ptCount val="3"/>
                <c:pt idx="0">
                  <c:v>25321</c:v>
                </c:pt>
                <c:pt idx="1">
                  <c:v>25589</c:v>
                </c:pt>
                <c:pt idx="2">
                  <c:v>19874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34-4035-AEE7-D57E06CE5AD4}"/>
            </c:ext>
          </c:extLst>
        </c:ser>
        <c:ser>
          <c:idx val="1"/>
          <c:order val="1"/>
          <c:tx>
            <c:strRef>
              <c:f>'Trimestre 1'!$A$6</c:f>
              <c:strCache>
                <c:ptCount val="1"/>
                <c:pt idx="0">
                  <c:v>gants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'Trimestre 1'!$B$4:$D$4</c:f>
              <c:strCache>
                <c:ptCount val="3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</c:strCache>
            </c:strRef>
          </c:cat>
          <c:val>
            <c:numRef>
              <c:f>'Trimestre 1'!$B$6:$D$6</c:f>
              <c:numCache>
                <c:formatCode>_-* #\ ##0.00\ _€_-;\-* #\ ##0.00\ _€_-;_-* "-"??\ _€_-;_-@_-</c:formatCode>
                <c:ptCount val="3"/>
                <c:pt idx="0">
                  <c:v>12000</c:v>
                </c:pt>
                <c:pt idx="1">
                  <c:v>12129</c:v>
                </c:pt>
                <c:pt idx="2">
                  <c:v>12569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34-4035-AEE7-D57E06CE5AD4}"/>
            </c:ext>
          </c:extLst>
        </c:ser>
        <c:ser>
          <c:idx val="2"/>
          <c:order val="2"/>
          <c:tx>
            <c:strRef>
              <c:f>'Trimestre 1'!$A$7</c:f>
              <c:strCache>
                <c:ptCount val="1"/>
                <c:pt idx="0">
                  <c:v>chaussures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'Trimestre 1'!$B$4:$D$4</c:f>
              <c:strCache>
                <c:ptCount val="3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</c:strCache>
            </c:strRef>
          </c:cat>
          <c:val>
            <c:numRef>
              <c:f>'Trimestre 1'!$B$7:$D$7</c:f>
              <c:numCache>
                <c:formatCode>_-* #\ ##0.00\ _€_-;\-* #\ ##0.00\ _€_-;_-* "-"??\ _€_-;_-@_-</c:formatCode>
                <c:ptCount val="3"/>
                <c:pt idx="0">
                  <c:v>51000</c:v>
                </c:pt>
                <c:pt idx="1">
                  <c:v>52369</c:v>
                </c:pt>
                <c:pt idx="2">
                  <c:v>51459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34-4035-AEE7-D57E06CE5AD4}"/>
            </c:ext>
          </c:extLst>
        </c:ser>
        <c:ser>
          <c:idx val="3"/>
          <c:order val="3"/>
          <c:tx>
            <c:strRef>
              <c:f>'Trimestre 1'!$A$8</c:f>
              <c:strCache>
                <c:ptCount val="1"/>
                <c:pt idx="0">
                  <c:v>skis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'Trimestre 1'!$B$4:$D$4</c:f>
              <c:strCache>
                <c:ptCount val="3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</c:strCache>
            </c:strRef>
          </c:cat>
          <c:val>
            <c:numRef>
              <c:f>'Trimestre 1'!$B$8:$D$8</c:f>
              <c:numCache>
                <c:formatCode>_-* #\ ##0.00\ _€_-;\-* #\ ##0.00\ _€_-;_-* "-"??\ _€_-;_-@_-</c:formatCode>
                <c:ptCount val="3"/>
                <c:pt idx="0">
                  <c:v>23000</c:v>
                </c:pt>
                <c:pt idx="1">
                  <c:v>59745</c:v>
                </c:pt>
                <c:pt idx="2">
                  <c:v>51236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34-4035-AEE7-D57E06CE5AD4}"/>
            </c:ext>
          </c:extLst>
        </c:ser>
        <c:ser>
          <c:idx val="4"/>
          <c:order val="4"/>
          <c:tx>
            <c:strRef>
              <c:f>'Trimestre 1'!$A$9</c:f>
              <c:strCache>
                <c:ptCount val="1"/>
                <c:pt idx="0">
                  <c:v>bâtons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'Trimestre 1'!$B$4:$D$4</c:f>
              <c:strCache>
                <c:ptCount val="3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</c:strCache>
            </c:strRef>
          </c:cat>
          <c:val>
            <c:numRef>
              <c:f>'Trimestre 1'!$B$9:$D$9</c:f>
              <c:numCache>
                <c:formatCode>_-* #\ ##0.00\ _€_-;\-* #\ ##0.00\ _€_-;_-* "-"??\ _€_-;_-@_-</c:formatCode>
                <c:ptCount val="3"/>
                <c:pt idx="0">
                  <c:v>12301</c:v>
                </c:pt>
                <c:pt idx="1">
                  <c:v>11458</c:v>
                </c:pt>
                <c:pt idx="2">
                  <c:v>12654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34-4035-AEE7-D57E06CE5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15084152"/>
        <c:axId val="415087104"/>
      </c:barChart>
      <c:catAx>
        <c:axId val="415084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5087104"/>
        <c:crosses val="autoZero"/>
        <c:auto val="1"/>
        <c:lblAlgn val="ctr"/>
        <c:lblOffset val="100"/>
        <c:noMultiLvlLbl val="0"/>
      </c:catAx>
      <c:valAx>
        <c:axId val="41508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0\ _€_-;\-* #\ ##0.00\ _€_-;_-* &quot;-&quot;??\ _€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5084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 en </a:t>
            </a:r>
            <a:br>
              <a:rPr lang="en-US"/>
            </a:br>
            <a:r>
              <a:rPr lang="en-US"/>
              <a:t>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'Trimestre 1'!$E$4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'Trimestre 1'!$A$5:$A$9</c:f>
              <c:strCache>
                <c:ptCount val="5"/>
                <c:pt idx="0">
                  <c:v>combinaisons</c:v>
                </c:pt>
                <c:pt idx="1">
                  <c:v>gants</c:v>
                </c:pt>
                <c:pt idx="2">
                  <c:v>chaussures</c:v>
                </c:pt>
                <c:pt idx="3">
                  <c:v>skis</c:v>
                </c:pt>
                <c:pt idx="4">
                  <c:v>bâtons</c:v>
                </c:pt>
              </c:strCache>
            </c:strRef>
          </c:cat>
          <c:val>
            <c:numRef>
              <c:f>'Trimestre 1'!$E$5:$E$9</c:f>
              <c:numCache>
                <c:formatCode>_-* #\ ##0.00\ _€_-;\-* #\ ##0.00\ _€_-;_-* "-"??\ _€_-;_-@_-</c:formatCode>
                <c:ptCount val="5"/>
                <c:pt idx="0">
                  <c:v>70784</c:v>
                </c:pt>
                <c:pt idx="1">
                  <c:v>36698</c:v>
                </c:pt>
                <c:pt idx="2">
                  <c:v>154828</c:v>
                </c:pt>
                <c:pt idx="3">
                  <c:v>133981</c:v>
                </c:pt>
                <c:pt idx="4">
                  <c:v>36413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98-4907-89AE-D82EBF33A6A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773907</xdr:colOff>
      <xdr:row>0</xdr:row>
      <xdr:rowOff>71439</xdr:rowOff>
    </xdr:from>
    <xdr:to>
      <xdr:col>6</xdr:col>
      <xdr:colOff>845343</xdr:colOff>
      <xdr:row>2</xdr:row>
      <xdr:rowOff>35719</xdr:rowOff>
    </xdr:to>
    <xdr:sp macro="" textlink="">
      <xdr:nvSpPr>
        <xdr:cNvPr id="2" name="Rectangle : coins arrondis 1">
          <a:extLst>
            <a:ext uri="{FF2B5EF4-FFF2-40B4-BE49-F238E27FC236}">
              <a16:creationId xmlns:a16="http://schemas.microsoft.com/office/drawing/2014/main" id="{8CFEA117-79BC-4EB1-8643-879A9E91EE50}"/>
            </a:ext>
          </a:extLst>
        </xdr:cNvPr>
        <xdr:cNvSpPr/>
      </xdr:nvSpPr>
      <xdr:spPr>
        <a:xfrm>
          <a:off x="1934766" y="71439"/>
          <a:ext cx="4744640" cy="345280"/>
        </a:xfrm>
        <a:prstGeom prst="roundRect">
          <a:avLst>
            <a:gd name="adj" fmla="val 50000"/>
          </a:avLst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rgbClr val="70AD47">
                  <a:tint val="1000"/>
                </a:srgb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  <a:latin typeface="Cooper Black" panose="0208090404030B020404" pitchFamily="18" charset="0"/>
            </a:rPr>
            <a:t>VENTE RAYON</a:t>
          </a:r>
          <a:r>
            <a:rPr lang="fr-FR" sz="1400" b="1" cap="none" spc="50" baseline="0">
              <a:ln w="9525" cmpd="sng">
                <a:solidFill>
                  <a:schemeClr val="accent1"/>
                </a:solidFill>
                <a:prstDash val="solid"/>
              </a:ln>
              <a:solidFill>
                <a:srgbClr val="70AD47">
                  <a:tint val="1000"/>
                </a:srgb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  <a:latin typeface="Cooper Black" panose="0208090404030B020404" pitchFamily="18" charset="0"/>
            </a:rPr>
            <a:t> SPORT D'HIVER 2019</a:t>
          </a:r>
          <a:endParaRPr lang="fr-FR" sz="1400" b="1" cap="none" spc="50">
            <a:ln w="9525" cmpd="sng">
              <a:solidFill>
                <a:schemeClr val="accent1"/>
              </a:solidFill>
              <a:prstDash val="solid"/>
            </a:ln>
            <a:solidFill>
              <a:srgbClr val="70AD47">
                <a:tint val="1000"/>
              </a:srgbClr>
            </a:solidFill>
            <a:effectLst>
              <a:glow rad="38100">
                <a:schemeClr val="accent1">
                  <a:alpha val="40000"/>
                </a:schemeClr>
              </a:glow>
            </a:effectLst>
            <a:latin typeface="Cooper Black" panose="0208090404030B020404" pitchFamily="18" charset="0"/>
          </a:endParaRPr>
        </a:p>
      </xdr:txBody>
    </xdr:sp>
    <xdr:clientData/>
  </xdr:twoCellAnchor>
  <xdr:twoCellAnchor>
    <xdr:from>
      <xdr:col>0</xdr:col>
      <xdr:colOff>0</xdr:colOff>
      <xdr:row>15</xdr:row>
      <xdr:rowOff>134472</xdr:rowOff>
    </xdr:from>
    <xdr:to>
      <xdr:col>4</xdr:col>
      <xdr:colOff>661148</xdr:colOff>
      <xdr:row>28</xdr:row>
      <xdr:rowOff>100854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A65D546-EA23-45FA-B634-D315422582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868455</xdr:colOff>
      <xdr:row>14</xdr:row>
      <xdr:rowOff>212912</xdr:rowOff>
    </xdr:from>
    <xdr:to>
      <xdr:col>8</xdr:col>
      <xdr:colOff>515471</xdr:colOff>
      <xdr:row>28</xdr:row>
      <xdr:rowOff>66113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77769E6-6EDA-47AB-A598-8C5E76D4AF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773907</xdr:colOff>
      <xdr:row>0</xdr:row>
      <xdr:rowOff>71439</xdr:rowOff>
    </xdr:from>
    <xdr:to>
      <xdr:col>6</xdr:col>
      <xdr:colOff>845343</xdr:colOff>
      <xdr:row>2</xdr:row>
      <xdr:rowOff>35719</xdr:rowOff>
    </xdr:to>
    <xdr:sp macro="" textlink="">
      <xdr:nvSpPr>
        <xdr:cNvPr id="2" name="Rectangle : coins arrondis 1">
          <a:extLst>
            <a:ext uri="{FF2B5EF4-FFF2-40B4-BE49-F238E27FC236}">
              <a16:creationId xmlns:a16="http://schemas.microsoft.com/office/drawing/2014/main" id="{4BF83A7B-3B4C-4476-8FD0-0DE4E5BD0612}"/>
            </a:ext>
          </a:extLst>
        </xdr:cNvPr>
        <xdr:cNvSpPr/>
      </xdr:nvSpPr>
      <xdr:spPr>
        <a:xfrm>
          <a:off x="1935957" y="71439"/>
          <a:ext cx="4738686" cy="345280"/>
        </a:xfrm>
        <a:prstGeom prst="roundRect">
          <a:avLst>
            <a:gd name="adj" fmla="val 50000"/>
          </a:avLst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rgbClr val="70AD47">
                  <a:tint val="1000"/>
                </a:srgb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  <a:latin typeface="Cooper Black" panose="0208090404030B020404" pitchFamily="18" charset="0"/>
            </a:rPr>
            <a:t>VENTE RAYON</a:t>
          </a:r>
          <a:r>
            <a:rPr lang="fr-FR" sz="1400" b="1" cap="none" spc="50" baseline="0">
              <a:ln w="9525" cmpd="sng">
                <a:solidFill>
                  <a:schemeClr val="accent1"/>
                </a:solidFill>
                <a:prstDash val="solid"/>
              </a:ln>
              <a:solidFill>
                <a:srgbClr val="70AD47">
                  <a:tint val="1000"/>
                </a:srgb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  <a:latin typeface="Cooper Black" panose="0208090404030B020404" pitchFamily="18" charset="0"/>
            </a:rPr>
            <a:t> SPORT D'HIVER 2019</a:t>
          </a:r>
          <a:endParaRPr lang="fr-FR" sz="1400" b="1" cap="none" spc="50">
            <a:ln w="9525" cmpd="sng">
              <a:solidFill>
                <a:schemeClr val="accent1"/>
              </a:solidFill>
              <a:prstDash val="solid"/>
            </a:ln>
            <a:solidFill>
              <a:srgbClr val="70AD47">
                <a:tint val="1000"/>
              </a:srgbClr>
            </a:solidFill>
            <a:effectLst>
              <a:glow rad="38100">
                <a:schemeClr val="accent1">
                  <a:alpha val="40000"/>
                </a:schemeClr>
              </a:glow>
            </a:effectLst>
            <a:latin typeface="Cooper Black" panose="0208090404030B0204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773907</xdr:colOff>
      <xdr:row>0</xdr:row>
      <xdr:rowOff>71439</xdr:rowOff>
    </xdr:from>
    <xdr:to>
      <xdr:col>6</xdr:col>
      <xdr:colOff>845343</xdr:colOff>
      <xdr:row>2</xdr:row>
      <xdr:rowOff>35719</xdr:rowOff>
    </xdr:to>
    <xdr:sp macro="" textlink="">
      <xdr:nvSpPr>
        <xdr:cNvPr id="2" name="Rectangle : coins arrondis 1">
          <a:extLst>
            <a:ext uri="{FF2B5EF4-FFF2-40B4-BE49-F238E27FC236}">
              <a16:creationId xmlns:a16="http://schemas.microsoft.com/office/drawing/2014/main" id="{914E96B2-8116-455B-A9E5-AB8FDCC5873C}"/>
            </a:ext>
          </a:extLst>
        </xdr:cNvPr>
        <xdr:cNvSpPr/>
      </xdr:nvSpPr>
      <xdr:spPr>
        <a:xfrm>
          <a:off x="1935957" y="71439"/>
          <a:ext cx="4738686" cy="345280"/>
        </a:xfrm>
        <a:prstGeom prst="roundRect">
          <a:avLst>
            <a:gd name="adj" fmla="val 50000"/>
          </a:avLst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rgbClr val="70AD47">
                  <a:tint val="1000"/>
                </a:srgb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  <a:latin typeface="Cooper Black" panose="0208090404030B020404" pitchFamily="18" charset="0"/>
            </a:rPr>
            <a:t>VENTE RAYON</a:t>
          </a:r>
          <a:r>
            <a:rPr lang="fr-FR" sz="1400" b="1" cap="none" spc="50" baseline="0">
              <a:ln w="9525" cmpd="sng">
                <a:solidFill>
                  <a:schemeClr val="accent1"/>
                </a:solidFill>
                <a:prstDash val="solid"/>
              </a:ln>
              <a:solidFill>
                <a:srgbClr val="70AD47">
                  <a:tint val="1000"/>
                </a:srgb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  <a:latin typeface="Cooper Black" panose="0208090404030B020404" pitchFamily="18" charset="0"/>
            </a:rPr>
            <a:t> SPORT D'HIVER 2019</a:t>
          </a:r>
          <a:endParaRPr lang="fr-FR" sz="1400" b="1" cap="none" spc="50">
            <a:ln w="9525" cmpd="sng">
              <a:solidFill>
                <a:schemeClr val="accent1"/>
              </a:solidFill>
              <a:prstDash val="solid"/>
            </a:ln>
            <a:solidFill>
              <a:srgbClr val="70AD47">
                <a:tint val="1000"/>
              </a:srgbClr>
            </a:solidFill>
            <a:effectLst>
              <a:glow rad="38100">
                <a:schemeClr val="accent1">
                  <a:alpha val="40000"/>
                </a:schemeClr>
              </a:glow>
            </a:effectLst>
            <a:latin typeface="Cooper Black" panose="0208090404030B0204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773907</xdr:colOff>
      <xdr:row>0</xdr:row>
      <xdr:rowOff>71439</xdr:rowOff>
    </xdr:from>
    <xdr:to>
      <xdr:col>6</xdr:col>
      <xdr:colOff>845343</xdr:colOff>
      <xdr:row>2</xdr:row>
      <xdr:rowOff>35719</xdr:rowOff>
    </xdr:to>
    <xdr:sp macro="" textlink="">
      <xdr:nvSpPr>
        <xdr:cNvPr id="2" name="Rectangle : coins arrondis 1">
          <a:extLst>
            <a:ext uri="{FF2B5EF4-FFF2-40B4-BE49-F238E27FC236}">
              <a16:creationId xmlns:a16="http://schemas.microsoft.com/office/drawing/2014/main" id="{9540D73F-8571-40D0-A83D-53C22F713871}"/>
            </a:ext>
          </a:extLst>
        </xdr:cNvPr>
        <xdr:cNvSpPr/>
      </xdr:nvSpPr>
      <xdr:spPr>
        <a:xfrm>
          <a:off x="1935957" y="71439"/>
          <a:ext cx="4738686" cy="345280"/>
        </a:xfrm>
        <a:prstGeom prst="roundRect">
          <a:avLst>
            <a:gd name="adj" fmla="val 50000"/>
          </a:avLst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rgbClr val="70AD47">
                  <a:tint val="1000"/>
                </a:srgb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  <a:latin typeface="Cooper Black" panose="0208090404030B020404" pitchFamily="18" charset="0"/>
            </a:rPr>
            <a:t>VENTE RAYON</a:t>
          </a:r>
          <a:r>
            <a:rPr lang="fr-FR" sz="1400" b="1" cap="none" spc="50" baseline="0">
              <a:ln w="9525" cmpd="sng">
                <a:solidFill>
                  <a:schemeClr val="accent1"/>
                </a:solidFill>
                <a:prstDash val="solid"/>
              </a:ln>
              <a:solidFill>
                <a:srgbClr val="70AD47">
                  <a:tint val="1000"/>
                </a:srgb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  <a:latin typeface="Cooper Black" panose="0208090404030B020404" pitchFamily="18" charset="0"/>
            </a:rPr>
            <a:t> SPORT D'HIVER 2019</a:t>
          </a:r>
          <a:endParaRPr lang="fr-FR" sz="1400" b="1" cap="none" spc="50">
            <a:ln w="9525" cmpd="sng">
              <a:solidFill>
                <a:schemeClr val="accent1"/>
              </a:solidFill>
              <a:prstDash val="solid"/>
            </a:ln>
            <a:solidFill>
              <a:srgbClr val="70AD47">
                <a:tint val="1000"/>
              </a:srgbClr>
            </a:solidFill>
            <a:effectLst>
              <a:glow rad="38100">
                <a:schemeClr val="accent1">
                  <a:alpha val="40000"/>
                </a:schemeClr>
              </a:glow>
            </a:effectLst>
            <a:latin typeface="Cooper Black" panose="0208090404030B0204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6AC80-1C96-42D1-A9D3-2D89DF4B120B}">
  <dimension ref="A3:H16"/>
  <sheetViews>
    <sheetView tabSelected="1" zoomScale="85" zoomScaleNormal="85" workbookViewId="0">
      <selection activeCell="L17" sqref="L17"/>
    </sheetView>
  </sheetViews>
  <sheetFormatPr baseColWidth="10" defaultRowHeight="15" x14ac:dyDescent="0.25"/>
  <cols>
    <col min="1" max="1" width="17.42578125" style="19" customWidth="1"/>
    <col min="2" max="8" width="14" style="19" customWidth="1"/>
    <col min="9" max="16384" width="11.42578125" style="19"/>
  </cols>
  <sheetData>
    <row r="3" spans="1:8" ht="15.75" thickBot="1" x14ac:dyDescent="0.3"/>
    <row r="4" spans="1:8" s="27" customFormat="1" ht="19.5" customHeight="1" thickTop="1" thickBot="1" x14ac:dyDescent="0.3">
      <c r="B4" s="28" t="s">
        <v>11</v>
      </c>
      <c r="C4" s="29" t="s">
        <v>12</v>
      </c>
      <c r="D4" s="29" t="s">
        <v>13</v>
      </c>
      <c r="E4" s="29" t="s">
        <v>14</v>
      </c>
      <c r="F4" s="29" t="s">
        <v>8</v>
      </c>
      <c r="G4" s="29" t="s">
        <v>9</v>
      </c>
      <c r="H4" s="30" t="s">
        <v>10</v>
      </c>
    </row>
    <row r="5" spans="1:8" ht="19.5" customHeight="1" thickTop="1" x14ac:dyDescent="0.25">
      <c r="A5" s="7" t="s">
        <v>0</v>
      </c>
      <c r="B5" s="8">
        <v>25321</v>
      </c>
      <c r="C5" s="8">
        <v>25589</v>
      </c>
      <c r="D5" s="8">
        <v>19874</v>
      </c>
      <c r="E5" s="18">
        <f>SUM(B5:D5)</f>
        <v>70784</v>
      </c>
      <c r="F5" s="8">
        <f>AVERAGE(B5:D5)</f>
        <v>23594.666666666668</v>
      </c>
      <c r="G5" s="8">
        <f>MAX(B5:D5)</f>
        <v>25589</v>
      </c>
      <c r="H5" s="9">
        <f>MIN(B5:D5)</f>
        <v>19874</v>
      </c>
    </row>
    <row r="6" spans="1:8" ht="19.5" customHeight="1" x14ac:dyDescent="0.25">
      <c r="A6" s="10" t="s">
        <v>1</v>
      </c>
      <c r="B6" s="11">
        <v>12000</v>
      </c>
      <c r="C6" s="11">
        <v>12129</v>
      </c>
      <c r="D6" s="11">
        <v>12569</v>
      </c>
      <c r="E6" s="6">
        <f t="shared" ref="E6:E10" si="0">SUM(B6:D6)</f>
        <v>36698</v>
      </c>
      <c r="F6" s="11">
        <f t="shared" ref="F6:F9" si="1">AVERAGE(B6:D6)</f>
        <v>12232.666666666666</v>
      </c>
      <c r="G6" s="11">
        <f t="shared" ref="G6:G9" si="2">MAX(B6:D6)</f>
        <v>12569</v>
      </c>
      <c r="H6" s="12">
        <f t="shared" ref="H6:H9" si="3">MIN(B6:D6)</f>
        <v>12000</v>
      </c>
    </row>
    <row r="7" spans="1:8" ht="19.5" customHeight="1" x14ac:dyDescent="0.25">
      <c r="A7" s="10" t="s">
        <v>2</v>
      </c>
      <c r="B7" s="11">
        <v>51000</v>
      </c>
      <c r="C7" s="11">
        <v>52369</v>
      </c>
      <c r="D7" s="11">
        <v>51459</v>
      </c>
      <c r="E7" s="6">
        <f t="shared" si="0"/>
        <v>154828</v>
      </c>
      <c r="F7" s="11">
        <f t="shared" si="1"/>
        <v>51609.333333333336</v>
      </c>
      <c r="G7" s="11">
        <f t="shared" si="2"/>
        <v>52369</v>
      </c>
      <c r="H7" s="12">
        <f t="shared" si="3"/>
        <v>51000</v>
      </c>
    </row>
    <row r="8" spans="1:8" ht="19.5" customHeight="1" x14ac:dyDescent="0.25">
      <c r="A8" s="10" t="s">
        <v>3</v>
      </c>
      <c r="B8" s="11">
        <v>23000</v>
      </c>
      <c r="C8" s="11">
        <v>59745</v>
      </c>
      <c r="D8" s="11">
        <v>51236</v>
      </c>
      <c r="E8" s="6">
        <f t="shared" si="0"/>
        <v>133981</v>
      </c>
      <c r="F8" s="11">
        <f t="shared" si="1"/>
        <v>44660.333333333336</v>
      </c>
      <c r="G8" s="11">
        <f t="shared" si="2"/>
        <v>59745</v>
      </c>
      <c r="H8" s="12">
        <f t="shared" si="3"/>
        <v>23000</v>
      </c>
    </row>
    <row r="9" spans="1:8" ht="19.5" customHeight="1" thickBot="1" x14ac:dyDescent="0.3">
      <c r="A9" s="21" t="s">
        <v>4</v>
      </c>
      <c r="B9" s="13">
        <v>12301</v>
      </c>
      <c r="C9" s="13">
        <v>11458</v>
      </c>
      <c r="D9" s="13">
        <v>12654</v>
      </c>
      <c r="E9" s="4">
        <f t="shared" si="0"/>
        <v>36413</v>
      </c>
      <c r="F9" s="13">
        <f t="shared" si="1"/>
        <v>12137.666666666666</v>
      </c>
      <c r="G9" s="13">
        <f t="shared" si="2"/>
        <v>12654</v>
      </c>
      <c r="H9" s="14">
        <f t="shared" si="3"/>
        <v>11458</v>
      </c>
    </row>
    <row r="10" spans="1:8" ht="19.5" customHeight="1" thickTop="1" thickBot="1" x14ac:dyDescent="0.3">
      <c r="A10" s="22" t="s">
        <v>5</v>
      </c>
      <c r="B10" s="23">
        <f>SUM(B5:B9)</f>
        <v>123622</v>
      </c>
      <c r="C10" s="23">
        <f t="shared" ref="C10:D10" si="4">SUM(C5:C9)</f>
        <v>161290</v>
      </c>
      <c r="D10" s="23">
        <f t="shared" si="4"/>
        <v>147792</v>
      </c>
      <c r="E10" s="24">
        <f t="shared" si="0"/>
        <v>432704</v>
      </c>
      <c r="F10" s="20"/>
      <c r="G10" s="20"/>
      <c r="H10" s="20"/>
    </row>
    <row r="11" spans="1:8" ht="19.5" customHeight="1" thickTop="1" x14ac:dyDescent="0.25">
      <c r="A11" s="7" t="s">
        <v>6</v>
      </c>
      <c r="B11" s="8">
        <f>B10*0.2</f>
        <v>24724.400000000001</v>
      </c>
      <c r="C11" s="8">
        <f t="shared" ref="C11:D11" si="5">C10*0.2</f>
        <v>32258</v>
      </c>
      <c r="D11" s="9">
        <f t="shared" si="5"/>
        <v>29558.400000000001</v>
      </c>
      <c r="E11" s="20"/>
      <c r="F11" s="20"/>
      <c r="G11" s="20"/>
      <c r="H11" s="20"/>
    </row>
    <row r="12" spans="1:8" ht="19.5" customHeight="1" x14ac:dyDescent="0.25">
      <c r="A12" s="5" t="s">
        <v>7</v>
      </c>
      <c r="B12" s="16">
        <f>SUM(B10:B11)</f>
        <v>148346.4</v>
      </c>
      <c r="C12" s="16">
        <f t="shared" ref="C12:D12" si="6">SUM(C10:C11)</f>
        <v>193548</v>
      </c>
      <c r="D12" s="17">
        <f t="shared" si="6"/>
        <v>177350.39999999999</v>
      </c>
      <c r="E12" s="20"/>
      <c r="F12" s="20"/>
      <c r="G12" s="20"/>
      <c r="H12" s="20"/>
    </row>
    <row r="13" spans="1:8" ht="19.5" customHeight="1" x14ac:dyDescent="0.25">
      <c r="A13" s="10" t="s">
        <v>8</v>
      </c>
      <c r="B13" s="11">
        <f>AVERAGE(B5:B9)</f>
        <v>24724.400000000001</v>
      </c>
      <c r="C13" s="11">
        <f t="shared" ref="C13:D13" si="7">AVERAGE(C5:C9)</f>
        <v>32258</v>
      </c>
      <c r="D13" s="12">
        <f t="shared" si="7"/>
        <v>29558.400000000001</v>
      </c>
      <c r="E13" s="20"/>
      <c r="F13" s="20"/>
      <c r="G13" s="20"/>
      <c r="H13" s="20"/>
    </row>
    <row r="14" spans="1:8" ht="19.5" customHeight="1" x14ac:dyDescent="0.25">
      <c r="A14" s="10" t="s">
        <v>9</v>
      </c>
      <c r="B14" s="11">
        <f>MAX(B5:B9)</f>
        <v>51000</v>
      </c>
      <c r="C14" s="11">
        <f t="shared" ref="C14:D14" si="8">MAX(C5:C9)</f>
        <v>59745</v>
      </c>
      <c r="D14" s="12">
        <f t="shared" si="8"/>
        <v>51459</v>
      </c>
      <c r="E14" s="20"/>
      <c r="F14" s="20"/>
      <c r="G14" s="20"/>
      <c r="H14" s="20"/>
    </row>
    <row r="15" spans="1:8" ht="19.5" customHeight="1" thickBot="1" x14ac:dyDescent="0.3">
      <c r="A15" s="15" t="s">
        <v>10</v>
      </c>
      <c r="B15" s="13">
        <f>MIN(B5:B9)</f>
        <v>12000</v>
      </c>
      <c r="C15" s="13">
        <f t="shared" ref="C15:D15" si="9">MIN(C5:C9)</f>
        <v>11458</v>
      </c>
      <c r="D15" s="14">
        <f t="shared" si="9"/>
        <v>12569</v>
      </c>
      <c r="E15" s="20"/>
      <c r="F15" s="20"/>
      <c r="G15" s="20"/>
      <c r="H15" s="20"/>
    </row>
    <row r="16" spans="1:8" ht="15.75" thickTop="1" x14ac:dyDescent="0.25"/>
  </sheetData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&amp;L&amp;G&amp;R&amp;"-,Gras"&amp;22&amp;A</oddHeader>
    <oddFooter>&amp;R&amp;D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85D8C-249C-45AF-B2BD-866691663AC6}">
  <sheetPr>
    <tabColor rgb="FFFF0000"/>
  </sheetPr>
  <dimension ref="A3:H16"/>
  <sheetViews>
    <sheetView zoomScale="160" zoomScaleNormal="160" workbookViewId="0">
      <selection activeCell="G7" sqref="G7"/>
    </sheetView>
  </sheetViews>
  <sheetFormatPr baseColWidth="10" defaultRowHeight="15" x14ac:dyDescent="0.25"/>
  <cols>
    <col min="1" max="1" width="17.42578125" style="19" customWidth="1"/>
    <col min="2" max="8" width="14" style="19" customWidth="1"/>
    <col min="9" max="16384" width="11.42578125" style="19"/>
  </cols>
  <sheetData>
    <row r="3" spans="1:8" ht="15.75" thickBot="1" x14ac:dyDescent="0.3"/>
    <row r="4" spans="1:8" ht="23.25" customHeight="1" thickTop="1" thickBot="1" x14ac:dyDescent="0.3">
      <c r="B4" s="1" t="s">
        <v>15</v>
      </c>
      <c r="C4" s="2" t="s">
        <v>16</v>
      </c>
      <c r="D4" s="2" t="s">
        <v>17</v>
      </c>
      <c r="E4" s="2" t="s">
        <v>14</v>
      </c>
      <c r="F4" s="2" t="s">
        <v>8</v>
      </c>
      <c r="G4" s="2" t="s">
        <v>9</v>
      </c>
      <c r="H4" s="3" t="s">
        <v>10</v>
      </c>
    </row>
    <row r="5" spans="1:8" ht="23.25" customHeight="1" thickTop="1" x14ac:dyDescent="0.25">
      <c r="A5" s="7" t="s">
        <v>0</v>
      </c>
      <c r="B5" s="8">
        <v>25000</v>
      </c>
      <c r="C5" s="8">
        <v>25589</v>
      </c>
      <c r="D5" s="8">
        <v>19874</v>
      </c>
      <c r="E5" s="18">
        <f>SUM(B5:D5)</f>
        <v>70463</v>
      </c>
      <c r="F5" s="8">
        <f>AVERAGE(B5:D5)</f>
        <v>23487.666666666668</v>
      </c>
      <c r="G5" s="8">
        <f>MAX(B5:D5)</f>
        <v>25589</v>
      </c>
      <c r="H5" s="9">
        <f>MIN(B5:D5)</f>
        <v>19874</v>
      </c>
    </row>
    <row r="6" spans="1:8" ht="23.25" customHeight="1" x14ac:dyDescent="0.25">
      <c r="A6" s="10" t="s">
        <v>1</v>
      </c>
      <c r="B6" s="11">
        <v>56000</v>
      </c>
      <c r="C6" s="11">
        <v>12129</v>
      </c>
      <c r="D6" s="11">
        <v>12569</v>
      </c>
      <c r="E6" s="6">
        <f t="shared" ref="E6:E10" si="0">SUM(B6:D6)</f>
        <v>80698</v>
      </c>
      <c r="F6" s="11">
        <f t="shared" ref="F6:F9" si="1">AVERAGE(B6:D6)</f>
        <v>26899.333333333332</v>
      </c>
      <c r="G6" s="11">
        <f t="shared" ref="G6:G9" si="2">MAX(B6:D6)</f>
        <v>56000</v>
      </c>
      <c r="H6" s="12">
        <f t="shared" ref="H6:H9" si="3">MIN(B6:D6)</f>
        <v>12129</v>
      </c>
    </row>
    <row r="7" spans="1:8" ht="23.25" customHeight="1" x14ac:dyDescent="0.25">
      <c r="A7" s="10" t="s">
        <v>2</v>
      </c>
      <c r="B7" s="11">
        <v>51000</v>
      </c>
      <c r="C7" s="11">
        <v>52000</v>
      </c>
      <c r="D7" s="11">
        <v>51459</v>
      </c>
      <c r="E7" s="6">
        <f t="shared" si="0"/>
        <v>154459</v>
      </c>
      <c r="F7" s="11">
        <f t="shared" si="1"/>
        <v>51486.333333333336</v>
      </c>
      <c r="G7" s="11">
        <f t="shared" si="2"/>
        <v>52000</v>
      </c>
      <c r="H7" s="12">
        <f t="shared" si="3"/>
        <v>51000</v>
      </c>
    </row>
    <row r="8" spans="1:8" ht="23.25" customHeight="1" x14ac:dyDescent="0.25">
      <c r="A8" s="10" t="s">
        <v>3</v>
      </c>
      <c r="B8" s="11">
        <v>23000</v>
      </c>
      <c r="C8" s="11">
        <v>23000</v>
      </c>
      <c r="D8" s="11">
        <v>51236</v>
      </c>
      <c r="E8" s="6">
        <f t="shared" si="0"/>
        <v>97236</v>
      </c>
      <c r="F8" s="11">
        <f t="shared" si="1"/>
        <v>32412</v>
      </c>
      <c r="G8" s="11">
        <f t="shared" si="2"/>
        <v>51236</v>
      </c>
      <c r="H8" s="12">
        <f t="shared" si="3"/>
        <v>23000</v>
      </c>
    </row>
    <row r="9" spans="1:8" ht="23.25" customHeight="1" thickBot="1" x14ac:dyDescent="0.3">
      <c r="A9" s="21" t="s">
        <v>4</v>
      </c>
      <c r="B9" s="13">
        <v>12301</v>
      </c>
      <c r="C9" s="13">
        <v>11458</v>
      </c>
      <c r="D9" s="13">
        <v>12654</v>
      </c>
      <c r="E9" s="4">
        <f t="shared" si="0"/>
        <v>36413</v>
      </c>
      <c r="F9" s="13">
        <f t="shared" si="1"/>
        <v>12137.666666666666</v>
      </c>
      <c r="G9" s="13">
        <f t="shared" si="2"/>
        <v>12654</v>
      </c>
      <c r="H9" s="14">
        <f t="shared" si="3"/>
        <v>11458</v>
      </c>
    </row>
    <row r="10" spans="1:8" ht="23.25" customHeight="1" thickTop="1" thickBot="1" x14ac:dyDescent="0.3">
      <c r="A10" s="22" t="s">
        <v>5</v>
      </c>
      <c r="B10" s="23">
        <f>SUM(B5:B9)</f>
        <v>167301</v>
      </c>
      <c r="C10" s="23">
        <f t="shared" ref="C10:D10" si="4">SUM(C5:C9)</f>
        <v>124176</v>
      </c>
      <c r="D10" s="23">
        <f t="shared" si="4"/>
        <v>147792</v>
      </c>
      <c r="E10" s="24">
        <f t="shared" si="0"/>
        <v>439269</v>
      </c>
      <c r="F10" s="20"/>
      <c r="G10" s="20"/>
      <c r="H10" s="20"/>
    </row>
    <row r="11" spans="1:8" ht="23.25" customHeight="1" thickTop="1" x14ac:dyDescent="0.25">
      <c r="A11" s="7" t="s">
        <v>6</v>
      </c>
      <c r="B11" s="8">
        <f>B10*0.2</f>
        <v>33460.200000000004</v>
      </c>
      <c r="C11" s="8">
        <f t="shared" ref="C11:D11" si="5">C10*0.2</f>
        <v>24835.200000000001</v>
      </c>
      <c r="D11" s="9">
        <f t="shared" si="5"/>
        <v>29558.400000000001</v>
      </c>
      <c r="E11" s="20"/>
      <c r="F11" s="20"/>
      <c r="G11" s="20"/>
      <c r="H11" s="20"/>
    </row>
    <row r="12" spans="1:8" ht="23.25" customHeight="1" x14ac:dyDescent="0.25">
      <c r="A12" s="5" t="s">
        <v>7</v>
      </c>
      <c r="B12" s="16">
        <f>SUM(B10:B11)</f>
        <v>200761.2</v>
      </c>
      <c r="C12" s="16">
        <f t="shared" ref="C12:D12" si="6">SUM(C10:C11)</f>
        <v>149011.20000000001</v>
      </c>
      <c r="D12" s="17">
        <f t="shared" si="6"/>
        <v>177350.39999999999</v>
      </c>
      <c r="E12" s="20"/>
      <c r="F12" s="20"/>
      <c r="G12" s="20"/>
      <c r="H12" s="20"/>
    </row>
    <row r="13" spans="1:8" ht="23.25" customHeight="1" x14ac:dyDescent="0.25">
      <c r="A13" s="10" t="s">
        <v>8</v>
      </c>
      <c r="B13" s="11">
        <f>AVERAGE(B5:B9)</f>
        <v>33460.199999999997</v>
      </c>
      <c r="C13" s="11">
        <f t="shared" ref="C13:D13" si="7">AVERAGE(C5:C9)</f>
        <v>24835.200000000001</v>
      </c>
      <c r="D13" s="12">
        <f t="shared" si="7"/>
        <v>29558.400000000001</v>
      </c>
      <c r="E13" s="20"/>
      <c r="F13" s="20"/>
      <c r="G13" s="20"/>
      <c r="H13" s="20"/>
    </row>
    <row r="14" spans="1:8" ht="23.25" customHeight="1" x14ac:dyDescent="0.25">
      <c r="A14" s="10" t="s">
        <v>9</v>
      </c>
      <c r="B14" s="11">
        <f>MAX(B5:B9)</f>
        <v>56000</v>
      </c>
      <c r="C14" s="11">
        <f t="shared" ref="C14:D14" si="8">MAX(C5:C9)</f>
        <v>52000</v>
      </c>
      <c r="D14" s="12">
        <f t="shared" si="8"/>
        <v>51459</v>
      </c>
      <c r="E14" s="20"/>
      <c r="F14" s="20"/>
      <c r="G14" s="20"/>
      <c r="H14" s="20"/>
    </row>
    <row r="15" spans="1:8" ht="23.25" customHeight="1" thickBot="1" x14ac:dyDescent="0.3">
      <c r="A15" s="15" t="s">
        <v>10</v>
      </c>
      <c r="B15" s="13">
        <f>MIN(B5:B9)</f>
        <v>12301</v>
      </c>
      <c r="C15" s="13">
        <f t="shared" ref="C15:D15" si="9">MIN(C5:C9)</f>
        <v>11458</v>
      </c>
      <c r="D15" s="14">
        <f t="shared" si="9"/>
        <v>12569</v>
      </c>
      <c r="E15" s="20"/>
      <c r="F15" s="20"/>
      <c r="G15" s="20"/>
      <c r="H15" s="20"/>
    </row>
    <row r="16" spans="1:8" ht="15.75" thickTop="1" x14ac:dyDescent="0.25"/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&amp;L&amp;G&amp;R&amp;"-,Gras"&amp;22&amp;A</oddHeader>
    <oddFooter>&amp;R&amp;D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F34D5-B8CA-408A-8744-CA41F7306285}">
  <dimension ref="A3:H16"/>
  <sheetViews>
    <sheetView zoomScale="160" zoomScaleNormal="160" workbookViewId="0">
      <selection activeCell="G7" sqref="G7"/>
    </sheetView>
  </sheetViews>
  <sheetFormatPr baseColWidth="10" defaultRowHeight="15" x14ac:dyDescent="0.25"/>
  <cols>
    <col min="1" max="1" width="17.42578125" style="19" customWidth="1"/>
    <col min="2" max="8" width="14" style="19" customWidth="1"/>
    <col min="9" max="16384" width="11.42578125" style="19"/>
  </cols>
  <sheetData>
    <row r="3" spans="1:8" ht="15.75" thickBot="1" x14ac:dyDescent="0.3"/>
    <row r="4" spans="1:8" ht="23.25" customHeight="1" thickTop="1" thickBot="1" x14ac:dyDescent="0.3">
      <c r="B4" s="1" t="s">
        <v>18</v>
      </c>
      <c r="C4" s="2" t="s">
        <v>19</v>
      </c>
      <c r="D4" s="2" t="s">
        <v>20</v>
      </c>
      <c r="E4" s="2" t="s">
        <v>14</v>
      </c>
      <c r="F4" s="2" t="s">
        <v>8</v>
      </c>
      <c r="G4" s="2" t="s">
        <v>9</v>
      </c>
      <c r="H4" s="3" t="s">
        <v>10</v>
      </c>
    </row>
    <row r="5" spans="1:8" ht="23.25" customHeight="1" thickTop="1" x14ac:dyDescent="0.25">
      <c r="A5" s="7" t="s">
        <v>0</v>
      </c>
      <c r="B5" s="8">
        <v>25000</v>
      </c>
      <c r="C5" s="8">
        <v>25589</v>
      </c>
      <c r="D5" s="8">
        <v>19874</v>
      </c>
      <c r="E5" s="18">
        <f>SUM(B5:D5)</f>
        <v>70463</v>
      </c>
      <c r="F5" s="8">
        <f>AVERAGE(B5:D5)</f>
        <v>23487.666666666668</v>
      </c>
      <c r="G5" s="8">
        <f>MAX(B5:D5)</f>
        <v>25589</v>
      </c>
      <c r="H5" s="9">
        <f>MIN(B5:D5)</f>
        <v>19874</v>
      </c>
    </row>
    <row r="6" spans="1:8" ht="23.25" customHeight="1" x14ac:dyDescent="0.25">
      <c r="A6" s="10" t="s">
        <v>1</v>
      </c>
      <c r="B6" s="11">
        <v>56000</v>
      </c>
      <c r="C6" s="11">
        <v>12129</v>
      </c>
      <c r="D6" s="11">
        <v>12569</v>
      </c>
      <c r="E6" s="6">
        <f t="shared" ref="E6:E9" si="0">SUM(B6:D6)</f>
        <v>80698</v>
      </c>
      <c r="F6" s="11">
        <f t="shared" ref="F6:F9" si="1">AVERAGE(B6:D6)</f>
        <v>26899.333333333332</v>
      </c>
      <c r="G6" s="11">
        <f t="shared" ref="G6:G9" si="2">MAX(B6:D6)</f>
        <v>56000</v>
      </c>
      <c r="H6" s="12">
        <f t="shared" ref="H6:H9" si="3">MIN(B6:D6)</f>
        <v>12129</v>
      </c>
    </row>
    <row r="7" spans="1:8" ht="23.25" customHeight="1" x14ac:dyDescent="0.25">
      <c r="A7" s="10" t="s">
        <v>2</v>
      </c>
      <c r="B7" s="11">
        <v>51000</v>
      </c>
      <c r="C7" s="11">
        <v>52000</v>
      </c>
      <c r="D7" s="11">
        <v>51459</v>
      </c>
      <c r="E7" s="6">
        <f t="shared" si="0"/>
        <v>154459</v>
      </c>
      <c r="F7" s="11">
        <f t="shared" si="1"/>
        <v>51486.333333333336</v>
      </c>
      <c r="G7" s="11">
        <f t="shared" si="2"/>
        <v>52000</v>
      </c>
      <c r="H7" s="12">
        <f t="shared" si="3"/>
        <v>51000</v>
      </c>
    </row>
    <row r="8" spans="1:8" ht="23.25" customHeight="1" x14ac:dyDescent="0.25">
      <c r="A8" s="10" t="s">
        <v>3</v>
      </c>
      <c r="B8" s="11">
        <v>23000</v>
      </c>
      <c r="C8" s="11">
        <v>23000</v>
      </c>
      <c r="D8" s="11">
        <v>51236</v>
      </c>
      <c r="E8" s="6">
        <f t="shared" si="0"/>
        <v>97236</v>
      </c>
      <c r="F8" s="11">
        <f t="shared" si="1"/>
        <v>32412</v>
      </c>
      <c r="G8" s="11">
        <f t="shared" si="2"/>
        <v>51236</v>
      </c>
      <c r="H8" s="12">
        <f t="shared" si="3"/>
        <v>23000</v>
      </c>
    </row>
    <row r="9" spans="1:8" ht="23.25" customHeight="1" thickBot="1" x14ac:dyDescent="0.3">
      <c r="A9" s="21" t="s">
        <v>4</v>
      </c>
      <c r="B9" s="13">
        <v>12301</v>
      </c>
      <c r="C9" s="13">
        <v>11458</v>
      </c>
      <c r="D9" s="13">
        <v>12654</v>
      </c>
      <c r="E9" s="4">
        <f t="shared" si="0"/>
        <v>36413</v>
      </c>
      <c r="F9" s="13">
        <f t="shared" si="1"/>
        <v>12137.666666666666</v>
      </c>
      <c r="G9" s="13">
        <f t="shared" si="2"/>
        <v>12654</v>
      </c>
      <c r="H9" s="14">
        <f t="shared" si="3"/>
        <v>11458</v>
      </c>
    </row>
    <row r="10" spans="1:8" ht="23.25" customHeight="1" thickTop="1" thickBot="1" x14ac:dyDescent="0.3">
      <c r="A10" s="22" t="s">
        <v>5</v>
      </c>
      <c r="B10" s="23">
        <f>SUM(B5:B9)</f>
        <v>167301</v>
      </c>
      <c r="C10" s="23">
        <f t="shared" ref="C10:D10" si="4">SUM(C5:C9)</f>
        <v>124176</v>
      </c>
      <c r="D10" s="23">
        <f t="shared" si="4"/>
        <v>147792</v>
      </c>
      <c r="E10" s="24">
        <f t="shared" ref="E10" si="5">SUM(B10:D10)</f>
        <v>439269</v>
      </c>
      <c r="F10" s="20"/>
      <c r="G10" s="20"/>
      <c r="H10" s="20"/>
    </row>
    <row r="11" spans="1:8" ht="23.25" customHeight="1" thickTop="1" x14ac:dyDescent="0.25">
      <c r="A11" s="7" t="s">
        <v>6</v>
      </c>
      <c r="B11" s="8">
        <f>B10*0.2</f>
        <v>33460.200000000004</v>
      </c>
      <c r="C11" s="8">
        <f t="shared" ref="C11:D11" si="6">C10*0.2</f>
        <v>24835.200000000001</v>
      </c>
      <c r="D11" s="9">
        <f t="shared" si="6"/>
        <v>29558.400000000001</v>
      </c>
      <c r="E11" s="20"/>
      <c r="F11" s="20"/>
      <c r="G11" s="20"/>
      <c r="H11" s="20"/>
    </row>
    <row r="12" spans="1:8" ht="23.25" customHeight="1" x14ac:dyDescent="0.25">
      <c r="A12" s="5" t="s">
        <v>7</v>
      </c>
      <c r="B12" s="16">
        <f>SUM(B10:B11)</f>
        <v>200761.2</v>
      </c>
      <c r="C12" s="16">
        <f t="shared" ref="C12:D12" si="7">SUM(C10:C11)</f>
        <v>149011.20000000001</v>
      </c>
      <c r="D12" s="17">
        <f t="shared" si="7"/>
        <v>177350.39999999999</v>
      </c>
      <c r="E12" s="20"/>
      <c r="F12" s="20"/>
      <c r="G12" s="20"/>
      <c r="H12" s="20"/>
    </row>
    <row r="13" spans="1:8" ht="23.25" customHeight="1" x14ac:dyDescent="0.25">
      <c r="A13" s="10" t="s">
        <v>8</v>
      </c>
      <c r="B13" s="11">
        <f>AVERAGE(B5:B9)</f>
        <v>33460.199999999997</v>
      </c>
      <c r="C13" s="11">
        <f t="shared" ref="C13:D13" si="8">AVERAGE(C5:C9)</f>
        <v>24835.200000000001</v>
      </c>
      <c r="D13" s="12">
        <f t="shared" si="8"/>
        <v>29558.400000000001</v>
      </c>
      <c r="E13" s="20"/>
      <c r="F13" s="20"/>
      <c r="G13" s="20"/>
      <c r="H13" s="20"/>
    </row>
    <row r="14" spans="1:8" ht="23.25" customHeight="1" x14ac:dyDescent="0.25">
      <c r="A14" s="10" t="s">
        <v>9</v>
      </c>
      <c r="B14" s="11">
        <f>MAX(B5:B9)</f>
        <v>56000</v>
      </c>
      <c r="C14" s="11">
        <f t="shared" ref="C14:D14" si="9">MAX(C5:C9)</f>
        <v>52000</v>
      </c>
      <c r="D14" s="12">
        <f t="shared" si="9"/>
        <v>51459</v>
      </c>
      <c r="E14" s="20"/>
      <c r="F14" s="20"/>
      <c r="G14" s="20"/>
      <c r="H14" s="20"/>
    </row>
    <row r="15" spans="1:8" ht="23.25" customHeight="1" thickBot="1" x14ac:dyDescent="0.3">
      <c r="A15" s="15" t="s">
        <v>10</v>
      </c>
      <c r="B15" s="13">
        <f>MIN(B5:B9)</f>
        <v>12301</v>
      </c>
      <c r="C15" s="13">
        <f t="shared" ref="C15:D15" si="10">MIN(C5:C9)</f>
        <v>11458</v>
      </c>
      <c r="D15" s="14">
        <f t="shared" si="10"/>
        <v>12569</v>
      </c>
      <c r="E15" s="20"/>
      <c r="F15" s="20"/>
      <c r="G15" s="20"/>
      <c r="H15" s="20"/>
    </row>
    <row r="16" spans="1:8" ht="15.75" thickTop="1" x14ac:dyDescent="0.25"/>
  </sheetData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&amp;L&amp;G&amp;R&amp;"-,Gras"&amp;22&amp;A</oddHeader>
    <oddFooter>&amp;R&amp;D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74EA3-29FF-4D9B-85C8-0E3A006E3571}">
  <sheetPr>
    <tabColor theme="7" tint="0.39997558519241921"/>
  </sheetPr>
  <dimension ref="A3:H16"/>
  <sheetViews>
    <sheetView zoomScale="160" zoomScaleNormal="160" workbookViewId="0">
      <selection activeCell="G7" sqref="G7"/>
    </sheetView>
  </sheetViews>
  <sheetFormatPr baseColWidth="10" defaultRowHeight="15" x14ac:dyDescent="0.25"/>
  <cols>
    <col min="1" max="1" width="17.42578125" style="19" customWidth="1"/>
    <col min="2" max="8" width="14" style="19" customWidth="1"/>
    <col min="9" max="16384" width="11.42578125" style="19"/>
  </cols>
  <sheetData>
    <row r="3" spans="1:8" ht="15.75" thickBot="1" x14ac:dyDescent="0.3"/>
    <row r="4" spans="1:8" ht="23.25" customHeight="1" thickTop="1" thickBot="1" x14ac:dyDescent="0.3">
      <c r="B4" s="1" t="s">
        <v>21</v>
      </c>
      <c r="C4" s="2" t="s">
        <v>22</v>
      </c>
      <c r="D4" s="2" t="s">
        <v>23</v>
      </c>
      <c r="E4" s="2" t="s">
        <v>14</v>
      </c>
      <c r="F4" s="2" t="s">
        <v>8</v>
      </c>
      <c r="G4" s="2" t="s">
        <v>9</v>
      </c>
      <c r="H4" s="3" t="s">
        <v>10</v>
      </c>
    </row>
    <row r="5" spans="1:8" ht="23.25" customHeight="1" thickTop="1" x14ac:dyDescent="0.25">
      <c r="A5" s="7" t="s">
        <v>0</v>
      </c>
      <c r="B5" s="8">
        <v>25000</v>
      </c>
      <c r="C5" s="8">
        <v>25589</v>
      </c>
      <c r="D5" s="8">
        <v>19874</v>
      </c>
      <c r="E5" s="18">
        <f>SUM(B5:D5)</f>
        <v>70463</v>
      </c>
      <c r="F5" s="8">
        <f>AVERAGE(B5:D5)</f>
        <v>23487.666666666668</v>
      </c>
      <c r="G5" s="8">
        <f>MAX(B5:D5)</f>
        <v>25589</v>
      </c>
      <c r="H5" s="9">
        <f>MIN(B5:D5)</f>
        <v>19874</v>
      </c>
    </row>
    <row r="6" spans="1:8" ht="23.25" customHeight="1" x14ac:dyDescent="0.25">
      <c r="A6" s="10" t="s">
        <v>1</v>
      </c>
      <c r="B6" s="11">
        <v>56000</v>
      </c>
      <c r="C6" s="11">
        <v>15000</v>
      </c>
      <c r="D6" s="11">
        <v>12569</v>
      </c>
      <c r="E6" s="6">
        <f t="shared" ref="E6:E10" si="0">SUM(B6:D6)</f>
        <v>83569</v>
      </c>
      <c r="F6" s="11">
        <f t="shared" ref="F6:F9" si="1">AVERAGE(B6:D6)</f>
        <v>27856.333333333332</v>
      </c>
      <c r="G6" s="11">
        <f t="shared" ref="G6:G9" si="2">MAX(B6:D6)</f>
        <v>56000</v>
      </c>
      <c r="H6" s="12">
        <f t="shared" ref="H6:H9" si="3">MIN(B6:D6)</f>
        <v>12569</v>
      </c>
    </row>
    <row r="7" spans="1:8" ht="23.25" customHeight="1" x14ac:dyDescent="0.25">
      <c r="A7" s="10" t="s">
        <v>2</v>
      </c>
      <c r="B7" s="11">
        <v>51000</v>
      </c>
      <c r="C7" s="11">
        <v>52000</v>
      </c>
      <c r="D7" s="11">
        <v>51459</v>
      </c>
      <c r="E7" s="6">
        <f t="shared" si="0"/>
        <v>154459</v>
      </c>
      <c r="F7" s="11">
        <f t="shared" si="1"/>
        <v>51486.333333333336</v>
      </c>
      <c r="G7" s="11">
        <f t="shared" si="2"/>
        <v>52000</v>
      </c>
      <c r="H7" s="12">
        <f t="shared" si="3"/>
        <v>51000</v>
      </c>
    </row>
    <row r="8" spans="1:8" ht="23.25" customHeight="1" x14ac:dyDescent="0.25">
      <c r="A8" s="10" t="s">
        <v>3</v>
      </c>
      <c r="B8" s="11">
        <v>12000</v>
      </c>
      <c r="C8" s="11">
        <v>23000</v>
      </c>
      <c r="D8" s="11">
        <v>56000</v>
      </c>
      <c r="E8" s="6">
        <f t="shared" si="0"/>
        <v>91000</v>
      </c>
      <c r="F8" s="11">
        <f t="shared" si="1"/>
        <v>30333.333333333332</v>
      </c>
      <c r="G8" s="11">
        <f t="shared" si="2"/>
        <v>56000</v>
      </c>
      <c r="H8" s="12">
        <f t="shared" si="3"/>
        <v>12000</v>
      </c>
    </row>
    <row r="9" spans="1:8" ht="23.25" customHeight="1" thickBot="1" x14ac:dyDescent="0.3">
      <c r="A9" s="21" t="s">
        <v>4</v>
      </c>
      <c r="B9" s="13">
        <v>12301</v>
      </c>
      <c r="C9" s="13">
        <v>11458</v>
      </c>
      <c r="D9" s="13">
        <v>12654</v>
      </c>
      <c r="E9" s="4">
        <f t="shared" si="0"/>
        <v>36413</v>
      </c>
      <c r="F9" s="13">
        <f t="shared" si="1"/>
        <v>12137.666666666666</v>
      </c>
      <c r="G9" s="13">
        <f t="shared" si="2"/>
        <v>12654</v>
      </c>
      <c r="H9" s="14">
        <f t="shared" si="3"/>
        <v>11458</v>
      </c>
    </row>
    <row r="10" spans="1:8" ht="23.25" customHeight="1" thickTop="1" thickBot="1" x14ac:dyDescent="0.3">
      <c r="A10" s="22" t="s">
        <v>5</v>
      </c>
      <c r="B10" s="23">
        <f>SUM(B5:B9)</f>
        <v>156301</v>
      </c>
      <c r="C10" s="23">
        <f t="shared" ref="C10:D10" si="4">SUM(C5:C9)</f>
        <v>127047</v>
      </c>
      <c r="D10" s="23">
        <f t="shared" si="4"/>
        <v>152556</v>
      </c>
      <c r="E10" s="24">
        <f t="shared" si="0"/>
        <v>435904</v>
      </c>
      <c r="F10" s="20"/>
      <c r="G10" s="20"/>
      <c r="H10" s="20"/>
    </row>
    <row r="11" spans="1:8" ht="23.25" customHeight="1" thickTop="1" x14ac:dyDescent="0.25">
      <c r="A11" s="7" t="s">
        <v>6</v>
      </c>
      <c r="B11" s="8">
        <f>B10*0.2</f>
        <v>31260.2</v>
      </c>
      <c r="C11" s="8">
        <f t="shared" ref="C11:D11" si="5">C10*0.2</f>
        <v>25409.4</v>
      </c>
      <c r="D11" s="9">
        <f t="shared" si="5"/>
        <v>30511.200000000001</v>
      </c>
      <c r="E11" s="20"/>
      <c r="F11" s="20"/>
      <c r="G11" s="20"/>
      <c r="H11" s="20"/>
    </row>
    <row r="12" spans="1:8" ht="23.25" customHeight="1" x14ac:dyDescent="0.25">
      <c r="A12" s="5" t="s">
        <v>7</v>
      </c>
      <c r="B12" s="16">
        <f>SUM(B10:B11)</f>
        <v>187561.2</v>
      </c>
      <c r="C12" s="16">
        <f t="shared" ref="C12:D12" si="6">SUM(C10:C11)</f>
        <v>152456.4</v>
      </c>
      <c r="D12" s="17">
        <f t="shared" si="6"/>
        <v>183067.2</v>
      </c>
      <c r="E12" s="20"/>
      <c r="F12" s="20"/>
      <c r="G12" s="20"/>
      <c r="H12" s="20"/>
    </row>
    <row r="13" spans="1:8" ht="23.25" customHeight="1" x14ac:dyDescent="0.25">
      <c r="A13" s="10" t="s">
        <v>8</v>
      </c>
      <c r="B13" s="11">
        <f>AVERAGE(B5:B9)</f>
        <v>31260.2</v>
      </c>
      <c r="C13" s="11">
        <f t="shared" ref="C13:D13" si="7">AVERAGE(C5:C9)</f>
        <v>25409.4</v>
      </c>
      <c r="D13" s="12">
        <f t="shared" si="7"/>
        <v>30511.200000000001</v>
      </c>
      <c r="E13" s="20"/>
      <c r="F13" s="20"/>
      <c r="G13" s="20"/>
      <c r="H13" s="20"/>
    </row>
    <row r="14" spans="1:8" ht="23.25" customHeight="1" x14ac:dyDescent="0.25">
      <c r="A14" s="10" t="s">
        <v>9</v>
      </c>
      <c r="B14" s="11">
        <f>MAX(B5:B9)</f>
        <v>56000</v>
      </c>
      <c r="C14" s="11">
        <f t="shared" ref="C14:D14" si="8">MAX(C5:C9)</f>
        <v>52000</v>
      </c>
      <c r="D14" s="12">
        <f t="shared" si="8"/>
        <v>56000</v>
      </c>
      <c r="E14" s="20"/>
      <c r="F14" s="20"/>
      <c r="G14" s="20"/>
      <c r="H14" s="20"/>
    </row>
    <row r="15" spans="1:8" ht="23.25" customHeight="1" thickBot="1" x14ac:dyDescent="0.3">
      <c r="A15" s="15" t="s">
        <v>10</v>
      </c>
      <c r="B15" s="13">
        <f>MIN(B5:B9)</f>
        <v>12000</v>
      </c>
      <c r="C15" s="13">
        <f t="shared" ref="C15:D15" si="9">MIN(C5:C9)</f>
        <v>11458</v>
      </c>
      <c r="D15" s="14">
        <f t="shared" si="9"/>
        <v>12569</v>
      </c>
      <c r="E15" s="20"/>
      <c r="F15" s="20"/>
      <c r="G15" s="20"/>
      <c r="H15" s="20"/>
    </row>
    <row r="16" spans="1:8" ht="15.75" thickTop="1" x14ac:dyDescent="0.25"/>
  </sheetData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&amp;L&amp;G&amp;R&amp;"-,Gras"&amp;22&amp;A</oddHeader>
    <oddFooter>&amp;R&amp;D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6B819-B7E9-4C4C-B533-993ED8D8D4DF}">
  <dimension ref="B2:I15"/>
  <sheetViews>
    <sheetView workbookViewId="0">
      <selection activeCell="F15" sqref="F15"/>
    </sheetView>
  </sheetViews>
  <sheetFormatPr baseColWidth="10" defaultRowHeight="15" x14ac:dyDescent="0.25"/>
  <cols>
    <col min="2" max="2" width="15.42578125" customWidth="1"/>
    <col min="3" max="3" width="16.7109375" customWidth="1"/>
    <col min="5" max="5" width="14.28515625" customWidth="1"/>
    <col min="6" max="6" width="12.85546875" bestFit="1" customWidth="1"/>
  </cols>
  <sheetData>
    <row r="2" spans="2:9" ht="15.75" thickBot="1" x14ac:dyDescent="0.3">
      <c r="C2" t="s">
        <v>24</v>
      </c>
      <c r="F2" t="s">
        <v>28</v>
      </c>
      <c r="I2" t="s">
        <v>28</v>
      </c>
    </row>
    <row r="3" spans="2:9" ht="15.75" thickTop="1" x14ac:dyDescent="0.25">
      <c r="B3" s="7" t="s">
        <v>0</v>
      </c>
      <c r="E3" t="s">
        <v>11</v>
      </c>
      <c r="F3" s="26">
        <f>'Trimestre 1'!B10</f>
        <v>123622</v>
      </c>
      <c r="H3" t="s">
        <v>29</v>
      </c>
    </row>
    <row r="4" spans="2:9" x14ac:dyDescent="0.25">
      <c r="B4" s="10" t="s">
        <v>1</v>
      </c>
      <c r="E4" t="s">
        <v>12</v>
      </c>
      <c r="F4" s="26">
        <f>'Trimestre 1'!C10</f>
        <v>161290</v>
      </c>
      <c r="H4" t="s">
        <v>30</v>
      </c>
    </row>
    <row r="5" spans="2:9" x14ac:dyDescent="0.25">
      <c r="B5" s="10" t="s">
        <v>2</v>
      </c>
      <c r="E5" t="s">
        <v>13</v>
      </c>
      <c r="F5" s="26">
        <f>'Trimestre 1'!D10</f>
        <v>147792</v>
      </c>
      <c r="H5" t="s">
        <v>31</v>
      </c>
    </row>
    <row r="6" spans="2:9" x14ac:dyDescent="0.25">
      <c r="B6" s="10" t="s">
        <v>3</v>
      </c>
      <c r="E6" t="s">
        <v>15</v>
      </c>
      <c r="F6" s="26">
        <f>'Trimestre 2'!B10</f>
        <v>167301</v>
      </c>
      <c r="H6" t="s">
        <v>32</v>
      </c>
    </row>
    <row r="7" spans="2:9" ht="15.75" thickBot="1" x14ac:dyDescent="0.3">
      <c r="B7" s="21" t="s">
        <v>4</v>
      </c>
      <c r="E7" t="s">
        <v>16</v>
      </c>
      <c r="F7" s="26">
        <f>'Trimestre 2'!C10</f>
        <v>124176</v>
      </c>
      <c r="H7" t="s">
        <v>14</v>
      </c>
    </row>
    <row r="8" spans="2:9" ht="15.75" thickTop="1" x14ac:dyDescent="0.25">
      <c r="B8" s="25" t="s">
        <v>14</v>
      </c>
      <c r="E8" t="s">
        <v>17</v>
      </c>
      <c r="F8" s="26">
        <f>'Trimestre 2'!D10</f>
        <v>147792</v>
      </c>
    </row>
    <row r="9" spans="2:9" x14ac:dyDescent="0.25">
      <c r="E9" t="s">
        <v>18</v>
      </c>
      <c r="F9" s="26">
        <f>'Trimestre 3'!B10</f>
        <v>167301</v>
      </c>
    </row>
    <row r="10" spans="2:9" x14ac:dyDescent="0.25">
      <c r="E10" t="s">
        <v>19</v>
      </c>
      <c r="F10" s="26">
        <f>'Trimestre 3'!C10</f>
        <v>124176</v>
      </c>
    </row>
    <row r="11" spans="2:9" x14ac:dyDescent="0.25">
      <c r="E11" t="s">
        <v>20</v>
      </c>
      <c r="F11" s="26">
        <f>'Trimestre 3'!D10</f>
        <v>147792</v>
      </c>
    </row>
    <row r="12" spans="2:9" x14ac:dyDescent="0.25">
      <c r="E12" t="s">
        <v>25</v>
      </c>
      <c r="F12" s="26">
        <f>'Trimestre 4'!B10</f>
        <v>156301</v>
      </c>
    </row>
    <row r="13" spans="2:9" x14ac:dyDescent="0.25">
      <c r="E13" t="s">
        <v>26</v>
      </c>
      <c r="F13" s="26">
        <f>'Trimestre 4'!C10</f>
        <v>127047</v>
      </c>
    </row>
    <row r="14" spans="2:9" x14ac:dyDescent="0.25">
      <c r="E14" t="s">
        <v>27</v>
      </c>
      <c r="F14" s="26">
        <f>'Trimestre 4'!D10</f>
        <v>152556</v>
      </c>
    </row>
    <row r="15" spans="2:9" x14ac:dyDescent="0.25">
      <c r="E15" t="s">
        <v>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Trimestre 1</vt:lpstr>
      <vt:lpstr>Trimestre 2</vt:lpstr>
      <vt:lpstr>Trimestre 3</vt:lpstr>
      <vt:lpstr>Trimestre 4</vt:lpstr>
      <vt:lpstr>RECAP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</dc:creator>
  <cp:lastModifiedBy>Stagiaire</cp:lastModifiedBy>
  <cp:lastPrinted>2019-10-23T06:22:11Z</cp:lastPrinted>
  <dcterms:created xsi:type="dcterms:W3CDTF">2019-06-04T08:48:52Z</dcterms:created>
  <dcterms:modified xsi:type="dcterms:W3CDTF">2019-10-23T06:22:37Z</dcterms:modified>
</cp:coreProperties>
</file>