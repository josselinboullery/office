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56"/>
  <workbookPr/>
  <mc:AlternateContent xmlns:mc="http://schemas.openxmlformats.org/markup-compatibility/2006">
    <mc:Choice Requires="x15">
      <x15ac:absPath xmlns:x15ac="http://schemas.microsoft.com/office/spreadsheetml/2010/11/ac" url="F:\XL1 XL2\Exos a imprimer\"/>
    </mc:Choice>
  </mc:AlternateContent>
  <xr:revisionPtr revIDLastSave="0" documentId="8_{F63897FD-924E-4882-AC02-F7A78C358CB5}" xr6:coauthVersionLast="36" xr6:coauthVersionMax="36" xr10:uidLastSave="{00000000-0000-0000-0000-000000000000}"/>
  <bookViews>
    <workbookView xWindow="0" yWindow="0" windowWidth="20490" windowHeight="7755" xr2:uid="{00000000-000D-0000-FFFF-FFFF00000000}"/>
  </bookViews>
  <sheets>
    <sheet name="Galeries Lafayette" sheetId="1" r:id="rId1"/>
    <sheet name="Printemps" sheetId="2" r:id="rId2"/>
    <sheet name="Le bon marché" sheetId="3" r:id="rId3"/>
    <sheet name="BHV" sheetId="4" r:id="rId4"/>
    <sheet name="Recapitulatif" sheetId="5" r:id="rId5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4" i="5" l="1"/>
  <c r="J5" i="5"/>
  <c r="J6" i="5"/>
  <c r="J7" i="5"/>
  <c r="J8" i="5"/>
  <c r="J9" i="5"/>
  <c r="J10" i="5"/>
  <c r="I5" i="5"/>
  <c r="I6" i="5"/>
  <c r="I7" i="5"/>
  <c r="I8" i="5"/>
  <c r="I9" i="5"/>
  <c r="I4" i="5"/>
  <c r="F4" i="5"/>
  <c r="F6" i="5"/>
  <c r="F5" i="5"/>
  <c r="C7" i="5"/>
  <c r="C6" i="5"/>
  <c r="C5" i="5"/>
  <c r="C4" i="5"/>
  <c r="D15" i="4" l="1"/>
  <c r="C15" i="4"/>
  <c r="B15" i="4"/>
  <c r="H13" i="4"/>
  <c r="G13" i="4"/>
  <c r="F13" i="4"/>
  <c r="E13" i="4"/>
  <c r="H12" i="4"/>
  <c r="G12" i="4"/>
  <c r="F12" i="4"/>
  <c r="E12" i="4"/>
  <c r="H11" i="4"/>
  <c r="G11" i="4"/>
  <c r="F11" i="4"/>
  <c r="E11" i="4"/>
  <c r="H10" i="4"/>
  <c r="G10" i="4"/>
  <c r="F10" i="4"/>
  <c r="E10" i="4"/>
  <c r="H9" i="4"/>
  <c r="G9" i="4"/>
  <c r="F9" i="4"/>
  <c r="E9" i="4"/>
  <c r="H8" i="4"/>
  <c r="G8" i="4"/>
  <c r="F8" i="4"/>
  <c r="E8" i="4"/>
  <c r="E15" i="4" s="1"/>
  <c r="B4" i="4"/>
  <c r="B2" i="4"/>
  <c r="D15" i="3"/>
  <c r="C15" i="3"/>
  <c r="B15" i="3"/>
  <c r="H13" i="3"/>
  <c r="G13" i="3"/>
  <c r="F13" i="3"/>
  <c r="E13" i="3"/>
  <c r="H12" i="3"/>
  <c r="G12" i="3"/>
  <c r="F12" i="3"/>
  <c r="E12" i="3"/>
  <c r="H11" i="3"/>
  <c r="G11" i="3"/>
  <c r="F11" i="3"/>
  <c r="E11" i="3"/>
  <c r="H10" i="3"/>
  <c r="G10" i="3"/>
  <c r="F10" i="3"/>
  <c r="E10" i="3"/>
  <c r="H9" i="3"/>
  <c r="G9" i="3"/>
  <c r="F9" i="3"/>
  <c r="E9" i="3"/>
  <c r="H8" i="3"/>
  <c r="G8" i="3"/>
  <c r="F8" i="3"/>
  <c r="E8" i="3"/>
  <c r="E15" i="3" s="1"/>
  <c r="D15" i="2"/>
  <c r="C15" i="2"/>
  <c r="B15" i="2"/>
  <c r="H13" i="2"/>
  <c r="G13" i="2"/>
  <c r="F13" i="2"/>
  <c r="E13" i="2"/>
  <c r="H12" i="2"/>
  <c r="G12" i="2"/>
  <c r="F12" i="2"/>
  <c r="E12" i="2"/>
  <c r="H11" i="2"/>
  <c r="G11" i="2"/>
  <c r="F11" i="2"/>
  <c r="E11" i="2"/>
  <c r="H10" i="2"/>
  <c r="G10" i="2"/>
  <c r="F10" i="2"/>
  <c r="E10" i="2"/>
  <c r="H9" i="2"/>
  <c r="G9" i="2"/>
  <c r="F9" i="2"/>
  <c r="E9" i="2"/>
  <c r="H8" i="2"/>
  <c r="G8" i="2"/>
  <c r="F8" i="2"/>
  <c r="E8" i="2"/>
  <c r="E15" i="2" s="1"/>
  <c r="B4" i="2"/>
  <c r="B2" i="2" l="1"/>
  <c r="B4" i="3"/>
  <c r="B2" i="3"/>
  <c r="E16" i="4"/>
  <c r="E17" i="4" s="1"/>
  <c r="B16" i="4"/>
  <c r="B17" i="4" s="1"/>
  <c r="D16" i="4"/>
  <c r="D17" i="4" s="1"/>
  <c r="B3" i="4"/>
  <c r="B5" i="4"/>
  <c r="C16" i="4"/>
  <c r="C17" i="4" s="1"/>
  <c r="E16" i="3"/>
  <c r="E17" i="3" s="1"/>
  <c r="B16" i="3"/>
  <c r="B17" i="3" s="1"/>
  <c r="D16" i="3"/>
  <c r="D17" i="3" s="1"/>
  <c r="B3" i="3"/>
  <c r="B5" i="3"/>
  <c r="C16" i="3"/>
  <c r="C17" i="3" s="1"/>
  <c r="E16" i="2"/>
  <c r="E17" i="2" s="1"/>
  <c r="B16" i="2"/>
  <c r="B17" i="2" s="1"/>
  <c r="D16" i="2"/>
  <c r="D17" i="2" s="1"/>
  <c r="B3" i="2"/>
  <c r="B5" i="2"/>
  <c r="C16" i="2"/>
  <c r="C17" i="2" s="1"/>
  <c r="C15" i="1"/>
  <c r="C16" i="1" s="1"/>
  <c r="D15" i="1"/>
  <c r="D16" i="1" s="1"/>
  <c r="B15" i="1"/>
  <c r="G9" i="1"/>
  <c r="H9" i="1"/>
  <c r="G10" i="1"/>
  <c r="H10" i="1"/>
  <c r="G11" i="1"/>
  <c r="H11" i="1"/>
  <c r="G12" i="1"/>
  <c r="H12" i="1"/>
  <c r="G13" i="1"/>
  <c r="H13" i="1"/>
  <c r="H8" i="1"/>
  <c r="G8" i="1"/>
  <c r="F9" i="1"/>
  <c r="F10" i="1"/>
  <c r="F11" i="1"/>
  <c r="F12" i="1"/>
  <c r="F13" i="1"/>
  <c r="F8" i="1"/>
  <c r="E9" i="1"/>
  <c r="E10" i="1"/>
  <c r="E11" i="1"/>
  <c r="E12" i="1"/>
  <c r="E13" i="1"/>
  <c r="E8" i="1"/>
  <c r="I10" i="5" l="1"/>
  <c r="F7" i="5"/>
  <c r="D17" i="1"/>
  <c r="B2" i="1"/>
  <c r="E15" i="1"/>
  <c r="C8" i="5" s="1"/>
  <c r="C17" i="1"/>
  <c r="B3" i="1"/>
  <c r="B4" i="1"/>
  <c r="B5" i="1"/>
  <c r="B16" i="1"/>
  <c r="B17" i="1" s="1"/>
  <c r="E16" i="1" l="1"/>
  <c r="E17" i="1" s="1"/>
</calcChain>
</file>

<file path=xl/sharedStrings.xml><?xml version="1.0" encoding="utf-8"?>
<sst xmlns="http://schemas.openxmlformats.org/spreadsheetml/2006/main" count="104" uniqueCount="29">
  <si>
    <t>Maximum</t>
  </si>
  <si>
    <t>Minimun</t>
  </si>
  <si>
    <t>Cosmétique</t>
  </si>
  <si>
    <t>Librairie</t>
  </si>
  <si>
    <t>Maroquinerie</t>
  </si>
  <si>
    <t>Habillement</t>
  </si>
  <si>
    <t>Hi-fi</t>
  </si>
  <si>
    <t>CD</t>
  </si>
  <si>
    <t>Total mois</t>
  </si>
  <si>
    <t>TVA 20 %</t>
  </si>
  <si>
    <t>TTC</t>
  </si>
  <si>
    <t>MOYENNE</t>
  </si>
  <si>
    <t>MAX</t>
  </si>
  <si>
    <t>MIN</t>
  </si>
  <si>
    <t>Moyenne</t>
  </si>
  <si>
    <t>Total</t>
  </si>
  <si>
    <t>Synthèse ventes</t>
  </si>
  <si>
    <t>TOTAL</t>
  </si>
  <si>
    <t>Janvier</t>
  </si>
  <si>
    <t>Février</t>
  </si>
  <si>
    <t>Mars</t>
  </si>
  <si>
    <t>Par Mois</t>
  </si>
  <si>
    <t>Par produis</t>
  </si>
  <si>
    <t>Par Magasins</t>
  </si>
  <si>
    <t>Galerie</t>
  </si>
  <si>
    <t>Printemps</t>
  </si>
  <si>
    <t>Bon Marché</t>
  </si>
  <si>
    <t>BHV</t>
  </si>
  <si>
    <t>part en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</si>
</sst>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\ _€_-;\-* #,##0.00\ _€_-;_-* &quot;-&quot;??\ _€_-;_-@_-"/>
    <numFmt numFmtId="164" formatCode="0.0%"/>
  </numFmts>
  <fonts count="12" x14ac:knownFonts="1">
    <font>
      <sz val="11"/>
      <color theme="1"/>
      <name val="Garamond"/>
      <family val="2"/>
      <scheme val="minor"/>
    </font>
    <font>
      <sz val="11"/>
      <color theme="1"/>
      <name val="Garamond"/>
      <family val="2"/>
      <scheme val="minor"/>
    </font>
    <font>
      <sz val="10"/>
      <color theme="1"/>
      <name val="Garamond"/>
      <family val="1"/>
    </font>
    <font>
      <sz val="11"/>
      <color theme="1"/>
      <name val="Garamond"/>
      <family val="1"/>
    </font>
    <font>
      <i/>
      <sz val="10"/>
      <color theme="1"/>
      <name val="Garamond"/>
      <family val="1"/>
    </font>
    <font>
      <sz val="9"/>
      <color theme="1"/>
      <name val="Garamond"/>
      <family val="1"/>
    </font>
    <font>
      <i/>
      <sz val="9"/>
      <color theme="1"/>
      <name val="Garamond"/>
      <family val="1"/>
    </font>
    <font>
      <b/>
      <i/>
      <sz val="11"/>
      <color theme="3"/>
      <name val="Garamond"/>
      <family val="1"/>
    </font>
    <font>
      <b/>
      <i/>
      <sz val="12"/>
      <color theme="3"/>
      <name val="Garamond"/>
      <family val="1"/>
    </font>
    <font>
      <b/>
      <sz val="11"/>
      <color theme="3"/>
      <name val="Garamond"/>
      <family val="1"/>
    </font>
    <font>
      <b/>
      <sz val="14"/>
      <color theme="3"/>
      <name val="Garamond"/>
      <family val="1"/>
    </font>
    <font>
      <b/>
      <sz val="11"/>
      <color theme="1"/>
      <name val="Garamond"/>
      <family val="1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8">
    <border>
      <left/>
      <right/>
      <top/>
      <bottom/>
      <diagonal/>
    </border>
    <border>
      <left style="medium">
        <color rgb="FF0070C0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rgb="FF0070C0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rgb="FF0070C0"/>
      </left>
      <right style="hair">
        <color theme="0" tint="-0.499984740745262"/>
      </right>
      <top style="hair">
        <color theme="0" tint="-0.499984740745262"/>
      </top>
      <bottom style="medium">
        <color rgb="FF0070C0"/>
      </bottom>
      <diagonal/>
    </border>
    <border>
      <left style="hair">
        <color theme="0" tint="-0.499984740745262"/>
      </left>
      <right style="medium">
        <color rgb="FF0070C0"/>
      </right>
      <top style="hair">
        <color theme="0" tint="-0.499984740745262"/>
      </top>
      <bottom style="medium">
        <color rgb="FF0070C0"/>
      </bottom>
      <diagonal/>
    </border>
    <border>
      <left style="medium">
        <color theme="5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medium">
        <color rgb="FF0070C0"/>
      </left>
      <right/>
      <top/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rgb="FF0070C0"/>
      </right>
      <top/>
      <bottom style="hair">
        <color theme="0" tint="-0.499984740745262"/>
      </bottom>
      <diagonal/>
    </border>
    <border>
      <left style="medium">
        <color theme="5"/>
      </left>
      <right style="hair">
        <color theme="0" tint="-0.499984740745262"/>
      </right>
      <top style="medium">
        <color theme="5"/>
      </top>
      <bottom style="medium">
        <color theme="5"/>
      </bottom>
      <diagonal/>
    </border>
    <border>
      <left style="hair">
        <color theme="0" tint="-0.499984740745262"/>
      </left>
      <right style="medium">
        <color theme="5"/>
      </right>
      <top style="medium">
        <color theme="5"/>
      </top>
      <bottom style="medium">
        <color theme="5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5"/>
      </top>
      <bottom style="medium">
        <color theme="5"/>
      </bottom>
      <diagonal/>
    </border>
    <border>
      <left style="medium">
        <color theme="5"/>
      </left>
      <right style="hair">
        <color theme="0" tint="-0.499984740745262"/>
      </right>
      <top style="medium">
        <color theme="5"/>
      </top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medium">
        <color theme="5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5"/>
      </right>
      <top style="medium">
        <color theme="5"/>
      </top>
      <bottom style="hair">
        <color theme="0" tint="-0.499984740745262"/>
      </bottom>
      <diagonal/>
    </border>
    <border>
      <left style="medium">
        <color theme="5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 style="medium">
        <color theme="5"/>
      </right>
      <top style="hair">
        <color theme="0" tint="-0.499984740745262"/>
      </top>
      <bottom style="hair">
        <color theme="0" tint="-0.499984740745262"/>
      </bottom>
      <diagonal/>
    </border>
    <border>
      <left style="medium">
        <color theme="5"/>
      </left>
      <right style="hair">
        <color theme="0" tint="-0.499984740745262"/>
      </right>
      <top style="hair">
        <color theme="0" tint="-0.499984740745262"/>
      </top>
      <bottom style="medium">
        <color theme="5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medium">
        <color theme="5"/>
      </bottom>
      <diagonal/>
    </border>
    <border>
      <left style="hair">
        <color theme="0" tint="-0.499984740745262"/>
      </left>
      <right style="medium">
        <color theme="5"/>
      </right>
      <top style="hair">
        <color theme="0" tint="-0.499984740745262"/>
      </top>
      <bottom style="medium">
        <color theme="5"/>
      </bottom>
      <diagonal/>
    </border>
    <border>
      <left style="double">
        <color theme="5"/>
      </left>
      <right style="thin">
        <color theme="5"/>
      </right>
      <top style="double">
        <color theme="5"/>
      </top>
      <bottom/>
      <diagonal/>
    </border>
    <border>
      <left style="thin">
        <color theme="5"/>
      </left>
      <right style="double">
        <color theme="5"/>
      </right>
      <top style="double">
        <color theme="5"/>
      </top>
      <bottom/>
      <diagonal/>
    </border>
    <border>
      <left style="double">
        <color theme="5"/>
      </left>
      <right style="thin">
        <color theme="5"/>
      </right>
      <top/>
      <bottom/>
      <diagonal/>
    </border>
    <border>
      <left style="thin">
        <color theme="5"/>
      </left>
      <right style="double">
        <color theme="5"/>
      </right>
      <top/>
      <bottom/>
      <diagonal/>
    </border>
    <border>
      <left style="double">
        <color theme="5"/>
      </left>
      <right style="thin">
        <color theme="5"/>
      </right>
      <top/>
      <bottom style="double">
        <color theme="5"/>
      </bottom>
      <diagonal/>
    </border>
    <border>
      <left style="thin">
        <color theme="5"/>
      </left>
      <right style="double">
        <color theme="5"/>
      </right>
      <top/>
      <bottom style="double">
        <color theme="5"/>
      </bottom>
      <diagonal/>
    </border>
    <border>
      <left style="double">
        <color theme="5"/>
      </left>
      <right style="thin">
        <color theme="5"/>
      </right>
      <top style="double">
        <color theme="5"/>
      </top>
      <bottom style="double">
        <color theme="5"/>
      </bottom>
      <diagonal/>
    </border>
    <border>
      <left style="thin">
        <color theme="5"/>
      </left>
      <right style="double">
        <color theme="5"/>
      </right>
      <top style="double">
        <color theme="5"/>
      </top>
      <bottom style="double">
        <color theme="5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/>
    <xf numFmtId="43" fontId="2" fillId="0" borderId="1" xfId="1" applyFont="1" applyBorder="1" applyAlignment="1">
      <alignment horizontal="left"/>
    </xf>
    <xf numFmtId="43" fontId="2" fillId="2" borderId="3" xfId="1" applyFont="1" applyFill="1" applyBorder="1"/>
    <xf numFmtId="43" fontId="2" fillId="0" borderId="4" xfId="1" applyFont="1" applyBorder="1" applyAlignment="1">
      <alignment horizontal="left"/>
    </xf>
    <xf numFmtId="43" fontId="2" fillId="2" borderId="5" xfId="1" applyFont="1" applyFill="1" applyBorder="1"/>
    <xf numFmtId="43" fontId="2" fillId="0" borderId="0" xfId="1" applyFont="1"/>
    <xf numFmtId="0" fontId="3" fillId="0" borderId="0" xfId="0" applyFont="1"/>
    <xf numFmtId="43" fontId="5" fillId="0" borderId="2" xfId="1" applyFont="1" applyBorder="1"/>
    <xf numFmtId="43" fontId="6" fillId="2" borderId="2" xfId="1" applyFont="1" applyFill="1" applyBorder="1"/>
    <xf numFmtId="43" fontId="5" fillId="0" borderId="0" xfId="1" applyFont="1"/>
    <xf numFmtId="43" fontId="2" fillId="0" borderId="7" xfId="1" applyFont="1" applyBorder="1" applyAlignment="1">
      <alignment horizontal="left"/>
    </xf>
    <xf numFmtId="43" fontId="2" fillId="2" borderId="8" xfId="1" applyFont="1" applyFill="1" applyBorder="1"/>
    <xf numFmtId="0" fontId="4" fillId="2" borderId="12" xfId="0" applyFont="1" applyFill="1" applyBorder="1"/>
    <xf numFmtId="43" fontId="5" fillId="0" borderId="13" xfId="1" applyFont="1" applyBorder="1"/>
    <xf numFmtId="43" fontId="6" fillId="2" borderId="13" xfId="1" applyFont="1" applyFill="1" applyBorder="1"/>
    <xf numFmtId="43" fontId="5" fillId="0" borderId="14" xfId="1" applyFont="1" applyBorder="1"/>
    <xf numFmtId="0" fontId="4" fillId="2" borderId="15" xfId="0" applyFont="1" applyFill="1" applyBorder="1"/>
    <xf numFmtId="43" fontId="5" fillId="0" borderId="16" xfId="1" applyFont="1" applyBorder="1"/>
    <xf numFmtId="0" fontId="4" fillId="2" borderId="17" xfId="0" applyFont="1" applyFill="1" applyBorder="1"/>
    <xf numFmtId="43" fontId="5" fillId="0" borderId="18" xfId="1" applyFont="1" applyBorder="1"/>
    <xf numFmtId="43" fontId="6" fillId="2" borderId="18" xfId="1" applyFont="1" applyFill="1" applyBorder="1"/>
    <xf numFmtId="43" fontId="5" fillId="0" borderId="19" xfId="1" applyFont="1" applyBorder="1"/>
    <xf numFmtId="0" fontId="2" fillId="0" borderId="15" xfId="0" applyFont="1" applyBorder="1"/>
    <xf numFmtId="0" fontId="2" fillId="0" borderId="17" xfId="0" applyFont="1" applyBorder="1"/>
    <xf numFmtId="0" fontId="7" fillId="2" borderId="12" xfId="0" applyFont="1" applyFill="1" applyBorder="1"/>
    <xf numFmtId="43" fontId="7" fillId="2" borderId="13" xfId="1" applyFont="1" applyFill="1" applyBorder="1"/>
    <xf numFmtId="43" fontId="7" fillId="2" borderId="14" xfId="1" applyFont="1" applyFill="1" applyBorder="1"/>
    <xf numFmtId="0" fontId="8" fillId="2" borderId="9" xfId="0" applyFont="1" applyFill="1" applyBorder="1" applyAlignment="1">
      <alignment horizontal="center"/>
    </xf>
    <xf numFmtId="0" fontId="8" fillId="2" borderId="11" xfId="0" applyFont="1" applyFill="1" applyBorder="1" applyAlignment="1">
      <alignment horizontal="center"/>
    </xf>
    <xf numFmtId="0" fontId="8" fillId="2" borderId="10" xfId="0" applyFont="1" applyFill="1" applyBorder="1" applyAlignment="1">
      <alignment horizontal="center"/>
    </xf>
    <xf numFmtId="43" fontId="9" fillId="3" borderId="6" xfId="1" applyFont="1" applyFill="1" applyBorder="1"/>
    <xf numFmtId="43" fontId="0" fillId="0" borderId="0" xfId="1" applyFont="1"/>
    <xf numFmtId="0" fontId="0" fillId="0" borderId="20" xfId="0" applyBorder="1"/>
    <xf numFmtId="43" fontId="0" fillId="0" borderId="21" xfId="1" applyFont="1" applyBorder="1"/>
    <xf numFmtId="0" fontId="0" fillId="0" borderId="22" xfId="0" applyBorder="1"/>
    <xf numFmtId="43" fontId="0" fillId="0" borderId="23" xfId="1" applyFont="1" applyBorder="1"/>
    <xf numFmtId="43" fontId="0" fillId="0" borderId="20" xfId="1" applyFont="1" applyBorder="1"/>
    <xf numFmtId="43" fontId="0" fillId="0" borderId="22" xfId="1" applyFont="1" applyBorder="1"/>
    <xf numFmtId="0" fontId="11" fillId="4" borderId="24" xfId="0" applyFont="1" applyFill="1" applyBorder="1"/>
    <xf numFmtId="43" fontId="11" fillId="4" borderId="25" xfId="1" applyFont="1" applyFill="1" applyBorder="1"/>
    <xf numFmtId="43" fontId="11" fillId="4" borderId="24" xfId="1" applyFont="1" applyFill="1" applyBorder="1"/>
    <xf numFmtId="164" fontId="0" fillId="0" borderId="0" xfId="2" applyNumberFormat="1" applyFont="1"/>
    <xf numFmtId="43" fontId="10" fillId="2" borderId="9" xfId="1" applyFont="1" applyFill="1" applyBorder="1" applyAlignment="1">
      <alignment horizontal="center"/>
    </xf>
    <xf numFmtId="43" fontId="10" fillId="2" borderId="10" xfId="1" applyFont="1" applyFill="1" applyBorder="1" applyAlignment="1">
      <alignment horizontal="center"/>
    </xf>
    <xf numFmtId="0" fontId="11" fillId="4" borderId="26" xfId="0" applyFont="1" applyFill="1" applyBorder="1" applyAlignment="1">
      <alignment horizontal="center"/>
    </xf>
    <xf numFmtId="0" fontId="11" fillId="4" borderId="27" xfId="0" applyFont="1" applyFill="1" applyBorder="1" applyAlignment="1">
      <alignment horizont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fr-FR"/>
              <a:t>Répartition des produits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'Galeries Lafayette'!$B$7</c:f>
              <c:strCache>
                <c:ptCount val="1"/>
                <c:pt idx="0">
                  <c:v>Janvier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'Galeries Lafayette'!$A$8:$A$13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'Galeries Lafayette'!$B$8:$B$13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25000</c:v>
                </c:pt>
                <c:pt idx="2">
                  <c:v>35000</c:v>
                </c:pt>
                <c:pt idx="3">
                  <c:v>64000</c:v>
                </c:pt>
                <c:pt idx="4">
                  <c:v>52000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46-4241-8407-04711B8F80ED}"/>
            </c:ext>
          </c:extLst>
        </c:ser>
        <c:ser>
          <c:idx val="1"/>
          <c:order val="1"/>
          <c:tx>
            <c:strRef>
              <c:f>'Galeries Lafayette'!$C$7</c:f>
              <c:strCache>
                <c:ptCount val="1"/>
                <c:pt idx="0">
                  <c:v>Février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'Galeries Lafayette'!$A$8:$A$13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'Galeries Lafayette'!$C$8:$C$13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33000</c:v>
                </c:pt>
                <c:pt idx="2">
                  <c:v>31000</c:v>
                </c:pt>
                <c:pt idx="3">
                  <c:v>64000</c:v>
                </c:pt>
                <c:pt idx="4">
                  <c:v>50000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446-4241-8407-04711B8F80ED}"/>
            </c:ext>
          </c:extLst>
        </c:ser>
        <c:ser>
          <c:idx val="2"/>
          <c:order val="2"/>
          <c:tx>
            <c:strRef>
              <c:f>'Galeries Lafayette'!$D$7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'Galeries Lafayette'!$A$8:$A$13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'Galeries Lafayette'!$D$8:$D$13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24000</c:v>
                </c:pt>
                <c:pt idx="2">
                  <c:v>30000</c:v>
                </c:pt>
                <c:pt idx="3">
                  <c:v>54000</c:v>
                </c:pt>
                <c:pt idx="4">
                  <c:v>64000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446-4241-8407-04711B8F80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77680"/>
        <c:axId val="539575712"/>
      </c:barChart>
      <c:catAx>
        <c:axId val="5395776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fr-FR"/>
                  <a:t>Produits</a:t>
                </a:r>
              </a:p>
            </c:rich>
          </c:tx>
          <c:layout>
            <c:manualLayout>
              <c:xMode val="edge"/>
              <c:yMode val="edge"/>
              <c:x val="0.4486658285361389"/>
              <c:y val="0.809107330148001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5712"/>
        <c:crosses val="autoZero"/>
        <c:auto val="1"/>
        <c:lblAlgn val="ctr"/>
        <c:lblOffset val="100"/>
        <c:noMultiLvlLbl val="0"/>
      </c:catAx>
      <c:valAx>
        <c:axId val="5395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Garamond" panose="02020404030301010803" pitchFamily="18" charset="0"/>
                    <a:ea typeface="+mn-ea"/>
                    <a:cs typeface="+mn-cs"/>
                  </a:defRPr>
                </a:pPr>
                <a:r>
                  <a:rPr lang="fr-FR"/>
                  <a:t>En €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Garamond" panose="02020404030301010803" pitchFamily="18" charset="0"/>
                  <a:ea typeface="+mn-ea"/>
                  <a:cs typeface="+mn-cs"/>
                </a:defRPr>
              </a:pPr>
              <a:endParaRPr lang="fr-FR"/>
            </a:p>
          </c:txPr>
        </c:title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'Galeries Lafayette'!$E$7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88C-49BC-9872-43619F0647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88C-49BC-9872-43619F0647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D88C-49BC-9872-43619F0647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D88C-49BC-9872-43619F0647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D88C-49BC-9872-43619F0647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D88C-49BC-9872-43619F0647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'Galeries Lafayette'!$A$8:$A$13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'Galeries Lafayette'!$E$8:$E$13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82000</c:v>
                </c:pt>
                <c:pt idx="2">
                  <c:v>96000</c:v>
                </c:pt>
                <c:pt idx="3">
                  <c:v>182000</c:v>
                </c:pt>
                <c:pt idx="4">
                  <c:v>166000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73-4068-B26B-567396CA6086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fr-FR"/>
              <a:t>Répartition des produits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Printemps!$B$7</c:f>
              <c:strCache>
                <c:ptCount val="1"/>
                <c:pt idx="0">
                  <c:v>Janvier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Printemps!$A$8:$A$13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Printemps!$B$8:$B$13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25000</c:v>
                </c:pt>
                <c:pt idx="2">
                  <c:v>35000</c:v>
                </c:pt>
                <c:pt idx="3">
                  <c:v>69000</c:v>
                </c:pt>
                <c:pt idx="4">
                  <c:v>52000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2A-4D73-8BFC-C385C37ACE58}"/>
            </c:ext>
          </c:extLst>
        </c:ser>
        <c:ser>
          <c:idx val="1"/>
          <c:order val="1"/>
          <c:tx>
            <c:strRef>
              <c:f>Printemps!$C$7</c:f>
              <c:strCache>
                <c:ptCount val="1"/>
                <c:pt idx="0">
                  <c:v>Février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Printemps!$A$8:$A$13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Printemps!$C$8:$C$13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33000</c:v>
                </c:pt>
                <c:pt idx="2">
                  <c:v>31000</c:v>
                </c:pt>
                <c:pt idx="3">
                  <c:v>64000</c:v>
                </c:pt>
                <c:pt idx="4">
                  <c:v>52000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12A-4D73-8BFC-C385C37ACE58}"/>
            </c:ext>
          </c:extLst>
        </c:ser>
        <c:ser>
          <c:idx val="2"/>
          <c:order val="2"/>
          <c:tx>
            <c:strRef>
              <c:f>Printemps!$D$7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Printemps!$A$8:$A$13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Printemps!$D$8:$D$13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18000</c:v>
                </c:pt>
                <c:pt idx="2">
                  <c:v>30000</c:v>
                </c:pt>
                <c:pt idx="3">
                  <c:v>54000</c:v>
                </c:pt>
                <c:pt idx="4">
                  <c:v>56000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12A-4D73-8BFC-C385C37ACE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77680"/>
        <c:axId val="539575712"/>
      </c:barChart>
      <c:catAx>
        <c:axId val="5395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5712"/>
        <c:crosses val="autoZero"/>
        <c:auto val="1"/>
        <c:lblAlgn val="ctr"/>
        <c:lblOffset val="100"/>
        <c:noMultiLvlLbl val="0"/>
      </c:catAx>
      <c:valAx>
        <c:axId val="5395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039843577478884"/>
          <c:y val="0.22737409505938819"/>
          <c:w val="0.45599312397310365"/>
          <c:h val="0.66197683293211784"/>
        </c:manualLayout>
      </c:layout>
      <c:pieChart>
        <c:varyColors val="1"/>
        <c:ser>
          <c:idx val="0"/>
          <c:order val="0"/>
          <c:tx>
            <c:strRef>
              <c:f>Printemps!$E$7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C7-4719-9B43-504025A92AD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FC7-4719-9B43-504025A92AD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FC7-4719-9B43-504025A92AD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FC7-4719-9B43-504025A92AD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FC7-4719-9B43-504025A92AD5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FC7-4719-9B43-504025A92A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Printemps!$A$8:$A$13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Printemps!$E$8:$E$13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76000</c:v>
                </c:pt>
                <c:pt idx="2">
                  <c:v>96000</c:v>
                </c:pt>
                <c:pt idx="3">
                  <c:v>187000</c:v>
                </c:pt>
                <c:pt idx="4">
                  <c:v>160000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FC7-4719-9B43-504025A92AD5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fr-FR"/>
              <a:t>Répartition des produits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'Le bon marché'!$B$7</c:f>
              <c:strCache>
                <c:ptCount val="1"/>
                <c:pt idx="0">
                  <c:v>Janvier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'Le bon marché'!$A$8:$A$13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'Le bon marché'!$B$8:$B$13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52000</c:v>
                </c:pt>
                <c:pt idx="2">
                  <c:v>35000</c:v>
                </c:pt>
                <c:pt idx="3">
                  <c:v>85000</c:v>
                </c:pt>
                <c:pt idx="4">
                  <c:v>52000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EE-48C1-AA03-957C45458AC8}"/>
            </c:ext>
          </c:extLst>
        </c:ser>
        <c:ser>
          <c:idx val="1"/>
          <c:order val="1"/>
          <c:tx>
            <c:strRef>
              <c:f>'Le bon marché'!$C$7</c:f>
              <c:strCache>
                <c:ptCount val="1"/>
                <c:pt idx="0">
                  <c:v>Février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'Le bon marché'!$A$8:$A$13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'Le bon marché'!$C$8:$C$13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33000</c:v>
                </c:pt>
                <c:pt idx="2">
                  <c:v>32000</c:v>
                </c:pt>
                <c:pt idx="3">
                  <c:v>64000</c:v>
                </c:pt>
                <c:pt idx="4">
                  <c:v>56000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FEE-48C1-AA03-957C45458AC8}"/>
            </c:ext>
          </c:extLst>
        </c:ser>
        <c:ser>
          <c:idx val="2"/>
          <c:order val="2"/>
          <c:tx>
            <c:strRef>
              <c:f>'Le bon marché'!$D$7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'Le bon marché'!$A$8:$A$13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'Le bon marché'!$D$8:$D$13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63000</c:v>
                </c:pt>
                <c:pt idx="2">
                  <c:v>65000</c:v>
                </c:pt>
                <c:pt idx="3">
                  <c:v>54000</c:v>
                </c:pt>
                <c:pt idx="4">
                  <c:v>52000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FEE-48C1-AA03-957C45458A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77680"/>
        <c:axId val="539575712"/>
      </c:barChart>
      <c:catAx>
        <c:axId val="5395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5712"/>
        <c:crosses val="autoZero"/>
        <c:auto val="1"/>
        <c:lblAlgn val="ctr"/>
        <c:lblOffset val="100"/>
        <c:noMultiLvlLbl val="0"/>
      </c:catAx>
      <c:valAx>
        <c:axId val="5395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039843577478884"/>
          <c:y val="0.22737409505938819"/>
          <c:w val="0.45599312397310365"/>
          <c:h val="0.66197683293211784"/>
        </c:manualLayout>
      </c:layout>
      <c:pieChart>
        <c:varyColors val="1"/>
        <c:ser>
          <c:idx val="0"/>
          <c:order val="0"/>
          <c:tx>
            <c:strRef>
              <c:f>'Le bon marché'!$E$7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BE03-4926-9B2C-C565F8F54F4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BE03-4926-9B2C-C565F8F54F4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BE03-4926-9B2C-C565F8F54F46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03-4926-9B2C-C565F8F54F46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03-4926-9B2C-C565F8F54F46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03-4926-9B2C-C565F8F54F4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'Le bon marché'!$A$8:$A$13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'Le bon marché'!$E$8:$E$13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148000</c:v>
                </c:pt>
                <c:pt idx="2">
                  <c:v>132000</c:v>
                </c:pt>
                <c:pt idx="3">
                  <c:v>203000</c:v>
                </c:pt>
                <c:pt idx="4">
                  <c:v>160000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BE03-4926-9B2C-C565F8F54F4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r>
              <a:rPr lang="fr-FR"/>
              <a:t>Répartition des produits par mois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BHV!$B$7</c:f>
              <c:strCache>
                <c:ptCount val="1"/>
                <c:pt idx="0">
                  <c:v>Janvier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BHV!$A$8:$A$13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BHV!$B$8:$B$13</c:f>
              <c:numCache>
                <c:formatCode>_(* #,##0.00_);_(* \(#,##0.00\);_(* "-"??_);_(@_)</c:formatCode>
                <c:ptCount val="6"/>
                <c:pt idx="0">
                  <c:v>15000</c:v>
                </c:pt>
                <c:pt idx="1">
                  <c:v>25000</c:v>
                </c:pt>
                <c:pt idx="2">
                  <c:v>35000</c:v>
                </c:pt>
                <c:pt idx="3">
                  <c:v>64000</c:v>
                </c:pt>
                <c:pt idx="4">
                  <c:v>63000</c:v>
                </c:pt>
                <c:pt idx="5">
                  <c:v>41000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AB-4A72-AA6A-772C195636DE}"/>
            </c:ext>
          </c:extLst>
        </c:ser>
        <c:ser>
          <c:idx val="1"/>
          <c:order val="1"/>
          <c:tx>
            <c:strRef>
              <c:f>BHV!$C$7</c:f>
              <c:strCache>
                <c:ptCount val="1"/>
                <c:pt idx="0">
                  <c:v>Février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BHV!$A$8:$A$13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BHV!$C$8:$C$13</c:f>
              <c:numCache>
                <c:formatCode>_(* #,##0.00_);_(* \(#,##0.00\);_(* "-"??_);_(@_)</c:formatCode>
                <c:ptCount val="6"/>
                <c:pt idx="0">
                  <c:v>17000</c:v>
                </c:pt>
                <c:pt idx="1">
                  <c:v>52000</c:v>
                </c:pt>
                <c:pt idx="2">
                  <c:v>31000</c:v>
                </c:pt>
                <c:pt idx="3">
                  <c:v>64000</c:v>
                </c:pt>
                <c:pt idx="4">
                  <c:v>50000</c:v>
                </c:pt>
                <c:pt idx="5">
                  <c:v>40000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8AB-4A72-AA6A-772C195636DE}"/>
            </c:ext>
          </c:extLst>
        </c:ser>
        <c:ser>
          <c:idx val="2"/>
          <c:order val="2"/>
          <c:tx>
            <c:strRef>
              <c:f>BHV!$D$7</c:f>
              <c:strCache>
                <c:ptCount val="1"/>
                <c:pt idx="0">
                  <c:v>Mars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BHV!$A$8:$A$13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BHV!$D$8:$D$13</c:f>
              <c:numCache>
                <c:formatCode>_(* #,##0.00_);_(* \(#,##0.00\);_(* "-"??_);_(@_)</c:formatCode>
                <c:ptCount val="6"/>
                <c:pt idx="0">
                  <c:v>18000</c:v>
                </c:pt>
                <c:pt idx="1">
                  <c:v>24000</c:v>
                </c:pt>
                <c:pt idx="2">
                  <c:v>30000</c:v>
                </c:pt>
                <c:pt idx="3">
                  <c:v>54000</c:v>
                </c:pt>
                <c:pt idx="4">
                  <c:v>56000</c:v>
                </c:pt>
                <c:pt idx="5">
                  <c:v>50000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8AB-4A72-AA6A-772C195636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9577680"/>
        <c:axId val="539575712"/>
      </c:barChart>
      <c:catAx>
        <c:axId val="5395776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5712"/>
        <c:crosses val="autoZero"/>
        <c:auto val="1"/>
        <c:lblAlgn val="ctr"/>
        <c:lblOffset val="100"/>
        <c:noMultiLvlLbl val="0"/>
      </c:catAx>
      <c:valAx>
        <c:axId val="539575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Garamond" panose="02020404030301010803" pitchFamily="18" charset="0"/>
                <a:ea typeface="+mn-ea"/>
                <a:cs typeface="+mn-cs"/>
              </a:defRPr>
            </a:pPr>
            <a:endParaRPr lang="fr-FR"/>
          </a:p>
        </c:txPr>
        <c:crossAx val="5395776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Garamond" panose="02020404030301010803" pitchFamily="18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Garamond" panose="02020404030301010803" pitchFamily="18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Part en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>
        <c:manualLayout>
          <c:layoutTarget val="inner"/>
          <c:xMode val="edge"/>
          <c:yMode val="edge"/>
          <c:x val="0.3039843577478884"/>
          <c:y val="0.22737409505938819"/>
          <c:w val="0.45599312397310365"/>
          <c:h val="0.66197683293211784"/>
        </c:manualLayout>
      </c:layout>
      <c:pieChart>
        <c:varyColors val="1"/>
        <c:ser>
          <c:idx val="0"/>
          <c:order val="0"/>
          <c:tx>
            <c:strRef>
              <c:f>BHV!$E$7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9A7-463B-BA3B-F2D9F9B71BDF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9A7-463B-BA3B-F2D9F9B71BDF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9A7-463B-BA3B-F2D9F9B71BDF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19A7-463B-BA3B-F2D9F9B71BDF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19A7-463B-BA3B-F2D9F9B71BDF}"/>
              </c:ext>
            </c:extLst>
          </c:dPt>
          <c:dPt>
            <c:idx val="5"/>
            <c:bubble3D val="0"/>
            <c:spPr>
              <a:gradFill rotWithShape="1">
                <a:gsLst>
                  <a:gs pos="0">
                    <a:schemeClr val="accent6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6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6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19A7-463B-BA3B-F2D9F9B71BD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BHV!$A$8:$A$13</c:f>
              <c:strCache>
                <c:ptCount val="6"/>
                <c:pt idx="0">
                  <c:v>Cosmétique</c:v>
                </c:pt>
                <c:pt idx="1">
                  <c:v>Librairie</c:v>
                </c:pt>
                <c:pt idx="2">
                  <c:v>Maroquinerie</c:v>
                </c:pt>
                <c:pt idx="3">
                  <c:v>Habillement</c:v>
                </c:pt>
                <c:pt idx="4">
                  <c:v>Hi-fi</c:v>
                </c:pt>
                <c:pt idx="5">
                  <c:v>CD</c:v>
                </c:pt>
              </c:strCache>
            </c:strRef>
          </c:cat>
          <c:val>
            <c:numRef>
              <c:f>BHV!$E$8:$E$13</c:f>
              <c:numCache>
                <c:formatCode>_(* #,##0.00_);_(* \(#,##0.00\);_(* "-"??_);_(@_)</c:formatCode>
                <c:ptCount val="6"/>
                <c:pt idx="0">
                  <c:v>50000</c:v>
                </c:pt>
                <c:pt idx="1">
                  <c:v>101000</c:v>
                </c:pt>
                <c:pt idx="2">
                  <c:v>96000</c:v>
                </c:pt>
                <c:pt idx="3">
                  <c:v>182000</c:v>
                </c:pt>
                <c:pt idx="4">
                  <c:v>169000</c:v>
                </c:pt>
                <c:pt idx="5">
                  <c:v>131000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9A7-463B-BA3B-F2D9F9B71BDF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fr-FR"/>
              <a:t>Répartition des ventes par magasins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Recapitulatif!$B$4:$B$7</c:f>
              <c:strCache>
                <c:ptCount val="4"/>
                <c:pt idx="0">
                  <c:v>Galerie</c:v>
                </c:pt>
                <c:pt idx="1">
                  <c:v>Printemps</c:v>
                </c:pt>
                <c:pt idx="2">
                  <c:v>Bon Marché</c:v>
                </c:pt>
                <c:pt idx="3">
                  <c:v>BHV</c:v>
                </c:pt>
              </c:strCache>
            </c:strRef>
          </c:cat>
          <c:val>
            <c:numRef>
              <c:f>Recapitulatif!$C$4:$C$7</c:f>
              <c:numCache>
                <c:formatCode>_(* #,##0.00_);_(* \(#,##0.00\);_(* "-"??_);_(@_)</c:formatCode>
                <c:ptCount val="4"/>
                <c:pt idx="0">
                  <c:v>707000</c:v>
                </c:pt>
                <c:pt idx="1">
                  <c:v>700000</c:v>
                </c:pt>
                <c:pt idx="2">
                  <c:v>824000</c:v>
                </c:pt>
                <c:pt idx="3">
                  <c:v>729000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6-4252-A1F8-79F486AD4B2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503581112"/>
        <c:axId val="503583080"/>
      </c:barChart>
      <c:catAx>
        <c:axId val="5035811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fr-FR"/>
          </a:p>
        </c:txPr>
        <c:crossAx val="503583080"/>
        <c:crosses val="autoZero"/>
        <c:auto val="1"/>
        <c:lblAlgn val="ctr"/>
        <c:lblOffset val="100"/>
        <c:noMultiLvlLbl val="0"/>
      </c:catAx>
      <c:valAx>
        <c:axId val="503583080"/>
        <c:scaling>
          <c:orientation val="minMax"/>
        </c:scaling>
        <c:delete val="1"/>
        <c:axPos val="l"/>
        <c:numFmt formatCode="_(* #,##0.00_);_(* \(#,##0.00\);_(* &quot;-&quot;??_);_(@_)" sourceLinked="1"/>
        <c:majorTickMark val="none"/>
        <c:minorTickMark val="none"/>
        <c:tickLblPos val="nextTo"/>
        <c:crossAx val="5035811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% des ventes des produits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543-4696-9005-B73E9A62F8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543-4696-9005-B73E9A62F8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543-4696-9005-B73E9A62F8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543-4696-9005-B73E9A62F8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543-4696-9005-B73E9A62F8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F543-4696-9005-B73E9A62F8EC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Recapitulatif!$H$4:$H$9</c:f>
              <c:strCache>
                <c:ptCount val="6"/>
                <c:pt idx="0">
                  <c:v> Cosmétique </c:v>
                </c:pt>
                <c:pt idx="1">
                  <c:v> Librairie </c:v>
                </c:pt>
                <c:pt idx="2">
                  <c:v> Maroquinerie </c:v>
                </c:pt>
                <c:pt idx="3">
                  <c:v> Habillement </c:v>
                </c:pt>
                <c:pt idx="4">
                  <c:v> Hi-fi </c:v>
                </c:pt>
                <c:pt idx="5">
                  <c:v> CD </c:v>
                </c:pt>
              </c:strCache>
            </c:strRef>
          </c:cat>
          <c:val>
            <c:numRef>
              <c:f>Recapitulatif!$I$4:$I$9</c:f>
              <c:numCache>
                <c:formatCode>_(* #,##0.00_);_(* \(#,##0.00\);_(* "-"??_);_(@_)</c:formatCode>
                <c:ptCount val="6"/>
                <c:pt idx="0">
                  <c:v>200000</c:v>
                </c:pt>
                <c:pt idx="1">
                  <c:v>407000</c:v>
                </c:pt>
                <c:pt idx="2">
                  <c:v>420000</c:v>
                </c:pt>
                <c:pt idx="3">
                  <c:v>754000</c:v>
                </c:pt>
                <c:pt idx="4">
                  <c:v>655000</c:v>
                </c:pt>
                <c:pt idx="5">
                  <c:v>524000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F9-4F61-AEAD-2AADDC46D6D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657009</xdr:colOff>
      <xdr:row>0</xdr:row>
      <xdr:rowOff>81979</xdr:rowOff>
    </xdr:from>
    <xdr:ext cx="4367862" cy="65588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2661400" y="81979"/>
          <a:ext cx="4367862" cy="655885"/>
        </a:xfrm>
        <a:prstGeom prst="rect">
          <a:avLst/>
        </a:prstGeom>
        <a:noFill/>
      </xdr:spPr>
      <xdr:txBody>
        <a:bodyPr wrap="none" lIns="91440" tIns="45720" rIns="91440" bIns="45720">
          <a:prstTxWarp prst="textChevronInverted">
            <a:avLst/>
          </a:prstTxWarp>
          <a:spAutoFit/>
        </a:bodyPr>
        <a:lstStyle/>
        <a:p>
          <a:pPr algn="ctr"/>
          <a:r>
            <a:rPr lang="fr-FR" sz="3600" b="1" cap="none" spc="0">
              <a:ln w="3175">
                <a:solidFill>
                  <a:schemeClr val="accent2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reflection blurRad="6350" stA="60000" endA="900" endPos="60000" dist="29997" dir="5400000" sy="-100000" algn="bl" rotWithShape="0"/>
              </a:effectLst>
              <a:latin typeface="Garamond" panose="02020404030301010803" pitchFamily="18" charset="0"/>
            </a:rPr>
            <a:t>Les Galeries Lafayette </a:t>
          </a:r>
        </a:p>
      </xdr:txBody>
    </xdr:sp>
    <xdr:clientData/>
  </xdr:oneCellAnchor>
  <xdr:twoCellAnchor>
    <xdr:from>
      <xdr:col>5</xdr:col>
      <xdr:colOff>256443</xdr:colOff>
      <xdr:row>13</xdr:row>
      <xdr:rowOff>38101</xdr:rowOff>
    </xdr:from>
    <xdr:to>
      <xdr:col>7</xdr:col>
      <xdr:colOff>615461</xdr:colOff>
      <xdr:row>17</xdr:row>
      <xdr:rowOff>95250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6D785D56-CAE9-4DBC-90A0-B089E55F4DB1}"/>
            </a:ext>
          </a:extLst>
        </xdr:cNvPr>
        <xdr:cNvSpPr/>
      </xdr:nvSpPr>
      <xdr:spPr>
        <a:xfrm>
          <a:off x="4990368" y="2514601"/>
          <a:ext cx="1863968" cy="752474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just"/>
          <a:r>
            <a:rPr lang="fr-FR" sz="1100">
              <a:latin typeface="Garamond" panose="02020404030301010803" pitchFamily="18" charset="0"/>
            </a:rPr>
            <a:t>Le</a:t>
          </a:r>
          <a:r>
            <a:rPr lang="fr-FR" sz="1100" baseline="0">
              <a:latin typeface="Garamond" panose="02020404030301010803" pitchFamily="18" charset="0"/>
            </a:rPr>
            <a:t> résultat du trimestre ne seront pas comptabilisés dans le calcul des primes</a:t>
          </a:r>
          <a:endParaRPr lang="fr-FR" sz="1100">
            <a:latin typeface="Garamond" panose="02020404030301010803" pitchFamily="18" charset="0"/>
          </a:endParaRPr>
        </a:p>
      </xdr:txBody>
    </xdr:sp>
    <xdr:clientData/>
  </xdr:twoCellAnchor>
  <xdr:twoCellAnchor>
    <xdr:from>
      <xdr:col>0</xdr:col>
      <xdr:colOff>0</xdr:colOff>
      <xdr:row>17</xdr:row>
      <xdr:rowOff>123144</xdr:rowOff>
    </xdr:from>
    <xdr:to>
      <xdr:col>4</xdr:col>
      <xdr:colOff>752475</xdr:colOff>
      <xdr:row>34</xdr:row>
      <xdr:rowOff>116339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8756F8C-A266-48FE-8961-34C49C1154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785134</xdr:colOff>
      <xdr:row>17</xdr:row>
      <xdr:rowOff>122465</xdr:rowOff>
    </xdr:from>
    <xdr:to>
      <xdr:col>9</xdr:col>
      <xdr:colOff>133350</xdr:colOff>
      <xdr:row>34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90B4B492-8118-4E0B-9AE7-5934D674DEE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542926</xdr:colOff>
      <xdr:row>2</xdr:row>
      <xdr:rowOff>28575</xdr:rowOff>
    </xdr:from>
    <xdr:to>
      <xdr:col>15</xdr:col>
      <xdr:colOff>238126</xdr:colOff>
      <xdr:row>15</xdr:row>
      <xdr:rowOff>152400</xdr:rowOff>
    </xdr:to>
    <xdr:sp macro="" textlink="">
      <xdr:nvSpPr>
        <xdr:cNvPr id="6" name="ZoneTexte 5">
          <a:extLst>
            <a:ext uri="{FF2B5EF4-FFF2-40B4-BE49-F238E27FC236}">
              <a16:creationId xmlns:a16="http://schemas.microsoft.com/office/drawing/2014/main" id="{9A15D828-9A68-43E2-BD4F-A167CA6D0CE2}"/>
            </a:ext>
          </a:extLst>
        </xdr:cNvPr>
        <xdr:cNvSpPr txBox="1"/>
      </xdr:nvSpPr>
      <xdr:spPr>
        <a:xfrm>
          <a:off x="7477126" y="476250"/>
          <a:ext cx="5029200" cy="251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>
            <a:spcAft>
              <a:spcPts val="600"/>
            </a:spcAft>
          </a:pPr>
          <a:r>
            <a:rPr lang="fr-FR" sz="1200" b="1"/>
            <a:t>1) Enregistrer le fichier En Grands Magasins</a:t>
          </a:r>
        </a:p>
        <a:p>
          <a:pPr>
            <a:spcAft>
              <a:spcPts val="600"/>
            </a:spcAft>
          </a:pPr>
          <a:r>
            <a:rPr lang="fr-FR" sz="1200" b="1"/>
            <a:t>2) Renommer</a:t>
          </a:r>
          <a:r>
            <a:rPr lang="fr-FR" sz="1200" b="1" baseline="0"/>
            <a:t> la feuille en galerie Lafayette</a:t>
          </a:r>
        </a:p>
        <a:p>
          <a:pPr>
            <a:spcAft>
              <a:spcPts val="600"/>
            </a:spcAft>
          </a:pPr>
          <a:r>
            <a:rPr lang="fr-FR" sz="1200" b="1" baseline="0"/>
            <a:t>3) Copier la feuille pour realiser les 3 autres magasins</a:t>
          </a:r>
        </a:p>
        <a:p>
          <a:pPr>
            <a:spcAft>
              <a:spcPts val="600"/>
            </a:spcAft>
          </a:pPr>
          <a:r>
            <a:rPr lang="fr-FR" sz="1200" b="1" baseline="0"/>
            <a:t>	Renommer ces feuilles en Printemps, Le bon marché, BHV</a:t>
          </a:r>
        </a:p>
        <a:p>
          <a:pPr>
            <a:spcAft>
              <a:spcPts val="600"/>
            </a:spcAft>
          </a:pPr>
          <a:r>
            <a:rPr lang="fr-FR" sz="1200" b="1" baseline="0"/>
            <a:t>	Modifier le word art de chaque feuille</a:t>
          </a:r>
        </a:p>
        <a:p>
          <a:pPr>
            <a:spcAft>
              <a:spcPts val="600"/>
            </a:spcAft>
          </a:pPr>
          <a:r>
            <a:rPr lang="fr-FR" sz="1200" b="1" baseline="0"/>
            <a:t>	Changer des montants</a:t>
          </a:r>
        </a:p>
        <a:p>
          <a:pPr>
            <a:spcAft>
              <a:spcPts val="600"/>
            </a:spcAft>
          </a:pPr>
          <a:r>
            <a:rPr lang="fr-FR" sz="1200" b="1" baseline="0"/>
            <a:t>3) Mettre une couleur au feuille</a:t>
          </a:r>
        </a:p>
        <a:p>
          <a:pPr>
            <a:spcAft>
              <a:spcPts val="600"/>
            </a:spcAft>
          </a:pPr>
          <a:r>
            <a:rPr lang="fr-FR" sz="1200" b="1" baseline="0"/>
            <a:t>4) Creaion d'une nouvelle feuille récapitulatif</a:t>
          </a:r>
        </a:p>
        <a:p>
          <a:pPr>
            <a:spcAft>
              <a:spcPts val="600"/>
            </a:spcAft>
          </a:pPr>
          <a:r>
            <a:rPr lang="fr-FR" sz="1200" b="1" baseline="0"/>
            <a:t>5) réaliser les 3 tableaux et les graphiques</a:t>
          </a:r>
        </a:p>
        <a:p>
          <a:pPr>
            <a:spcAft>
              <a:spcPts val="600"/>
            </a:spcAft>
          </a:pPr>
          <a:r>
            <a:rPr lang="fr-FR" sz="1200" b="1" baseline="0"/>
            <a:t>	</a:t>
          </a:r>
          <a:endParaRPr lang="fr-FR" sz="1100" b="1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952284</xdr:colOff>
      <xdr:row>0</xdr:row>
      <xdr:rowOff>129604</xdr:rowOff>
    </xdr:from>
    <xdr:ext cx="3533991" cy="65588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B5787912-A780-4B18-9687-0B532687882F}"/>
            </a:ext>
          </a:extLst>
        </xdr:cNvPr>
        <xdr:cNvSpPr/>
      </xdr:nvSpPr>
      <xdr:spPr>
        <a:xfrm>
          <a:off x="2828709" y="129604"/>
          <a:ext cx="3533991" cy="655885"/>
        </a:xfrm>
        <a:prstGeom prst="rect">
          <a:avLst/>
        </a:prstGeom>
        <a:noFill/>
      </xdr:spPr>
      <xdr:txBody>
        <a:bodyPr wrap="none" lIns="91440" tIns="45720" rIns="91440" bIns="45720">
          <a:prstTxWarp prst="textChevronInverted">
            <a:avLst/>
          </a:prstTxWarp>
          <a:spAutoFit/>
        </a:bodyPr>
        <a:lstStyle/>
        <a:p>
          <a:pPr algn="ctr"/>
          <a:r>
            <a:rPr lang="fr-FR" sz="3600" b="1" cap="none" spc="0">
              <a:ln w="3175">
                <a:solidFill>
                  <a:schemeClr val="accent2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reflection blurRad="6350" stA="60000" endA="900" endPos="60000" dist="29997" dir="5400000" sy="-100000" algn="bl" rotWithShape="0"/>
              </a:effectLst>
              <a:latin typeface="Garamond" panose="02020404030301010803" pitchFamily="18" charset="0"/>
            </a:rPr>
            <a:t>Printemps</a:t>
          </a:r>
        </a:p>
      </xdr:txBody>
    </xdr:sp>
    <xdr:clientData/>
  </xdr:oneCellAnchor>
  <xdr:twoCellAnchor>
    <xdr:from>
      <xdr:col>5</xdr:col>
      <xdr:colOff>256443</xdr:colOff>
      <xdr:row>13</xdr:row>
      <xdr:rowOff>38101</xdr:rowOff>
    </xdr:from>
    <xdr:to>
      <xdr:col>7</xdr:col>
      <xdr:colOff>615461</xdr:colOff>
      <xdr:row>17</xdr:row>
      <xdr:rowOff>95250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D0C16DF3-DAC8-4F6F-970E-C39BE3B038A0}"/>
            </a:ext>
          </a:extLst>
        </xdr:cNvPr>
        <xdr:cNvSpPr/>
      </xdr:nvSpPr>
      <xdr:spPr>
        <a:xfrm>
          <a:off x="4990368" y="2514601"/>
          <a:ext cx="1863968" cy="752474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just"/>
          <a:r>
            <a:rPr lang="fr-FR" sz="1100">
              <a:latin typeface="Garamond" panose="02020404030301010803" pitchFamily="18" charset="0"/>
            </a:rPr>
            <a:t>Le</a:t>
          </a:r>
          <a:r>
            <a:rPr lang="fr-FR" sz="1100" baseline="0">
              <a:latin typeface="Garamond" panose="02020404030301010803" pitchFamily="18" charset="0"/>
            </a:rPr>
            <a:t> résultats du trimestre ne seront pas comptabilisés dans le calcul des primes</a:t>
          </a:r>
          <a:endParaRPr lang="fr-FR" sz="1100">
            <a:latin typeface="Garamond" panose="02020404030301010803" pitchFamily="18" charset="0"/>
          </a:endParaRPr>
        </a:p>
      </xdr:txBody>
    </xdr:sp>
    <xdr:clientData/>
  </xdr:twoCellAnchor>
  <xdr:twoCellAnchor>
    <xdr:from>
      <xdr:col>0</xdr:col>
      <xdr:colOff>0</xdr:colOff>
      <xdr:row>17</xdr:row>
      <xdr:rowOff>123144</xdr:rowOff>
    </xdr:from>
    <xdr:to>
      <xdr:col>4</xdr:col>
      <xdr:colOff>752475</xdr:colOff>
      <xdr:row>34</xdr:row>
      <xdr:rowOff>116339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748B8856-A599-45EE-B14F-629E06DE78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785134</xdr:colOff>
      <xdr:row>17</xdr:row>
      <xdr:rowOff>122465</xdr:rowOff>
    </xdr:from>
    <xdr:to>
      <xdr:col>9</xdr:col>
      <xdr:colOff>133350</xdr:colOff>
      <xdr:row>34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C636CCBC-C05F-4CED-9281-F76882FA7D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657009</xdr:colOff>
      <xdr:row>0</xdr:row>
      <xdr:rowOff>81979</xdr:rowOff>
    </xdr:from>
    <xdr:ext cx="3695916" cy="784796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CAA63176-A46D-458F-A49F-AC6086A7A7E2}"/>
            </a:ext>
          </a:extLst>
        </xdr:cNvPr>
        <xdr:cNvSpPr/>
      </xdr:nvSpPr>
      <xdr:spPr>
        <a:xfrm>
          <a:off x="2533434" y="81979"/>
          <a:ext cx="3695916" cy="784796"/>
        </a:xfrm>
        <a:prstGeom prst="rect">
          <a:avLst/>
        </a:prstGeom>
        <a:noFill/>
      </xdr:spPr>
      <xdr:txBody>
        <a:bodyPr wrap="none" lIns="91440" tIns="45720" rIns="91440" bIns="45720">
          <a:prstTxWarp prst="textChevronInverted">
            <a:avLst/>
          </a:prstTxWarp>
          <a:spAutoFit/>
        </a:bodyPr>
        <a:lstStyle/>
        <a:p>
          <a:pPr algn="ctr"/>
          <a:r>
            <a:rPr lang="fr-FR" sz="3600" b="1" cap="none" spc="0">
              <a:ln w="3175">
                <a:solidFill>
                  <a:schemeClr val="accent2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reflection blurRad="6350" stA="60000" endA="900" endPos="60000" dist="29997" dir="5400000" sy="-100000" algn="bl" rotWithShape="0"/>
              </a:effectLst>
              <a:latin typeface="Garamond" panose="02020404030301010803" pitchFamily="18" charset="0"/>
            </a:rPr>
            <a:t>Le bon Marché</a:t>
          </a:r>
        </a:p>
      </xdr:txBody>
    </xdr:sp>
    <xdr:clientData/>
  </xdr:oneCellAnchor>
  <xdr:twoCellAnchor>
    <xdr:from>
      <xdr:col>5</xdr:col>
      <xdr:colOff>256443</xdr:colOff>
      <xdr:row>13</xdr:row>
      <xdr:rowOff>38101</xdr:rowOff>
    </xdr:from>
    <xdr:to>
      <xdr:col>7</xdr:col>
      <xdr:colOff>615461</xdr:colOff>
      <xdr:row>17</xdr:row>
      <xdr:rowOff>95250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76B8A565-F904-4F10-8EDD-543C4B129276}"/>
            </a:ext>
          </a:extLst>
        </xdr:cNvPr>
        <xdr:cNvSpPr/>
      </xdr:nvSpPr>
      <xdr:spPr>
        <a:xfrm>
          <a:off x="4990368" y="2514601"/>
          <a:ext cx="1863968" cy="752474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just"/>
          <a:r>
            <a:rPr lang="fr-FR" sz="1100">
              <a:latin typeface="Garamond" panose="02020404030301010803" pitchFamily="18" charset="0"/>
            </a:rPr>
            <a:t>Le</a:t>
          </a:r>
          <a:r>
            <a:rPr lang="fr-FR" sz="1100" baseline="0">
              <a:latin typeface="Garamond" panose="02020404030301010803" pitchFamily="18" charset="0"/>
            </a:rPr>
            <a:t> résultats du trimestre ne seront pas comptabilisés dans le calcul des primes</a:t>
          </a:r>
          <a:endParaRPr lang="fr-FR" sz="1100">
            <a:latin typeface="Garamond" panose="02020404030301010803" pitchFamily="18" charset="0"/>
          </a:endParaRPr>
        </a:p>
      </xdr:txBody>
    </xdr:sp>
    <xdr:clientData/>
  </xdr:twoCellAnchor>
  <xdr:twoCellAnchor>
    <xdr:from>
      <xdr:col>0</xdr:col>
      <xdr:colOff>0</xdr:colOff>
      <xdr:row>17</xdr:row>
      <xdr:rowOff>123144</xdr:rowOff>
    </xdr:from>
    <xdr:to>
      <xdr:col>4</xdr:col>
      <xdr:colOff>752475</xdr:colOff>
      <xdr:row>34</xdr:row>
      <xdr:rowOff>116339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8C5C084C-C2E8-4956-8C4B-C21F88A6AD7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785134</xdr:colOff>
      <xdr:row>17</xdr:row>
      <xdr:rowOff>122465</xdr:rowOff>
    </xdr:from>
    <xdr:to>
      <xdr:col>9</xdr:col>
      <xdr:colOff>133350</xdr:colOff>
      <xdr:row>34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678A64C8-DBE7-4DF5-AC5F-639CC9C7E6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352209</xdr:colOff>
      <xdr:row>0</xdr:row>
      <xdr:rowOff>101029</xdr:rowOff>
    </xdr:from>
    <xdr:ext cx="1695666" cy="632395"/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E1AE667-E836-4AB5-9BF3-754753F86149}"/>
            </a:ext>
          </a:extLst>
        </xdr:cNvPr>
        <xdr:cNvSpPr/>
      </xdr:nvSpPr>
      <xdr:spPr>
        <a:xfrm>
          <a:off x="4133634" y="101029"/>
          <a:ext cx="1695666" cy="632395"/>
        </a:xfrm>
        <a:prstGeom prst="rect">
          <a:avLst/>
        </a:prstGeom>
        <a:noFill/>
      </xdr:spPr>
      <xdr:txBody>
        <a:bodyPr wrap="none" lIns="91440" tIns="45720" rIns="91440" bIns="45720">
          <a:prstTxWarp prst="textChevronInverted">
            <a:avLst/>
          </a:prstTxWarp>
          <a:spAutoFit/>
        </a:bodyPr>
        <a:lstStyle/>
        <a:p>
          <a:pPr algn="ctr"/>
          <a:r>
            <a:rPr lang="fr-FR" sz="3600" b="1" cap="none" spc="0">
              <a:ln w="3175">
                <a:solidFill>
                  <a:schemeClr val="accent2"/>
                </a:solidFill>
                <a:prstDash val="solid"/>
              </a:ln>
              <a:solidFill>
                <a:schemeClr val="accent4">
                  <a:lumMod val="60000"/>
                  <a:lumOff val="40000"/>
                </a:schemeClr>
              </a:solidFill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  <a:reflection blurRad="6350" stA="60000" endA="900" endPos="60000" dist="29997" dir="5400000" sy="-100000" algn="bl" rotWithShape="0"/>
              </a:effectLst>
              <a:latin typeface="Garamond" panose="02020404030301010803" pitchFamily="18" charset="0"/>
            </a:rPr>
            <a:t>Le BVH</a:t>
          </a:r>
        </a:p>
      </xdr:txBody>
    </xdr:sp>
    <xdr:clientData/>
  </xdr:oneCellAnchor>
  <xdr:twoCellAnchor>
    <xdr:from>
      <xdr:col>5</xdr:col>
      <xdr:colOff>256443</xdr:colOff>
      <xdr:row>13</xdr:row>
      <xdr:rowOff>38101</xdr:rowOff>
    </xdr:from>
    <xdr:to>
      <xdr:col>7</xdr:col>
      <xdr:colOff>615461</xdr:colOff>
      <xdr:row>17</xdr:row>
      <xdr:rowOff>95250</xdr:rowOff>
    </xdr:to>
    <xdr:sp macro="" textlink="">
      <xdr:nvSpPr>
        <xdr:cNvPr id="3" name="Rectangle : coins arrondis 2">
          <a:extLst>
            <a:ext uri="{FF2B5EF4-FFF2-40B4-BE49-F238E27FC236}">
              <a16:creationId xmlns:a16="http://schemas.microsoft.com/office/drawing/2014/main" id="{B351C93F-CBBD-4A71-A81B-8334A7585F95}"/>
            </a:ext>
          </a:extLst>
        </xdr:cNvPr>
        <xdr:cNvSpPr/>
      </xdr:nvSpPr>
      <xdr:spPr>
        <a:xfrm>
          <a:off x="4990368" y="2514601"/>
          <a:ext cx="1863968" cy="752474"/>
        </a:xfrm>
        <a:prstGeom prst="roundRect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lIns="36000" tIns="36000" rIns="36000" bIns="36000" rtlCol="0" anchor="ctr" anchorCtr="1"/>
        <a:lstStyle/>
        <a:p>
          <a:pPr algn="just"/>
          <a:r>
            <a:rPr lang="fr-FR" sz="1100">
              <a:latin typeface="Garamond" panose="02020404030301010803" pitchFamily="18" charset="0"/>
            </a:rPr>
            <a:t>Le</a:t>
          </a:r>
          <a:r>
            <a:rPr lang="fr-FR" sz="1100" baseline="0">
              <a:latin typeface="Garamond" panose="02020404030301010803" pitchFamily="18" charset="0"/>
            </a:rPr>
            <a:t> résultats du trimestre ne seront pas comptabilisés dans le calcul des primes</a:t>
          </a:r>
          <a:endParaRPr lang="fr-FR" sz="1100">
            <a:latin typeface="Garamond" panose="02020404030301010803" pitchFamily="18" charset="0"/>
          </a:endParaRPr>
        </a:p>
      </xdr:txBody>
    </xdr:sp>
    <xdr:clientData/>
  </xdr:twoCellAnchor>
  <xdr:twoCellAnchor>
    <xdr:from>
      <xdr:col>0</xdr:col>
      <xdr:colOff>0</xdr:colOff>
      <xdr:row>17</xdr:row>
      <xdr:rowOff>123144</xdr:rowOff>
    </xdr:from>
    <xdr:to>
      <xdr:col>4</xdr:col>
      <xdr:colOff>752475</xdr:colOff>
      <xdr:row>34</xdr:row>
      <xdr:rowOff>116339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9D8F2FE6-414A-4CEE-9AF2-B2705DAF0C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785134</xdr:colOff>
      <xdr:row>17</xdr:row>
      <xdr:rowOff>122465</xdr:rowOff>
    </xdr:from>
    <xdr:to>
      <xdr:col>9</xdr:col>
      <xdr:colOff>133350</xdr:colOff>
      <xdr:row>34</xdr:row>
      <xdr:rowOff>66675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46A2444-0867-43FE-9A54-99A0152BF3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200025</xdr:colOff>
      <xdr:row>12</xdr:row>
      <xdr:rowOff>66675</xdr:rowOff>
    </xdr:from>
    <xdr:to>
      <xdr:col>5</xdr:col>
      <xdr:colOff>619125</xdr:colOff>
      <xdr:row>24</xdr:row>
      <xdr:rowOff>185737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ADFE3442-4795-4FA3-897C-41DF5D36B3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721098</xdr:colOff>
      <xdr:row>12</xdr:row>
      <xdr:rowOff>85163</xdr:rowOff>
    </xdr:from>
    <xdr:to>
      <xdr:col>11</xdr:col>
      <xdr:colOff>172010</xdr:colOff>
      <xdr:row>26</xdr:row>
      <xdr:rowOff>159682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CF96C634-E0D2-431F-A2D0-CD6C535075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range rouge">
      <a:dk1>
        <a:sysClr val="windowText" lastClr="000000"/>
      </a:dk1>
      <a:lt1>
        <a:sysClr val="window" lastClr="FFFFFF"/>
      </a:lt1>
      <a:dk2>
        <a:srgbClr val="696464"/>
      </a:dk2>
      <a:lt2>
        <a:srgbClr val="E9E5DC"/>
      </a:lt2>
      <a:accent1>
        <a:srgbClr val="D34817"/>
      </a:accent1>
      <a:accent2>
        <a:srgbClr val="9B2D1F"/>
      </a:accent2>
      <a:accent3>
        <a:srgbClr val="A28E6A"/>
      </a:accent3>
      <a:accent4>
        <a:srgbClr val="956251"/>
      </a:accent4>
      <a:accent5>
        <a:srgbClr val="918485"/>
      </a:accent5>
      <a:accent6>
        <a:srgbClr val="855D5D"/>
      </a:accent6>
      <a:hlink>
        <a:srgbClr val="CC9900"/>
      </a:hlink>
      <a:folHlink>
        <a:srgbClr val="96A9A9"/>
      </a:folHlink>
    </a:clrScheme>
    <a:fontScheme name="Personnalisé 1">
      <a:majorFont>
        <a:latin typeface="Garamond"/>
        <a:ea typeface=""/>
        <a:cs typeface=""/>
      </a:majorFont>
      <a:minorFont>
        <a:latin typeface="Garamond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  <pageSetUpPr fitToPage="1"/>
  </sheetPr>
  <dimension ref="A1:H21"/>
  <sheetViews>
    <sheetView showGridLines="0" tabSelected="1" zoomScaleNormal="100" workbookViewId="0">
      <selection activeCell="J21" sqref="J21"/>
    </sheetView>
  </sheetViews>
  <sheetFormatPr baseColWidth="10" defaultRowHeight="12.75" x14ac:dyDescent="0.2"/>
  <cols>
    <col min="1" max="1" width="13.85546875" style="1" customWidth="1"/>
    <col min="2" max="5" width="14.28515625" style="1" customWidth="1"/>
    <col min="6" max="6" width="10.85546875" style="1" customWidth="1"/>
    <col min="7" max="7" width="11.7109375" style="1" customWidth="1"/>
    <col min="8" max="8" width="10.42578125" style="1" customWidth="1"/>
    <col min="9" max="16384" width="11.42578125" style="1"/>
  </cols>
  <sheetData>
    <row r="1" spans="1:8" ht="19.5" thickBot="1" x14ac:dyDescent="0.35">
      <c r="A1" s="43" t="s">
        <v>16</v>
      </c>
      <c r="B1" s="44"/>
    </row>
    <row r="2" spans="1:8" ht="15.75" thickBot="1" x14ac:dyDescent="0.3">
      <c r="A2" s="11" t="s">
        <v>17</v>
      </c>
      <c r="B2" s="31">
        <f>SUM(E8:E13)</f>
        <v>707000</v>
      </c>
    </row>
    <row r="3" spans="1:8" x14ac:dyDescent="0.2">
      <c r="A3" s="2" t="s">
        <v>11</v>
      </c>
      <c r="B3" s="12">
        <f>AVERAGE(E8:E13)</f>
        <v>117833.33333333333</v>
      </c>
    </row>
    <row r="4" spans="1:8" x14ac:dyDescent="0.2">
      <c r="A4" s="2" t="s">
        <v>12</v>
      </c>
      <c r="B4" s="3">
        <f>MAX(E8:E13)</f>
        <v>182000</v>
      </c>
    </row>
    <row r="5" spans="1:8" ht="13.5" thickBot="1" x14ac:dyDescent="0.25">
      <c r="A5" s="4" t="s">
        <v>13</v>
      </c>
      <c r="B5" s="5">
        <f>MIN(E8:E13)</f>
        <v>50000</v>
      </c>
      <c r="H5" s="6"/>
    </row>
    <row r="6" spans="1:8" s="7" customFormat="1" ht="15.75" thickBot="1" x14ac:dyDescent="0.3"/>
    <row r="7" spans="1:8" ht="15" customHeight="1" thickBot="1" x14ac:dyDescent="0.3">
      <c r="B7" s="28" t="s">
        <v>18</v>
      </c>
      <c r="C7" s="29" t="s">
        <v>19</v>
      </c>
      <c r="D7" s="29" t="s">
        <v>20</v>
      </c>
      <c r="E7" s="29" t="s">
        <v>15</v>
      </c>
      <c r="F7" s="29" t="s">
        <v>14</v>
      </c>
      <c r="G7" s="29" t="s">
        <v>0</v>
      </c>
      <c r="H7" s="30" t="s">
        <v>1</v>
      </c>
    </row>
    <row r="8" spans="1:8" ht="15" customHeight="1" x14ac:dyDescent="0.2">
      <c r="A8" s="13" t="s">
        <v>2</v>
      </c>
      <c r="B8" s="14">
        <v>15000</v>
      </c>
      <c r="C8" s="14">
        <v>17000</v>
      </c>
      <c r="D8" s="14">
        <v>18000</v>
      </c>
      <c r="E8" s="15">
        <f>SUM(B8:D8)</f>
        <v>50000</v>
      </c>
      <c r="F8" s="14">
        <f>AVERAGE(B8:D8)</f>
        <v>16666.666666666668</v>
      </c>
      <c r="G8" s="14">
        <f>MAX(B8:D8)</f>
        <v>18000</v>
      </c>
      <c r="H8" s="16">
        <f>MIN(B8:D8)</f>
        <v>15000</v>
      </c>
    </row>
    <row r="9" spans="1:8" ht="15" customHeight="1" x14ac:dyDescent="0.2">
      <c r="A9" s="17" t="s">
        <v>3</v>
      </c>
      <c r="B9" s="8">
        <v>25000</v>
      </c>
      <c r="C9" s="8">
        <v>33000</v>
      </c>
      <c r="D9" s="8">
        <v>24000</v>
      </c>
      <c r="E9" s="9">
        <f t="shared" ref="E9:E13" si="0">SUM(B9:D9)</f>
        <v>82000</v>
      </c>
      <c r="F9" s="8">
        <f t="shared" ref="F9:F13" si="1">AVERAGE(B9:D9)</f>
        <v>27333.333333333332</v>
      </c>
      <c r="G9" s="8">
        <f t="shared" ref="G9:G13" si="2">MAX(B9:D9)</f>
        <v>33000</v>
      </c>
      <c r="H9" s="18">
        <f t="shared" ref="H9:H13" si="3">MIN(B9:D9)</f>
        <v>24000</v>
      </c>
    </row>
    <row r="10" spans="1:8" ht="15" customHeight="1" x14ac:dyDescent="0.2">
      <c r="A10" s="17" t="s">
        <v>4</v>
      </c>
      <c r="B10" s="8">
        <v>35000</v>
      </c>
      <c r="C10" s="8">
        <v>31000</v>
      </c>
      <c r="D10" s="8">
        <v>30000</v>
      </c>
      <c r="E10" s="9">
        <f t="shared" si="0"/>
        <v>96000</v>
      </c>
      <c r="F10" s="8">
        <f t="shared" si="1"/>
        <v>32000</v>
      </c>
      <c r="G10" s="8">
        <f t="shared" si="2"/>
        <v>35000</v>
      </c>
      <c r="H10" s="18">
        <f t="shared" si="3"/>
        <v>30000</v>
      </c>
    </row>
    <row r="11" spans="1:8" ht="15" customHeight="1" x14ac:dyDescent="0.2">
      <c r="A11" s="17" t="s">
        <v>5</v>
      </c>
      <c r="B11" s="8">
        <v>64000</v>
      </c>
      <c r="C11" s="8">
        <v>64000</v>
      </c>
      <c r="D11" s="8">
        <v>54000</v>
      </c>
      <c r="E11" s="9">
        <f t="shared" si="0"/>
        <v>182000</v>
      </c>
      <c r="F11" s="8">
        <f t="shared" si="1"/>
        <v>60666.666666666664</v>
      </c>
      <c r="G11" s="8">
        <f t="shared" si="2"/>
        <v>64000</v>
      </c>
      <c r="H11" s="18">
        <f t="shared" si="3"/>
        <v>54000</v>
      </c>
    </row>
    <row r="12" spans="1:8" ht="15" customHeight="1" x14ac:dyDescent="0.2">
      <c r="A12" s="17" t="s">
        <v>6</v>
      </c>
      <c r="B12" s="8">
        <v>52000</v>
      </c>
      <c r="C12" s="8">
        <v>50000</v>
      </c>
      <c r="D12" s="8">
        <v>64000</v>
      </c>
      <c r="E12" s="9">
        <f t="shared" si="0"/>
        <v>166000</v>
      </c>
      <c r="F12" s="8">
        <f t="shared" si="1"/>
        <v>55333.333333333336</v>
      </c>
      <c r="G12" s="8">
        <f t="shared" si="2"/>
        <v>64000</v>
      </c>
      <c r="H12" s="18">
        <f t="shared" si="3"/>
        <v>50000</v>
      </c>
    </row>
    <row r="13" spans="1:8" ht="15" customHeight="1" thickBot="1" x14ac:dyDescent="0.25">
      <c r="A13" s="19" t="s">
        <v>7</v>
      </c>
      <c r="B13" s="20">
        <v>41000</v>
      </c>
      <c r="C13" s="20">
        <v>40000</v>
      </c>
      <c r="D13" s="20">
        <v>50000</v>
      </c>
      <c r="E13" s="21">
        <f t="shared" si="0"/>
        <v>131000</v>
      </c>
      <c r="F13" s="20">
        <f t="shared" si="1"/>
        <v>43666.666666666664</v>
      </c>
      <c r="G13" s="20">
        <f t="shared" si="2"/>
        <v>50000</v>
      </c>
      <c r="H13" s="22">
        <f t="shared" si="3"/>
        <v>40000</v>
      </c>
    </row>
    <row r="14" spans="1:8" ht="13.5" thickBot="1" x14ac:dyDescent="0.25">
      <c r="B14" s="10"/>
      <c r="C14" s="10"/>
      <c r="D14" s="10"/>
      <c r="E14" s="10"/>
      <c r="F14" s="10"/>
      <c r="G14" s="10"/>
      <c r="H14" s="10"/>
    </row>
    <row r="15" spans="1:8" ht="15" x14ac:dyDescent="0.25">
      <c r="A15" s="25" t="s">
        <v>8</v>
      </c>
      <c r="B15" s="26">
        <f>SUM(B8:B14)</f>
        <v>232000</v>
      </c>
      <c r="C15" s="26">
        <f t="shared" ref="C15:D15" si="4">SUM(C8:C14)</f>
        <v>235000</v>
      </c>
      <c r="D15" s="26">
        <f t="shared" si="4"/>
        <v>240000</v>
      </c>
      <c r="E15" s="27">
        <f>SUM(E8:E14)</f>
        <v>707000</v>
      </c>
      <c r="F15" s="10"/>
      <c r="G15" s="10"/>
      <c r="H15" s="10"/>
    </row>
    <row r="16" spans="1:8" x14ac:dyDescent="0.2">
      <c r="A16" s="23" t="s">
        <v>9</v>
      </c>
      <c r="B16" s="8">
        <f>B15*0.2</f>
        <v>46400</v>
      </c>
      <c r="C16" s="8">
        <f t="shared" ref="C16:E16" si="5">C15*0.2</f>
        <v>47000</v>
      </c>
      <c r="D16" s="8">
        <f t="shared" si="5"/>
        <v>48000</v>
      </c>
      <c r="E16" s="18">
        <f t="shared" si="5"/>
        <v>141400</v>
      </c>
      <c r="F16" s="10"/>
      <c r="G16" s="10"/>
      <c r="H16" s="10"/>
    </row>
    <row r="17" spans="1:8" ht="13.5" thickBot="1" x14ac:dyDescent="0.25">
      <c r="A17" s="24" t="s">
        <v>10</v>
      </c>
      <c r="B17" s="20">
        <f>SUM(B15:B16)</f>
        <v>278400</v>
      </c>
      <c r="C17" s="20">
        <f t="shared" ref="C17:E17" si="6">SUM(C15:C16)</f>
        <v>282000</v>
      </c>
      <c r="D17" s="20">
        <f t="shared" si="6"/>
        <v>288000</v>
      </c>
      <c r="E17" s="22">
        <f t="shared" si="6"/>
        <v>848400</v>
      </c>
      <c r="F17" s="10"/>
      <c r="G17" s="10"/>
      <c r="H17" s="10"/>
    </row>
    <row r="18" spans="1:8" x14ac:dyDescent="0.2">
      <c r="B18" s="6"/>
      <c r="C18" s="6"/>
      <c r="D18" s="6"/>
      <c r="E18" s="6"/>
      <c r="F18" s="6"/>
      <c r="G18" s="6"/>
      <c r="H18" s="6"/>
    </row>
    <row r="19" spans="1:8" x14ac:dyDescent="0.2">
      <c r="B19" s="6"/>
      <c r="C19" s="6"/>
      <c r="F19" s="6"/>
      <c r="G19" s="6"/>
      <c r="H19" s="6"/>
    </row>
    <row r="20" spans="1:8" x14ac:dyDescent="0.2">
      <c r="B20" s="6"/>
      <c r="C20" s="6"/>
      <c r="F20" s="6"/>
      <c r="G20" s="6"/>
      <c r="H20" s="6"/>
    </row>
    <row r="21" spans="1:8" x14ac:dyDescent="0.2">
      <c r="B21" s="6"/>
      <c r="C21" s="6"/>
      <c r="F21" s="6"/>
      <c r="G21" s="6"/>
      <c r="H21" s="6"/>
    </row>
  </sheetData>
  <mergeCells count="1">
    <mergeCell ref="A1:B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&amp;L&amp;D&amp;R&amp;F</oddHeader>
    <oddFooter>&amp;L&amp;"-,Gras"&amp;14&amp;EService comptabilité&amp;R&amp;"-,Gras"&amp;20&amp;A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9995D-E729-43B0-8FA6-B420E960AE16}">
  <sheetPr>
    <tabColor rgb="FF92D050"/>
    <pageSetUpPr fitToPage="1"/>
  </sheetPr>
  <dimension ref="A1:H21"/>
  <sheetViews>
    <sheetView showGridLines="0" zoomScaleNormal="100" workbookViewId="0">
      <selection activeCell="B8" sqref="B8:D13"/>
    </sheetView>
  </sheetViews>
  <sheetFormatPr baseColWidth="10" defaultRowHeight="12.75" x14ac:dyDescent="0.2"/>
  <cols>
    <col min="1" max="1" width="13.85546875" style="1" customWidth="1"/>
    <col min="2" max="5" width="14.28515625" style="1" customWidth="1"/>
    <col min="6" max="6" width="10.85546875" style="1" customWidth="1"/>
    <col min="7" max="7" width="11.7109375" style="1" customWidth="1"/>
    <col min="8" max="8" width="10.42578125" style="1" customWidth="1"/>
    <col min="9" max="16384" width="11.42578125" style="1"/>
  </cols>
  <sheetData>
    <row r="1" spans="1:8" ht="19.5" thickBot="1" x14ac:dyDescent="0.35">
      <c r="A1" s="43" t="s">
        <v>16</v>
      </c>
      <c r="B1" s="44"/>
    </row>
    <row r="2" spans="1:8" ht="15.75" thickBot="1" x14ac:dyDescent="0.3">
      <c r="A2" s="11" t="s">
        <v>17</v>
      </c>
      <c r="B2" s="31">
        <f>SUM(E8:E13)</f>
        <v>700000</v>
      </c>
    </row>
    <row r="3" spans="1:8" x14ac:dyDescent="0.2">
      <c r="A3" s="2" t="s">
        <v>11</v>
      </c>
      <c r="B3" s="12">
        <f>AVERAGE(E8:E13)</f>
        <v>116666.66666666667</v>
      </c>
    </row>
    <row r="4" spans="1:8" x14ac:dyDescent="0.2">
      <c r="A4" s="2" t="s">
        <v>12</v>
      </c>
      <c r="B4" s="3">
        <f>MAX(E8:E13)</f>
        <v>187000</v>
      </c>
    </row>
    <row r="5" spans="1:8" ht="13.5" thickBot="1" x14ac:dyDescent="0.25">
      <c r="A5" s="4" t="s">
        <v>13</v>
      </c>
      <c r="B5" s="5">
        <f>MIN(E8:E13)</f>
        <v>50000</v>
      </c>
      <c r="H5" s="6"/>
    </row>
    <row r="6" spans="1:8" s="7" customFormat="1" ht="15.75" thickBot="1" x14ac:dyDescent="0.3"/>
    <row r="7" spans="1:8" ht="15" customHeight="1" thickBot="1" x14ac:dyDescent="0.3">
      <c r="B7" s="28" t="s">
        <v>18</v>
      </c>
      <c r="C7" s="29" t="s">
        <v>19</v>
      </c>
      <c r="D7" s="29" t="s">
        <v>20</v>
      </c>
      <c r="E7" s="29" t="s">
        <v>15</v>
      </c>
      <c r="F7" s="29" t="s">
        <v>14</v>
      </c>
      <c r="G7" s="29" t="s">
        <v>0</v>
      </c>
      <c r="H7" s="30" t="s">
        <v>1</v>
      </c>
    </row>
    <row r="8" spans="1:8" ht="15" customHeight="1" x14ac:dyDescent="0.2">
      <c r="A8" s="13" t="s">
        <v>2</v>
      </c>
      <c r="B8" s="14">
        <v>15000</v>
      </c>
      <c r="C8" s="14">
        <v>17000</v>
      </c>
      <c r="D8" s="14">
        <v>18000</v>
      </c>
      <c r="E8" s="15">
        <f>SUM(B8:D8)</f>
        <v>50000</v>
      </c>
      <c r="F8" s="14">
        <f>AVERAGE(B8:D8)</f>
        <v>16666.666666666668</v>
      </c>
      <c r="G8" s="14">
        <f>MAX(B8:D8)</f>
        <v>18000</v>
      </c>
      <c r="H8" s="16">
        <f>MIN(B8:D8)</f>
        <v>15000</v>
      </c>
    </row>
    <row r="9" spans="1:8" ht="15" customHeight="1" x14ac:dyDescent="0.2">
      <c r="A9" s="17" t="s">
        <v>3</v>
      </c>
      <c r="B9" s="8">
        <v>25000</v>
      </c>
      <c r="C9" s="8">
        <v>33000</v>
      </c>
      <c r="D9" s="8">
        <v>18000</v>
      </c>
      <c r="E9" s="9">
        <f t="shared" ref="E9:E13" si="0">SUM(B9:D9)</f>
        <v>76000</v>
      </c>
      <c r="F9" s="8">
        <f t="shared" ref="F9:F13" si="1">AVERAGE(B9:D9)</f>
        <v>25333.333333333332</v>
      </c>
      <c r="G9" s="8">
        <f t="shared" ref="G9:G13" si="2">MAX(B9:D9)</f>
        <v>33000</v>
      </c>
      <c r="H9" s="18">
        <f t="shared" ref="H9:H13" si="3">MIN(B9:D9)</f>
        <v>18000</v>
      </c>
    </row>
    <row r="10" spans="1:8" ht="15" customHeight="1" x14ac:dyDescent="0.2">
      <c r="A10" s="17" t="s">
        <v>4</v>
      </c>
      <c r="B10" s="8">
        <v>35000</v>
      </c>
      <c r="C10" s="8">
        <v>31000</v>
      </c>
      <c r="D10" s="8">
        <v>30000</v>
      </c>
      <c r="E10" s="9">
        <f t="shared" si="0"/>
        <v>96000</v>
      </c>
      <c r="F10" s="8">
        <f t="shared" si="1"/>
        <v>32000</v>
      </c>
      <c r="G10" s="8">
        <f t="shared" si="2"/>
        <v>35000</v>
      </c>
      <c r="H10" s="18">
        <f t="shared" si="3"/>
        <v>30000</v>
      </c>
    </row>
    <row r="11" spans="1:8" ht="15" customHeight="1" x14ac:dyDescent="0.2">
      <c r="A11" s="17" t="s">
        <v>5</v>
      </c>
      <c r="B11" s="8">
        <v>69000</v>
      </c>
      <c r="C11" s="8">
        <v>64000</v>
      </c>
      <c r="D11" s="8">
        <v>54000</v>
      </c>
      <c r="E11" s="9">
        <f t="shared" si="0"/>
        <v>187000</v>
      </c>
      <c r="F11" s="8">
        <f t="shared" si="1"/>
        <v>62333.333333333336</v>
      </c>
      <c r="G11" s="8">
        <f t="shared" si="2"/>
        <v>69000</v>
      </c>
      <c r="H11" s="18">
        <f t="shared" si="3"/>
        <v>54000</v>
      </c>
    </row>
    <row r="12" spans="1:8" ht="15" customHeight="1" x14ac:dyDescent="0.2">
      <c r="A12" s="17" t="s">
        <v>6</v>
      </c>
      <c r="B12" s="8">
        <v>52000</v>
      </c>
      <c r="C12" s="8">
        <v>52000</v>
      </c>
      <c r="D12" s="8">
        <v>56000</v>
      </c>
      <c r="E12" s="9">
        <f t="shared" si="0"/>
        <v>160000</v>
      </c>
      <c r="F12" s="8">
        <f t="shared" si="1"/>
        <v>53333.333333333336</v>
      </c>
      <c r="G12" s="8">
        <f t="shared" si="2"/>
        <v>56000</v>
      </c>
      <c r="H12" s="18">
        <f t="shared" si="3"/>
        <v>52000</v>
      </c>
    </row>
    <row r="13" spans="1:8" ht="15" customHeight="1" thickBot="1" x14ac:dyDescent="0.25">
      <c r="A13" s="19" t="s">
        <v>7</v>
      </c>
      <c r="B13" s="20">
        <v>41000</v>
      </c>
      <c r="C13" s="20">
        <v>40000</v>
      </c>
      <c r="D13" s="20">
        <v>50000</v>
      </c>
      <c r="E13" s="21">
        <f t="shared" si="0"/>
        <v>131000</v>
      </c>
      <c r="F13" s="20">
        <f t="shared" si="1"/>
        <v>43666.666666666664</v>
      </c>
      <c r="G13" s="20">
        <f t="shared" si="2"/>
        <v>50000</v>
      </c>
      <c r="H13" s="22">
        <f t="shared" si="3"/>
        <v>40000</v>
      </c>
    </row>
    <row r="14" spans="1:8" ht="13.5" thickBot="1" x14ac:dyDescent="0.25">
      <c r="B14" s="10"/>
      <c r="C14" s="10"/>
      <c r="D14" s="10"/>
      <c r="E14" s="10"/>
      <c r="F14" s="10"/>
      <c r="G14" s="10"/>
      <c r="H14" s="10"/>
    </row>
    <row r="15" spans="1:8" ht="15" x14ac:dyDescent="0.25">
      <c r="A15" s="25" t="s">
        <v>8</v>
      </c>
      <c r="B15" s="26">
        <f>SUM(B8:B14)</f>
        <v>237000</v>
      </c>
      <c r="C15" s="26">
        <f t="shared" ref="C15:D15" si="4">SUM(C8:C14)</f>
        <v>237000</v>
      </c>
      <c r="D15" s="26">
        <f t="shared" si="4"/>
        <v>226000</v>
      </c>
      <c r="E15" s="27">
        <f>SUM(E8:E14)</f>
        <v>700000</v>
      </c>
      <c r="F15" s="10"/>
      <c r="G15" s="10"/>
      <c r="H15" s="10"/>
    </row>
    <row r="16" spans="1:8" x14ac:dyDescent="0.2">
      <c r="A16" s="23" t="s">
        <v>9</v>
      </c>
      <c r="B16" s="8">
        <f>B15*0.2</f>
        <v>47400</v>
      </c>
      <c r="C16" s="8">
        <f t="shared" ref="C16:E16" si="5">C15*0.2</f>
        <v>47400</v>
      </c>
      <c r="D16" s="8">
        <f t="shared" si="5"/>
        <v>45200</v>
      </c>
      <c r="E16" s="18">
        <f t="shared" si="5"/>
        <v>140000</v>
      </c>
      <c r="F16" s="10"/>
      <c r="G16" s="10"/>
      <c r="H16" s="10"/>
    </row>
    <row r="17" spans="1:8" ht="13.5" thickBot="1" x14ac:dyDescent="0.25">
      <c r="A17" s="24" t="s">
        <v>10</v>
      </c>
      <c r="B17" s="20">
        <f>SUM(B15:B16)</f>
        <v>284400</v>
      </c>
      <c r="C17" s="20">
        <f t="shared" ref="C17:E17" si="6">SUM(C15:C16)</f>
        <v>284400</v>
      </c>
      <c r="D17" s="20">
        <f t="shared" si="6"/>
        <v>271200</v>
      </c>
      <c r="E17" s="22">
        <f t="shared" si="6"/>
        <v>840000</v>
      </c>
      <c r="F17" s="10"/>
      <c r="G17" s="10"/>
      <c r="H17" s="10"/>
    </row>
    <row r="18" spans="1:8" x14ac:dyDescent="0.2">
      <c r="B18" s="6"/>
      <c r="C18" s="6"/>
      <c r="D18" s="6"/>
      <c r="E18" s="6"/>
      <c r="F18" s="6"/>
      <c r="G18" s="6"/>
      <c r="H18" s="6"/>
    </row>
    <row r="19" spans="1:8" x14ac:dyDescent="0.2">
      <c r="B19" s="6"/>
      <c r="C19" s="6"/>
      <c r="F19" s="6"/>
      <c r="G19" s="6"/>
      <c r="H19" s="6"/>
    </row>
    <row r="20" spans="1:8" x14ac:dyDescent="0.2">
      <c r="B20" s="6"/>
      <c r="C20" s="6"/>
      <c r="F20" s="6"/>
      <c r="G20" s="6"/>
      <c r="H20" s="6"/>
    </row>
    <row r="21" spans="1:8" x14ac:dyDescent="0.2">
      <c r="B21" s="6"/>
      <c r="C21" s="6"/>
      <c r="F21" s="6"/>
      <c r="G21" s="6"/>
      <c r="H21" s="6"/>
    </row>
  </sheetData>
  <mergeCells count="1">
    <mergeCell ref="A1:B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&amp;L&amp;D&amp;R&amp;F</oddHeader>
    <oddFooter>&amp;L&amp;"-,Gras"&amp;14&amp;EService comptabilité&amp;R&amp;"-,Gras"&amp;18&amp;A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B0EC4F-8616-42F0-A9AA-3F290AF82382}">
  <sheetPr>
    <tabColor rgb="FFFFFF00"/>
    <pageSetUpPr fitToPage="1"/>
  </sheetPr>
  <dimension ref="A1:H21"/>
  <sheetViews>
    <sheetView showGridLines="0" zoomScaleNormal="100" workbookViewId="0">
      <selection activeCell="B8" sqref="B8:D13"/>
    </sheetView>
  </sheetViews>
  <sheetFormatPr baseColWidth="10" defaultRowHeight="12.75" x14ac:dyDescent="0.2"/>
  <cols>
    <col min="1" max="1" width="13.85546875" style="1" customWidth="1"/>
    <col min="2" max="5" width="14.28515625" style="1" customWidth="1"/>
    <col min="6" max="6" width="10.85546875" style="1" customWidth="1"/>
    <col min="7" max="7" width="11.7109375" style="1" customWidth="1"/>
    <col min="8" max="8" width="10.42578125" style="1" customWidth="1"/>
    <col min="9" max="16384" width="11.42578125" style="1"/>
  </cols>
  <sheetData>
    <row r="1" spans="1:8" ht="19.5" thickBot="1" x14ac:dyDescent="0.35">
      <c r="A1" s="43" t="s">
        <v>16</v>
      </c>
      <c r="B1" s="44"/>
    </row>
    <row r="2" spans="1:8" ht="15.75" thickBot="1" x14ac:dyDescent="0.3">
      <c r="A2" s="11" t="s">
        <v>17</v>
      </c>
      <c r="B2" s="31">
        <f>SUM(E8:E13)</f>
        <v>824000</v>
      </c>
    </row>
    <row r="3" spans="1:8" x14ac:dyDescent="0.2">
      <c r="A3" s="2" t="s">
        <v>11</v>
      </c>
      <c r="B3" s="12">
        <f>AVERAGE(E8:E13)</f>
        <v>137333.33333333334</v>
      </c>
    </row>
    <row r="4" spans="1:8" x14ac:dyDescent="0.2">
      <c r="A4" s="2" t="s">
        <v>12</v>
      </c>
      <c r="B4" s="3">
        <f>MAX(E8:E13)</f>
        <v>203000</v>
      </c>
    </row>
    <row r="5" spans="1:8" ht="13.5" thickBot="1" x14ac:dyDescent="0.25">
      <c r="A5" s="4" t="s">
        <v>13</v>
      </c>
      <c r="B5" s="5">
        <f>MIN(E8:E13)</f>
        <v>50000</v>
      </c>
      <c r="H5" s="6"/>
    </row>
    <row r="6" spans="1:8" s="7" customFormat="1" ht="15.75" thickBot="1" x14ac:dyDescent="0.3"/>
    <row r="7" spans="1:8" ht="15" customHeight="1" thickBot="1" x14ac:dyDescent="0.3">
      <c r="B7" s="28" t="s">
        <v>18</v>
      </c>
      <c r="C7" s="29" t="s">
        <v>19</v>
      </c>
      <c r="D7" s="29" t="s">
        <v>20</v>
      </c>
      <c r="E7" s="29" t="s">
        <v>15</v>
      </c>
      <c r="F7" s="29" t="s">
        <v>14</v>
      </c>
      <c r="G7" s="29" t="s">
        <v>0</v>
      </c>
      <c r="H7" s="30" t="s">
        <v>1</v>
      </c>
    </row>
    <row r="8" spans="1:8" ht="15" customHeight="1" x14ac:dyDescent="0.2">
      <c r="A8" s="13" t="s">
        <v>2</v>
      </c>
      <c r="B8" s="14">
        <v>15000</v>
      </c>
      <c r="C8" s="14">
        <v>17000</v>
      </c>
      <c r="D8" s="14">
        <v>18000</v>
      </c>
      <c r="E8" s="15">
        <f>SUM(B8:D8)</f>
        <v>50000</v>
      </c>
      <c r="F8" s="14">
        <f>AVERAGE(B8:D8)</f>
        <v>16666.666666666668</v>
      </c>
      <c r="G8" s="14">
        <f>MAX(B8:D8)</f>
        <v>18000</v>
      </c>
      <c r="H8" s="16">
        <f>MIN(B8:D8)</f>
        <v>15000</v>
      </c>
    </row>
    <row r="9" spans="1:8" ht="15" customHeight="1" x14ac:dyDescent="0.2">
      <c r="A9" s="17" t="s">
        <v>3</v>
      </c>
      <c r="B9" s="8">
        <v>52000</v>
      </c>
      <c r="C9" s="8">
        <v>33000</v>
      </c>
      <c r="D9" s="8">
        <v>63000</v>
      </c>
      <c r="E9" s="9">
        <f t="shared" ref="E9:E13" si="0">SUM(B9:D9)</f>
        <v>148000</v>
      </c>
      <c r="F9" s="8">
        <f t="shared" ref="F9:F13" si="1">AVERAGE(B9:D9)</f>
        <v>49333.333333333336</v>
      </c>
      <c r="G9" s="8">
        <f t="shared" ref="G9:G13" si="2">MAX(B9:D9)</f>
        <v>63000</v>
      </c>
      <c r="H9" s="18">
        <f t="shared" ref="H9:H13" si="3">MIN(B9:D9)</f>
        <v>33000</v>
      </c>
    </row>
    <row r="10" spans="1:8" ht="15" customHeight="1" x14ac:dyDescent="0.2">
      <c r="A10" s="17" t="s">
        <v>4</v>
      </c>
      <c r="B10" s="8">
        <v>35000</v>
      </c>
      <c r="C10" s="8">
        <v>32000</v>
      </c>
      <c r="D10" s="8">
        <v>65000</v>
      </c>
      <c r="E10" s="9">
        <f t="shared" si="0"/>
        <v>132000</v>
      </c>
      <c r="F10" s="8">
        <f t="shared" si="1"/>
        <v>44000</v>
      </c>
      <c r="G10" s="8">
        <f t="shared" si="2"/>
        <v>65000</v>
      </c>
      <c r="H10" s="18">
        <f t="shared" si="3"/>
        <v>32000</v>
      </c>
    </row>
    <row r="11" spans="1:8" ht="15" customHeight="1" x14ac:dyDescent="0.2">
      <c r="A11" s="17" t="s">
        <v>5</v>
      </c>
      <c r="B11" s="8">
        <v>85000</v>
      </c>
      <c r="C11" s="8">
        <v>64000</v>
      </c>
      <c r="D11" s="8">
        <v>54000</v>
      </c>
      <c r="E11" s="9">
        <f t="shared" si="0"/>
        <v>203000</v>
      </c>
      <c r="F11" s="8">
        <f t="shared" si="1"/>
        <v>67666.666666666672</v>
      </c>
      <c r="G11" s="8">
        <f t="shared" si="2"/>
        <v>85000</v>
      </c>
      <c r="H11" s="18">
        <f t="shared" si="3"/>
        <v>54000</v>
      </c>
    </row>
    <row r="12" spans="1:8" ht="15" customHeight="1" x14ac:dyDescent="0.2">
      <c r="A12" s="17" t="s">
        <v>6</v>
      </c>
      <c r="B12" s="8">
        <v>52000</v>
      </c>
      <c r="C12" s="8">
        <v>56000</v>
      </c>
      <c r="D12" s="8">
        <v>52000</v>
      </c>
      <c r="E12" s="9">
        <f t="shared" si="0"/>
        <v>160000</v>
      </c>
      <c r="F12" s="8">
        <f t="shared" si="1"/>
        <v>53333.333333333336</v>
      </c>
      <c r="G12" s="8">
        <f t="shared" si="2"/>
        <v>56000</v>
      </c>
      <c r="H12" s="18">
        <f t="shared" si="3"/>
        <v>52000</v>
      </c>
    </row>
    <row r="13" spans="1:8" ht="15" customHeight="1" thickBot="1" x14ac:dyDescent="0.25">
      <c r="A13" s="19" t="s">
        <v>7</v>
      </c>
      <c r="B13" s="20">
        <v>41000</v>
      </c>
      <c r="C13" s="20">
        <v>40000</v>
      </c>
      <c r="D13" s="20">
        <v>50000</v>
      </c>
      <c r="E13" s="21">
        <f t="shared" si="0"/>
        <v>131000</v>
      </c>
      <c r="F13" s="20">
        <f t="shared" si="1"/>
        <v>43666.666666666664</v>
      </c>
      <c r="G13" s="20">
        <f t="shared" si="2"/>
        <v>50000</v>
      </c>
      <c r="H13" s="22">
        <f t="shared" si="3"/>
        <v>40000</v>
      </c>
    </row>
    <row r="14" spans="1:8" ht="13.5" thickBot="1" x14ac:dyDescent="0.25">
      <c r="B14" s="10"/>
      <c r="C14" s="10"/>
      <c r="D14" s="10"/>
      <c r="E14" s="10"/>
      <c r="F14" s="10"/>
      <c r="G14" s="10"/>
      <c r="H14" s="10"/>
    </row>
    <row r="15" spans="1:8" ht="15" x14ac:dyDescent="0.25">
      <c r="A15" s="25" t="s">
        <v>8</v>
      </c>
      <c r="B15" s="26">
        <f>SUM(B8:B14)</f>
        <v>280000</v>
      </c>
      <c r="C15" s="26">
        <f t="shared" ref="C15:D15" si="4">SUM(C8:C14)</f>
        <v>242000</v>
      </c>
      <c r="D15" s="26">
        <f t="shared" si="4"/>
        <v>302000</v>
      </c>
      <c r="E15" s="27">
        <f>SUM(E8:E14)</f>
        <v>824000</v>
      </c>
      <c r="F15" s="10"/>
      <c r="G15" s="10"/>
      <c r="H15" s="10"/>
    </row>
    <row r="16" spans="1:8" x14ac:dyDescent="0.2">
      <c r="A16" s="23" t="s">
        <v>9</v>
      </c>
      <c r="B16" s="8">
        <f>B15*0.2</f>
        <v>56000</v>
      </c>
      <c r="C16" s="8">
        <f t="shared" ref="C16:E16" si="5">C15*0.2</f>
        <v>48400</v>
      </c>
      <c r="D16" s="8">
        <f t="shared" si="5"/>
        <v>60400</v>
      </c>
      <c r="E16" s="18">
        <f t="shared" si="5"/>
        <v>164800</v>
      </c>
      <c r="F16" s="10"/>
      <c r="G16" s="10"/>
      <c r="H16" s="10"/>
    </row>
    <row r="17" spans="1:8" ht="13.5" thickBot="1" x14ac:dyDescent="0.25">
      <c r="A17" s="24" t="s">
        <v>10</v>
      </c>
      <c r="B17" s="20">
        <f>SUM(B15:B16)</f>
        <v>336000</v>
      </c>
      <c r="C17" s="20">
        <f t="shared" ref="C17:E17" si="6">SUM(C15:C16)</f>
        <v>290400</v>
      </c>
      <c r="D17" s="20">
        <f t="shared" si="6"/>
        <v>362400</v>
      </c>
      <c r="E17" s="22">
        <f t="shared" si="6"/>
        <v>988800</v>
      </c>
      <c r="F17" s="10"/>
      <c r="G17" s="10"/>
      <c r="H17" s="10"/>
    </row>
    <row r="18" spans="1:8" x14ac:dyDescent="0.2">
      <c r="B18" s="6"/>
      <c r="C18" s="6"/>
      <c r="D18" s="6"/>
      <c r="E18" s="6"/>
      <c r="F18" s="6"/>
      <c r="G18" s="6"/>
      <c r="H18" s="6"/>
    </row>
    <row r="19" spans="1:8" x14ac:dyDescent="0.2">
      <c r="B19" s="6"/>
      <c r="C19" s="6"/>
      <c r="F19" s="6"/>
      <c r="G19" s="6"/>
      <c r="H19" s="6"/>
    </row>
    <row r="20" spans="1:8" x14ac:dyDescent="0.2">
      <c r="B20" s="6"/>
      <c r="C20" s="6"/>
      <c r="F20" s="6"/>
      <c r="G20" s="6"/>
      <c r="H20" s="6"/>
    </row>
    <row r="21" spans="1:8" x14ac:dyDescent="0.2">
      <c r="B21" s="6"/>
      <c r="C21" s="6"/>
      <c r="F21" s="6"/>
      <c r="G21" s="6"/>
      <c r="H21" s="6"/>
    </row>
  </sheetData>
  <mergeCells count="1">
    <mergeCell ref="A1:B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&amp;L&amp;D&amp;R&amp;F</oddHeader>
    <oddFooter>&amp;L&amp;"-,Gras"&amp;14&amp;EService comptabilité&amp;R&amp;"-,Gras"&amp;18&amp;A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72313-7394-46EC-AC25-1FAB0CE290D8}">
  <sheetPr>
    <tabColor theme="5"/>
    <pageSetUpPr fitToPage="1"/>
  </sheetPr>
  <dimension ref="A1:H21"/>
  <sheetViews>
    <sheetView showGridLines="0" zoomScaleNormal="100" workbookViewId="0">
      <selection activeCell="C10" sqref="C10"/>
    </sheetView>
  </sheetViews>
  <sheetFormatPr baseColWidth="10" defaultRowHeight="12.75" x14ac:dyDescent="0.2"/>
  <cols>
    <col min="1" max="1" width="13.85546875" style="1" customWidth="1"/>
    <col min="2" max="5" width="14.28515625" style="1" customWidth="1"/>
    <col min="6" max="6" width="10.85546875" style="1" customWidth="1"/>
    <col min="7" max="7" width="11.7109375" style="1" customWidth="1"/>
    <col min="8" max="8" width="10.42578125" style="1" customWidth="1"/>
    <col min="9" max="16384" width="11.42578125" style="1"/>
  </cols>
  <sheetData>
    <row r="1" spans="1:8" ht="19.5" thickBot="1" x14ac:dyDescent="0.35">
      <c r="A1" s="43" t="s">
        <v>16</v>
      </c>
      <c r="B1" s="44"/>
    </row>
    <row r="2" spans="1:8" ht="15.75" thickBot="1" x14ac:dyDescent="0.3">
      <c r="A2" s="11" t="s">
        <v>17</v>
      </c>
      <c r="B2" s="31">
        <f>SUM(E8:E13)</f>
        <v>729000</v>
      </c>
    </row>
    <row r="3" spans="1:8" x14ac:dyDescent="0.2">
      <c r="A3" s="2" t="s">
        <v>11</v>
      </c>
      <c r="B3" s="12">
        <f>AVERAGE(E8:E13)</f>
        <v>121500</v>
      </c>
    </row>
    <row r="4" spans="1:8" x14ac:dyDescent="0.2">
      <c r="A4" s="2" t="s">
        <v>12</v>
      </c>
      <c r="B4" s="3">
        <f>MAX(E8:E13)</f>
        <v>182000</v>
      </c>
    </row>
    <row r="5" spans="1:8" ht="13.5" thickBot="1" x14ac:dyDescent="0.25">
      <c r="A5" s="4" t="s">
        <v>13</v>
      </c>
      <c r="B5" s="5">
        <f>MIN(E8:E13)</f>
        <v>50000</v>
      </c>
      <c r="H5" s="6"/>
    </row>
    <row r="6" spans="1:8" s="7" customFormat="1" ht="15.75" thickBot="1" x14ac:dyDescent="0.3"/>
    <row r="7" spans="1:8" ht="15" customHeight="1" thickBot="1" x14ac:dyDescent="0.3">
      <c r="B7" s="28" t="s">
        <v>18</v>
      </c>
      <c r="C7" s="29" t="s">
        <v>19</v>
      </c>
      <c r="D7" s="29" t="s">
        <v>20</v>
      </c>
      <c r="E7" s="29" t="s">
        <v>15</v>
      </c>
      <c r="F7" s="29" t="s">
        <v>14</v>
      </c>
      <c r="G7" s="29" t="s">
        <v>0</v>
      </c>
      <c r="H7" s="30" t="s">
        <v>1</v>
      </c>
    </row>
    <row r="8" spans="1:8" ht="15" customHeight="1" x14ac:dyDescent="0.2">
      <c r="A8" s="13" t="s">
        <v>2</v>
      </c>
      <c r="B8" s="14">
        <v>15000</v>
      </c>
      <c r="C8" s="14">
        <v>17000</v>
      </c>
      <c r="D8" s="14">
        <v>18000</v>
      </c>
      <c r="E8" s="15">
        <f>SUM(B8:D8)</f>
        <v>50000</v>
      </c>
      <c r="F8" s="14">
        <f>AVERAGE(B8:D8)</f>
        <v>16666.666666666668</v>
      </c>
      <c r="G8" s="14">
        <f>MAX(B8:D8)</f>
        <v>18000</v>
      </c>
      <c r="H8" s="16">
        <f>MIN(B8:D8)</f>
        <v>15000</v>
      </c>
    </row>
    <row r="9" spans="1:8" ht="15" customHeight="1" x14ac:dyDescent="0.2">
      <c r="A9" s="17" t="s">
        <v>3</v>
      </c>
      <c r="B9" s="8">
        <v>25000</v>
      </c>
      <c r="C9" s="8">
        <v>52000</v>
      </c>
      <c r="D9" s="8">
        <v>24000</v>
      </c>
      <c r="E9" s="9">
        <f t="shared" ref="E9:E13" si="0">SUM(B9:D9)</f>
        <v>101000</v>
      </c>
      <c r="F9" s="8">
        <f t="shared" ref="F9:F13" si="1">AVERAGE(B9:D9)</f>
        <v>33666.666666666664</v>
      </c>
      <c r="G9" s="8">
        <f t="shared" ref="G9:G13" si="2">MAX(B9:D9)</f>
        <v>52000</v>
      </c>
      <c r="H9" s="18">
        <f t="shared" ref="H9:H13" si="3">MIN(B9:D9)</f>
        <v>24000</v>
      </c>
    </row>
    <row r="10" spans="1:8" ht="15" customHeight="1" x14ac:dyDescent="0.2">
      <c r="A10" s="17" t="s">
        <v>4</v>
      </c>
      <c r="B10" s="8">
        <v>35000</v>
      </c>
      <c r="C10" s="8">
        <v>31000</v>
      </c>
      <c r="D10" s="8">
        <v>30000</v>
      </c>
      <c r="E10" s="9">
        <f t="shared" si="0"/>
        <v>96000</v>
      </c>
      <c r="F10" s="8">
        <f t="shared" si="1"/>
        <v>32000</v>
      </c>
      <c r="G10" s="8">
        <f t="shared" si="2"/>
        <v>35000</v>
      </c>
      <c r="H10" s="18">
        <f t="shared" si="3"/>
        <v>30000</v>
      </c>
    </row>
    <row r="11" spans="1:8" ht="15" customHeight="1" x14ac:dyDescent="0.2">
      <c r="A11" s="17" t="s">
        <v>5</v>
      </c>
      <c r="B11" s="8">
        <v>64000</v>
      </c>
      <c r="C11" s="8">
        <v>64000</v>
      </c>
      <c r="D11" s="8">
        <v>54000</v>
      </c>
      <c r="E11" s="9">
        <f t="shared" si="0"/>
        <v>182000</v>
      </c>
      <c r="F11" s="8">
        <f t="shared" si="1"/>
        <v>60666.666666666664</v>
      </c>
      <c r="G11" s="8">
        <f t="shared" si="2"/>
        <v>64000</v>
      </c>
      <c r="H11" s="18">
        <f t="shared" si="3"/>
        <v>54000</v>
      </c>
    </row>
    <row r="12" spans="1:8" ht="15" customHeight="1" x14ac:dyDescent="0.2">
      <c r="A12" s="17" t="s">
        <v>6</v>
      </c>
      <c r="B12" s="8">
        <v>63000</v>
      </c>
      <c r="C12" s="8">
        <v>50000</v>
      </c>
      <c r="D12" s="8">
        <v>56000</v>
      </c>
      <c r="E12" s="9">
        <f t="shared" si="0"/>
        <v>169000</v>
      </c>
      <c r="F12" s="8">
        <f t="shared" si="1"/>
        <v>56333.333333333336</v>
      </c>
      <c r="G12" s="8">
        <f t="shared" si="2"/>
        <v>63000</v>
      </c>
      <c r="H12" s="18">
        <f t="shared" si="3"/>
        <v>50000</v>
      </c>
    </row>
    <row r="13" spans="1:8" ht="15" customHeight="1" thickBot="1" x14ac:dyDescent="0.25">
      <c r="A13" s="19" t="s">
        <v>7</v>
      </c>
      <c r="B13" s="20">
        <v>41000</v>
      </c>
      <c r="C13" s="20">
        <v>40000</v>
      </c>
      <c r="D13" s="20">
        <v>50000</v>
      </c>
      <c r="E13" s="21">
        <f t="shared" si="0"/>
        <v>131000</v>
      </c>
      <c r="F13" s="20">
        <f t="shared" si="1"/>
        <v>43666.666666666664</v>
      </c>
      <c r="G13" s="20">
        <f t="shared" si="2"/>
        <v>50000</v>
      </c>
      <c r="H13" s="22">
        <f t="shared" si="3"/>
        <v>40000</v>
      </c>
    </row>
    <row r="14" spans="1:8" ht="13.5" thickBot="1" x14ac:dyDescent="0.25">
      <c r="B14" s="10"/>
      <c r="C14" s="10"/>
      <c r="D14" s="10"/>
      <c r="E14" s="10"/>
      <c r="F14" s="10"/>
      <c r="G14" s="10"/>
      <c r="H14" s="10"/>
    </row>
    <row r="15" spans="1:8" ht="15" x14ac:dyDescent="0.25">
      <c r="A15" s="25" t="s">
        <v>8</v>
      </c>
      <c r="B15" s="26">
        <f>SUM(B8:B14)</f>
        <v>243000</v>
      </c>
      <c r="C15" s="26">
        <f t="shared" ref="C15:D15" si="4">SUM(C8:C14)</f>
        <v>254000</v>
      </c>
      <c r="D15" s="26">
        <f t="shared" si="4"/>
        <v>232000</v>
      </c>
      <c r="E15" s="27">
        <f>SUM(E8:E14)</f>
        <v>729000</v>
      </c>
      <c r="F15" s="10"/>
      <c r="G15" s="10"/>
      <c r="H15" s="10"/>
    </row>
    <row r="16" spans="1:8" x14ac:dyDescent="0.2">
      <c r="A16" s="23" t="s">
        <v>9</v>
      </c>
      <c r="B16" s="8">
        <f>B15*0.2</f>
        <v>48600</v>
      </c>
      <c r="C16" s="8">
        <f t="shared" ref="C16:E16" si="5">C15*0.2</f>
        <v>50800</v>
      </c>
      <c r="D16" s="8">
        <f t="shared" si="5"/>
        <v>46400</v>
      </c>
      <c r="E16" s="18">
        <f t="shared" si="5"/>
        <v>145800</v>
      </c>
      <c r="F16" s="10"/>
      <c r="G16" s="10"/>
      <c r="H16" s="10"/>
    </row>
    <row r="17" spans="1:8" ht="13.5" thickBot="1" x14ac:dyDescent="0.25">
      <c r="A17" s="24" t="s">
        <v>10</v>
      </c>
      <c r="B17" s="20">
        <f>SUM(B15:B16)</f>
        <v>291600</v>
      </c>
      <c r="C17" s="20">
        <f t="shared" ref="C17:E17" si="6">SUM(C15:C16)</f>
        <v>304800</v>
      </c>
      <c r="D17" s="20">
        <f t="shared" si="6"/>
        <v>278400</v>
      </c>
      <c r="E17" s="22">
        <f t="shared" si="6"/>
        <v>874800</v>
      </c>
      <c r="F17" s="10"/>
      <c r="G17" s="10"/>
      <c r="H17" s="10"/>
    </row>
    <row r="18" spans="1:8" x14ac:dyDescent="0.2">
      <c r="B18" s="6"/>
      <c r="C18" s="6"/>
      <c r="D18" s="6"/>
      <c r="E18" s="6"/>
      <c r="F18" s="6"/>
      <c r="G18" s="6"/>
      <c r="H18" s="6"/>
    </row>
    <row r="19" spans="1:8" x14ac:dyDescent="0.2">
      <c r="B19" s="6"/>
      <c r="C19" s="6"/>
      <c r="F19" s="6"/>
      <c r="G19" s="6"/>
      <c r="H19" s="6"/>
    </row>
    <row r="20" spans="1:8" x14ac:dyDescent="0.2">
      <c r="B20" s="6"/>
      <c r="C20" s="6"/>
      <c r="F20" s="6"/>
      <c r="G20" s="6"/>
      <c r="H20" s="6"/>
    </row>
    <row r="21" spans="1:8" x14ac:dyDescent="0.2">
      <c r="B21" s="6"/>
      <c r="C21" s="6"/>
      <c r="F21" s="6"/>
      <c r="G21" s="6"/>
      <c r="H21" s="6"/>
    </row>
  </sheetData>
  <mergeCells count="1">
    <mergeCell ref="A1:B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headerFooter>
    <oddHeader>&amp;L&amp;D&amp;R&amp;F</oddHeader>
    <oddFooter>&amp;L&amp;"-,Gras"&amp;14&amp;EService comptabilité&amp;R&amp;"-,Gras"&amp;18&amp;A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6EDB-4AF6-4A76-B815-E8134FF5B087}">
  <dimension ref="B1:J11"/>
  <sheetViews>
    <sheetView zoomScaleNormal="100" workbookViewId="0">
      <selection activeCell="L7" sqref="L7"/>
    </sheetView>
  </sheetViews>
  <sheetFormatPr baseColWidth="10" defaultRowHeight="15" x14ac:dyDescent="0.25"/>
  <cols>
    <col min="2" max="2" width="12.42578125" customWidth="1"/>
    <col min="3" max="3" width="14.7109375" bestFit="1" customWidth="1"/>
    <col min="6" max="6" width="14.5703125" bestFit="1" customWidth="1"/>
    <col min="8" max="8" width="13.28515625" bestFit="1" customWidth="1"/>
    <col min="9" max="9" width="14.5703125" bestFit="1" customWidth="1"/>
  </cols>
  <sheetData>
    <row r="1" spans="2:10" ht="15.75" thickBot="1" x14ac:dyDescent="0.3"/>
    <row r="2" spans="2:10" ht="16.5" thickTop="1" thickBot="1" x14ac:dyDescent="0.3">
      <c r="B2" s="45" t="s">
        <v>23</v>
      </c>
      <c r="C2" s="46"/>
      <c r="E2" s="45" t="s">
        <v>21</v>
      </c>
      <c r="F2" s="46"/>
      <c r="H2" s="45" t="s">
        <v>22</v>
      </c>
      <c r="I2" s="46"/>
    </row>
    <row r="3" spans="2:10" ht="16.5" thickTop="1" thickBot="1" x14ac:dyDescent="0.3">
      <c r="J3" t="s">
        <v>28</v>
      </c>
    </row>
    <row r="4" spans="2:10" ht="15.75" thickTop="1" x14ac:dyDescent="0.25">
      <c r="B4" s="33" t="s">
        <v>24</v>
      </c>
      <c r="C4" s="34">
        <f>'Galeries Lafayette'!B2</f>
        <v>707000</v>
      </c>
      <c r="D4" s="32"/>
      <c r="E4" s="37" t="s">
        <v>18</v>
      </c>
      <c r="F4" s="34">
        <f>'Galeries Lafayette'!B15+Printemps!B15+'Le bon marché'!B15+BHV!B15</f>
        <v>992000</v>
      </c>
      <c r="G4" s="32"/>
      <c r="H4" s="37" t="s">
        <v>2</v>
      </c>
      <c r="I4" s="34">
        <f>'Galeries Lafayette'!E8+Printemps!E8+'Le bon marché'!E8+BHV!E8</f>
        <v>200000</v>
      </c>
      <c r="J4" s="42">
        <f>I4/$I$10</f>
        <v>6.7567567567567571E-2</v>
      </c>
    </row>
    <row r="5" spans="2:10" x14ac:dyDescent="0.25">
      <c r="B5" s="35" t="s">
        <v>25</v>
      </c>
      <c r="C5" s="36">
        <f>Printemps!B2</f>
        <v>700000</v>
      </c>
      <c r="D5" s="32"/>
      <c r="E5" s="38" t="s">
        <v>19</v>
      </c>
      <c r="F5" s="36">
        <f>'Galeries Lafayette'!C15+Printemps!C15+'Le bon marché'!C15+BHV!C15</f>
        <v>968000</v>
      </c>
      <c r="G5" s="32"/>
      <c r="H5" s="38" t="s">
        <v>3</v>
      </c>
      <c r="I5" s="36">
        <f>'Galeries Lafayette'!E9+Printemps!E9+'Le bon marché'!E9+BHV!E9</f>
        <v>407000</v>
      </c>
      <c r="J5" s="42">
        <f t="shared" ref="J5:J10" si="0">I5/$I$10</f>
        <v>0.13750000000000001</v>
      </c>
    </row>
    <row r="6" spans="2:10" x14ac:dyDescent="0.25">
      <c r="B6" s="35" t="s">
        <v>26</v>
      </c>
      <c r="C6" s="36">
        <f>'Le bon marché'!B2</f>
        <v>824000</v>
      </c>
      <c r="D6" s="32"/>
      <c r="E6" s="38" t="s">
        <v>20</v>
      </c>
      <c r="F6" s="36">
        <f>'Galeries Lafayette'!D15+Printemps!D15+'Le bon marché'!D15+BHV!D15</f>
        <v>1000000</v>
      </c>
      <c r="G6" s="32"/>
      <c r="H6" s="38" t="s">
        <v>4</v>
      </c>
      <c r="I6" s="36">
        <f>'Galeries Lafayette'!E10+Printemps!E10+'Le bon marché'!E10+BHV!E10</f>
        <v>420000</v>
      </c>
      <c r="J6" s="42">
        <f t="shared" si="0"/>
        <v>0.14189189189189189</v>
      </c>
    </row>
    <row r="7" spans="2:10" ht="15.75" thickBot="1" x14ac:dyDescent="0.3">
      <c r="B7" s="35" t="s">
        <v>27</v>
      </c>
      <c r="C7" s="36">
        <f>BHV!B2</f>
        <v>729000</v>
      </c>
      <c r="D7" s="32"/>
      <c r="E7" s="41" t="s">
        <v>15</v>
      </c>
      <c r="F7" s="40">
        <f>SUM(F4:F6)</f>
        <v>2960000</v>
      </c>
      <c r="G7" s="32"/>
      <c r="H7" s="38" t="s">
        <v>5</v>
      </c>
      <c r="I7" s="36">
        <f>'Galeries Lafayette'!E11+Printemps!E11+'Le bon marché'!E11+BHV!E11</f>
        <v>754000</v>
      </c>
      <c r="J7" s="42">
        <f t="shared" si="0"/>
        <v>0.25472972972972974</v>
      </c>
    </row>
    <row r="8" spans="2:10" ht="16.5" thickTop="1" thickBot="1" x14ac:dyDescent="0.3">
      <c r="B8" s="39" t="s">
        <v>15</v>
      </c>
      <c r="C8" s="40">
        <f>SUM(C4:C7)</f>
        <v>2960000</v>
      </c>
      <c r="D8" s="32"/>
      <c r="E8" s="32"/>
      <c r="F8" s="32"/>
      <c r="G8" s="32"/>
      <c r="H8" s="38" t="s">
        <v>6</v>
      </c>
      <c r="I8" s="36">
        <f>'Galeries Lafayette'!E12+Printemps!E12+'Le bon marché'!E12+BHV!E12</f>
        <v>655000</v>
      </c>
      <c r="J8" s="42">
        <f t="shared" si="0"/>
        <v>0.22128378378378377</v>
      </c>
    </row>
    <row r="9" spans="2:10" ht="15.75" thickTop="1" x14ac:dyDescent="0.25">
      <c r="C9" s="32"/>
      <c r="D9" s="32"/>
      <c r="E9" s="32"/>
      <c r="F9" s="32"/>
      <c r="G9" s="32"/>
      <c r="H9" s="38" t="s">
        <v>7</v>
      </c>
      <c r="I9" s="36">
        <f>'Galeries Lafayette'!E13+Printemps!E13+'Le bon marché'!E13+BHV!E13</f>
        <v>524000</v>
      </c>
      <c r="J9" s="42">
        <f t="shared" si="0"/>
        <v>0.17702702702702702</v>
      </c>
    </row>
    <row r="10" spans="2:10" ht="15.75" thickBot="1" x14ac:dyDescent="0.3">
      <c r="C10" s="32"/>
      <c r="D10" s="32"/>
      <c r="E10" s="32"/>
      <c r="F10" s="32"/>
      <c r="G10" s="32"/>
      <c r="H10" s="41" t="s">
        <v>15</v>
      </c>
      <c r="I10" s="40">
        <f>SUM(I4:I9)</f>
        <v>2960000</v>
      </c>
      <c r="J10" s="42">
        <f t="shared" si="0"/>
        <v>1</v>
      </c>
    </row>
    <row r="11" spans="2:10" ht="15.75" thickTop="1" x14ac:dyDescent="0.25"/>
  </sheetData>
  <mergeCells count="3">
    <mergeCell ref="B2:C2"/>
    <mergeCell ref="E2:F2"/>
    <mergeCell ref="H2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Galeries Lafayette</vt:lpstr>
      <vt:lpstr>Printemps</vt:lpstr>
      <vt:lpstr>Le bon marché</vt:lpstr>
      <vt:lpstr>BHV</vt:lpstr>
      <vt:lpstr>Recapitulatif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</dc:creator>
  <cp:lastModifiedBy>Sandrine</cp:lastModifiedBy>
  <cp:lastPrinted>2020-09-02T08:50:06Z</cp:lastPrinted>
  <dcterms:created xsi:type="dcterms:W3CDTF">2016-05-03T09:25:11Z</dcterms:created>
  <dcterms:modified xsi:type="dcterms:W3CDTF">2020-09-30T07:44:05Z</dcterms:modified>
</cp:coreProperties>
</file>