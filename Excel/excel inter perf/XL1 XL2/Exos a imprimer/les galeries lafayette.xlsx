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600" yWindow="60" windowWidth="14160" windowHeight="7995"/>
  </bookViews>
  <sheets>
    <sheet name="GALERIE LAFAYETTE" sheetId="1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C12" i="1" l="1"/>
  <c r="D12" i="1"/>
  <c r="B12" i="1"/>
  <c r="H7" i="1"/>
  <c r="H8" i="1"/>
  <c r="H9" i="1"/>
  <c r="H10" i="1"/>
  <c r="H11" i="1"/>
  <c r="H6" i="1"/>
  <c r="G7" i="1"/>
  <c r="G8" i="1"/>
  <c r="G9" i="1"/>
  <c r="G10" i="1"/>
  <c r="G11" i="1"/>
  <c r="G6" i="1"/>
  <c r="F7" i="1"/>
  <c r="F8" i="1"/>
  <c r="F9" i="1"/>
  <c r="F10" i="1"/>
  <c r="F11" i="1"/>
  <c r="F6" i="1"/>
  <c r="E7" i="1"/>
  <c r="E8" i="1"/>
  <c r="E9" i="1"/>
  <c r="E10" i="1"/>
  <c r="E11" i="1"/>
  <c r="E6" i="1"/>
  <c r="E12" i="1" s="1"/>
  <c r="E13" i="1" l="1"/>
  <c r="E14" i="1" s="1"/>
  <c r="B13" i="1"/>
  <c r="B14" i="1" s="1"/>
  <c r="D13" i="1"/>
  <c r="D14" i="1" s="1"/>
  <c r="C13" i="1"/>
  <c r="C14" i="1" s="1"/>
</calcChain>
</file>

<file path=xl/sharedStrings.xml><?xml version="1.0" encoding="utf-8"?>
<sst xmlns="http://schemas.openxmlformats.org/spreadsheetml/2006/main" count="16" uniqueCount="16">
  <si>
    <t>Juin</t>
  </si>
  <si>
    <t>Juillet</t>
  </si>
  <si>
    <t>Aout</t>
  </si>
  <si>
    <t>Total</t>
  </si>
  <si>
    <t>Moyenne</t>
  </si>
  <si>
    <t>Maximum</t>
  </si>
  <si>
    <t>Minimum</t>
  </si>
  <si>
    <t>Cosmétique</t>
  </si>
  <si>
    <t>Librairie</t>
  </si>
  <si>
    <t>Habillement</t>
  </si>
  <si>
    <t>Hi-Fi</t>
  </si>
  <si>
    <t>CD</t>
  </si>
  <si>
    <t>Total Mois</t>
  </si>
  <si>
    <t>TVA</t>
  </si>
  <si>
    <t>TTC</t>
  </si>
  <si>
    <t>Maroquinerie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</si>
</sst>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2"/>
      <color theme="1"/>
      <name val="Eras Light ITC"/>
      <family val="2"/>
      <scheme val="minor"/>
    </font>
    <font>
      <sz val="12"/>
      <color theme="1"/>
      <name val="Eras Light ITC"/>
      <family val="2"/>
      <scheme val="minor"/>
    </font>
    <font>
      <sz val="12"/>
      <color theme="1"/>
      <name val="Eras Light ITC"/>
      <family val="2"/>
    </font>
    <font>
      <b/>
      <i/>
      <sz val="12"/>
      <color theme="1"/>
      <name val="Eras Light ITC"/>
      <family val="2"/>
    </font>
    <font>
      <i/>
      <sz val="12"/>
      <color theme="1"/>
      <name val="Eras Light IT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hair">
        <color theme="9"/>
      </right>
      <top style="thick">
        <color theme="9"/>
      </top>
      <bottom style="thick">
        <color theme="9"/>
      </bottom>
      <diagonal/>
    </border>
    <border>
      <left style="hair">
        <color theme="9"/>
      </left>
      <right style="hair">
        <color theme="9"/>
      </right>
      <top style="thick">
        <color theme="9"/>
      </top>
      <bottom style="thick">
        <color theme="9"/>
      </bottom>
      <diagonal/>
    </border>
    <border>
      <left style="hair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hair">
        <color theme="9"/>
      </right>
      <top style="thick">
        <color theme="9"/>
      </top>
      <bottom/>
      <diagonal/>
    </border>
    <border>
      <left style="hair">
        <color theme="9"/>
      </left>
      <right style="hair">
        <color theme="9"/>
      </right>
      <top style="thick">
        <color theme="9"/>
      </top>
      <bottom/>
      <diagonal/>
    </border>
    <border>
      <left style="hair">
        <color theme="9"/>
      </left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hair">
        <color theme="9"/>
      </right>
      <top/>
      <bottom/>
      <diagonal/>
    </border>
    <border>
      <left style="hair">
        <color theme="9"/>
      </left>
      <right style="hair">
        <color theme="9"/>
      </right>
      <top/>
      <bottom/>
      <diagonal/>
    </border>
    <border>
      <left style="hair">
        <color theme="9"/>
      </left>
      <right style="thick">
        <color theme="9"/>
      </right>
      <top/>
      <bottom/>
      <diagonal/>
    </border>
    <border>
      <left style="thick">
        <color theme="9"/>
      </left>
      <right style="hair">
        <color theme="9"/>
      </right>
      <top/>
      <bottom style="thick">
        <color theme="9"/>
      </bottom>
      <diagonal/>
    </border>
    <border>
      <left style="hair">
        <color theme="9"/>
      </left>
      <right style="hair">
        <color theme="9"/>
      </right>
      <top/>
      <bottom style="thick">
        <color theme="9"/>
      </bottom>
      <diagonal/>
    </border>
    <border>
      <left style="hair">
        <color theme="9"/>
      </left>
      <right style="thick">
        <color theme="9"/>
      </right>
      <top/>
      <bottom style="thick">
        <color theme="9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 style="hair">
        <color theme="9"/>
      </right>
      <top style="thick">
        <color theme="9"/>
      </top>
      <bottom/>
      <diagonal/>
    </border>
    <border>
      <left/>
      <right style="hair">
        <color theme="9"/>
      </right>
      <top/>
      <bottom/>
      <diagonal/>
    </border>
    <border>
      <left/>
      <right style="hair">
        <color theme="9"/>
      </right>
      <top/>
      <bottom style="thick">
        <color theme="9"/>
      </bottom>
      <diagonal/>
    </border>
    <border>
      <left/>
      <right style="hair">
        <color theme="9"/>
      </right>
      <top style="thick">
        <color theme="9"/>
      </top>
      <bottom style="thick">
        <color theme="9"/>
      </bottom>
      <diagonal/>
    </border>
    <border>
      <left style="hair">
        <color theme="9"/>
      </left>
      <right/>
      <top style="thick">
        <color theme="9"/>
      </top>
      <bottom style="thick">
        <color theme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3" fontId="2" fillId="0" borderId="0" xfId="1" applyFont="1"/>
    <xf numFmtId="43" fontId="4" fillId="0" borderId="14" xfId="1" applyFont="1" applyBorder="1"/>
    <xf numFmtId="43" fontId="2" fillId="0" borderId="17" xfId="1" applyFont="1" applyBorder="1"/>
    <xf numFmtId="43" fontId="2" fillId="0" borderId="6" xfId="1" applyFont="1" applyBorder="1"/>
    <xf numFmtId="43" fontId="2" fillId="0" borderId="7" xfId="1" applyFont="1" applyBorder="1"/>
    <xf numFmtId="43" fontId="2" fillId="2" borderId="14" xfId="1" applyFont="1" applyFill="1" applyBorder="1"/>
    <xf numFmtId="43" fontId="2" fillId="0" borderId="5" xfId="1" applyFont="1" applyBorder="1"/>
    <xf numFmtId="43" fontId="4" fillId="0" borderId="15" xfId="1" applyFont="1" applyBorder="1"/>
    <xf numFmtId="43" fontId="2" fillId="0" borderId="18" xfId="1" applyFont="1" applyBorder="1"/>
    <xf numFmtId="43" fontId="2" fillId="0" borderId="9" xfId="1" applyFont="1" applyBorder="1"/>
    <xf numFmtId="43" fontId="2" fillId="0" borderId="10" xfId="1" applyFont="1" applyBorder="1"/>
    <xf numFmtId="43" fontId="2" fillId="2" borderId="15" xfId="1" applyFont="1" applyFill="1" applyBorder="1"/>
    <xf numFmtId="43" fontId="2" fillId="0" borderId="8" xfId="1" applyFont="1" applyBorder="1"/>
    <xf numFmtId="43" fontId="2" fillId="0" borderId="19" xfId="1" applyFont="1" applyBorder="1"/>
    <xf numFmtId="43" fontId="2" fillId="0" borderId="12" xfId="1" applyFont="1" applyBorder="1"/>
    <xf numFmtId="43" fontId="2" fillId="0" borderId="13" xfId="1" applyFont="1" applyBorder="1"/>
    <xf numFmtId="43" fontId="2" fillId="2" borderId="16" xfId="1" applyFont="1" applyFill="1" applyBorder="1"/>
    <xf numFmtId="43" fontId="2" fillId="0" borderId="11" xfId="1" applyFont="1" applyBorder="1"/>
    <xf numFmtId="43" fontId="4" fillId="2" borderId="1" xfId="1" applyFont="1" applyFill="1" applyBorder="1"/>
    <xf numFmtId="43" fontId="2" fillId="2" borderId="20" xfId="1" applyFont="1" applyFill="1" applyBorder="1"/>
    <xf numFmtId="43" fontId="2" fillId="2" borderId="3" xfId="1" applyFont="1" applyFill="1" applyBorder="1"/>
    <xf numFmtId="43" fontId="2" fillId="2" borderId="4" xfId="1" applyFont="1" applyFill="1" applyBorder="1"/>
    <xf numFmtId="43" fontId="4" fillId="0" borderId="16" xfId="1" applyFont="1" applyBorder="1"/>
    <xf numFmtId="43" fontId="2" fillId="0" borderId="0" xfId="1" applyFont="1" applyAlignment="1">
      <alignment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Répartition</a:t>
            </a:r>
            <a:r>
              <a:rPr lang="fr-FR" baseline="0"/>
              <a:t> des ventes par mois</a:t>
            </a:r>
            <a:endParaRPr lang="fr-FR"/>
          </a:p>
        </c:rich>
      </c:tx>
      <c:layout/>
      <c:overlay val="0"/>
      <c:spPr>
        <a:solidFill>
          <a:schemeClr val="bg1">
            <a:lumMod val="95000"/>
          </a:schemeClr>
        </a:solidFill>
        <a:ln w="381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'GALERIE LAFAYETTE'!$A$6</c:f>
              <c:strCache>
                <c:ptCount val="1"/>
                <c:pt idx="0">
                  <c:v>Cosmétique</c:v>
                </c:pt>
              </c:strCache>
            </c:strRef>
          </c:tx>
          <c:invertIfNegative val="0"/>
          <c:cat>
            <c:strRef>
              <c:f>'GALERIE LAFAYETTE'!$B$5:$D$5</c:f>
              <c:strCache>
                <c:ptCount val="3"/>
                <c:pt idx="0">
                  <c:v>Juin</c:v>
                </c:pt>
                <c:pt idx="1">
                  <c:v>Juillet</c:v>
                </c:pt>
                <c:pt idx="2">
                  <c:v>Aout</c:v>
                </c:pt>
              </c:strCache>
            </c:strRef>
          </c:cat>
          <c:val>
            <c:numRef>
              <c:f>'GALERIE LAFAYETTE'!$B$6:$D$6</c:f>
              <c:numCache>
                <c:formatCode>_(* #,##0.00_);_(* \(#,##0.00\);_(* "-"??_);_(@_)</c:formatCode>
                <c:ptCount val="3"/>
                <c:pt idx="0">
                  <c:v>15000</c:v>
                </c:pt>
                <c:pt idx="1">
                  <c:v>17000</c:v>
                </c:pt>
                <c:pt idx="2">
                  <c:v>18000</c:v>
                </c:pt>
              </c:numCache>
            </c:numRef>
          </c:val>
        </c:ser>
        <c:ser>
          <c:idx val="1"/>
          <c:order val="1"/>
          <c:tx>
            <c:strRef>
              <c:f>'GALERIE LAFAYETTE'!$A$7</c:f>
              <c:strCache>
                <c:ptCount val="1"/>
                <c:pt idx="0">
                  <c:v>Librairie</c:v>
                </c:pt>
              </c:strCache>
            </c:strRef>
          </c:tx>
          <c:invertIfNegative val="0"/>
          <c:cat>
            <c:strRef>
              <c:f>'GALERIE LAFAYETTE'!$B$5:$D$5</c:f>
              <c:strCache>
                <c:ptCount val="3"/>
                <c:pt idx="0">
                  <c:v>Juin</c:v>
                </c:pt>
                <c:pt idx="1">
                  <c:v>Juillet</c:v>
                </c:pt>
                <c:pt idx="2">
                  <c:v>Aout</c:v>
                </c:pt>
              </c:strCache>
            </c:strRef>
          </c:cat>
          <c:val>
            <c:numRef>
              <c:f>'GALERIE LAFAYETTE'!$B$7:$D$7</c:f>
              <c:numCache>
                <c:formatCode>_(* #,##0.00_);_(* \(#,##0.00\);_(* "-"??_);_(@_)</c:formatCode>
                <c:ptCount val="3"/>
                <c:pt idx="0">
                  <c:v>25000</c:v>
                </c:pt>
                <c:pt idx="1">
                  <c:v>33000</c:v>
                </c:pt>
                <c:pt idx="2">
                  <c:v>24000</c:v>
                </c:pt>
              </c:numCache>
            </c:numRef>
          </c:val>
        </c:ser>
        <c:ser>
          <c:idx val="2"/>
          <c:order val="2"/>
          <c:tx>
            <c:strRef>
              <c:f>'GALERIE LAFAYETTE'!$A$8</c:f>
              <c:strCache>
                <c:ptCount val="1"/>
                <c:pt idx="0">
                  <c:v>Maroquinerie</c:v>
                </c:pt>
              </c:strCache>
            </c:strRef>
          </c:tx>
          <c:invertIfNegative val="0"/>
          <c:cat>
            <c:strRef>
              <c:f>'GALERIE LAFAYETTE'!$B$5:$D$5</c:f>
              <c:strCache>
                <c:ptCount val="3"/>
                <c:pt idx="0">
                  <c:v>Juin</c:v>
                </c:pt>
                <c:pt idx="1">
                  <c:v>Juillet</c:v>
                </c:pt>
                <c:pt idx="2">
                  <c:v>Aout</c:v>
                </c:pt>
              </c:strCache>
            </c:strRef>
          </c:cat>
          <c:val>
            <c:numRef>
              <c:f>'GALERIE LAFAYETTE'!$B$8:$D$8</c:f>
              <c:numCache>
                <c:formatCode>_(* #,##0.00_);_(* \(#,##0.00\);_(* "-"??_);_(@_)</c:formatCode>
                <c:ptCount val="3"/>
                <c:pt idx="0">
                  <c:v>35000</c:v>
                </c:pt>
                <c:pt idx="1">
                  <c:v>31000</c:v>
                </c:pt>
                <c:pt idx="2">
                  <c:v>30000</c:v>
                </c:pt>
              </c:numCache>
            </c:numRef>
          </c:val>
        </c:ser>
        <c:ser>
          <c:idx val="3"/>
          <c:order val="3"/>
          <c:tx>
            <c:strRef>
              <c:f>'GALERIE LAFAYETTE'!$A$9</c:f>
              <c:strCache>
                <c:ptCount val="1"/>
                <c:pt idx="0">
                  <c:v>Habillement</c:v>
                </c:pt>
              </c:strCache>
            </c:strRef>
          </c:tx>
          <c:invertIfNegative val="0"/>
          <c:cat>
            <c:strRef>
              <c:f>'GALERIE LAFAYETTE'!$B$5:$D$5</c:f>
              <c:strCache>
                <c:ptCount val="3"/>
                <c:pt idx="0">
                  <c:v>Juin</c:v>
                </c:pt>
                <c:pt idx="1">
                  <c:v>Juillet</c:v>
                </c:pt>
                <c:pt idx="2">
                  <c:v>Aout</c:v>
                </c:pt>
              </c:strCache>
            </c:strRef>
          </c:cat>
          <c:val>
            <c:numRef>
              <c:f>'GALERIE LAFAYETTE'!$B$9:$D$9</c:f>
              <c:numCache>
                <c:formatCode>_(* #,##0.00_);_(* \(#,##0.00\);_(* "-"??_);_(@_)</c:formatCode>
                <c:ptCount val="3"/>
                <c:pt idx="0">
                  <c:v>64000</c:v>
                </c:pt>
                <c:pt idx="1">
                  <c:v>64000</c:v>
                </c:pt>
                <c:pt idx="2">
                  <c:v>54000</c:v>
                </c:pt>
              </c:numCache>
            </c:numRef>
          </c:val>
        </c:ser>
        <c:ser>
          <c:idx val="4"/>
          <c:order val="4"/>
          <c:tx>
            <c:strRef>
              <c:f>'GALERIE LAFAYETTE'!$A$10</c:f>
              <c:strCache>
                <c:ptCount val="1"/>
                <c:pt idx="0">
                  <c:v>Hi-Fi</c:v>
                </c:pt>
              </c:strCache>
            </c:strRef>
          </c:tx>
          <c:invertIfNegative val="0"/>
          <c:cat>
            <c:strRef>
              <c:f>'GALERIE LAFAYETTE'!$B$5:$D$5</c:f>
              <c:strCache>
                <c:ptCount val="3"/>
                <c:pt idx="0">
                  <c:v>Juin</c:v>
                </c:pt>
                <c:pt idx="1">
                  <c:v>Juillet</c:v>
                </c:pt>
                <c:pt idx="2">
                  <c:v>Aout</c:v>
                </c:pt>
              </c:strCache>
            </c:strRef>
          </c:cat>
          <c:val>
            <c:numRef>
              <c:f>'GALERIE LAFAYETTE'!$B$10:$D$10</c:f>
              <c:numCache>
                <c:formatCode>_(* #,##0.00_);_(* \(#,##0.00\);_(* "-"??_);_(@_)</c:formatCode>
                <c:ptCount val="3"/>
                <c:pt idx="0">
                  <c:v>52000</c:v>
                </c:pt>
                <c:pt idx="1">
                  <c:v>50000</c:v>
                </c:pt>
                <c:pt idx="2">
                  <c:v>64000</c:v>
                </c:pt>
              </c:numCache>
            </c:numRef>
          </c:val>
        </c:ser>
        <c:ser>
          <c:idx val="5"/>
          <c:order val="5"/>
          <c:tx>
            <c:strRef>
              <c:f>'GALERIE LAFAYETTE'!$A$11</c:f>
              <c:strCache>
                <c:ptCount val="1"/>
                <c:pt idx="0">
                  <c:v>CD</c:v>
                </c:pt>
              </c:strCache>
            </c:strRef>
          </c:tx>
          <c:invertIfNegative val="0"/>
          <c:cat>
            <c:strRef>
              <c:f>'GALERIE LAFAYETTE'!$B$5:$D$5</c:f>
              <c:strCache>
                <c:ptCount val="3"/>
                <c:pt idx="0">
                  <c:v>Juin</c:v>
                </c:pt>
                <c:pt idx="1">
                  <c:v>Juillet</c:v>
                </c:pt>
                <c:pt idx="2">
                  <c:v>Aout</c:v>
                </c:pt>
              </c:strCache>
            </c:strRef>
          </c:cat>
          <c:val>
            <c:numRef>
              <c:f>'GALERIE LAFAYETTE'!$B$11:$D$11</c:f>
              <c:numCache>
                <c:formatCode>_(* #,##0.00_);_(* \(#,##0.00\);_(* "-"??_);_(@_)</c:formatCode>
                <c:ptCount val="3"/>
                <c:pt idx="0">
                  <c:v>41000</c:v>
                </c:pt>
                <c:pt idx="1">
                  <c:v>40000</c:v>
                </c:pt>
                <c:pt idx="2">
                  <c:v>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179488"/>
        <c:axId val="182801368"/>
      </c:barChart>
      <c:catAx>
        <c:axId val="22117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2801368"/>
        <c:crosses val="autoZero"/>
        <c:auto val="1"/>
        <c:lblAlgn val="ctr"/>
        <c:lblOffset val="100"/>
        <c:noMultiLvlLbl val="0"/>
      </c:catAx>
      <c:valAx>
        <c:axId val="18280136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21179488"/>
        <c:crosses val="autoZero"/>
        <c:crossBetween val="between"/>
      </c:valAx>
    </c:plotArea>
    <c:legend>
      <c:legendPos val="b"/>
      <c:layout/>
      <c:overlay val="0"/>
      <c:spPr>
        <a:ln>
          <a:solidFill>
            <a:schemeClr val="tx2">
              <a:lumMod val="60000"/>
              <a:lumOff val="40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Part en % </a:t>
            </a:r>
            <a:r>
              <a:rPr lang="fr-FR" baseline="0"/>
              <a:t> </a:t>
            </a:r>
            <a:r>
              <a:rPr lang="fr-FR"/>
              <a:t>des ventes</a:t>
            </a:r>
          </a:p>
        </c:rich>
      </c:tx>
      <c:layout>
        <c:manualLayout>
          <c:xMode val="edge"/>
          <c:yMode val="edge"/>
          <c:x val="3.8590332458442692E-2"/>
          <c:y val="5.5555555555555552E-2"/>
        </c:manualLayout>
      </c:layout>
      <c:overlay val="0"/>
      <c:spPr>
        <a:solidFill>
          <a:schemeClr val="bg1">
            <a:lumMod val="95000"/>
          </a:schemeClr>
        </a:solidFill>
        <a:ln w="38100">
          <a:solidFill>
            <a:schemeClr val="accent6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23713013998250218"/>
          <c:y val="0.21329542140565763"/>
          <c:w val="0.43685104986876638"/>
          <c:h val="0.72808508311461062"/>
        </c:manualLayout>
      </c:layout>
      <c:pie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'GALERIE LAFAYETTE'!$A$6:$A$11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'GALERIE LAFAYETTE'!$E$6:$E$11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82000</c:v>
                </c:pt>
                <c:pt idx="2">
                  <c:v>96000</c:v>
                </c:pt>
                <c:pt idx="3">
                  <c:v>182000</c:v>
                </c:pt>
                <c:pt idx="4">
                  <c:v>166000</c:v>
                </c:pt>
                <c:pt idx="5">
                  <c:v>131000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5273818897637801"/>
          <c:y val="0.25216681248177314"/>
          <c:w val="0.20703498954956392"/>
          <c:h val="0.47863283555190222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accent2"/>
          </a:solidFill>
          <a:prstDash val="solid"/>
        </a:ln>
        <a:effectLst/>
      </c:spPr>
      <c:txPr>
        <a:bodyPr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0</xdr:row>
      <xdr:rowOff>85726</xdr:rowOff>
    </xdr:from>
    <xdr:to>
      <xdr:col>6</xdr:col>
      <xdr:colOff>180975</xdr:colOff>
      <xdr:row>2</xdr:row>
      <xdr:rowOff>180976</xdr:rowOff>
    </xdr:to>
    <xdr:sp macro="" textlink="">
      <xdr:nvSpPr>
        <xdr:cNvPr id="2" name="Rectangle à coins arrondis 1"/>
        <xdr:cNvSpPr/>
      </xdr:nvSpPr>
      <xdr:spPr>
        <a:xfrm>
          <a:off x="1714500" y="85726"/>
          <a:ext cx="3543300" cy="4953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soft" dir="t">
              <a:rot lat="0" lon="0" rev="10800000"/>
            </a:lightRig>
          </a:scene3d>
          <a:sp3d>
            <a:bevelT w="27940" h="12700"/>
            <a:contourClr>
              <a:srgbClr val="DDDDDD"/>
            </a:contourClr>
          </a:sp3d>
        </a:bodyPr>
        <a:lstStyle/>
        <a:p>
          <a:pPr algn="ctr"/>
          <a:r>
            <a:rPr lang="fr-FR" sz="1800" b="1" cap="none" spc="150">
              <a:ln w="11430"/>
              <a:solidFill>
                <a:srgbClr val="F8F8F8"/>
              </a:solidFill>
              <a:effectLst>
                <a:outerShdw blurRad="25400" algn="tl" rotWithShape="0">
                  <a:srgbClr val="000000">
                    <a:alpha val="43000"/>
                  </a:srgbClr>
                </a:outerShdw>
              </a:effectLst>
              <a:latin typeface="Cooper Black" pitchFamily="18" charset="0"/>
            </a:rPr>
            <a:t>LES GALERIES LAFAYETTE</a:t>
          </a:r>
        </a:p>
      </xdr:txBody>
    </xdr:sp>
    <xdr:clientData/>
  </xdr:twoCellAnchor>
  <xdr:twoCellAnchor>
    <xdr:from>
      <xdr:col>0</xdr:col>
      <xdr:colOff>174173</xdr:colOff>
      <xdr:row>16</xdr:row>
      <xdr:rowOff>31296</xdr:rowOff>
    </xdr:from>
    <xdr:to>
      <xdr:col>3</xdr:col>
      <xdr:colOff>945698</xdr:colOff>
      <xdr:row>29</xdr:row>
      <xdr:rowOff>125186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1066160</xdr:colOff>
      <xdr:row>16</xdr:row>
      <xdr:rowOff>40821</xdr:rowOff>
    </xdr:from>
    <xdr:to>
      <xdr:col>7</xdr:col>
      <xdr:colOff>938893</xdr:colOff>
      <xdr:row>29</xdr:row>
      <xdr:rowOff>117342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550689</xdr:colOff>
      <xdr:row>13</xdr:row>
      <xdr:rowOff>20811</xdr:rowOff>
    </xdr:from>
    <xdr:to>
      <xdr:col>7</xdr:col>
      <xdr:colOff>539483</xdr:colOff>
      <xdr:row>15</xdr:row>
      <xdr:rowOff>90449</xdr:rowOff>
    </xdr:to>
    <xdr:sp macro="" textlink="">
      <xdr:nvSpPr>
        <xdr:cNvPr id="5" name="Rectangle 4"/>
        <xdr:cNvSpPr/>
      </xdr:nvSpPr>
      <xdr:spPr>
        <a:xfrm>
          <a:off x="6456189" y="2864704"/>
          <a:ext cx="2165937" cy="505066"/>
        </a:xfrm>
        <a:prstGeom prst="rect">
          <a:avLst/>
        </a:prstGeom>
        <a:solidFill>
          <a:schemeClr val="bg1">
            <a:lumMod val="9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 i="1">
              <a:solidFill>
                <a:schemeClr val="tx1"/>
              </a:solidFill>
            </a:rPr>
            <a:t>EXCELLENT</a:t>
          </a:r>
          <a:r>
            <a:rPr lang="fr-FR" sz="1400" b="1" i="1" baseline="0">
              <a:solidFill>
                <a:schemeClr val="tx1"/>
              </a:solidFill>
            </a:rPr>
            <a:t> RESULTAT </a:t>
          </a:r>
        </a:p>
      </xdr:txBody>
    </xdr:sp>
    <xdr:clientData/>
  </xdr:twoCellAnchor>
  <xdr:twoCellAnchor>
    <xdr:from>
      <xdr:col>5</xdr:col>
      <xdr:colOff>920483</xdr:colOff>
      <xdr:row>15</xdr:row>
      <xdr:rowOff>90449</xdr:rowOff>
    </xdr:from>
    <xdr:to>
      <xdr:col>6</xdr:col>
      <xdr:colOff>545086</xdr:colOff>
      <xdr:row>26</xdr:row>
      <xdr:rowOff>84046</xdr:rowOff>
    </xdr:to>
    <xdr:cxnSp macro="">
      <xdr:nvCxnSpPr>
        <xdr:cNvPr id="7" name="Connecteur droit avec flèche 6"/>
        <xdr:cNvCxnSpPr>
          <a:stCxn id="5" idx="2"/>
        </xdr:cNvCxnSpPr>
      </xdr:nvCxnSpPr>
      <xdr:spPr>
        <a:xfrm flipH="1">
          <a:off x="6825983" y="3369770"/>
          <a:ext cx="713174" cy="2238776"/>
        </a:xfrm>
        <a:prstGeom prst="straightConnector1">
          <a:avLst/>
        </a:prstGeom>
        <a:ln>
          <a:solidFill>
            <a:schemeClr val="tx2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Vagues">
      <a:dk1>
        <a:sysClr val="windowText" lastClr="000000"/>
      </a:dk1>
      <a:lt1>
        <a:sysClr val="window" lastClr="FFFFFF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Personnalisé 1">
      <a:majorFont>
        <a:latin typeface="Eras Light ITC"/>
        <a:ea typeface=""/>
        <a:cs typeface=""/>
      </a:majorFont>
      <a:minorFont>
        <a:latin typeface="Eras Light IT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5"/>
  <sheetViews>
    <sheetView tabSelected="1" zoomScale="70" zoomScaleNormal="70" workbookViewId="0">
      <selection activeCell="J17" sqref="J17"/>
    </sheetView>
  </sheetViews>
  <sheetFormatPr baseColWidth="10" defaultRowHeight="16.5" x14ac:dyDescent="0.3"/>
  <cols>
    <col min="1" max="1" width="13.6640625" style="1" customWidth="1"/>
    <col min="2" max="5" width="13.77734375" style="1" customWidth="1"/>
    <col min="6" max="8" width="12.6640625" style="1" customWidth="1"/>
    <col min="9" max="16384" width="11.5546875" style="1"/>
  </cols>
  <sheetData>
    <row r="4" spans="1:8" ht="17.25" thickBot="1" x14ac:dyDescent="0.35"/>
    <row r="5" spans="1:8" s="24" customFormat="1" ht="24.75" customHeight="1" thickTop="1" thickBot="1" x14ac:dyDescent="0.35">
      <c r="B5" s="25" t="s">
        <v>0</v>
      </c>
      <c r="C5" s="26" t="s">
        <v>1</v>
      </c>
      <c r="D5" s="27" t="s">
        <v>2</v>
      </c>
      <c r="E5" s="28" t="s">
        <v>3</v>
      </c>
      <c r="F5" s="29" t="s">
        <v>4</v>
      </c>
      <c r="G5" s="26" t="s">
        <v>5</v>
      </c>
      <c r="H5" s="30" t="s">
        <v>6</v>
      </c>
    </row>
    <row r="6" spans="1:8" ht="17.25" thickTop="1" x14ac:dyDescent="0.3">
      <c r="A6" s="2" t="s">
        <v>7</v>
      </c>
      <c r="B6" s="3">
        <v>15000</v>
      </c>
      <c r="C6" s="4">
        <v>17000</v>
      </c>
      <c r="D6" s="5">
        <v>18000</v>
      </c>
      <c r="E6" s="6">
        <f>SUM(B6:D6)</f>
        <v>50000</v>
      </c>
      <c r="F6" s="7">
        <f>AVERAGE(B6:D6)</f>
        <v>16666.666666666668</v>
      </c>
      <c r="G6" s="4">
        <f>MAX(B6:D6)</f>
        <v>18000</v>
      </c>
      <c r="H6" s="5">
        <f>MIN(B6:D6)</f>
        <v>15000</v>
      </c>
    </row>
    <row r="7" spans="1:8" x14ac:dyDescent="0.3">
      <c r="A7" s="8" t="s">
        <v>8</v>
      </c>
      <c r="B7" s="9">
        <v>25000</v>
      </c>
      <c r="C7" s="10">
        <v>33000</v>
      </c>
      <c r="D7" s="11">
        <v>24000</v>
      </c>
      <c r="E7" s="12">
        <f t="shared" ref="E7:E11" si="0">SUM(B7:D7)</f>
        <v>82000</v>
      </c>
      <c r="F7" s="13">
        <f t="shared" ref="F7:F11" si="1">AVERAGE(B7:D7)</f>
        <v>27333.333333333332</v>
      </c>
      <c r="G7" s="10">
        <f t="shared" ref="G7:G11" si="2">MAX(B7:D7)</f>
        <v>33000</v>
      </c>
      <c r="H7" s="11">
        <f t="shared" ref="H7:H11" si="3">MIN(B7:D7)</f>
        <v>24000</v>
      </c>
    </row>
    <row r="8" spans="1:8" x14ac:dyDescent="0.3">
      <c r="A8" s="8" t="s">
        <v>15</v>
      </c>
      <c r="B8" s="9">
        <v>35000</v>
      </c>
      <c r="C8" s="10">
        <v>31000</v>
      </c>
      <c r="D8" s="11">
        <v>30000</v>
      </c>
      <c r="E8" s="12">
        <f t="shared" si="0"/>
        <v>96000</v>
      </c>
      <c r="F8" s="13">
        <f t="shared" si="1"/>
        <v>32000</v>
      </c>
      <c r="G8" s="10">
        <f t="shared" si="2"/>
        <v>35000</v>
      </c>
      <c r="H8" s="11">
        <f t="shared" si="3"/>
        <v>30000</v>
      </c>
    </row>
    <row r="9" spans="1:8" x14ac:dyDescent="0.3">
      <c r="A9" s="8" t="s">
        <v>9</v>
      </c>
      <c r="B9" s="9">
        <v>64000</v>
      </c>
      <c r="C9" s="10">
        <v>64000</v>
      </c>
      <c r="D9" s="11">
        <v>54000</v>
      </c>
      <c r="E9" s="12">
        <f t="shared" si="0"/>
        <v>182000</v>
      </c>
      <c r="F9" s="13">
        <f t="shared" si="1"/>
        <v>60666.666666666664</v>
      </c>
      <c r="G9" s="10">
        <f t="shared" si="2"/>
        <v>64000</v>
      </c>
      <c r="H9" s="11">
        <f t="shared" si="3"/>
        <v>54000</v>
      </c>
    </row>
    <row r="10" spans="1:8" x14ac:dyDescent="0.3">
      <c r="A10" s="8" t="s">
        <v>10</v>
      </c>
      <c r="B10" s="9">
        <v>52000</v>
      </c>
      <c r="C10" s="10">
        <v>50000</v>
      </c>
      <c r="D10" s="11">
        <v>64000</v>
      </c>
      <c r="E10" s="12">
        <f t="shared" si="0"/>
        <v>166000</v>
      </c>
      <c r="F10" s="13">
        <f t="shared" si="1"/>
        <v>55333.333333333336</v>
      </c>
      <c r="G10" s="10">
        <f t="shared" si="2"/>
        <v>64000</v>
      </c>
      <c r="H10" s="11">
        <f t="shared" si="3"/>
        <v>50000</v>
      </c>
    </row>
    <row r="11" spans="1:8" ht="17.25" thickBot="1" x14ac:dyDescent="0.35">
      <c r="A11" s="8" t="s">
        <v>11</v>
      </c>
      <c r="B11" s="14">
        <v>41000</v>
      </c>
      <c r="C11" s="15">
        <v>40000</v>
      </c>
      <c r="D11" s="16">
        <v>50000</v>
      </c>
      <c r="E11" s="17">
        <f t="shared" si="0"/>
        <v>131000</v>
      </c>
      <c r="F11" s="18">
        <f t="shared" si="1"/>
        <v>43666.666666666664</v>
      </c>
      <c r="G11" s="15">
        <f t="shared" si="2"/>
        <v>50000</v>
      </c>
      <c r="H11" s="16">
        <f t="shared" si="3"/>
        <v>40000</v>
      </c>
    </row>
    <row r="12" spans="1:8" ht="18" thickTop="1" thickBot="1" x14ac:dyDescent="0.35">
      <c r="A12" s="19" t="s">
        <v>12</v>
      </c>
      <c r="B12" s="20">
        <f>SUM(B6:B11)</f>
        <v>232000</v>
      </c>
      <c r="C12" s="21">
        <f t="shared" ref="C12:E12" si="4">SUM(C6:C11)</f>
        <v>235000</v>
      </c>
      <c r="D12" s="21">
        <f t="shared" si="4"/>
        <v>240000</v>
      </c>
      <c r="E12" s="22">
        <f t="shared" si="4"/>
        <v>707000</v>
      </c>
    </row>
    <row r="13" spans="1:8" ht="17.25" thickTop="1" x14ac:dyDescent="0.3">
      <c r="A13" s="8" t="s">
        <v>13</v>
      </c>
      <c r="B13" s="3">
        <f>B12*0.2</f>
        <v>46400</v>
      </c>
      <c r="C13" s="4">
        <f t="shared" ref="C13:E13" si="5">C12*0.2</f>
        <v>47000</v>
      </c>
      <c r="D13" s="5">
        <f t="shared" si="5"/>
        <v>48000</v>
      </c>
      <c r="E13" s="6">
        <f t="shared" si="5"/>
        <v>141400</v>
      </c>
    </row>
    <row r="14" spans="1:8" ht="17.25" thickBot="1" x14ac:dyDescent="0.35">
      <c r="A14" s="23" t="s">
        <v>14</v>
      </c>
      <c r="B14" s="14">
        <f>SUM(B12:B13)</f>
        <v>278400</v>
      </c>
      <c r="C14" s="15">
        <f t="shared" ref="C14:E14" si="6">SUM(C12:C13)</f>
        <v>282000</v>
      </c>
      <c r="D14" s="16">
        <f t="shared" si="6"/>
        <v>288000</v>
      </c>
      <c r="E14" s="17">
        <f t="shared" si="6"/>
        <v>848400</v>
      </c>
    </row>
    <row r="15" spans="1:8" ht="17.25" thickTop="1" x14ac:dyDescent="0.3"/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&amp;LEtude réalisée par
Cabinet MARTIN&amp;R&amp;D</oddHeader>
    <oddFooter>&amp;C95 rue de Saint Lazare
75008 PARIS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.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GALERIE LAFAYETTE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Formateur</cp:lastModifiedBy>
  <cp:lastPrinted>2016-06-21T06:28:10Z</cp:lastPrinted>
  <dcterms:created xsi:type="dcterms:W3CDTF">2015-01-07T08:10:30Z</dcterms:created>
  <dcterms:modified xsi:type="dcterms:W3CDTF">2016-06-21T06:28:17Z</dcterms:modified>
</cp:coreProperties>
</file>