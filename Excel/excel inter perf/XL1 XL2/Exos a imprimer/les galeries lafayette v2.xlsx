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XL1 XL2\Exos a imprimer\"/>
    </mc:Choice>
  </mc:AlternateContent>
  <bookViews>
    <workbookView xWindow="0" yWindow="0" windowWidth="20490" windowHeight="775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  <c r="D18" i="1"/>
  <c r="E18" i="1"/>
  <c r="E16" i="1"/>
  <c r="B2" i="1"/>
  <c r="C16" i="1"/>
  <c r="C17" i="1" s="1"/>
  <c r="D16" i="1"/>
  <c r="D17" i="1" s="1"/>
  <c r="B16" i="1"/>
  <c r="G10" i="1"/>
  <c r="H10" i="1"/>
  <c r="G11" i="1"/>
  <c r="H11" i="1"/>
  <c r="G12" i="1"/>
  <c r="H12" i="1"/>
  <c r="G13" i="1"/>
  <c r="H13" i="1"/>
  <c r="G14" i="1"/>
  <c r="H14" i="1"/>
  <c r="H9" i="1"/>
  <c r="G9" i="1"/>
  <c r="F10" i="1"/>
  <c r="F11" i="1"/>
  <c r="F12" i="1"/>
  <c r="F13" i="1"/>
  <c r="F14" i="1"/>
  <c r="F9" i="1"/>
  <c r="E10" i="1"/>
  <c r="E11" i="1"/>
  <c r="E12" i="1"/>
  <c r="E13" i="1"/>
  <c r="E14" i="1"/>
  <c r="E9" i="1"/>
  <c r="B3" i="1" l="1"/>
  <c r="E17" i="1"/>
  <c r="B4" i="1"/>
  <c r="B5" i="1"/>
  <c r="B17" i="1"/>
  <c r="B18" i="1" s="1"/>
</calcChain>
</file>

<file path=xl/sharedStrings.xml><?xml version="1.0" encoding="utf-8"?>
<sst xmlns="http://schemas.openxmlformats.org/spreadsheetml/2006/main" count="21" uniqueCount="20">
  <si>
    <t>Juillet</t>
  </si>
  <si>
    <t>Aout</t>
  </si>
  <si>
    <t>Maximum</t>
  </si>
  <si>
    <t>Minimun</t>
  </si>
  <si>
    <t>Cosmétique</t>
  </si>
  <si>
    <t>Librairie</t>
  </si>
  <si>
    <t>Maroquinerie</t>
  </si>
  <si>
    <t>Habillement</t>
  </si>
  <si>
    <t>Hi-fi</t>
  </si>
  <si>
    <t>CD</t>
  </si>
  <si>
    <t>Total mois</t>
  </si>
  <si>
    <t>TVA 20 %</t>
  </si>
  <si>
    <t>TTC</t>
  </si>
  <si>
    <t>MOYENNE</t>
  </si>
  <si>
    <t>MAX</t>
  </si>
  <si>
    <t>MIN</t>
  </si>
  <si>
    <t>Moyenne</t>
  </si>
  <si>
    <t>Total</t>
  </si>
  <si>
    <t>Juin</t>
  </si>
  <si>
    <t>TRIMESTRE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</si>
</sst>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2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 style="hair">
        <color theme="0" tint="-0.499984740745262"/>
      </right>
      <top style="medium">
        <color rgb="FF0070C0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rgb="FF0070C0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rgb="FF0070C0"/>
      </right>
      <top style="medium">
        <color rgb="FF0070C0"/>
      </top>
      <bottom style="hair">
        <color theme="0" tint="-0.499984740745262"/>
      </bottom>
      <diagonal/>
    </border>
    <border>
      <left style="medium">
        <color rgb="FF0070C0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rgb="FF0070C0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rgb="FF0070C0"/>
      </left>
      <right style="hair">
        <color theme="0" tint="-0.499984740745262"/>
      </right>
      <top style="hair">
        <color theme="0" tint="-0.499984740745262"/>
      </top>
      <bottom style="medium">
        <color rgb="FF0070C0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rgb="FF0070C0"/>
      </bottom>
      <diagonal/>
    </border>
    <border>
      <left style="hair">
        <color theme="0" tint="-0.499984740745262"/>
      </left>
      <right style="medium">
        <color rgb="FF0070C0"/>
      </right>
      <top style="hair">
        <color theme="0" tint="-0.499984740745262"/>
      </top>
      <bottom style="medium">
        <color rgb="FF0070C0"/>
      </bottom>
      <diagonal/>
    </border>
    <border>
      <left style="medium">
        <color rgb="FF0070C0"/>
      </left>
      <right style="hair">
        <color theme="0" tint="-0.499984740745262"/>
      </right>
      <top style="medium">
        <color rgb="FF0070C0"/>
      </top>
      <bottom style="medium">
        <color rgb="FF0070C0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rgb="FF0070C0"/>
      </top>
      <bottom style="medium">
        <color rgb="FF0070C0"/>
      </bottom>
      <diagonal/>
    </border>
    <border>
      <left style="hair">
        <color theme="0" tint="-0.499984740745262"/>
      </left>
      <right style="medium">
        <color rgb="FF0070C0"/>
      </right>
      <top style="medium">
        <color rgb="FF0070C0"/>
      </top>
      <bottom style="medium">
        <color rgb="FF0070C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0" applyFont="1"/>
    <xf numFmtId="43" fontId="3" fillId="0" borderId="0" xfId="1" applyFont="1"/>
    <xf numFmtId="43" fontId="5" fillId="0" borderId="0" xfId="1" applyFont="1"/>
    <xf numFmtId="0" fontId="4" fillId="2" borderId="1" xfId="0" applyFont="1" applyFill="1" applyBorder="1"/>
    <xf numFmtId="43" fontId="5" fillId="0" borderId="2" xfId="1" applyFont="1" applyBorder="1"/>
    <xf numFmtId="43" fontId="6" fillId="2" borderId="2" xfId="1" applyFont="1" applyFill="1" applyBorder="1"/>
    <xf numFmtId="43" fontId="5" fillId="0" borderId="3" xfId="1" applyFont="1" applyBorder="1"/>
    <xf numFmtId="0" fontId="4" fillId="2" borderId="4" xfId="0" applyFont="1" applyFill="1" applyBorder="1"/>
    <xf numFmtId="43" fontId="5" fillId="0" borderId="5" xfId="1" applyFont="1" applyBorder="1"/>
    <xf numFmtId="43" fontId="6" fillId="2" borderId="5" xfId="1" applyFont="1" applyFill="1" applyBorder="1"/>
    <xf numFmtId="43" fontId="5" fillId="0" borderId="6" xfId="1" applyFont="1" applyBorder="1"/>
    <xf numFmtId="0" fontId="4" fillId="2" borderId="7" xfId="0" applyFont="1" applyFill="1" applyBorder="1"/>
    <xf numFmtId="43" fontId="5" fillId="0" borderId="8" xfId="1" applyFont="1" applyBorder="1"/>
    <xf numFmtId="43" fontId="6" fillId="2" borderId="8" xfId="1" applyFont="1" applyFill="1" applyBorder="1"/>
    <xf numFmtId="43" fontId="5" fillId="0" borderId="9" xfId="1" applyFont="1" applyBorder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7" fillId="2" borderId="1" xfId="0" applyFont="1" applyFill="1" applyBorder="1"/>
    <xf numFmtId="43" fontId="7" fillId="2" borderId="2" xfId="1" applyFont="1" applyFill="1" applyBorder="1"/>
    <xf numFmtId="43" fontId="7" fillId="2" borderId="3" xfId="1" applyFont="1" applyFill="1" applyBorder="1"/>
    <xf numFmtId="0" fontId="3" fillId="0" borderId="4" xfId="0" applyFont="1" applyBorder="1"/>
    <xf numFmtId="0" fontId="3" fillId="0" borderId="7" xfId="0" applyFont="1" applyBorder="1"/>
    <xf numFmtId="43" fontId="3" fillId="0" borderId="1" xfId="1" applyFont="1" applyBorder="1" applyAlignment="1">
      <alignment horizontal="left"/>
    </xf>
    <xf numFmtId="43" fontId="3" fillId="0" borderId="4" xfId="1" applyFont="1" applyBorder="1" applyAlignment="1">
      <alignment horizontal="left"/>
    </xf>
    <xf numFmtId="43" fontId="3" fillId="2" borderId="6" xfId="1" applyFont="1" applyFill="1" applyBorder="1"/>
    <xf numFmtId="43" fontId="3" fillId="0" borderId="7" xfId="1" applyFont="1" applyBorder="1" applyAlignment="1">
      <alignment horizontal="left"/>
    </xf>
    <xf numFmtId="43" fontId="3" fillId="2" borderId="9" xfId="1" applyFont="1" applyFill="1" applyBorder="1"/>
    <xf numFmtId="43" fontId="8" fillId="2" borderId="10" xfId="1" applyFont="1" applyFill="1" applyBorder="1" applyAlignment="1">
      <alignment horizontal="center"/>
    </xf>
    <xf numFmtId="43" fontId="8" fillId="2" borderId="12" xfId="1" applyFont="1" applyFill="1" applyBorder="1" applyAlignment="1">
      <alignment horizontal="center"/>
    </xf>
    <xf numFmtId="43" fontId="9" fillId="3" borderId="3" xfId="1" applyFont="1" applyFill="1" applyBorder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657009</xdr:colOff>
      <xdr:row>0</xdr:row>
      <xdr:rowOff>81979</xdr:rowOff>
    </xdr:from>
    <xdr:ext cx="4367862" cy="655885"/>
    <xdr:sp macro="" textlink="">
      <xdr:nvSpPr>
        <xdr:cNvPr id="2" name="Rectangle 1"/>
        <xdr:cNvSpPr/>
      </xdr:nvSpPr>
      <xdr:spPr>
        <a:xfrm>
          <a:off x="2661400" y="81979"/>
          <a:ext cx="4367862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3600" b="1" cap="none" spc="0">
              <a:ln w="3175">
                <a:solidFill>
                  <a:schemeClr val="accent2"/>
                </a:solidFill>
                <a:prstDash val="solid"/>
              </a:ln>
              <a:solidFill>
                <a:schemeClr val="accent4">
                  <a:lumMod val="60000"/>
                  <a:lumOff val="40000"/>
                </a:schemeClr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  <a:reflection blurRad="6350" stA="60000" endA="900" endPos="60000" dist="29997" dir="5400000" sy="-100000" algn="bl" rotWithShape="0"/>
              </a:effectLst>
            </a:rPr>
            <a:t>Les Galeries Lafayette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zoomScale="130" zoomScaleNormal="130" workbookViewId="0">
      <selection activeCell="C6" sqref="C6"/>
    </sheetView>
  </sheetViews>
  <sheetFormatPr baseColWidth="10" defaultRowHeight="12.75" x14ac:dyDescent="0.2"/>
  <cols>
    <col min="1" max="1" width="12.28515625" style="1" bestFit="1" customWidth="1"/>
    <col min="2" max="5" width="14.28515625" style="1" bestFit="1" customWidth="1"/>
    <col min="6" max="6" width="10.85546875" style="1" bestFit="1" customWidth="1"/>
    <col min="7" max="7" width="11.7109375" style="1" bestFit="1" customWidth="1"/>
    <col min="8" max="8" width="10.42578125" style="1" bestFit="1" customWidth="1"/>
    <col min="9" max="16384" width="11.42578125" style="1"/>
  </cols>
  <sheetData>
    <row r="1" spans="1:8" ht="19.5" thickBot="1" x14ac:dyDescent="0.35">
      <c r="A1" s="29" t="s">
        <v>19</v>
      </c>
      <c r="B1" s="30"/>
    </row>
    <row r="2" spans="1:8" ht="15" x14ac:dyDescent="0.25">
      <c r="A2" s="24" t="s">
        <v>10</v>
      </c>
      <c r="B2" s="31">
        <f>SUM(E9:E14)</f>
        <v>707000</v>
      </c>
    </row>
    <row r="3" spans="1:8" x14ac:dyDescent="0.2">
      <c r="A3" s="25" t="s">
        <v>13</v>
      </c>
      <c r="B3" s="26">
        <f>AVERAGE(E9:E14)</f>
        <v>117833.33333333333</v>
      </c>
    </row>
    <row r="4" spans="1:8" x14ac:dyDescent="0.2">
      <c r="A4" s="25" t="s">
        <v>14</v>
      </c>
      <c r="B4" s="26">
        <f>MAX(E9:E14)</f>
        <v>182000</v>
      </c>
    </row>
    <row r="5" spans="1:8" ht="13.5" thickBot="1" x14ac:dyDescent="0.25">
      <c r="A5" s="27" t="s">
        <v>15</v>
      </c>
      <c r="B5" s="28">
        <f>MIN(E9:E14)</f>
        <v>50000</v>
      </c>
      <c r="H5" s="2"/>
    </row>
    <row r="6" spans="1:8" customFormat="1" ht="15" x14ac:dyDescent="0.25"/>
    <row r="7" spans="1:8" customFormat="1" ht="15.75" thickBot="1" x14ac:dyDescent="0.3"/>
    <row r="8" spans="1:8" ht="15" customHeight="1" thickBot="1" x14ac:dyDescent="0.3">
      <c r="B8" s="16" t="s">
        <v>18</v>
      </c>
      <c r="C8" s="17" t="s">
        <v>0</v>
      </c>
      <c r="D8" s="17" t="s">
        <v>1</v>
      </c>
      <c r="E8" s="17" t="s">
        <v>17</v>
      </c>
      <c r="F8" s="17" t="s">
        <v>16</v>
      </c>
      <c r="G8" s="17" t="s">
        <v>2</v>
      </c>
      <c r="H8" s="18" t="s">
        <v>3</v>
      </c>
    </row>
    <row r="9" spans="1:8" ht="15" customHeight="1" x14ac:dyDescent="0.2">
      <c r="A9" s="4" t="s">
        <v>4</v>
      </c>
      <c r="B9" s="5">
        <v>15000</v>
      </c>
      <c r="C9" s="5">
        <v>17000</v>
      </c>
      <c r="D9" s="5">
        <v>18000</v>
      </c>
      <c r="E9" s="6">
        <f>SUM(B9:D9)</f>
        <v>50000</v>
      </c>
      <c r="F9" s="5">
        <f>AVERAGE(B9:D9)</f>
        <v>16666.666666666668</v>
      </c>
      <c r="G9" s="5">
        <f>MAX(B9:D9)</f>
        <v>18000</v>
      </c>
      <c r="H9" s="7">
        <f>MIN(B9:D9)</f>
        <v>15000</v>
      </c>
    </row>
    <row r="10" spans="1:8" ht="15" customHeight="1" x14ac:dyDescent="0.2">
      <c r="A10" s="8" t="s">
        <v>5</v>
      </c>
      <c r="B10" s="9">
        <v>25000</v>
      </c>
      <c r="C10" s="9">
        <v>33000</v>
      </c>
      <c r="D10" s="9">
        <v>24000</v>
      </c>
      <c r="E10" s="10">
        <f t="shared" ref="E10:E14" si="0">SUM(B10:D10)</f>
        <v>82000</v>
      </c>
      <c r="F10" s="9">
        <f t="shared" ref="F10:F14" si="1">AVERAGE(B10:D10)</f>
        <v>27333.333333333332</v>
      </c>
      <c r="G10" s="9">
        <f t="shared" ref="G10:G14" si="2">MAX(B10:D10)</f>
        <v>33000</v>
      </c>
      <c r="H10" s="11">
        <f t="shared" ref="H10:H14" si="3">MIN(B10:D10)</f>
        <v>24000</v>
      </c>
    </row>
    <row r="11" spans="1:8" ht="15" customHeight="1" x14ac:dyDescent="0.2">
      <c r="A11" s="8" t="s">
        <v>6</v>
      </c>
      <c r="B11" s="9">
        <v>35000</v>
      </c>
      <c r="C11" s="9">
        <v>31000</v>
      </c>
      <c r="D11" s="9">
        <v>30000</v>
      </c>
      <c r="E11" s="10">
        <f t="shared" si="0"/>
        <v>96000</v>
      </c>
      <c r="F11" s="9">
        <f t="shared" si="1"/>
        <v>32000</v>
      </c>
      <c r="G11" s="9">
        <f t="shared" si="2"/>
        <v>35000</v>
      </c>
      <c r="H11" s="11">
        <f t="shared" si="3"/>
        <v>30000</v>
      </c>
    </row>
    <row r="12" spans="1:8" ht="15" customHeight="1" x14ac:dyDescent="0.2">
      <c r="A12" s="8" t="s">
        <v>7</v>
      </c>
      <c r="B12" s="9">
        <v>64000</v>
      </c>
      <c r="C12" s="9">
        <v>64000</v>
      </c>
      <c r="D12" s="9">
        <v>54000</v>
      </c>
      <c r="E12" s="10">
        <f t="shared" si="0"/>
        <v>182000</v>
      </c>
      <c r="F12" s="9">
        <f t="shared" si="1"/>
        <v>60666.666666666664</v>
      </c>
      <c r="G12" s="9">
        <f t="shared" si="2"/>
        <v>64000</v>
      </c>
      <c r="H12" s="11">
        <f t="shared" si="3"/>
        <v>54000</v>
      </c>
    </row>
    <row r="13" spans="1:8" ht="15" customHeight="1" x14ac:dyDescent="0.2">
      <c r="A13" s="8" t="s">
        <v>8</v>
      </c>
      <c r="B13" s="9">
        <v>52000</v>
      </c>
      <c r="C13" s="9">
        <v>50000</v>
      </c>
      <c r="D13" s="9">
        <v>64000</v>
      </c>
      <c r="E13" s="10">
        <f t="shared" si="0"/>
        <v>166000</v>
      </c>
      <c r="F13" s="9">
        <f t="shared" si="1"/>
        <v>55333.333333333336</v>
      </c>
      <c r="G13" s="9">
        <f t="shared" si="2"/>
        <v>64000</v>
      </c>
      <c r="H13" s="11">
        <f t="shared" si="3"/>
        <v>50000</v>
      </c>
    </row>
    <row r="14" spans="1:8" ht="15" customHeight="1" thickBot="1" x14ac:dyDescent="0.25">
      <c r="A14" s="12" t="s">
        <v>9</v>
      </c>
      <c r="B14" s="13">
        <v>41000</v>
      </c>
      <c r="C14" s="13">
        <v>40000</v>
      </c>
      <c r="D14" s="13">
        <v>50000</v>
      </c>
      <c r="E14" s="14">
        <f t="shared" si="0"/>
        <v>131000</v>
      </c>
      <c r="F14" s="13">
        <f t="shared" si="1"/>
        <v>43666.666666666664</v>
      </c>
      <c r="G14" s="13">
        <f t="shared" si="2"/>
        <v>50000</v>
      </c>
      <c r="H14" s="15">
        <f t="shared" si="3"/>
        <v>40000</v>
      </c>
    </row>
    <row r="15" spans="1:8" ht="13.5" thickBot="1" x14ac:dyDescent="0.25">
      <c r="B15" s="3"/>
      <c r="C15" s="3"/>
      <c r="D15" s="3"/>
      <c r="E15" s="3"/>
      <c r="F15" s="3"/>
      <c r="G15" s="3"/>
      <c r="H15" s="3"/>
    </row>
    <row r="16" spans="1:8" ht="15" x14ac:dyDescent="0.25">
      <c r="A16" s="19" t="s">
        <v>10</v>
      </c>
      <c r="B16" s="20">
        <f>SUM(B9:B15)</f>
        <v>232000</v>
      </c>
      <c r="C16" s="20">
        <f t="shared" ref="C16:E16" si="4">SUM(C9:C15)</f>
        <v>235000</v>
      </c>
      <c r="D16" s="20">
        <f t="shared" si="4"/>
        <v>240000</v>
      </c>
      <c r="E16" s="21">
        <f>SUM(E9:E15)</f>
        <v>707000</v>
      </c>
      <c r="F16" s="3"/>
      <c r="G16" s="3"/>
      <c r="H16" s="3"/>
    </row>
    <row r="17" spans="1:8" x14ac:dyDescent="0.2">
      <c r="A17" s="22" t="s">
        <v>11</v>
      </c>
      <c r="B17" s="9">
        <f>B16*0.2</f>
        <v>46400</v>
      </c>
      <c r="C17" s="9">
        <f t="shared" ref="C17:E17" si="5">C16*0.2</f>
        <v>47000</v>
      </c>
      <c r="D17" s="9">
        <f t="shared" si="5"/>
        <v>48000</v>
      </c>
      <c r="E17" s="11">
        <f t="shared" si="5"/>
        <v>141400</v>
      </c>
      <c r="F17" s="3"/>
      <c r="G17" s="3"/>
      <c r="H17" s="3"/>
    </row>
    <row r="18" spans="1:8" ht="13.5" thickBot="1" x14ac:dyDescent="0.25">
      <c r="A18" s="23" t="s">
        <v>12</v>
      </c>
      <c r="B18" s="13">
        <f>SUM(B16:B17)</f>
        <v>278400</v>
      </c>
      <c r="C18" s="13">
        <f t="shared" ref="C18:E18" si="6">SUM(C16:C17)</f>
        <v>282000</v>
      </c>
      <c r="D18" s="13">
        <f t="shared" si="6"/>
        <v>288000</v>
      </c>
      <c r="E18" s="15">
        <f t="shared" si="6"/>
        <v>848400</v>
      </c>
      <c r="F18" s="3"/>
      <c r="G18" s="3"/>
      <c r="H18" s="3"/>
    </row>
    <row r="19" spans="1:8" x14ac:dyDescent="0.2">
      <c r="B19" s="2"/>
      <c r="C19" s="2"/>
      <c r="D19" s="2"/>
      <c r="E19" s="2"/>
      <c r="F19" s="2"/>
      <c r="G19" s="2"/>
      <c r="H19" s="2"/>
    </row>
    <row r="20" spans="1:8" x14ac:dyDescent="0.2">
      <c r="B20" s="2"/>
      <c r="C20" s="2"/>
      <c r="F20" s="2"/>
      <c r="G20" s="2"/>
      <c r="H20" s="2"/>
    </row>
    <row r="21" spans="1:8" x14ac:dyDescent="0.2">
      <c r="B21" s="2"/>
      <c r="C21" s="2"/>
      <c r="F21" s="2"/>
      <c r="G21" s="2"/>
      <c r="H21" s="2"/>
    </row>
    <row r="22" spans="1:8" x14ac:dyDescent="0.2">
      <c r="B22" s="2"/>
      <c r="C22" s="2"/>
      <c r="F22" s="2"/>
      <c r="G22" s="2"/>
      <c r="H22" s="2"/>
    </row>
  </sheetData>
  <mergeCells count="1">
    <mergeCell ref="A1:B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landscape" r:id="rId1"/>
  <headerFooter>
    <oddHeader>&amp;L&amp;D&amp;R&amp;F</oddHeader>
    <oddFooter>&amp;L&amp;"-,Gras"&amp;14&amp;EService comptabilité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</dc:creator>
  <cp:lastModifiedBy>Stagiaire</cp:lastModifiedBy>
  <cp:lastPrinted>2016-05-03T09:49:44Z</cp:lastPrinted>
  <dcterms:created xsi:type="dcterms:W3CDTF">2016-05-03T09:25:11Z</dcterms:created>
  <dcterms:modified xsi:type="dcterms:W3CDTF">2016-05-03T09:52:11Z</dcterms:modified>
</cp:coreProperties>
</file>