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F:\XL1 XL2\"/>
    </mc:Choice>
  </mc:AlternateContent>
  <xr:revisionPtr revIDLastSave="0" documentId="13_ncr:1_{99ADD592-5AAC-40A0-B8C6-A36049E7FB3D}" xr6:coauthVersionLast="45" xr6:coauthVersionMax="45" xr10:uidLastSave="{00000000-0000-0000-0000-000000000000}"/>
  <bookViews>
    <workbookView xWindow="-120" yWindow="-120" windowWidth="29040" windowHeight="15840" tabRatio="1000" activeTab="7" xr2:uid="{00000000-000D-0000-FFFF-FFFF00000000}"/>
  </bookViews>
  <sheets>
    <sheet name="construire son tableau" sheetId="18" r:id="rId1"/>
    <sheet name="tarifs" sheetId="19" r:id="rId2"/>
    <sheet name="calculs enchainés" sheetId="21" r:id="rId3"/>
    <sheet name="stock 2" sheetId="9" r:id="rId4"/>
    <sheet name="voyages" sheetId="15" r:id="rId5"/>
    <sheet name="digital" sheetId="13" r:id="rId6"/>
    <sheet name="compari" sheetId="14" r:id="rId7"/>
    <sheet name="Note de frais" sheetId="20" r:id="rId8"/>
    <sheet name="facture" sheetId="22" r:id="rId9"/>
  </sheets>
  <externalReferences>
    <externalReference r:id="rId10"/>
  </externalReferences>
  <definedNames>
    <definedName name="TOT_MEN">'[1]BUD-FAM'!$B$12:$M$12</definedName>
    <definedName name="zone">'[1]BUD-FAM'!$H$1:$O$19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0" i="20" l="1"/>
  <c r="C10" i="20"/>
  <c r="D10" i="20"/>
  <c r="E10" i="20"/>
  <c r="B10" i="20"/>
  <c r="F6" i="20"/>
  <c r="F7" i="20"/>
  <c r="F8" i="20"/>
  <c r="F9" i="20"/>
  <c r="F5" i="20"/>
  <c r="D6" i="20"/>
  <c r="D7" i="20"/>
  <c r="D8" i="20"/>
  <c r="D9" i="20"/>
  <c r="D5" i="20"/>
  <c r="E11" i="14"/>
  <c r="E12" i="14"/>
  <c r="E13" i="14"/>
  <c r="E14" i="14"/>
  <c r="E15" i="14"/>
  <c r="E16" i="14"/>
  <c r="E10" i="14"/>
  <c r="D16" i="14"/>
  <c r="C16" i="14"/>
  <c r="D17" i="13"/>
  <c r="E17" i="13"/>
  <c r="F17" i="13"/>
  <c r="C17" i="13"/>
  <c r="D15" i="13"/>
  <c r="E15" i="13"/>
  <c r="F15" i="13"/>
  <c r="C15" i="13"/>
  <c r="E5" i="15"/>
  <c r="E6" i="15"/>
  <c r="E7" i="15"/>
  <c r="E8" i="15"/>
  <c r="E9" i="15"/>
  <c r="E4" i="15"/>
  <c r="D5" i="15"/>
  <c r="D6" i="15"/>
  <c r="D7" i="15"/>
  <c r="D8" i="15"/>
  <c r="D9" i="15"/>
  <c r="D4" i="15"/>
  <c r="G12" i="9"/>
  <c r="G7" i="9"/>
  <c r="G8" i="9"/>
  <c r="G9" i="9"/>
  <c r="G10" i="9"/>
  <c r="G6" i="9"/>
  <c r="E7" i="9"/>
  <c r="E8" i="9"/>
  <c r="E9" i="9"/>
  <c r="E10" i="9"/>
  <c r="E6" i="9"/>
  <c r="H11" i="21"/>
  <c r="H12" i="21"/>
  <c r="H13" i="21"/>
  <c r="H10" i="21"/>
  <c r="F11" i="21"/>
  <c r="F12" i="21"/>
  <c r="F13" i="21"/>
  <c r="F10" i="21"/>
  <c r="G5" i="19"/>
  <c r="G6" i="19"/>
  <c r="G7" i="19"/>
  <c r="G8" i="19"/>
  <c r="G9" i="19"/>
  <c r="G10" i="19"/>
  <c r="G4" i="19"/>
  <c r="F5" i="19"/>
  <c r="F6" i="19"/>
  <c r="F7" i="19"/>
  <c r="F8" i="19"/>
  <c r="F9" i="19"/>
  <c r="F10" i="19"/>
  <c r="F4" i="19"/>
  <c r="E5" i="19"/>
  <c r="E6" i="19"/>
  <c r="E7" i="19"/>
  <c r="E8" i="19"/>
  <c r="E9" i="19"/>
  <c r="E10" i="19"/>
  <c r="E4" i="19"/>
  <c r="D18" i="18"/>
  <c r="D19" i="18"/>
  <c r="D20" i="18"/>
  <c r="D7" i="18"/>
  <c r="D8" i="18"/>
  <c r="D9" i="18"/>
  <c r="D10" i="18"/>
  <c r="D11" i="18"/>
  <c r="D12" i="18"/>
  <c r="D13" i="18"/>
  <c r="D14" i="18"/>
  <c r="D15" i="18"/>
  <c r="D16" i="18"/>
  <c r="D17" i="18"/>
  <c r="D6" i="18"/>
  <c r="C20" i="18"/>
  <c r="B20" i="18"/>
  <c r="C9" i="15" l="1"/>
  <c r="F9" i="15"/>
  <c r="B9" i="15"/>
  <c r="C10" i="14"/>
  <c r="D10" i="14"/>
  <c r="C11" i="14"/>
  <c r="D11" i="14"/>
  <c r="C12" i="14"/>
  <c r="D12" i="14"/>
  <c r="C13" i="14"/>
  <c r="D13" i="14"/>
  <c r="C14" i="14"/>
  <c r="D14" i="14"/>
  <c r="C15" i="14"/>
  <c r="D15" i="14"/>
  <c r="B41" i="14"/>
  <c r="B41" i="13"/>
  <c r="F6" i="9"/>
  <c r="F7" i="9"/>
  <c r="F8" i="9"/>
  <c r="F9" i="9"/>
  <c r="F10" i="9"/>
  <c r="B40" i="9"/>
</calcChain>
</file>

<file path=xl/sharedStrings.xml><?xml version="1.0" encoding="utf-8"?>
<sst xmlns="http://schemas.openxmlformats.org/spreadsheetml/2006/main" count="151" uniqueCount="143">
  <si>
    <t>TOTAL</t>
  </si>
  <si>
    <t>Juin</t>
  </si>
  <si>
    <t>Mai</t>
  </si>
  <si>
    <t>Mars</t>
  </si>
  <si>
    <t>Février</t>
  </si>
  <si>
    <t>Janvier</t>
  </si>
  <si>
    <t>Année 1</t>
  </si>
  <si>
    <t>Calculer le nombre total de bouteilles et la valeur du stock</t>
  </si>
  <si>
    <t>Total</t>
  </si>
  <si>
    <t>Bordeaux Grands Crus</t>
  </si>
  <si>
    <t>Whisky pur malt</t>
  </si>
  <si>
    <t>Cognac "Hors-Age"</t>
  </si>
  <si>
    <t>Champagne Millésimé</t>
  </si>
  <si>
    <t>Porto Vintage</t>
  </si>
  <si>
    <t>Dépôt</t>
  </si>
  <si>
    <t>Magasin</t>
  </si>
  <si>
    <t>.</t>
  </si>
  <si>
    <t>Valeur du stock</t>
  </si>
  <si>
    <t>Prix Unitaire</t>
  </si>
  <si>
    <t>Quantités</t>
  </si>
  <si>
    <t>Désignation</t>
  </si>
  <si>
    <t xml:space="preserve"> A L'OENOLOGUE </t>
  </si>
  <si>
    <t>Marge nette</t>
  </si>
  <si>
    <t>Frais sur ventes</t>
  </si>
  <si>
    <t>Marge brute</t>
  </si>
  <si>
    <t>Coût d'achat des marchandises vendues</t>
  </si>
  <si>
    <t>Total des ventes hors taxes</t>
  </si>
  <si>
    <t>Éléments</t>
  </si>
  <si>
    <t xml:space="preserve">Analyse de la marge commerciale </t>
  </si>
  <si>
    <t>1  Calculer les parties grisées</t>
  </si>
  <si>
    <t>Avril</t>
  </si>
  <si>
    <t>En valeur</t>
  </si>
  <si>
    <t>;</t>
  </si>
  <si>
    <t>ECARTS</t>
  </si>
  <si>
    <t>Réalisations</t>
  </si>
  <si>
    <t>Prévisions</t>
  </si>
  <si>
    <t>Mois</t>
  </si>
  <si>
    <t>Calculer des Ecarts</t>
  </si>
  <si>
    <t>LES VOYAGES</t>
  </si>
  <si>
    <t>DESTINATION</t>
  </si>
  <si>
    <t>PRIX DE BASE</t>
  </si>
  <si>
    <t>PERSONNES</t>
  </si>
  <si>
    <t>TOTAL GROUPE</t>
  </si>
  <si>
    <t>MONTANT
REMISE</t>
  </si>
  <si>
    <t>PRIX ACCORDE</t>
  </si>
  <si>
    <t>GRECE</t>
  </si>
  <si>
    <t>TUNISIE</t>
  </si>
  <si>
    <t>ITALIE</t>
  </si>
  <si>
    <t>MAROC</t>
  </si>
  <si>
    <t>ANTILLES</t>
  </si>
  <si>
    <t>Reproduire le tableau ci-dessus en respectant les instructions suivantes :</t>
  </si>
  <si>
    <t>- saisissez uniquement la formule de la première ligne (Grèce) et utilisez la poignée de recopie pour les autres lignes</t>
  </si>
  <si>
    <t>- la police est Arial Narrow, taille 24 pour le titre et taille 11 pour le tableau</t>
  </si>
  <si>
    <t>- les colonnes B à F ont la même largeur</t>
  </si>
  <si>
    <t>- la hauteur des lignes du tableau doit être augmentée de façon homogène</t>
  </si>
  <si>
    <t>- ajoutez les en-têtes et pieds de page</t>
  </si>
  <si>
    <t>DÉCEMBRE</t>
  </si>
  <si>
    <t>NOVEMBRE</t>
  </si>
  <si>
    <t>OCTOBRE</t>
  </si>
  <si>
    <t>SEPTEMBRE</t>
  </si>
  <si>
    <t>AOÛT</t>
  </si>
  <si>
    <t>JUILLET</t>
  </si>
  <si>
    <t>JUIN</t>
  </si>
  <si>
    <t>MAI</t>
  </si>
  <si>
    <t>AVRIL</t>
  </si>
  <si>
    <t>MARS</t>
  </si>
  <si>
    <t>FÉVRIER</t>
  </si>
  <si>
    <t>JANVIER</t>
  </si>
  <si>
    <t>SOLDE</t>
  </si>
  <si>
    <t>DEPENSE</t>
  </si>
  <si>
    <t>RECETTE</t>
  </si>
  <si>
    <t>CONSTRUIRE SON PREMIER TABLEAU</t>
  </si>
  <si>
    <t>du prix public HT</t>
  </si>
  <si>
    <t>Les tarifs détaillants, grossistes et autres sont respectivement de 85 %, 75 % et 94%</t>
  </si>
  <si>
    <t>terrine d'autruche</t>
  </si>
  <si>
    <t>terrine de saumon</t>
  </si>
  <si>
    <t>terrine de thon</t>
  </si>
  <si>
    <t>terrine de lievre</t>
  </si>
  <si>
    <t>annuel</t>
  </si>
  <si>
    <t>terrine de chevreuil</t>
  </si>
  <si>
    <t>terrine de sanglier</t>
  </si>
  <si>
    <t>terrine de canard</t>
  </si>
  <si>
    <t>special fête</t>
  </si>
  <si>
    <t>autres</t>
  </si>
  <si>
    <t>grossistes</t>
  </si>
  <si>
    <t>detaillants</t>
  </si>
  <si>
    <t>prix
publics ht</t>
  </si>
  <si>
    <t>produits</t>
  </si>
  <si>
    <t>albert sa</t>
  </si>
  <si>
    <t>Semaine 5</t>
  </si>
  <si>
    <t>Semaine 4</t>
  </si>
  <si>
    <t>Semaine 3</t>
  </si>
  <si>
    <t>Semaine 2</t>
  </si>
  <si>
    <t>Semaine 1</t>
  </si>
  <si>
    <t>Hôtel</t>
  </si>
  <si>
    <t>Frais KM</t>
  </si>
  <si>
    <t>Forfait KM</t>
  </si>
  <si>
    <t>Nbre KM</t>
  </si>
  <si>
    <t>COREE</t>
  </si>
  <si>
    <t>CHINE</t>
  </si>
  <si>
    <t>INDE</t>
  </si>
  <si>
    <t>JAPON</t>
  </si>
  <si>
    <t>Quantité</t>
  </si>
  <si>
    <t>Prix</t>
  </si>
  <si>
    <t>quantité</t>
  </si>
  <si>
    <t>NET</t>
  </si>
  <si>
    <t>FRAIS</t>
  </si>
  <si>
    <t>2ème trimestre</t>
  </si>
  <si>
    <t>1er trimestre</t>
  </si>
  <si>
    <t>J'ENCHAINE LES CALCULS</t>
  </si>
  <si>
    <t>JE CALCULE UNE FACTURE</t>
  </si>
  <si>
    <t>35 rue des Lilas</t>
  </si>
  <si>
    <t>78000 VERSAILLES</t>
  </si>
  <si>
    <t>02 52 52 52 63</t>
  </si>
  <si>
    <t>DESIGNATION</t>
  </si>
  <si>
    <t>PRIX UNITAIRE</t>
  </si>
  <si>
    <t>QUANTITE</t>
  </si>
  <si>
    <t>PRIX HT</t>
  </si>
  <si>
    <t>Clou</t>
  </si>
  <si>
    <t>vis</t>
  </si>
  <si>
    <t>marteau</t>
  </si>
  <si>
    <t>écrou</t>
  </si>
  <si>
    <t>tournevis</t>
  </si>
  <si>
    <t>Total HT</t>
  </si>
  <si>
    <t>Remise 2%</t>
  </si>
  <si>
    <t>net à payer</t>
  </si>
  <si>
    <t>TVA</t>
  </si>
  <si>
    <t>Total TTC</t>
  </si>
  <si>
    <t>tarifs 2017</t>
  </si>
  <si>
    <t xml:space="preserve">LE VOYAGE </t>
  </si>
  <si>
    <t>NOTE DE FRAIS - MOIS DE JUIN 2017</t>
  </si>
  <si>
    <t>A faire :</t>
  </si>
  <si>
    <t>Supprimer les 2 lignes du hauteur</t>
  </si>
  <si>
    <t>Supprimer les  lignes 4 5 6 7</t>
  </si>
  <si>
    <t>Réaliser les calculs</t>
  </si>
  <si>
    <t>Mettre un format aux nombres</t>
  </si>
  <si>
    <t>Encadrer et mettre en gris le total</t>
  </si>
  <si>
    <t>Modifier les hauteurs des lignes pour aérer</t>
  </si>
  <si>
    <t>Faire la mise en page</t>
  </si>
  <si>
    <t>Paysage</t>
  </si>
  <si>
    <t>Mettre votre nom en entete avec la date</t>
  </si>
  <si>
    <t>-Réaliser les calculs</t>
  </si>
  <si>
    <t>-Mettre un format euros aux chiffres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</si>
</sst>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\ &quot;F&quot;;[Red]\-#,##0\ &quot;F&quot;"/>
    <numFmt numFmtId="166" formatCode="#,##0\ &quot;F&quot;;\-#,##0\ &quot;F&quot;"/>
    <numFmt numFmtId="167" formatCode="#,##0.00\ [$€];[Red]\-#,##0.00\ [$€]"/>
    <numFmt numFmtId="168" formatCode="_-* #,##0.00\ [$€]_-;\-* #,##0.00\ [$€]_-;_-* &quot;-&quot;??\ [$€]_-;_-@_-"/>
    <numFmt numFmtId="169" formatCode="_-* #,##0.00\ &quot;F&quot;_-;\-* #,##0.00\ &quot;F&quot;_-;_-* &quot;-&quot;??\ &quot;F&quot;_-;_-@_-"/>
    <numFmt numFmtId="170" formatCode="_-* #,##0.00\ _F_-;\-* #,##0.00\ _F_-;_-* &quot;-&quot;??\ _F_-;_-@_-"/>
    <numFmt numFmtId="171" formatCode="mmmm"/>
    <numFmt numFmtId="172" formatCode="_-* #,##0\ _€_-;\-* #,##0\ _€_-;_-* &quot;-&quot;??\ _€_-;_-@_-"/>
    <numFmt numFmtId="173" formatCode="_-* #,##0.00\ [$€-1]_-;\-* #,##0.00\ [$€-1]_-;_-* &quot;-&quot;??\ [$€-1]_-"/>
    <numFmt numFmtId="174" formatCode="#,##0.00&quot; F&quot;;\-#,##0.00&quot; F&quot;"/>
    <numFmt numFmtId="175" formatCode="_-* #,##0.00\ [$€-1]_-;\-* #,##0.00\ [$€-1]_-;_-* &quot;-&quot;??\ [$€-1]_-;_-@_-"/>
  </numFmts>
  <fonts count="48">
    <font>
      <sz val="10"/>
      <name val="Comic Sans MS"/>
    </font>
    <font>
      <sz val="10"/>
      <name val="Comic Sans MS"/>
      <family val="4"/>
    </font>
    <font>
      <sz val="10"/>
      <name val="Comic Sans MS"/>
      <family val="4"/>
    </font>
    <font>
      <sz val="12"/>
      <name val="Arial"/>
      <family val="2"/>
    </font>
    <font>
      <sz val="10"/>
      <name val="MS Sans Serif"/>
      <family val="2"/>
    </font>
    <font>
      <b/>
      <i/>
      <sz val="10"/>
      <name val="Times New Roman"/>
      <family val="1"/>
    </font>
    <font>
      <sz val="10"/>
      <name val="Arial"/>
      <family val="2"/>
    </font>
    <font>
      <sz val="10"/>
      <name val="EuroMysoft"/>
    </font>
    <font>
      <b/>
      <sz val="10"/>
      <color indexed="53"/>
      <name val="EuroMysoft"/>
    </font>
    <font>
      <b/>
      <sz val="10"/>
      <color indexed="53"/>
      <name val="Arial"/>
      <family val="2"/>
    </font>
    <font>
      <b/>
      <sz val="11"/>
      <color indexed="53"/>
      <name val="CG Times"/>
      <family val="1"/>
    </font>
    <font>
      <b/>
      <sz val="11"/>
      <color indexed="53"/>
      <name val="CG Times"/>
    </font>
    <font>
      <sz val="10"/>
      <color indexed="42"/>
      <name val="Arial"/>
      <family val="2"/>
    </font>
    <font>
      <sz val="11"/>
      <color indexed="42"/>
      <name val="CG Times"/>
      <family val="1"/>
    </font>
    <font>
      <sz val="11"/>
      <color indexed="42"/>
      <name val="CG Times"/>
    </font>
    <font>
      <sz val="11"/>
      <name val="CG Times"/>
      <family val="1"/>
    </font>
    <font>
      <b/>
      <sz val="10"/>
      <name val="Arial"/>
      <family val="2"/>
    </font>
    <font>
      <b/>
      <sz val="11"/>
      <color indexed="42"/>
      <name val="CG Times"/>
    </font>
    <font>
      <b/>
      <u/>
      <sz val="22"/>
      <name val="Brush Script MT"/>
      <family val="4"/>
    </font>
    <font>
      <b/>
      <sz val="22"/>
      <color indexed="53"/>
      <name val="CG Times"/>
    </font>
    <font>
      <b/>
      <sz val="12"/>
      <name val="Arial"/>
      <family val="2"/>
    </font>
    <font>
      <b/>
      <sz val="10"/>
      <name val="MS Sans Serif"/>
      <family val="2"/>
    </font>
    <font>
      <sz val="14"/>
      <name val="Tw Cen MT Condensed Extra Bold"/>
      <family val="2"/>
    </font>
    <font>
      <sz val="11"/>
      <name val="Times New Roman"/>
      <family val="1"/>
    </font>
    <font>
      <sz val="11"/>
      <name val="Comic Sans MS"/>
      <family val="4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</font>
    <font>
      <sz val="16"/>
      <name val="Brush Script MT"/>
      <family val="4"/>
    </font>
    <font>
      <sz val="20"/>
      <name val="Brush Script MT"/>
      <family val="4"/>
    </font>
    <font>
      <sz val="11"/>
      <color indexed="8"/>
      <name val="Calibri"/>
      <family val="2"/>
    </font>
    <font>
      <b/>
      <sz val="24"/>
      <name val="Arial Narrow"/>
      <family val="2"/>
    </font>
    <font>
      <sz val="14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1"/>
      <name val="Arial Narrow"/>
      <family val="2"/>
    </font>
    <font>
      <i/>
      <sz val="10"/>
      <name val="Arial"/>
      <family val="2"/>
    </font>
    <font>
      <b/>
      <sz val="14"/>
      <name val="Arial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name val="Helv"/>
    </font>
    <font>
      <sz val="10"/>
      <name val="Helv"/>
    </font>
    <font>
      <b/>
      <i/>
      <u/>
      <sz val="10"/>
      <color indexed="10"/>
      <name val="Helv"/>
    </font>
    <font>
      <b/>
      <i/>
      <u/>
      <sz val="1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darkGray">
        <fgColor indexed="15"/>
        <bgColor indexed="1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double">
        <color indexed="64"/>
      </bottom>
      <diagonal/>
    </border>
    <border>
      <left style="double">
        <color indexed="64"/>
      </left>
      <right style="thin">
        <color indexed="60"/>
      </right>
      <top style="thin">
        <color indexed="60"/>
      </top>
      <bottom style="double">
        <color indexed="64"/>
      </bottom>
      <diagonal/>
    </border>
    <border>
      <left style="thin">
        <color indexed="60"/>
      </left>
      <right style="double">
        <color indexed="64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double">
        <color indexed="64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double">
        <color indexed="64"/>
      </right>
      <top style="double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double">
        <color indexed="60"/>
      </top>
      <bottom style="thin">
        <color indexed="60"/>
      </bottom>
      <diagonal/>
    </border>
    <border>
      <left style="double">
        <color indexed="64"/>
      </left>
      <right style="thin">
        <color indexed="60"/>
      </right>
      <top style="double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10"/>
      </left>
      <right style="dashed">
        <color indexed="10"/>
      </right>
      <top style="dashed">
        <color indexed="10"/>
      </top>
      <bottom style="dashed">
        <color indexed="10"/>
      </bottom>
      <diagonal/>
    </border>
    <border>
      <left style="medium">
        <color theme="5" tint="-0.24994659260841701"/>
      </left>
      <right style="dashed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dashed">
        <color theme="5" tint="-0.24994659260841701"/>
      </left>
      <right style="dashed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dashed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 style="dashed">
        <color theme="5" tint="-0.24994659260841701"/>
      </right>
      <top style="medium">
        <color theme="5" tint="-0.24994659260841701"/>
      </top>
      <bottom/>
      <diagonal/>
    </border>
    <border>
      <left style="dashed">
        <color theme="5" tint="-0.24994659260841701"/>
      </left>
      <right style="dashed">
        <color theme="5" tint="-0.24994659260841701"/>
      </right>
      <top style="medium">
        <color theme="5" tint="-0.24994659260841701"/>
      </top>
      <bottom/>
      <diagonal/>
    </border>
    <border>
      <left style="dashed">
        <color theme="5" tint="-0.24994659260841701"/>
      </left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 style="dashed">
        <color theme="5" tint="-0.24994659260841701"/>
      </right>
      <top/>
      <bottom/>
      <diagonal/>
    </border>
    <border>
      <left style="dashed">
        <color theme="5" tint="-0.24994659260841701"/>
      </left>
      <right style="dashed">
        <color theme="5" tint="-0.24994659260841701"/>
      </right>
      <top/>
      <bottom/>
      <diagonal/>
    </border>
    <border>
      <left style="dashed">
        <color theme="5" tint="-0.24994659260841701"/>
      </left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 style="dashed">
        <color theme="5" tint="-0.24994659260841701"/>
      </right>
      <top/>
      <bottom style="medium">
        <color theme="5" tint="-0.24994659260841701"/>
      </bottom>
      <diagonal/>
    </border>
    <border>
      <left style="dashed">
        <color theme="5" tint="-0.24994659260841701"/>
      </left>
      <right style="dashed">
        <color theme="5" tint="-0.24994659260841701"/>
      </right>
      <top/>
      <bottom style="medium">
        <color theme="5" tint="-0.24994659260841701"/>
      </bottom>
      <diagonal/>
    </border>
    <border>
      <left style="dashed">
        <color theme="5" tint="-0.24994659260841701"/>
      </left>
      <right style="medium">
        <color theme="5" tint="-0.24994659260841701"/>
      </right>
      <top/>
      <bottom style="medium">
        <color theme="5" tint="-0.24994659260841701"/>
      </bottom>
      <diagonal/>
    </border>
  </borders>
  <cellStyleXfs count="25">
    <xf numFmtId="0" fontId="0" fillId="0" borderId="0"/>
    <xf numFmtId="167" fontId="4" fillId="0" borderId="0" applyFont="0" applyFill="0" applyBorder="0" applyAlignment="0" applyProtection="0"/>
    <xf numFmtId="168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8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6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3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41" fillId="0" borderId="0"/>
    <xf numFmtId="166" fontId="5" fillId="0" borderId="0">
      <alignment horizontal="right" vertical="center"/>
    </xf>
    <xf numFmtId="167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44" fillId="0" borderId="17">
      <alignment horizontal="center"/>
    </xf>
    <xf numFmtId="174" fontId="45" fillId="6" borderId="36">
      <alignment horizontal="center"/>
      <protection locked="0" hidden="1"/>
    </xf>
    <xf numFmtId="0" fontId="46" fillId="0" borderId="0"/>
  </cellStyleXfs>
  <cellXfs count="144">
    <xf numFmtId="0" fontId="0" fillId="0" borderId="0" xfId="0"/>
    <xf numFmtId="0" fontId="6" fillId="0" borderId="0" xfId="16" applyAlignment="1">
      <alignment vertical="center"/>
    </xf>
    <xf numFmtId="168" fontId="0" fillId="0" borderId="0" xfId="2" applyFont="1" applyAlignment="1">
      <alignment vertical="center"/>
    </xf>
    <xf numFmtId="0" fontId="7" fillId="0" borderId="3" xfId="2" applyNumberFormat="1" applyFont="1" applyBorder="1" applyAlignment="1">
      <alignment vertical="center"/>
    </xf>
    <xf numFmtId="0" fontId="6" fillId="0" borderId="4" xfId="16" applyBorder="1" applyAlignment="1">
      <alignment vertical="center"/>
    </xf>
    <xf numFmtId="0" fontId="9" fillId="0" borderId="5" xfId="10" applyNumberFormat="1" applyFont="1" applyBorder="1" applyAlignment="1">
      <alignment vertical="center"/>
    </xf>
    <xf numFmtId="0" fontId="10" fillId="0" borderId="5" xfId="16" applyNumberFormat="1" applyFont="1" applyBorder="1" applyAlignment="1">
      <alignment horizontal="center" vertical="center"/>
    </xf>
    <xf numFmtId="0" fontId="11" fillId="0" borderId="6" xfId="16" applyFont="1" applyBorder="1" applyAlignment="1">
      <alignment horizontal="left" vertical="center" indent="1"/>
    </xf>
    <xf numFmtId="0" fontId="8" fillId="0" borderId="7" xfId="2" applyNumberFormat="1" applyFont="1" applyBorder="1" applyAlignment="1">
      <alignment vertical="center"/>
    </xf>
    <xf numFmtId="0" fontId="9" fillId="0" borderId="8" xfId="10" applyNumberFormat="1" applyFont="1" applyBorder="1" applyAlignment="1">
      <alignment vertical="center"/>
    </xf>
    <xf numFmtId="0" fontId="10" fillId="0" borderId="8" xfId="16" applyNumberFormat="1" applyFont="1" applyBorder="1" applyAlignment="1">
      <alignment vertical="center"/>
    </xf>
    <xf numFmtId="0" fontId="10" fillId="0" borderId="8" xfId="16" applyNumberFormat="1" applyFont="1" applyBorder="1" applyAlignment="1">
      <alignment horizontal="center" vertical="center"/>
    </xf>
    <xf numFmtId="0" fontId="11" fillId="0" borderId="9" xfId="16" applyFont="1" applyBorder="1" applyAlignment="1">
      <alignment horizontal="left" vertical="center" indent="1"/>
    </xf>
    <xf numFmtId="0" fontId="6" fillId="0" borderId="0" xfId="16" applyAlignment="1">
      <alignment horizontal="center" vertical="center"/>
    </xf>
    <xf numFmtId="0" fontId="12" fillId="4" borderId="7" xfId="16" applyFont="1" applyFill="1" applyBorder="1" applyAlignment="1">
      <alignment horizontal="center" vertical="center"/>
    </xf>
    <xf numFmtId="0" fontId="12" fillId="4" borderId="8" xfId="16" applyFont="1" applyFill="1" applyBorder="1" applyAlignment="1">
      <alignment horizontal="center" vertical="center"/>
    </xf>
    <xf numFmtId="0" fontId="13" fillId="4" borderId="8" xfId="16" applyFont="1" applyFill="1" applyBorder="1" applyAlignment="1">
      <alignment horizontal="center" vertical="center"/>
    </xf>
    <xf numFmtId="0" fontId="14" fillId="4" borderId="8" xfId="16" applyFont="1" applyFill="1" applyBorder="1" applyAlignment="1">
      <alignment horizontal="center" vertical="center"/>
    </xf>
    <xf numFmtId="0" fontId="15" fillId="0" borderId="9" xfId="16" applyFont="1" applyBorder="1" applyAlignment="1">
      <alignment horizontal="center" vertical="center"/>
    </xf>
    <xf numFmtId="0" fontId="16" fillId="0" borderId="0" xfId="16" applyFont="1" applyAlignment="1">
      <alignment horizontal="center" vertical="center"/>
    </xf>
    <xf numFmtId="0" fontId="17" fillId="4" borderId="10" xfId="16" applyFont="1" applyFill="1" applyBorder="1" applyAlignment="1">
      <alignment horizontal="center" vertical="center" wrapText="1"/>
    </xf>
    <xf numFmtId="0" fontId="17" fillId="4" borderId="11" xfId="16" applyFont="1" applyFill="1" applyBorder="1" applyAlignment="1">
      <alignment horizontal="center" vertical="center"/>
    </xf>
    <xf numFmtId="0" fontId="17" fillId="4" borderId="12" xfId="16" applyFont="1" applyFill="1" applyBorder="1" applyAlignment="1">
      <alignment horizontal="center" vertical="center"/>
    </xf>
    <xf numFmtId="0" fontId="18" fillId="0" borderId="0" xfId="16" applyFont="1" applyAlignment="1">
      <alignment vertical="center"/>
    </xf>
    <xf numFmtId="0" fontId="18" fillId="0" borderId="0" xfId="16" applyFont="1" applyAlignment="1">
      <alignment horizontal="left" vertical="center"/>
    </xf>
    <xf numFmtId="0" fontId="18" fillId="0" borderId="0" xfId="16" applyFont="1" applyAlignment="1">
      <alignment horizontal="center" vertical="center"/>
    </xf>
    <xf numFmtId="0" fontId="19" fillId="0" borderId="0" xfId="16" applyNumberFormat="1" applyFont="1" applyAlignment="1">
      <alignment horizontal="left" vertical="center"/>
    </xf>
    <xf numFmtId="0" fontId="4" fillId="0" borderId="0" xfId="15" applyAlignment="1">
      <alignment vertical="center"/>
    </xf>
    <xf numFmtId="0" fontId="4" fillId="0" borderId="0" xfId="15" applyFill="1" applyAlignment="1">
      <alignment vertical="center"/>
    </xf>
    <xf numFmtId="0" fontId="0" fillId="0" borderId="13" xfId="1" applyNumberFormat="1" applyFont="1" applyFill="1" applyBorder="1" applyAlignment="1">
      <alignment vertical="center"/>
    </xf>
    <xf numFmtId="0" fontId="21" fillId="2" borderId="14" xfId="15" applyFont="1" applyFill="1" applyBorder="1" applyAlignment="1">
      <alignment horizontal="left" vertical="center" indent="1"/>
    </xf>
    <xf numFmtId="0" fontId="0" fillId="0" borderId="15" xfId="1" applyNumberFormat="1" applyFont="1" applyBorder="1" applyAlignment="1" applyProtection="1">
      <alignment vertical="center"/>
      <protection locked="0"/>
    </xf>
    <xf numFmtId="0" fontId="0" fillId="0" borderId="2" xfId="1" applyNumberFormat="1" applyFont="1" applyBorder="1" applyAlignment="1" applyProtection="1">
      <alignment vertical="center"/>
      <protection locked="0"/>
    </xf>
    <xf numFmtId="0" fontId="4" fillId="0" borderId="16" xfId="15" applyBorder="1" applyAlignment="1">
      <alignment horizontal="left" vertical="center" indent="1"/>
    </xf>
    <xf numFmtId="0" fontId="0" fillId="0" borderId="17" xfId="1" applyNumberFormat="1" applyFont="1" applyFill="1" applyBorder="1" applyAlignment="1">
      <alignment vertical="center"/>
    </xf>
    <xf numFmtId="0" fontId="21" fillId="2" borderId="18" xfId="15" applyFont="1" applyFill="1" applyBorder="1" applyAlignment="1">
      <alignment horizontal="left" vertical="center" indent="1"/>
    </xf>
    <xf numFmtId="0" fontId="0" fillId="0" borderId="19" xfId="1" applyNumberFormat="1" applyFont="1" applyBorder="1" applyAlignment="1" applyProtection="1">
      <alignment vertical="center"/>
      <protection locked="0"/>
    </xf>
    <xf numFmtId="0" fontId="4" fillId="0" borderId="16" xfId="15" applyFont="1" applyBorder="1" applyAlignment="1">
      <alignment horizontal="left" vertical="center" indent="1"/>
    </xf>
    <xf numFmtId="0" fontId="21" fillId="0" borderId="20" xfId="15" applyFont="1" applyFill="1" applyBorder="1" applyAlignment="1">
      <alignment horizontal="center" vertical="center"/>
    </xf>
    <xf numFmtId="0" fontId="21" fillId="0" borderId="21" xfId="15" applyFont="1" applyFill="1" applyBorder="1" applyAlignment="1">
      <alignment horizontal="left" vertical="center" indent="1"/>
    </xf>
    <xf numFmtId="0" fontId="4" fillId="0" borderId="0" xfId="15" applyAlignment="1">
      <alignment horizontal="centerContinuous" vertical="center"/>
    </xf>
    <xf numFmtId="0" fontId="22" fillId="0" borderId="0" xfId="15" applyFont="1" applyAlignment="1">
      <alignment horizontal="left" vertical="center"/>
    </xf>
    <xf numFmtId="0" fontId="23" fillId="0" borderId="0" xfId="17"/>
    <xf numFmtId="0" fontId="24" fillId="0" borderId="0" xfId="17" applyFont="1"/>
    <xf numFmtId="169" fontId="0" fillId="0" borderId="0" xfId="11" applyNumberFormat="1" applyFont="1" applyFill="1" applyBorder="1" applyAlignment="1">
      <alignment horizontal="left"/>
    </xf>
    <xf numFmtId="0" fontId="25" fillId="0" borderId="0" xfId="17" applyFont="1"/>
    <xf numFmtId="0" fontId="23" fillId="0" borderId="0" xfId="17" applyAlignment="1">
      <alignment horizontal="center" vertical="center"/>
    </xf>
    <xf numFmtId="0" fontId="2" fillId="0" borderId="0" xfId="4" applyNumberFormat="1" applyFont="1" applyFill="1" applyBorder="1" applyAlignment="1">
      <alignment horizontal="center" vertical="center"/>
    </xf>
    <xf numFmtId="0" fontId="25" fillId="3" borderId="0" xfId="17" applyFont="1" applyFill="1" applyBorder="1" applyAlignment="1">
      <alignment horizontal="left" vertical="center" indent="1"/>
    </xf>
    <xf numFmtId="0" fontId="23" fillId="0" borderId="0" xfId="17" applyFill="1" applyBorder="1" applyAlignment="1">
      <alignment horizontal="left" vertical="center" indent="1"/>
    </xf>
    <xf numFmtId="169" fontId="26" fillId="3" borderId="0" xfId="17" applyNumberFormat="1" applyFont="1" applyFill="1" applyBorder="1" applyAlignment="1">
      <alignment horizontal="center" vertical="center"/>
    </xf>
    <xf numFmtId="0" fontId="27" fillId="0" borderId="0" xfId="17" applyFont="1" applyFill="1" applyBorder="1" applyAlignment="1">
      <alignment horizontal="centerContinuous" vertical="center"/>
    </xf>
    <xf numFmtId="0" fontId="5" fillId="0" borderId="0" xfId="17" applyFont="1" applyFill="1" applyBorder="1" applyAlignment="1">
      <alignment horizontal="centerContinuous" vertical="center"/>
    </xf>
    <xf numFmtId="171" fontId="28" fillId="0" borderId="0" xfId="17" applyNumberFormat="1" applyFont="1" applyAlignment="1">
      <alignment horizontal="left"/>
    </xf>
    <xf numFmtId="0" fontId="28" fillId="0" borderId="0" xfId="17" applyFont="1"/>
    <xf numFmtId="0" fontId="29" fillId="0" borderId="0" xfId="17" applyFont="1"/>
    <xf numFmtId="0" fontId="31" fillId="0" borderId="0" xfId="13" applyFont="1" applyAlignment="1">
      <alignment horizontal="centerContinuous"/>
    </xf>
    <xf numFmtId="0" fontId="32" fillId="0" borderId="0" xfId="13" applyFont="1" applyAlignment="1">
      <alignment horizontal="centerContinuous"/>
    </xf>
    <xf numFmtId="0" fontId="33" fillId="0" borderId="0" xfId="13" applyFont="1"/>
    <xf numFmtId="0" fontId="34" fillId="0" borderId="22" xfId="13" applyFont="1" applyFill="1" applyBorder="1" applyAlignment="1">
      <alignment horizontal="center" vertical="center" wrapText="1"/>
    </xf>
    <xf numFmtId="0" fontId="34" fillId="0" borderId="23" xfId="13" applyFont="1" applyFill="1" applyBorder="1" applyAlignment="1">
      <alignment horizontal="center" vertical="center" wrapText="1"/>
    </xf>
    <xf numFmtId="0" fontId="34" fillId="0" borderId="24" xfId="13" applyFont="1" applyFill="1" applyBorder="1" applyAlignment="1">
      <alignment horizontal="center" vertical="center" wrapText="1"/>
    </xf>
    <xf numFmtId="0" fontId="35" fillId="0" borderId="0" xfId="13" applyFont="1" applyAlignment="1">
      <alignment horizontal="center" vertical="center" wrapText="1"/>
    </xf>
    <xf numFmtId="0" fontId="36" fillId="0" borderId="25" xfId="13" applyFont="1" applyFill="1" applyBorder="1" applyAlignment="1">
      <alignment horizontal="left" vertical="center"/>
    </xf>
    <xf numFmtId="172" fontId="34" fillId="0" borderId="26" xfId="5" applyNumberFormat="1" applyFont="1" applyFill="1" applyBorder="1" applyAlignment="1">
      <alignment horizontal="center" vertical="center"/>
    </xf>
    <xf numFmtId="0" fontId="33" fillId="0" borderId="0" xfId="13" applyFont="1" applyAlignment="1">
      <alignment vertical="center"/>
    </xf>
    <xf numFmtId="0" fontId="36" fillId="0" borderId="28" xfId="13" applyFont="1" applyFill="1" applyBorder="1" applyAlignment="1">
      <alignment horizontal="left" vertical="center"/>
    </xf>
    <xf numFmtId="172" fontId="34" fillId="0" borderId="1" xfId="5" applyNumberFormat="1" applyFont="1" applyFill="1" applyBorder="1" applyAlignment="1">
      <alignment horizontal="center" vertical="center"/>
    </xf>
    <xf numFmtId="0" fontId="34" fillId="0" borderId="29" xfId="13" applyFont="1" applyFill="1" applyBorder="1" applyAlignment="1">
      <alignment vertical="center"/>
    </xf>
    <xf numFmtId="172" fontId="36" fillId="0" borderId="30" xfId="5" applyNumberFormat="1" applyFont="1" applyFill="1" applyBorder="1" applyAlignment="1">
      <alignment vertical="center"/>
    </xf>
    <xf numFmtId="2" fontId="33" fillId="0" borderId="0" xfId="13" applyNumberFormat="1" applyFont="1"/>
    <xf numFmtId="0" fontId="33" fillId="0" borderId="0" xfId="13" quotePrefix="1" applyFont="1"/>
    <xf numFmtId="2" fontId="33" fillId="0" borderId="0" xfId="13" quotePrefix="1" applyNumberFormat="1" applyFont="1"/>
    <xf numFmtId="0" fontId="6" fillId="0" borderId="0" xfId="14"/>
    <xf numFmtId="0" fontId="6" fillId="0" borderId="1" xfId="14" applyBorder="1"/>
    <xf numFmtId="0" fontId="16" fillId="0" borderId="1" xfId="14" applyFont="1" applyBorder="1" applyAlignment="1">
      <alignment horizontal="center"/>
    </xf>
    <xf numFmtId="0" fontId="6" fillId="0" borderId="0" xfId="14" applyFill="1"/>
    <xf numFmtId="0" fontId="38" fillId="0" borderId="0" xfId="14" applyFont="1" applyFill="1"/>
    <xf numFmtId="0" fontId="38" fillId="3" borderId="0" xfId="14" applyFont="1" applyFill="1"/>
    <xf numFmtId="0" fontId="41" fillId="0" borderId="0" xfId="18"/>
    <xf numFmtId="44" fontId="41" fillId="3" borderId="1" xfId="12" applyFont="1" applyFill="1" applyBorder="1"/>
    <xf numFmtId="44" fontId="41" fillId="0" borderId="1" xfId="12" applyFont="1" applyBorder="1"/>
    <xf numFmtId="0" fontId="41" fillId="0" borderId="1" xfId="18" applyBorder="1"/>
    <xf numFmtId="0" fontId="39" fillId="0" borderId="1" xfId="18" applyFont="1" applyBorder="1" applyAlignment="1">
      <alignment horizontal="center" vertical="center"/>
    </xf>
    <xf numFmtId="0" fontId="39" fillId="0" borderId="1" xfId="18" applyFont="1" applyBorder="1" applyAlignment="1">
      <alignment horizontal="center" vertical="center" wrapText="1"/>
    </xf>
    <xf numFmtId="0" fontId="41" fillId="0" borderId="0" xfId="18" applyBorder="1" applyAlignment="1">
      <alignment horizontal="center" vertical="center" textRotation="90"/>
    </xf>
    <xf numFmtId="0" fontId="3" fillId="0" borderId="0" xfId="14" applyFont="1"/>
    <xf numFmtId="0" fontId="3" fillId="0" borderId="0" xfId="14" applyFont="1" applyAlignment="1">
      <alignment vertical="center"/>
    </xf>
    <xf numFmtId="0" fontId="3" fillId="3" borderId="31" xfId="14" applyFont="1" applyFill="1" applyBorder="1"/>
    <xf numFmtId="0" fontId="20" fillId="0" borderId="32" xfId="14" applyFont="1" applyBorder="1"/>
    <xf numFmtId="173" fontId="3" fillId="0" borderId="33" xfId="3" applyFont="1" applyBorder="1"/>
    <xf numFmtId="0" fontId="3" fillId="0" borderId="33" xfId="14" applyFont="1" applyBorder="1" applyAlignment="1">
      <alignment horizontal="center"/>
    </xf>
    <xf numFmtId="0" fontId="3" fillId="0" borderId="33" xfId="14" applyFont="1" applyBorder="1"/>
    <xf numFmtId="0" fontId="3" fillId="0" borderId="0" xfId="14" applyFont="1" applyAlignment="1">
      <alignment horizontal="center" vertical="center"/>
    </xf>
    <xf numFmtId="0" fontId="20" fillId="0" borderId="31" xfId="14" applyFont="1" applyBorder="1" applyAlignment="1">
      <alignment horizontal="center" vertical="center"/>
    </xf>
    <xf numFmtId="0" fontId="3" fillId="0" borderId="34" xfId="14" applyFont="1" applyBorder="1"/>
    <xf numFmtId="173" fontId="41" fillId="0" borderId="1" xfId="3" applyFont="1" applyBorder="1"/>
    <xf numFmtId="0" fontId="6" fillId="0" borderId="1" xfId="14" applyBorder="1" applyAlignment="1">
      <alignment horizontal="center"/>
    </xf>
    <xf numFmtId="0" fontId="6" fillId="0" borderId="35" xfId="14" applyBorder="1"/>
    <xf numFmtId="0" fontId="16" fillId="0" borderId="35" xfId="14" applyFont="1" applyBorder="1" applyAlignment="1">
      <alignment horizontal="center"/>
    </xf>
    <xf numFmtId="0" fontId="20" fillId="0" borderId="0" xfId="14" applyFont="1"/>
    <xf numFmtId="0" fontId="6" fillId="3" borderId="0" xfId="14" applyFill="1"/>
    <xf numFmtId="0" fontId="38" fillId="5" borderId="0" xfId="14" applyFont="1" applyFill="1" applyAlignment="1">
      <alignment horizontal="left"/>
    </xf>
    <xf numFmtId="0" fontId="38" fillId="0" borderId="0" xfId="14" applyFont="1" applyFill="1" applyAlignment="1">
      <alignment horizontal="left"/>
    </xf>
    <xf numFmtId="0" fontId="16" fillId="0" borderId="0" xfId="14" applyFont="1"/>
    <xf numFmtId="0" fontId="16" fillId="5" borderId="0" xfId="14" applyFont="1" applyFill="1" applyAlignment="1">
      <alignment horizontal="center"/>
    </xf>
    <xf numFmtId="0" fontId="6" fillId="0" borderId="0" xfId="14" applyBorder="1"/>
    <xf numFmtId="0" fontId="37" fillId="0" borderId="0" xfId="14" applyFont="1"/>
    <xf numFmtId="44" fontId="34" fillId="0" borderId="26" xfId="8" applyFont="1" applyFill="1" applyBorder="1" applyAlignment="1">
      <alignment vertical="center"/>
    </xf>
    <xf numFmtId="44" fontId="34" fillId="0" borderId="1" xfId="8" applyFont="1" applyFill="1" applyBorder="1" applyAlignment="1">
      <alignment vertical="center"/>
    </xf>
    <xf numFmtId="44" fontId="36" fillId="0" borderId="30" xfId="8" applyFont="1" applyFill="1" applyBorder="1" applyAlignment="1">
      <alignment vertical="center"/>
    </xf>
    <xf numFmtId="44" fontId="36" fillId="0" borderId="26" xfId="8" applyFont="1" applyFill="1" applyBorder="1" applyAlignment="1">
      <alignment vertical="center"/>
    </xf>
    <xf numFmtId="44" fontId="36" fillId="0" borderId="1" xfId="8" applyFont="1" applyFill="1" applyBorder="1" applyAlignment="1">
      <alignment vertical="center"/>
    </xf>
    <xf numFmtId="44" fontId="34" fillId="0" borderId="27" xfId="8" applyFont="1" applyFill="1" applyBorder="1" applyAlignment="1">
      <alignment vertical="center"/>
    </xf>
    <xf numFmtId="2" fontId="47" fillId="0" borderId="0" xfId="13" applyNumberFormat="1" applyFont="1"/>
    <xf numFmtId="0" fontId="43" fillId="0" borderId="1" xfId="18" applyFont="1" applyBorder="1" applyAlignment="1">
      <alignment horizontal="center" vertical="center" textRotation="90"/>
    </xf>
    <xf numFmtId="0" fontId="40" fillId="0" borderId="0" xfId="18" applyFont="1" applyAlignment="1">
      <alignment horizontal="center"/>
    </xf>
    <xf numFmtId="0" fontId="42" fillId="0" borderId="1" xfId="18" applyFont="1" applyBorder="1" applyAlignment="1">
      <alignment horizontal="center" vertical="center" textRotation="90"/>
    </xf>
    <xf numFmtId="0" fontId="16" fillId="0" borderId="1" xfId="14" applyFont="1" applyBorder="1" applyAlignment="1">
      <alignment horizontal="center"/>
    </xf>
    <xf numFmtId="0" fontId="38" fillId="0" borderId="0" xfId="14" applyFont="1" applyAlignment="1">
      <alignment horizontal="center"/>
    </xf>
    <xf numFmtId="164" fontId="6" fillId="0" borderId="0" xfId="5" applyFont="1" applyBorder="1"/>
    <xf numFmtId="164" fontId="0" fillId="0" borderId="0" xfId="5" applyFont="1"/>
    <xf numFmtId="164" fontId="6" fillId="0" borderId="0" xfId="14" applyNumberFormat="1" applyBorder="1"/>
    <xf numFmtId="0" fontId="16" fillId="0" borderId="37" xfId="14" applyFont="1" applyBorder="1" applyAlignment="1">
      <alignment horizontal="center" vertical="center"/>
    </xf>
    <xf numFmtId="0" fontId="16" fillId="0" borderId="38" xfId="14" applyFont="1" applyBorder="1" applyAlignment="1">
      <alignment horizontal="center" vertical="center"/>
    </xf>
    <xf numFmtId="0" fontId="16" fillId="0" borderId="39" xfId="14" applyFont="1" applyBorder="1" applyAlignment="1">
      <alignment horizontal="center" vertical="center"/>
    </xf>
    <xf numFmtId="0" fontId="6" fillId="0" borderId="40" xfId="14" applyBorder="1"/>
    <xf numFmtId="0" fontId="6" fillId="0" borderId="41" xfId="14" applyBorder="1"/>
    <xf numFmtId="0" fontId="6" fillId="0" borderId="42" xfId="14" applyBorder="1"/>
    <xf numFmtId="164" fontId="6" fillId="0" borderId="43" xfId="5" applyFont="1" applyBorder="1"/>
    <xf numFmtId="164" fontId="6" fillId="0" borderId="44" xfId="5" applyFont="1" applyBorder="1"/>
    <xf numFmtId="164" fontId="6" fillId="0" borderId="45" xfId="14" applyNumberFormat="1" applyBorder="1"/>
    <xf numFmtId="164" fontId="6" fillId="0" borderId="46" xfId="5" applyFont="1" applyBorder="1"/>
    <xf numFmtId="164" fontId="6" fillId="0" borderId="47" xfId="5" applyFont="1" applyBorder="1"/>
    <xf numFmtId="164" fontId="6" fillId="0" borderId="48" xfId="14" applyNumberFormat="1" applyBorder="1"/>
    <xf numFmtId="164" fontId="6" fillId="0" borderId="49" xfId="5" applyFont="1" applyBorder="1"/>
    <xf numFmtId="164" fontId="6" fillId="0" borderId="50" xfId="5" applyFont="1" applyBorder="1"/>
    <xf numFmtId="164" fontId="6" fillId="0" borderId="51" xfId="14" applyNumberFormat="1" applyBorder="1"/>
    <xf numFmtId="0" fontId="6" fillId="7" borderId="37" xfId="14" applyFill="1" applyBorder="1"/>
    <xf numFmtId="164" fontId="16" fillId="7" borderId="38" xfId="5" applyFont="1" applyFill="1" applyBorder="1"/>
    <xf numFmtId="164" fontId="16" fillId="7" borderId="39" xfId="14" applyNumberFormat="1" applyFont="1" applyFill="1" applyBorder="1"/>
    <xf numFmtId="44" fontId="0" fillId="0" borderId="0" xfId="0" applyNumberFormat="1"/>
    <xf numFmtId="175" fontId="3" fillId="3" borderId="33" xfId="14" applyNumberFormat="1" applyFont="1" applyFill="1" applyBorder="1"/>
    <xf numFmtId="175" fontId="0" fillId="0" borderId="0" xfId="0" applyNumberFormat="1"/>
  </cellXfs>
  <cellStyles count="25">
    <cellStyle name="Euro" xfId="1" xr:uid="{00000000-0005-0000-0000-000000000000}"/>
    <cellStyle name="Euro 2" xfId="2" xr:uid="{00000000-0005-0000-0000-000001000000}"/>
    <cellStyle name="Euro 2 2" xfId="3" xr:uid="{00000000-0005-0000-0000-000002000000}"/>
    <cellStyle name="Euro 3" xfId="4" xr:uid="{00000000-0005-0000-0000-000003000000}"/>
    <cellStyle name="Euro 4" xfId="20" xr:uid="{00000000-0005-0000-0000-000004000000}"/>
    <cellStyle name="Milliers" xfId="5" builtinId="3"/>
    <cellStyle name="Milliers 2" xfId="6" xr:uid="{00000000-0005-0000-0000-000006000000}"/>
    <cellStyle name="Milliers 3" xfId="7" xr:uid="{00000000-0005-0000-0000-000007000000}"/>
    <cellStyle name="Monétaire" xfId="8" builtinId="4"/>
    <cellStyle name="Monétaire [0] 2" xfId="9" xr:uid="{00000000-0005-0000-0000-000009000000}"/>
    <cellStyle name="Monétaire 2" xfId="10" xr:uid="{00000000-0005-0000-0000-00000A000000}"/>
    <cellStyle name="Monétaire 3" xfId="11" xr:uid="{00000000-0005-0000-0000-00000B000000}"/>
    <cellStyle name="Monétaire 4" xfId="12" xr:uid="{00000000-0005-0000-0000-00000C000000}"/>
    <cellStyle name="Normal" xfId="0" builtinId="0"/>
    <cellStyle name="Normal 2" xfId="13" xr:uid="{00000000-0005-0000-0000-00000E000000}"/>
    <cellStyle name="Normal 2 2" xfId="14" xr:uid="{00000000-0005-0000-0000-00000F000000}"/>
    <cellStyle name="Normal 3" xfId="15" xr:uid="{00000000-0005-0000-0000-000010000000}"/>
    <cellStyle name="Normal 4" xfId="16" xr:uid="{00000000-0005-0000-0000-000011000000}"/>
    <cellStyle name="Normal 5" xfId="17" xr:uid="{00000000-0005-0000-0000-000012000000}"/>
    <cellStyle name="Normal 6" xfId="18" xr:uid="{00000000-0005-0000-0000-000013000000}"/>
    <cellStyle name="Pourcentage 2" xfId="21" xr:uid="{00000000-0005-0000-0000-000014000000}"/>
    <cellStyle name="titre1" xfId="22" xr:uid="{00000000-0005-0000-0000-000015000000}"/>
    <cellStyle name="TITRE2" xfId="23" xr:uid="{00000000-0005-0000-0000-000016000000}"/>
    <cellStyle name="titre3" xfId="24" xr:uid="{00000000-0005-0000-0000-000017000000}"/>
    <cellStyle name="Total 2" xfId="19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15</xdr:row>
      <xdr:rowOff>133350</xdr:rowOff>
    </xdr:from>
    <xdr:to>
      <xdr:col>4</xdr:col>
      <xdr:colOff>209550</xdr:colOff>
      <xdr:row>22</xdr:row>
      <xdr:rowOff>171450</xdr:rowOff>
    </xdr:to>
    <xdr:pic>
      <xdr:nvPicPr>
        <xdr:cNvPr id="3074" name="Picture 1" descr="MCj02515910000[1]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4905375"/>
          <a:ext cx="10668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1171576</xdr:colOff>
      <xdr:row>0</xdr:row>
      <xdr:rowOff>9525</xdr:rowOff>
    </xdr:from>
    <xdr:to>
      <xdr:col>6</xdr:col>
      <xdr:colOff>828676</xdr:colOff>
      <xdr:row>4</xdr:row>
      <xdr:rowOff>140420</xdr:rowOff>
    </xdr:to>
    <xdr:pic>
      <xdr:nvPicPr>
        <xdr:cNvPr id="3" name="Image 2" descr="C:\Program Files (x86)\Microsoft Office2010\MEDIA\CAGCAT10\j0149481.wmf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6" y="9525"/>
          <a:ext cx="933450" cy="950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987136</xdr:colOff>
      <xdr:row>11</xdr:row>
      <xdr:rowOff>17317</xdr:rowOff>
    </xdr:from>
    <xdr:to>
      <xdr:col>4</xdr:col>
      <xdr:colOff>265834</xdr:colOff>
      <xdr:row>20</xdr:row>
      <xdr:rowOff>115165</xdr:rowOff>
    </xdr:to>
    <xdr:pic>
      <xdr:nvPicPr>
        <xdr:cNvPr id="3" name="Image 2" descr="C:\Program Files (x86)\Microsoft Office2010\MEDIA\CAGCAT10\j0183328.wmf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818" y="2641022"/>
          <a:ext cx="1807152" cy="1812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68130</xdr:colOff>
      <xdr:row>2</xdr:row>
      <xdr:rowOff>102685</xdr:rowOff>
    </xdr:from>
    <xdr:ext cx="3454665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68130" y="493210"/>
          <a:ext cx="345466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5400" b="1" kern="10" cap="all" spc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gradFill>
                <a:gsLst>
                  <a:gs pos="0">
                    <a:schemeClr val="accent4">
                      <a:shade val="20000"/>
                      <a:satMod val="245000"/>
                    </a:schemeClr>
                  </a:gs>
                  <a:gs pos="43000">
                    <a:schemeClr val="accent4">
                      <a:satMod val="255000"/>
                    </a:schemeClr>
                  </a:gs>
                  <a:gs pos="48000">
                    <a:schemeClr val="accent4">
                      <a:shade val="85000"/>
                      <a:satMod val="255000"/>
                    </a:schemeClr>
                  </a:gs>
                  <a:gs pos="100000">
                    <a:schemeClr val="accent4">
                      <a:shade val="20000"/>
                      <a:satMod val="245000"/>
                    </a:schemeClr>
                  </a:gs>
                </a:gsLst>
                <a:lin ang="5400000"/>
              </a:gradFill>
              <a:effectLst>
                <a:reflection blurRad="12700" stA="28000" endPos="45000" dist="1000" dir="5400000" sy="-100000" algn="bl" rotWithShape="0"/>
              </a:effectLst>
              <a:latin typeface="Glowworm"/>
            </a:rPr>
            <a:t>Facture</a:t>
          </a:r>
          <a:endParaRPr lang="fr-FR" sz="5400" b="1" cap="all" spc="0">
            <a:ln w="9000" cmpd="sng">
              <a:solidFill>
                <a:schemeClr val="accent4">
                  <a:shade val="50000"/>
                  <a:satMod val="120000"/>
                </a:schemeClr>
              </a:solidFill>
              <a:prstDash val="solid"/>
            </a:ln>
            <a:gradFill>
              <a:gsLst>
                <a:gs pos="0">
                  <a:schemeClr val="accent4">
                    <a:shade val="20000"/>
                    <a:satMod val="245000"/>
                  </a:schemeClr>
                </a:gs>
                <a:gs pos="43000">
                  <a:schemeClr val="accent4">
                    <a:satMod val="255000"/>
                  </a:schemeClr>
                </a:gs>
                <a:gs pos="48000">
                  <a:schemeClr val="accent4">
                    <a:shade val="85000"/>
                    <a:satMod val="255000"/>
                  </a:schemeClr>
                </a:gs>
                <a:gs pos="100000">
                  <a:schemeClr val="accent4">
                    <a:shade val="20000"/>
                    <a:satMod val="245000"/>
                  </a:schemeClr>
                </a:gs>
              </a:gsLst>
              <a:lin ang="5400000"/>
            </a:gradFill>
            <a:effectLst>
              <a:reflection blurRad="12700" stA="28000" endPos="45000" dist="1000" dir="5400000" sy="-100000" algn="bl" rotWithShape="0"/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PPORTS\TABLEUR\EXO\BUD-F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-FAM"/>
    </sheetNames>
    <sheetDataSet>
      <sheetData sheetId="0">
        <row r="4">
          <cell r="H4" t="str">
            <v>Juillet</v>
          </cell>
          <cell r="I4" t="str">
            <v>Août</v>
          </cell>
          <cell r="J4" t="str">
            <v>Septembre</v>
          </cell>
          <cell r="K4" t="str">
            <v>Octobre</v>
          </cell>
          <cell r="L4" t="str">
            <v>Novembre</v>
          </cell>
          <cell r="M4" t="str">
            <v>Décembre</v>
          </cell>
          <cell r="N4" t="str">
            <v>Total Annuel</v>
          </cell>
          <cell r="O4" t="str">
            <v>Moyenne Annuelle</v>
          </cell>
        </row>
        <row r="5">
          <cell r="H5">
            <v>2672</v>
          </cell>
          <cell r="I5">
            <v>3274</v>
          </cell>
          <cell r="J5">
            <v>1800</v>
          </cell>
          <cell r="K5">
            <v>2282</v>
          </cell>
          <cell r="L5">
            <v>2840</v>
          </cell>
          <cell r="M5">
            <v>3180</v>
          </cell>
          <cell r="N5">
            <v>33664</v>
          </cell>
          <cell r="O5">
            <v>2805.3333333333335</v>
          </cell>
        </row>
        <row r="6">
          <cell r="H6">
            <v>1668</v>
          </cell>
          <cell r="I6">
            <v>1668</v>
          </cell>
          <cell r="J6">
            <v>1668</v>
          </cell>
          <cell r="K6">
            <v>1668</v>
          </cell>
          <cell r="L6">
            <v>1668</v>
          </cell>
          <cell r="M6">
            <v>1668</v>
          </cell>
          <cell r="N6">
            <v>20016</v>
          </cell>
          <cell r="O6">
            <v>1668</v>
          </cell>
        </row>
        <row r="7">
          <cell r="H7">
            <v>950</v>
          </cell>
          <cell r="I7">
            <v>950</v>
          </cell>
          <cell r="J7">
            <v>950</v>
          </cell>
          <cell r="K7">
            <v>950</v>
          </cell>
          <cell r="L7">
            <v>950</v>
          </cell>
          <cell r="M7">
            <v>950</v>
          </cell>
          <cell r="N7">
            <v>11400</v>
          </cell>
          <cell r="O7">
            <v>950</v>
          </cell>
        </row>
        <row r="8">
          <cell r="H8">
            <v>1000</v>
          </cell>
          <cell r="I8">
            <v>1000</v>
          </cell>
          <cell r="J8">
            <v>1000</v>
          </cell>
          <cell r="K8">
            <v>1000</v>
          </cell>
          <cell r="L8">
            <v>1000</v>
          </cell>
          <cell r="M8">
            <v>1000</v>
          </cell>
          <cell r="N8">
            <v>12000</v>
          </cell>
          <cell r="O8">
            <v>1000</v>
          </cell>
        </row>
        <row r="9">
          <cell r="H9">
            <v>5000</v>
          </cell>
          <cell r="I9">
            <v>5000</v>
          </cell>
          <cell r="J9">
            <v>5000</v>
          </cell>
          <cell r="K9">
            <v>5000</v>
          </cell>
          <cell r="L9">
            <v>5000</v>
          </cell>
          <cell r="M9">
            <v>5000</v>
          </cell>
          <cell r="N9">
            <v>60000</v>
          </cell>
          <cell r="O9">
            <v>5000</v>
          </cell>
        </row>
        <row r="10">
          <cell r="H10">
            <v>7200</v>
          </cell>
          <cell r="I10">
            <v>7200</v>
          </cell>
          <cell r="J10">
            <v>7200</v>
          </cell>
          <cell r="K10">
            <v>7200</v>
          </cell>
          <cell r="L10">
            <v>7200</v>
          </cell>
          <cell r="M10">
            <v>7200</v>
          </cell>
          <cell r="N10">
            <v>86400</v>
          </cell>
          <cell r="O10">
            <v>7200</v>
          </cell>
        </row>
        <row r="11">
          <cell r="H11">
            <v>1500</v>
          </cell>
          <cell r="I11">
            <v>1500</v>
          </cell>
          <cell r="J11">
            <v>1500</v>
          </cell>
          <cell r="K11">
            <v>1500</v>
          </cell>
          <cell r="L11">
            <v>1500</v>
          </cell>
          <cell r="M11">
            <v>1500</v>
          </cell>
          <cell r="N11">
            <v>18000</v>
          </cell>
          <cell r="O11">
            <v>1500</v>
          </cell>
        </row>
        <row r="12">
          <cell r="B12">
            <v>20045</v>
          </cell>
          <cell r="C12">
            <v>20330</v>
          </cell>
          <cell r="D12">
            <v>19585</v>
          </cell>
          <cell r="E12">
            <v>20601</v>
          </cell>
          <cell r="F12">
            <v>20138</v>
          </cell>
          <cell r="G12">
            <v>20825</v>
          </cell>
          <cell r="H12">
            <v>19990</v>
          </cell>
          <cell r="I12">
            <v>20592</v>
          </cell>
          <cell r="J12">
            <v>19118</v>
          </cell>
          <cell r="K12">
            <v>19600</v>
          </cell>
          <cell r="L12">
            <v>20158</v>
          </cell>
          <cell r="M12">
            <v>20498</v>
          </cell>
          <cell r="N12">
            <v>241480</v>
          </cell>
          <cell r="O12">
            <v>20123.333333333332</v>
          </cell>
        </row>
        <row r="15">
          <cell r="H15">
            <v>15000</v>
          </cell>
          <cell r="I15">
            <v>15000</v>
          </cell>
          <cell r="J15">
            <v>12500</v>
          </cell>
          <cell r="K15">
            <v>12500</v>
          </cell>
          <cell r="L15">
            <v>12500</v>
          </cell>
          <cell r="M15">
            <v>22500</v>
          </cell>
          <cell r="N15">
            <v>165000</v>
          </cell>
          <cell r="O15">
            <v>13750</v>
          </cell>
        </row>
        <row r="16">
          <cell r="H16">
            <v>10908</v>
          </cell>
          <cell r="I16">
            <v>10908</v>
          </cell>
          <cell r="J16">
            <v>10908</v>
          </cell>
          <cell r="K16">
            <v>10908</v>
          </cell>
          <cell r="L16">
            <v>10908</v>
          </cell>
          <cell r="M16">
            <v>21816</v>
          </cell>
          <cell r="N16">
            <v>141480</v>
          </cell>
          <cell r="O16">
            <v>11790</v>
          </cell>
        </row>
        <row r="17">
          <cell r="H17">
            <v>25908</v>
          </cell>
          <cell r="I17">
            <v>25908</v>
          </cell>
          <cell r="J17">
            <v>23408</v>
          </cell>
          <cell r="K17">
            <v>23408</v>
          </cell>
          <cell r="L17">
            <v>23408</v>
          </cell>
          <cell r="M17">
            <v>44316</v>
          </cell>
          <cell r="N17">
            <v>306480</v>
          </cell>
          <cell r="O17">
            <v>25540</v>
          </cell>
        </row>
        <row r="19">
          <cell r="H19">
            <v>5918</v>
          </cell>
          <cell r="I19">
            <v>5316</v>
          </cell>
          <cell r="J19">
            <v>4290</v>
          </cell>
          <cell r="K19">
            <v>3808</v>
          </cell>
          <cell r="L19">
            <v>3250</v>
          </cell>
          <cell r="M19">
            <v>23818</v>
          </cell>
          <cell r="N19">
            <v>65000</v>
          </cell>
          <cell r="O19">
            <v>5416.666666666667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D32"/>
  <sheetViews>
    <sheetView zoomScale="130" zoomScaleNormal="130" workbookViewId="0">
      <selection activeCell="F18" sqref="F18"/>
    </sheetView>
  </sheetViews>
  <sheetFormatPr baseColWidth="10" defaultRowHeight="12.75"/>
  <cols>
    <col min="1" max="1" width="14.25" style="73" customWidth="1"/>
    <col min="2" max="4" width="13.75" style="73" customWidth="1"/>
    <col min="5" max="16384" width="11" style="73"/>
  </cols>
  <sheetData>
    <row r="1" spans="1:4" ht="18">
      <c r="A1" s="78" t="s">
        <v>71</v>
      </c>
      <c r="B1" s="78"/>
      <c r="C1" s="78"/>
      <c r="D1" s="78"/>
    </row>
    <row r="2" spans="1:4" s="76" customFormat="1" ht="18">
      <c r="A2" s="77"/>
      <c r="B2" s="77"/>
      <c r="C2" s="77"/>
      <c r="D2" s="77"/>
    </row>
    <row r="3" spans="1:4" s="76" customFormat="1" ht="18">
      <c r="A3" s="77"/>
      <c r="B3" s="77"/>
      <c r="C3" s="77"/>
      <c r="D3" s="77"/>
    </row>
    <row r="4" spans="1:4" ht="13.5" thickBot="1"/>
    <row r="5" spans="1:4" ht="22.5" customHeight="1" thickBot="1">
      <c r="A5" s="106"/>
      <c r="B5" s="123" t="s">
        <v>70</v>
      </c>
      <c r="C5" s="124" t="s">
        <v>69</v>
      </c>
      <c r="D5" s="125" t="s">
        <v>68</v>
      </c>
    </row>
    <row r="6" spans="1:4" ht="19.5" customHeight="1">
      <c r="A6" s="126" t="s">
        <v>67</v>
      </c>
      <c r="B6" s="129">
        <v>9500</v>
      </c>
      <c r="C6" s="130">
        <v>8500</v>
      </c>
      <c r="D6" s="131">
        <f>(B6-C6)</f>
        <v>1000</v>
      </c>
    </row>
    <row r="7" spans="1:4" ht="19.5" customHeight="1">
      <c r="A7" s="127" t="s">
        <v>66</v>
      </c>
      <c r="B7" s="132">
        <v>9500</v>
      </c>
      <c r="C7" s="133">
        <v>7400</v>
      </c>
      <c r="D7" s="134">
        <f t="shared" ref="D7:D20" si="0">(B7-C7)</f>
        <v>2100</v>
      </c>
    </row>
    <row r="8" spans="1:4" ht="19.5" customHeight="1">
      <c r="A8" s="127" t="s">
        <v>65</v>
      </c>
      <c r="B8" s="132">
        <v>9500</v>
      </c>
      <c r="C8" s="133">
        <v>8400</v>
      </c>
      <c r="D8" s="134">
        <f t="shared" si="0"/>
        <v>1100</v>
      </c>
    </row>
    <row r="9" spans="1:4" ht="19.5" customHeight="1">
      <c r="A9" s="127" t="s">
        <v>64</v>
      </c>
      <c r="B9" s="132">
        <v>9500</v>
      </c>
      <c r="C9" s="133">
        <v>9500</v>
      </c>
      <c r="D9" s="134">
        <f t="shared" si="0"/>
        <v>0</v>
      </c>
    </row>
    <row r="10" spans="1:4" ht="19.5" customHeight="1">
      <c r="A10" s="127" t="s">
        <v>63</v>
      </c>
      <c r="B10" s="132">
        <v>9500</v>
      </c>
      <c r="C10" s="133">
        <v>9200</v>
      </c>
      <c r="D10" s="134">
        <f t="shared" si="0"/>
        <v>300</v>
      </c>
    </row>
    <row r="11" spans="1:4" ht="19.5" customHeight="1">
      <c r="A11" s="127" t="s">
        <v>62</v>
      </c>
      <c r="B11" s="132">
        <v>9500</v>
      </c>
      <c r="C11" s="133">
        <v>6200</v>
      </c>
      <c r="D11" s="134">
        <f t="shared" si="0"/>
        <v>3300</v>
      </c>
    </row>
    <row r="12" spans="1:4" ht="19.5" customHeight="1">
      <c r="A12" s="127" t="s">
        <v>61</v>
      </c>
      <c r="B12" s="132">
        <v>9500</v>
      </c>
      <c r="C12" s="133">
        <v>8500</v>
      </c>
      <c r="D12" s="134">
        <f t="shared" si="0"/>
        <v>1000</v>
      </c>
    </row>
    <row r="13" spans="1:4" ht="19.5" customHeight="1">
      <c r="A13" s="127" t="s">
        <v>60</v>
      </c>
      <c r="B13" s="132">
        <v>9500</v>
      </c>
      <c r="C13" s="133">
        <v>7850</v>
      </c>
      <c r="D13" s="134">
        <f t="shared" si="0"/>
        <v>1650</v>
      </c>
    </row>
    <row r="14" spans="1:4" ht="19.5" customHeight="1">
      <c r="A14" s="127" t="s">
        <v>59</v>
      </c>
      <c r="B14" s="132">
        <v>9500</v>
      </c>
      <c r="C14" s="133">
        <v>6580</v>
      </c>
      <c r="D14" s="134">
        <f t="shared" si="0"/>
        <v>2920</v>
      </c>
    </row>
    <row r="15" spans="1:4" ht="19.5" customHeight="1">
      <c r="A15" s="127" t="s">
        <v>58</v>
      </c>
      <c r="B15" s="132">
        <v>9500</v>
      </c>
      <c r="C15" s="133">
        <v>6985</v>
      </c>
      <c r="D15" s="134">
        <f t="shared" si="0"/>
        <v>2515</v>
      </c>
    </row>
    <row r="16" spans="1:4" ht="19.5" customHeight="1">
      <c r="A16" s="127" t="s">
        <v>57</v>
      </c>
      <c r="B16" s="132">
        <v>9500</v>
      </c>
      <c r="C16" s="133">
        <v>9855</v>
      </c>
      <c r="D16" s="134">
        <f t="shared" si="0"/>
        <v>-355</v>
      </c>
    </row>
    <row r="17" spans="1:4" ht="19.5" customHeight="1" thickBot="1">
      <c r="A17" s="128" t="s">
        <v>56</v>
      </c>
      <c r="B17" s="135">
        <v>9500</v>
      </c>
      <c r="C17" s="136">
        <v>10000</v>
      </c>
      <c r="D17" s="137">
        <f t="shared" si="0"/>
        <v>-500</v>
      </c>
    </row>
    <row r="18" spans="1:4" ht="15">
      <c r="A18" s="106"/>
      <c r="B18" s="121"/>
      <c r="C18" s="121"/>
      <c r="D18" s="122">
        <f t="shared" si="0"/>
        <v>0</v>
      </c>
    </row>
    <row r="19" spans="1:4" ht="13.5" thickBot="1">
      <c r="A19" s="106"/>
      <c r="B19" s="120"/>
      <c r="C19" s="120"/>
      <c r="D19" s="122">
        <f t="shared" si="0"/>
        <v>0</v>
      </c>
    </row>
    <row r="20" spans="1:4" ht="13.5" thickBot="1">
      <c r="A20" s="138" t="s">
        <v>0</v>
      </c>
      <c r="B20" s="139">
        <f>SUM(B6:B19)</f>
        <v>114000</v>
      </c>
      <c r="C20" s="139">
        <f>SUM(C6:C19)</f>
        <v>98970</v>
      </c>
      <c r="D20" s="140">
        <f t="shared" si="0"/>
        <v>15030</v>
      </c>
    </row>
    <row r="23" spans="1:4">
      <c r="A23" s="104" t="s">
        <v>131</v>
      </c>
    </row>
    <row r="24" spans="1:4">
      <c r="A24" s="107" t="s">
        <v>132</v>
      </c>
    </row>
    <row r="25" spans="1:4">
      <c r="A25" s="107" t="s">
        <v>133</v>
      </c>
    </row>
    <row r="26" spans="1:4">
      <c r="A26" s="107" t="s">
        <v>134</v>
      </c>
    </row>
    <row r="27" spans="1:4">
      <c r="A27" s="107" t="s">
        <v>135</v>
      </c>
    </row>
    <row r="28" spans="1:4">
      <c r="A28" s="107" t="s">
        <v>136</v>
      </c>
    </row>
    <row r="29" spans="1:4">
      <c r="A29" s="107" t="s">
        <v>137</v>
      </c>
    </row>
    <row r="30" spans="1:4">
      <c r="A30" s="107" t="s">
        <v>138</v>
      </c>
    </row>
    <row r="31" spans="1:4">
      <c r="B31" s="73" t="s">
        <v>139</v>
      </c>
    </row>
    <row r="32" spans="1:4">
      <c r="B32" s="73" t="s">
        <v>140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1" orientation="landscape" horizontalDpi="300" verticalDpi="300" r:id="rId1"/>
  <headerFooter alignWithMargins="0">
    <oddHeader>&amp;Lvalérie&amp;R&amp;"Arial,Gras italique"&amp;22&amp;D &amp;T</oddHeader>
    <oddFooter>&amp;R&amp;"Arial,Italique"&amp;12Exercice n°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workbookViewId="0">
      <selection activeCell="G18" sqref="G18"/>
    </sheetView>
  </sheetViews>
  <sheetFormatPr baseColWidth="10" defaultRowHeight="15"/>
  <cols>
    <col min="1" max="2" width="11" style="79"/>
    <col min="3" max="3" width="20.5" style="79" customWidth="1"/>
    <col min="4" max="4" width="13.875" style="79" customWidth="1"/>
    <col min="5" max="5" width="17.25" style="79" customWidth="1"/>
    <col min="6" max="7" width="13.875" style="79" customWidth="1"/>
    <col min="8" max="16384" width="11" style="79"/>
  </cols>
  <sheetData>
    <row r="1" spans="1:7" ht="18.75">
      <c r="A1" s="116" t="s">
        <v>128</v>
      </c>
      <c r="B1" s="116"/>
      <c r="C1" s="116"/>
      <c r="D1" s="116"/>
      <c r="E1" s="116"/>
      <c r="F1" s="116"/>
      <c r="G1" s="116"/>
    </row>
    <row r="3" spans="1:7" ht="46.5" customHeight="1">
      <c r="A3" s="115" t="s">
        <v>88</v>
      </c>
      <c r="B3" s="85"/>
      <c r="C3" s="83" t="s">
        <v>87</v>
      </c>
      <c r="D3" s="84" t="s">
        <v>86</v>
      </c>
      <c r="E3" s="83" t="s">
        <v>85</v>
      </c>
      <c r="F3" s="83" t="s">
        <v>84</v>
      </c>
      <c r="G3" s="83" t="s">
        <v>83</v>
      </c>
    </row>
    <row r="4" spans="1:7" ht="31.5" customHeight="1">
      <c r="A4" s="115"/>
      <c r="B4" s="117" t="s">
        <v>82</v>
      </c>
      <c r="C4" s="82" t="s">
        <v>81</v>
      </c>
      <c r="D4" s="81">
        <v>2.85</v>
      </c>
      <c r="E4" s="80">
        <f>D4*85%</f>
        <v>2.4224999999999999</v>
      </c>
      <c r="F4" s="141">
        <f>D4*75%</f>
        <v>2.1375000000000002</v>
      </c>
      <c r="G4" s="80">
        <f>D4*94%</f>
        <v>2.6789999999999998</v>
      </c>
    </row>
    <row r="5" spans="1:7" ht="31.5" customHeight="1">
      <c r="A5" s="115"/>
      <c r="B5" s="117"/>
      <c r="C5" s="82" t="s">
        <v>80</v>
      </c>
      <c r="D5" s="81">
        <v>3.28</v>
      </c>
      <c r="E5" s="80">
        <f t="shared" ref="E5:E10" si="0">D5*85%</f>
        <v>2.7879999999999998</v>
      </c>
      <c r="F5" s="141">
        <f t="shared" ref="F5:F10" si="1">D5*75%</f>
        <v>2.46</v>
      </c>
      <c r="G5" s="80">
        <f t="shared" ref="G5:G10" si="2">D5*94%</f>
        <v>3.0831999999999997</v>
      </c>
    </row>
    <row r="6" spans="1:7" ht="31.5" customHeight="1">
      <c r="A6" s="115"/>
      <c r="B6" s="117"/>
      <c r="C6" s="82" t="s">
        <v>79</v>
      </c>
      <c r="D6" s="81">
        <v>4.2699999999999996</v>
      </c>
      <c r="E6" s="80">
        <f t="shared" si="0"/>
        <v>3.6294999999999997</v>
      </c>
      <c r="F6" s="141">
        <f t="shared" si="1"/>
        <v>3.2024999999999997</v>
      </c>
      <c r="G6" s="80">
        <f t="shared" si="2"/>
        <v>4.0137999999999998</v>
      </c>
    </row>
    <row r="7" spans="1:7" ht="31.5" customHeight="1">
      <c r="A7" s="115"/>
      <c r="B7" s="117" t="s">
        <v>78</v>
      </c>
      <c r="C7" s="82" t="s">
        <v>77</v>
      </c>
      <c r="D7" s="81">
        <v>6.57</v>
      </c>
      <c r="E7" s="80">
        <f t="shared" si="0"/>
        <v>5.5845000000000002</v>
      </c>
      <c r="F7" s="141">
        <f t="shared" si="1"/>
        <v>4.9275000000000002</v>
      </c>
      <c r="G7" s="80">
        <f t="shared" si="2"/>
        <v>6.1757999999999997</v>
      </c>
    </row>
    <row r="8" spans="1:7" ht="31.5" customHeight="1">
      <c r="A8" s="115"/>
      <c r="B8" s="117"/>
      <c r="C8" s="82" t="s">
        <v>76</v>
      </c>
      <c r="D8" s="81">
        <v>3.58</v>
      </c>
      <c r="E8" s="80">
        <f t="shared" si="0"/>
        <v>3.0430000000000001</v>
      </c>
      <c r="F8" s="141">
        <f t="shared" si="1"/>
        <v>2.6850000000000001</v>
      </c>
      <c r="G8" s="80">
        <f t="shared" si="2"/>
        <v>3.3651999999999997</v>
      </c>
    </row>
    <row r="9" spans="1:7" ht="31.5" customHeight="1">
      <c r="A9" s="115"/>
      <c r="B9" s="117"/>
      <c r="C9" s="82" t="s">
        <v>75</v>
      </c>
      <c r="D9" s="81">
        <v>4.99</v>
      </c>
      <c r="E9" s="80">
        <f t="shared" si="0"/>
        <v>4.2415000000000003</v>
      </c>
      <c r="F9" s="141">
        <f t="shared" si="1"/>
        <v>3.7425000000000002</v>
      </c>
      <c r="G9" s="80">
        <f t="shared" si="2"/>
        <v>4.6905999999999999</v>
      </c>
    </row>
    <row r="10" spans="1:7" ht="31.5" customHeight="1">
      <c r="A10" s="115"/>
      <c r="B10" s="117"/>
      <c r="C10" s="82" t="s">
        <v>74</v>
      </c>
      <c r="D10" s="81">
        <v>4.29</v>
      </c>
      <c r="E10" s="80">
        <f t="shared" si="0"/>
        <v>3.6465000000000001</v>
      </c>
      <c r="F10" s="141">
        <f t="shared" si="1"/>
        <v>3.2175000000000002</v>
      </c>
      <c r="G10" s="80">
        <f t="shared" si="2"/>
        <v>4.0325999999999995</v>
      </c>
    </row>
    <row r="14" spans="1:7">
      <c r="A14" s="79" t="s">
        <v>73</v>
      </c>
    </row>
    <row r="15" spans="1:7">
      <c r="A15" s="79" t="s">
        <v>72</v>
      </c>
    </row>
  </sheetData>
  <mergeCells count="4">
    <mergeCell ref="A3:A10"/>
    <mergeCell ref="A1:G1"/>
    <mergeCell ref="B4:B6"/>
    <mergeCell ref="B7:B10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79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3"/>
  <sheetViews>
    <sheetView workbookViewId="0">
      <selection activeCell="H19" sqref="H19"/>
    </sheetView>
  </sheetViews>
  <sheetFormatPr baseColWidth="10" defaultRowHeight="12.75"/>
  <cols>
    <col min="1" max="1" width="11" style="73"/>
    <col min="2" max="2" width="10.5" style="73" bestFit="1" customWidth="1"/>
    <col min="3" max="3" width="11" style="73"/>
    <col min="4" max="4" width="10.5" style="73" bestFit="1" customWidth="1"/>
    <col min="5" max="5" width="11" style="73"/>
    <col min="6" max="6" width="16.75" style="73" customWidth="1"/>
    <col min="7" max="7" width="11.375" style="73" bestFit="1" customWidth="1"/>
    <col min="8" max="8" width="12.75" style="73" bestFit="1" customWidth="1"/>
    <col min="9" max="16384" width="11" style="73"/>
  </cols>
  <sheetData>
    <row r="1" spans="1:8" ht="18">
      <c r="A1" s="78" t="s">
        <v>109</v>
      </c>
      <c r="B1" s="101"/>
      <c r="C1" s="101"/>
      <c r="D1" s="101"/>
    </row>
    <row r="3" spans="1:8" ht="18">
      <c r="C3" s="77"/>
      <c r="D3" s="77"/>
      <c r="E3" s="76"/>
    </row>
    <row r="4" spans="1:8" ht="15.75">
      <c r="A4" s="100" t="s">
        <v>129</v>
      </c>
    </row>
    <row r="8" spans="1:8">
      <c r="B8" s="118" t="s">
        <v>108</v>
      </c>
      <c r="C8" s="118"/>
      <c r="D8" s="118" t="s">
        <v>107</v>
      </c>
      <c r="E8" s="118"/>
      <c r="F8" s="75" t="s">
        <v>0</v>
      </c>
      <c r="G8" s="75" t="s">
        <v>106</v>
      </c>
      <c r="H8" s="75" t="s">
        <v>105</v>
      </c>
    </row>
    <row r="9" spans="1:8">
      <c r="B9" s="99" t="s">
        <v>103</v>
      </c>
      <c r="C9" s="99" t="s">
        <v>104</v>
      </c>
      <c r="D9" s="99" t="s">
        <v>103</v>
      </c>
      <c r="E9" s="99" t="s">
        <v>102</v>
      </c>
      <c r="F9" s="98"/>
      <c r="G9" s="98"/>
      <c r="H9" s="98"/>
    </row>
    <row r="10" spans="1:8" ht="15">
      <c r="A10" s="74" t="s">
        <v>101</v>
      </c>
      <c r="B10" s="96">
        <v>1500</v>
      </c>
      <c r="C10" s="97">
        <v>30</v>
      </c>
      <c r="D10" s="96">
        <v>1600</v>
      </c>
      <c r="E10" s="97">
        <v>20</v>
      </c>
      <c r="F10" s="96">
        <f>(B10*30)+(D10*E10)</f>
        <v>77000</v>
      </c>
      <c r="G10" s="96">
        <v>15000</v>
      </c>
      <c r="H10" s="96">
        <f>SUM(F10+G10)</f>
        <v>92000</v>
      </c>
    </row>
    <row r="11" spans="1:8" ht="15">
      <c r="A11" s="74" t="s">
        <v>100</v>
      </c>
      <c r="B11" s="96">
        <v>1200</v>
      </c>
      <c r="C11" s="97">
        <v>60</v>
      </c>
      <c r="D11" s="96">
        <v>1500</v>
      </c>
      <c r="E11" s="97">
        <v>30</v>
      </c>
      <c r="F11" s="96">
        <f t="shared" ref="F11:F13" si="0">(B11*30)+(D11*E11)</f>
        <v>81000</v>
      </c>
      <c r="G11" s="96">
        <v>40000</v>
      </c>
      <c r="H11" s="96">
        <f t="shared" ref="H11:H13" si="1">SUM(F11+G11)</f>
        <v>121000</v>
      </c>
    </row>
    <row r="12" spans="1:8" ht="15">
      <c r="A12" s="74" t="s">
        <v>99</v>
      </c>
      <c r="B12" s="96">
        <v>2100</v>
      </c>
      <c r="C12" s="97">
        <v>50</v>
      </c>
      <c r="D12" s="96">
        <v>2200</v>
      </c>
      <c r="E12" s="97">
        <v>35</v>
      </c>
      <c r="F12" s="96">
        <f t="shared" si="0"/>
        <v>140000</v>
      </c>
      <c r="G12" s="96">
        <v>12000</v>
      </c>
      <c r="H12" s="96">
        <f t="shared" si="1"/>
        <v>152000</v>
      </c>
    </row>
    <row r="13" spans="1:8" ht="15">
      <c r="A13" s="74" t="s">
        <v>98</v>
      </c>
      <c r="B13" s="96">
        <v>1800</v>
      </c>
      <c r="C13" s="97">
        <v>40</v>
      </c>
      <c r="D13" s="96">
        <v>1600</v>
      </c>
      <c r="E13" s="97">
        <v>25</v>
      </c>
      <c r="F13" s="96">
        <f t="shared" si="0"/>
        <v>94000</v>
      </c>
      <c r="G13" s="96">
        <v>35000</v>
      </c>
      <c r="H13" s="96">
        <f t="shared" si="1"/>
        <v>129000</v>
      </c>
    </row>
  </sheetData>
  <mergeCells count="2">
    <mergeCell ref="B8:C8"/>
    <mergeCell ref="D8:E8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1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H40"/>
  <sheetViews>
    <sheetView workbookViewId="0">
      <selection activeCell="J10" sqref="J10"/>
    </sheetView>
  </sheetViews>
  <sheetFormatPr baseColWidth="10" defaultRowHeight="12.75"/>
  <cols>
    <col min="1" max="1" width="2.875" style="1" customWidth="1"/>
    <col min="2" max="2" width="21.25" style="1" customWidth="1"/>
    <col min="3" max="5" width="8.5" style="1" customWidth="1"/>
    <col min="6" max="6" width="11.375" style="1" bestFit="1" customWidth="1"/>
    <col min="7" max="7" width="12.25" style="1" customWidth="1"/>
    <col min="8" max="8" width="5.875" style="1" customWidth="1"/>
    <col min="9" max="16384" width="11" style="1"/>
  </cols>
  <sheetData>
    <row r="1" spans="2:8" ht="21" customHeight="1"/>
    <row r="2" spans="2:8" s="23" customFormat="1" ht="30">
      <c r="B2" s="26" t="s">
        <v>21</v>
      </c>
      <c r="D2" s="24"/>
      <c r="E2" s="24"/>
      <c r="F2" s="24"/>
      <c r="G2" s="24"/>
    </row>
    <row r="3" spans="2:8" s="23" customFormat="1" ht="30.75" thickBot="1">
      <c r="B3" s="25"/>
      <c r="C3" s="24"/>
      <c r="D3" s="24"/>
      <c r="E3" s="24"/>
      <c r="F3" s="24"/>
      <c r="G3" s="24"/>
    </row>
    <row r="4" spans="2:8" s="19" customFormat="1" ht="34.5" customHeight="1" thickTop="1">
      <c r="B4" s="22" t="s">
        <v>20</v>
      </c>
      <c r="C4" s="21"/>
      <c r="D4" s="21" t="s">
        <v>19</v>
      </c>
      <c r="E4" s="21"/>
      <c r="F4" s="21" t="s">
        <v>18</v>
      </c>
      <c r="G4" s="20" t="s">
        <v>17</v>
      </c>
      <c r="H4" s="19" t="s">
        <v>16</v>
      </c>
    </row>
    <row r="5" spans="2:8" s="13" customFormat="1" ht="22.5" customHeight="1">
      <c r="B5" s="18"/>
      <c r="C5" s="17" t="s">
        <v>15</v>
      </c>
      <c r="D5" s="17" t="s">
        <v>14</v>
      </c>
      <c r="E5" s="16" t="s">
        <v>8</v>
      </c>
      <c r="F5" s="15"/>
      <c r="G5" s="14"/>
    </row>
    <row r="6" spans="2:8" ht="28.5" customHeight="1">
      <c r="B6" s="12" t="s">
        <v>13</v>
      </c>
      <c r="C6" s="11">
        <v>70</v>
      </c>
      <c r="D6" s="11">
        <v>150</v>
      </c>
      <c r="E6" s="10">
        <f>SUM(C6:D6)</f>
        <v>220</v>
      </c>
      <c r="F6" s="9">
        <f>ROUND(90.5/6.55957,2)</f>
        <v>13.8</v>
      </c>
      <c r="G6" s="8">
        <f>E6*F6</f>
        <v>3036</v>
      </c>
    </row>
    <row r="7" spans="2:8" ht="28.5" customHeight="1">
      <c r="B7" s="12" t="s">
        <v>12</v>
      </c>
      <c r="C7" s="11">
        <v>80</v>
      </c>
      <c r="D7" s="11">
        <v>250</v>
      </c>
      <c r="E7" s="10">
        <f t="shared" ref="E7:E10" si="0">SUM(C7:D7)</f>
        <v>330</v>
      </c>
      <c r="F7" s="9">
        <f>ROUND(150/6.55957,2)</f>
        <v>22.87</v>
      </c>
      <c r="G7" s="8">
        <f t="shared" ref="G7:G10" si="1">E7*F7</f>
        <v>7547.1</v>
      </c>
    </row>
    <row r="8" spans="2:8" ht="28.5" customHeight="1">
      <c r="B8" s="12" t="s">
        <v>11</v>
      </c>
      <c r="C8" s="11">
        <v>40</v>
      </c>
      <c r="D8" s="11">
        <v>120</v>
      </c>
      <c r="E8" s="10">
        <f t="shared" si="0"/>
        <v>160</v>
      </c>
      <c r="F8" s="9">
        <f>ROUND(180/6.55957,2)</f>
        <v>27.44</v>
      </c>
      <c r="G8" s="8">
        <f t="shared" si="1"/>
        <v>4390.4000000000005</v>
      </c>
    </row>
    <row r="9" spans="2:8" ht="28.5" customHeight="1">
      <c r="B9" s="12" t="s">
        <v>10</v>
      </c>
      <c r="C9" s="11">
        <v>50</v>
      </c>
      <c r="D9" s="11">
        <v>180</v>
      </c>
      <c r="E9" s="10">
        <f t="shared" si="0"/>
        <v>230</v>
      </c>
      <c r="F9" s="9">
        <f>ROUND(120/6.55957,2)</f>
        <v>18.29</v>
      </c>
      <c r="G9" s="8">
        <f t="shared" si="1"/>
        <v>4206.7</v>
      </c>
    </row>
    <row r="10" spans="2:8" ht="28.5" customHeight="1" thickBot="1">
      <c r="B10" s="7" t="s">
        <v>9</v>
      </c>
      <c r="C10" s="6">
        <v>120</v>
      </c>
      <c r="D10" s="6">
        <v>340</v>
      </c>
      <c r="E10" s="10">
        <f t="shared" si="0"/>
        <v>460</v>
      </c>
      <c r="F10" s="5">
        <f>ROUND(240/6.55957,2)</f>
        <v>36.590000000000003</v>
      </c>
      <c r="G10" s="8">
        <f t="shared" si="1"/>
        <v>16831.400000000001</v>
      </c>
    </row>
    <row r="11" spans="2:8" ht="16.5" thickTop="1" thickBot="1">
      <c r="G11" s="2"/>
    </row>
    <row r="12" spans="2:8" ht="17.25" customHeight="1" thickBot="1">
      <c r="F12" s="4" t="s">
        <v>8</v>
      </c>
      <c r="G12" s="3">
        <f>SUM(G6:G11)</f>
        <v>36011.600000000006</v>
      </c>
    </row>
    <row r="13" spans="2:8" ht="15">
      <c r="G13" s="2"/>
    </row>
    <row r="15" spans="2:8">
      <c r="B15" s="1" t="s">
        <v>7</v>
      </c>
    </row>
    <row r="40" spans="2:2">
      <c r="B40" s="1" t="str">
        <f ca="1">CELL("nomfichier")</f>
        <v>F:\Excel initiaiton valérie\[vente.xlsx]Feuil1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1"/>
  <sheetViews>
    <sheetView zoomScaleNormal="100" workbookViewId="0">
      <selection activeCell="E4" sqref="E4:E9"/>
    </sheetView>
  </sheetViews>
  <sheetFormatPr baseColWidth="10" defaultRowHeight="15"/>
  <cols>
    <col min="1" max="1" width="14.125" customWidth="1"/>
  </cols>
  <sheetData>
    <row r="1" spans="1:7" ht="30">
      <c r="A1" s="56" t="s">
        <v>38</v>
      </c>
      <c r="B1" s="57"/>
      <c r="C1" s="57"/>
      <c r="D1" s="57"/>
      <c r="E1" s="57"/>
      <c r="F1" s="57"/>
      <c r="G1" s="58"/>
    </row>
    <row r="2" spans="1:7" ht="15.75" thickBot="1">
      <c r="A2" s="58"/>
      <c r="B2" s="58"/>
      <c r="C2" s="58"/>
      <c r="D2" s="58"/>
      <c r="E2" s="58"/>
      <c r="F2" s="58"/>
      <c r="G2" s="58"/>
    </row>
    <row r="3" spans="1:7" ht="33.75" thickBot="1">
      <c r="A3" s="59" t="s">
        <v>39</v>
      </c>
      <c r="B3" s="60" t="s">
        <v>40</v>
      </c>
      <c r="C3" s="60" t="s">
        <v>41</v>
      </c>
      <c r="D3" s="60" t="s">
        <v>42</v>
      </c>
      <c r="E3" s="61" t="s">
        <v>43</v>
      </c>
      <c r="F3" s="60" t="s">
        <v>44</v>
      </c>
      <c r="G3" s="62"/>
    </row>
    <row r="4" spans="1:7" ht="16.5">
      <c r="A4" s="63" t="s">
        <v>45</v>
      </c>
      <c r="B4" s="108">
        <v>3000</v>
      </c>
      <c r="C4" s="64">
        <v>12</v>
      </c>
      <c r="D4" s="111">
        <f>B4*C4</f>
        <v>36000</v>
      </c>
      <c r="E4" s="113">
        <f>D4-F4</f>
        <v>1000</v>
      </c>
      <c r="F4" s="111">
        <v>35000</v>
      </c>
      <c r="G4" s="65"/>
    </row>
    <row r="5" spans="1:7" ht="16.5">
      <c r="A5" s="66" t="s">
        <v>46</v>
      </c>
      <c r="B5" s="109">
        <v>2500</v>
      </c>
      <c r="C5" s="67">
        <v>2</v>
      </c>
      <c r="D5" s="111">
        <f t="shared" ref="D5:D9" si="0">B5*C5</f>
        <v>5000</v>
      </c>
      <c r="E5" s="113">
        <f t="shared" ref="E5:E9" si="1">D5-F5</f>
        <v>200</v>
      </c>
      <c r="F5" s="112">
        <v>4800</v>
      </c>
      <c r="G5" s="65"/>
    </row>
    <row r="6" spans="1:7" ht="16.5">
      <c r="A6" s="66" t="s">
        <v>47</v>
      </c>
      <c r="B6" s="109">
        <v>4000</v>
      </c>
      <c r="C6" s="67">
        <v>6</v>
      </c>
      <c r="D6" s="111">
        <f t="shared" si="0"/>
        <v>24000</v>
      </c>
      <c r="E6" s="113">
        <f t="shared" si="1"/>
        <v>4000</v>
      </c>
      <c r="F6" s="112">
        <v>20000</v>
      </c>
      <c r="G6" s="65"/>
    </row>
    <row r="7" spans="1:7" ht="16.5">
      <c r="A7" s="66" t="s">
        <v>48</v>
      </c>
      <c r="B7" s="109">
        <v>5000</v>
      </c>
      <c r="C7" s="67">
        <v>8</v>
      </c>
      <c r="D7" s="111">
        <f t="shared" si="0"/>
        <v>40000</v>
      </c>
      <c r="E7" s="113">
        <f t="shared" si="1"/>
        <v>4000</v>
      </c>
      <c r="F7" s="112">
        <v>36000</v>
      </c>
      <c r="G7" s="65"/>
    </row>
    <row r="8" spans="1:7" ht="16.5">
      <c r="A8" s="66" t="s">
        <v>49</v>
      </c>
      <c r="B8" s="109">
        <v>12000</v>
      </c>
      <c r="C8" s="67">
        <v>2</v>
      </c>
      <c r="D8" s="111">
        <f t="shared" si="0"/>
        <v>24000</v>
      </c>
      <c r="E8" s="113">
        <f t="shared" si="1"/>
        <v>3600</v>
      </c>
      <c r="F8" s="112">
        <v>20400</v>
      </c>
      <c r="G8" s="65"/>
    </row>
    <row r="9" spans="1:7" ht="17.25" thickBot="1">
      <c r="A9" s="68" t="s">
        <v>0</v>
      </c>
      <c r="B9" s="110">
        <f>SUM(B4:B8)</f>
        <v>26500</v>
      </c>
      <c r="C9" s="69">
        <f>SUM(C4:C8)</f>
        <v>30</v>
      </c>
      <c r="D9" s="111">
        <f t="shared" si="0"/>
        <v>795000</v>
      </c>
      <c r="E9" s="113">
        <f t="shared" si="1"/>
        <v>678800</v>
      </c>
      <c r="F9" s="110">
        <f>SUM(F4:F8)</f>
        <v>116200</v>
      </c>
      <c r="G9" s="65"/>
    </row>
    <row r="10" spans="1:7">
      <c r="A10" s="58"/>
      <c r="B10" s="58"/>
      <c r="C10" s="58"/>
      <c r="D10" s="58"/>
      <c r="E10" s="58"/>
      <c r="F10" s="58"/>
      <c r="G10" s="58"/>
    </row>
    <row r="11" spans="1:7">
      <c r="A11" s="58"/>
      <c r="B11" s="58"/>
      <c r="C11" s="58"/>
      <c r="D11" s="58"/>
      <c r="E11" s="58"/>
      <c r="F11" s="58"/>
      <c r="G11" s="58"/>
    </row>
    <row r="12" spans="1:7">
      <c r="A12" s="70"/>
      <c r="B12" s="58"/>
      <c r="C12" s="58"/>
      <c r="D12" s="58"/>
      <c r="E12" s="58"/>
      <c r="F12" s="58"/>
      <c r="G12" s="58"/>
    </row>
    <row r="13" spans="1:7">
      <c r="A13" s="70"/>
      <c r="B13" s="58"/>
      <c r="C13" s="58"/>
      <c r="D13" s="58"/>
      <c r="E13" s="58"/>
      <c r="F13" s="58"/>
      <c r="G13" s="58"/>
    </row>
    <row r="14" spans="1:7" ht="16.5">
      <c r="A14" s="114" t="s">
        <v>50</v>
      </c>
      <c r="B14" s="58"/>
      <c r="C14" s="58"/>
      <c r="D14" s="58"/>
      <c r="E14" s="58"/>
      <c r="F14" s="58"/>
      <c r="G14" s="58"/>
    </row>
    <row r="15" spans="1:7">
      <c r="A15" s="71" t="s">
        <v>141</v>
      </c>
      <c r="B15" s="58"/>
      <c r="C15" s="58"/>
      <c r="D15" s="58"/>
      <c r="E15" s="58"/>
      <c r="F15" s="58"/>
      <c r="G15" s="58"/>
    </row>
    <row r="16" spans="1:7">
      <c r="A16" s="71" t="s">
        <v>142</v>
      </c>
      <c r="B16" s="58"/>
      <c r="C16" s="58"/>
      <c r="D16" s="58"/>
      <c r="E16" s="58"/>
      <c r="F16" s="58"/>
      <c r="G16" s="58"/>
    </row>
    <row r="17" spans="1:7">
      <c r="A17" s="71" t="s">
        <v>51</v>
      </c>
      <c r="B17" s="58"/>
      <c r="C17" s="58"/>
      <c r="D17" s="58"/>
      <c r="E17" s="58"/>
      <c r="F17" s="58"/>
      <c r="G17" s="58"/>
    </row>
    <row r="18" spans="1:7">
      <c r="A18" s="72" t="s">
        <v>52</v>
      </c>
      <c r="B18" s="58"/>
      <c r="C18" s="58"/>
      <c r="D18" s="58"/>
      <c r="E18" s="58"/>
      <c r="F18" s="58"/>
      <c r="G18" s="58"/>
    </row>
    <row r="19" spans="1:7">
      <c r="A19" s="71" t="s">
        <v>53</v>
      </c>
      <c r="B19" s="58"/>
      <c r="C19" s="58"/>
      <c r="D19" s="58"/>
      <c r="E19" s="58"/>
      <c r="F19" s="58"/>
      <c r="G19" s="58"/>
    </row>
    <row r="20" spans="1:7">
      <c r="A20" s="71" t="s">
        <v>54</v>
      </c>
      <c r="B20" s="58"/>
      <c r="C20" s="58"/>
      <c r="D20" s="58"/>
      <c r="E20" s="58"/>
      <c r="F20" s="58"/>
      <c r="G20" s="58"/>
    </row>
    <row r="21" spans="1:7">
      <c r="A21" s="71" t="s">
        <v>55</v>
      </c>
      <c r="B21" s="58"/>
      <c r="C21" s="58"/>
      <c r="D21" s="58"/>
      <c r="E21" s="58"/>
      <c r="F21" s="58"/>
      <c r="G21" s="58"/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8:K45"/>
  <sheetViews>
    <sheetView zoomScale="82" zoomScaleNormal="82" workbookViewId="0">
      <selection activeCell="C17" sqref="C17:F17"/>
    </sheetView>
  </sheetViews>
  <sheetFormatPr baseColWidth="10" defaultRowHeight="12.75"/>
  <cols>
    <col min="1" max="1" width="2.25" style="27" customWidth="1"/>
    <col min="2" max="2" width="32.5" style="27" customWidth="1"/>
    <col min="3" max="6" width="10.625" style="27" customWidth="1"/>
    <col min="7" max="16384" width="11" style="27"/>
  </cols>
  <sheetData>
    <row r="8" spans="2:6" ht="18.75">
      <c r="B8" s="41" t="s">
        <v>28</v>
      </c>
      <c r="C8" s="40"/>
      <c r="D8" s="40"/>
      <c r="E8" s="40"/>
      <c r="F8" s="40"/>
    </row>
    <row r="9" spans="2:6" ht="18.75">
      <c r="B9" s="41"/>
      <c r="C9" s="40"/>
      <c r="D9" s="40"/>
      <c r="E9" s="40"/>
      <c r="F9" s="40"/>
    </row>
    <row r="10" spans="2:6" ht="18.75">
      <c r="B10" s="41"/>
      <c r="C10" s="40"/>
      <c r="D10" s="40"/>
      <c r="E10" s="40"/>
      <c r="F10" s="40"/>
    </row>
    <row r="11" spans="2:6" ht="13.5" thickBot="1"/>
    <row r="12" spans="2:6" ht="26.25" customHeight="1" thickBot="1">
      <c r="B12" s="39" t="s">
        <v>27</v>
      </c>
      <c r="C12" s="38" t="s">
        <v>6</v>
      </c>
      <c r="D12" s="38"/>
      <c r="E12" s="38"/>
      <c r="F12" s="38"/>
    </row>
    <row r="13" spans="2:6" ht="26.25" customHeight="1">
      <c r="B13" s="37" t="s">
        <v>26</v>
      </c>
      <c r="C13" s="32">
        <v>1198600</v>
      </c>
      <c r="D13" s="32">
        <v>1113200</v>
      </c>
      <c r="E13" s="32">
        <v>1245700</v>
      </c>
      <c r="F13" s="36">
        <v>2147900</v>
      </c>
    </row>
    <row r="14" spans="2:6" ht="26.25" customHeight="1">
      <c r="B14" s="33" t="s">
        <v>25</v>
      </c>
      <c r="C14" s="32">
        <v>387960</v>
      </c>
      <c r="D14" s="32">
        <v>354100</v>
      </c>
      <c r="E14" s="32">
        <v>405300</v>
      </c>
      <c r="F14" s="31">
        <v>931810</v>
      </c>
    </row>
    <row r="15" spans="2:6" ht="26.25" customHeight="1">
      <c r="B15" s="35" t="s">
        <v>24</v>
      </c>
      <c r="C15" s="34">
        <f>C13-C14</f>
        <v>810640</v>
      </c>
      <c r="D15" s="34">
        <f t="shared" ref="D15:F15" si="0">D13-D14</f>
        <v>759100</v>
      </c>
      <c r="E15" s="34">
        <f t="shared" si="0"/>
        <v>840400</v>
      </c>
      <c r="F15" s="34">
        <f t="shared" si="0"/>
        <v>1216090</v>
      </c>
    </row>
    <row r="16" spans="2:6" ht="26.25" customHeight="1">
      <c r="B16" s="33" t="s">
        <v>23</v>
      </c>
      <c r="C16" s="32">
        <v>78970</v>
      </c>
      <c r="D16" s="32">
        <v>75850</v>
      </c>
      <c r="E16" s="32">
        <v>90930</v>
      </c>
      <c r="F16" s="31">
        <v>185900</v>
      </c>
    </row>
    <row r="17" spans="2:11" ht="26.25" customHeight="1" thickBot="1">
      <c r="B17" s="30" t="s">
        <v>22</v>
      </c>
      <c r="C17" s="29">
        <f>(C15-C16)*20%</f>
        <v>146334</v>
      </c>
      <c r="D17" s="29">
        <f t="shared" ref="D17:F17" si="1">(D15-D16)*20%</f>
        <v>136650</v>
      </c>
      <c r="E17" s="29">
        <f t="shared" si="1"/>
        <v>149894</v>
      </c>
      <c r="F17" s="29">
        <f t="shared" si="1"/>
        <v>206038</v>
      </c>
      <c r="G17" s="28"/>
      <c r="H17" s="28"/>
      <c r="I17" s="28"/>
      <c r="J17" s="28"/>
      <c r="K17" s="28"/>
    </row>
    <row r="21" spans="2:11" ht="15.75" customHeight="1"/>
    <row r="22" spans="2:11" ht="15.75" customHeight="1"/>
    <row r="23" spans="2:11" ht="15.75" customHeight="1"/>
    <row r="24" spans="2:11" ht="15.75" customHeight="1"/>
    <row r="25" spans="2:11" ht="15.75" customHeight="1"/>
    <row r="26" spans="2:11" ht="15.75" customHeight="1"/>
    <row r="27" spans="2:11" ht="15.75" customHeight="1"/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spans="2:2" ht="15.75" customHeight="1"/>
    <row r="34" spans="2:2" ht="15.75" customHeight="1"/>
    <row r="35" spans="2:2" ht="15.75" customHeight="1"/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>
      <c r="B41" s="27" t="str">
        <f ca="1">CELL("nomfichier")</f>
        <v>F:\Excel initiaiton valérie\[vente.xlsx]Feuil1</v>
      </c>
    </row>
    <row r="42" spans="2:2" ht="15.75" customHeight="1"/>
    <row r="43" spans="2:2" ht="15.75" customHeight="1"/>
    <row r="44" spans="2:2" ht="15.75" customHeight="1"/>
    <row r="45" spans="2:2" ht="15.75" customHeight="1"/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4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6:F41"/>
  <sheetViews>
    <sheetView workbookViewId="0">
      <selection activeCell="E20" sqref="E20"/>
    </sheetView>
  </sheetViews>
  <sheetFormatPr baseColWidth="10" defaultRowHeight="15"/>
  <cols>
    <col min="1" max="1" width="5.375" style="42" customWidth="1"/>
    <col min="2" max="2" width="12.875" style="42" customWidth="1"/>
    <col min="3" max="3" width="13.25" style="42" customWidth="1"/>
    <col min="4" max="4" width="14.125" style="42" customWidth="1"/>
    <col min="5" max="5" width="10.5" style="42" customWidth="1"/>
    <col min="6" max="16384" width="11" style="42"/>
  </cols>
  <sheetData>
    <row r="6" spans="2:6" ht="27.75">
      <c r="B6" s="55" t="s">
        <v>37</v>
      </c>
      <c r="D6" s="54"/>
      <c r="E6" s="53"/>
    </row>
    <row r="8" spans="2:6" s="46" customFormat="1" ht="20.100000000000001" customHeight="1">
      <c r="B8" s="51" t="s">
        <v>36</v>
      </c>
      <c r="C8" s="51" t="s">
        <v>35</v>
      </c>
      <c r="D8" s="51" t="s">
        <v>34</v>
      </c>
      <c r="E8" s="52" t="s">
        <v>33</v>
      </c>
      <c r="F8" s="46" t="s">
        <v>32</v>
      </c>
    </row>
    <row r="9" spans="2:6" s="46" customFormat="1" ht="20.100000000000001" customHeight="1">
      <c r="B9" s="51"/>
      <c r="C9" s="51"/>
      <c r="D9" s="51"/>
      <c r="E9" s="50" t="s">
        <v>31</v>
      </c>
      <c r="F9" s="46" t="s">
        <v>16</v>
      </c>
    </row>
    <row r="10" spans="2:6" s="46" customFormat="1" ht="24.75" customHeight="1">
      <c r="B10" s="49" t="s">
        <v>5</v>
      </c>
      <c r="C10" s="47">
        <f>ROUND(15000/6.55957,2)</f>
        <v>2286.7399999999998</v>
      </c>
      <c r="D10" s="47">
        <f>ROUND(17890/6.55957,2)</f>
        <v>2727.31</v>
      </c>
      <c r="E10">
        <f>D10-C10</f>
        <v>440.57000000000016</v>
      </c>
    </row>
    <row r="11" spans="2:6" s="46" customFormat="1" ht="24.75" customHeight="1">
      <c r="B11" s="49" t="s">
        <v>4</v>
      </c>
      <c r="C11" s="47">
        <f>ROUND(12000/6.55957,2)</f>
        <v>1829.39</v>
      </c>
      <c r="D11" s="47">
        <f>ROUND(11630/6.55957,2)</f>
        <v>1772.98</v>
      </c>
      <c r="E11">
        <f t="shared" ref="E11:E16" si="0">D11-C11</f>
        <v>-56.410000000000082</v>
      </c>
    </row>
    <row r="12" spans="2:6" s="46" customFormat="1" ht="24.75" customHeight="1">
      <c r="B12" s="49" t="s">
        <v>3</v>
      </c>
      <c r="C12" s="47">
        <f>ROUND(18000/6.55957,2)</f>
        <v>2744.08</v>
      </c>
      <c r="D12" s="47">
        <f>ROUND(15230/6.55957,2)</f>
        <v>2321.8000000000002</v>
      </c>
      <c r="E12">
        <f t="shared" si="0"/>
        <v>-422.27999999999975</v>
      </c>
    </row>
    <row r="13" spans="2:6" s="46" customFormat="1" ht="24.75" customHeight="1">
      <c r="B13" s="49" t="s">
        <v>30</v>
      </c>
      <c r="C13" s="47">
        <f>ROUND(20000/6.55957,2)</f>
        <v>3048.98</v>
      </c>
      <c r="D13" s="47">
        <f>ROUND(22650/6.55957,2)</f>
        <v>3452.97</v>
      </c>
      <c r="E13">
        <f t="shared" si="0"/>
        <v>403.98999999999978</v>
      </c>
    </row>
    <row r="14" spans="2:6" s="46" customFormat="1" ht="24.75" customHeight="1">
      <c r="B14" s="49" t="s">
        <v>2</v>
      </c>
      <c r="C14" s="47">
        <f>ROUND(20000/6.55957,2)</f>
        <v>3048.98</v>
      </c>
      <c r="D14" s="47">
        <f>ROUND(21580/6.55957,2)</f>
        <v>3289.85</v>
      </c>
      <c r="E14">
        <f t="shared" si="0"/>
        <v>240.86999999999989</v>
      </c>
    </row>
    <row r="15" spans="2:6" s="46" customFormat="1" ht="24.75" customHeight="1">
      <c r="B15" s="49" t="s">
        <v>1</v>
      </c>
      <c r="C15" s="47">
        <f>ROUND(18000/6.55957,2)</f>
        <v>2744.08</v>
      </c>
      <c r="D15" s="47">
        <f>ROUND(16590/6.55957,2)</f>
        <v>2529.13</v>
      </c>
      <c r="E15">
        <f t="shared" si="0"/>
        <v>-214.94999999999982</v>
      </c>
    </row>
    <row r="16" spans="2:6" s="46" customFormat="1" ht="24.75" customHeight="1">
      <c r="B16" s="48" t="s">
        <v>8</v>
      </c>
      <c r="C16" s="47">
        <f>SUM(C10:C15)</f>
        <v>15702.25</v>
      </c>
      <c r="D16" s="47">
        <f>SUM(D10:D15)</f>
        <v>16094.04</v>
      </c>
      <c r="E16">
        <f t="shared" si="0"/>
        <v>391.79000000000087</v>
      </c>
    </row>
    <row r="19" spans="2:3" ht="15.75">
      <c r="B19" s="45"/>
      <c r="C19" s="44"/>
    </row>
    <row r="20" spans="2:3" ht="15.75">
      <c r="B20" s="45"/>
      <c r="C20" s="44"/>
    </row>
    <row r="21" spans="2:3" ht="16.5">
      <c r="B21" s="43" t="s">
        <v>29</v>
      </c>
    </row>
    <row r="41" spans="2:2">
      <c r="B41" s="42" t="str">
        <f ca="1">CELL("nomfichier")</f>
        <v>F:\Excel initiaiton valérie\[vente.xlsx]Feuil1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1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F11"/>
  <sheetViews>
    <sheetView tabSelected="1" zoomScale="110" zoomScaleNormal="110" workbookViewId="0">
      <selection activeCell="L10" sqref="L10"/>
    </sheetView>
  </sheetViews>
  <sheetFormatPr baseColWidth="10" defaultRowHeight="15"/>
  <cols>
    <col min="1" max="1" width="13.125" style="86" customWidth="1"/>
    <col min="2" max="6" width="16.625" style="86" customWidth="1"/>
    <col min="7" max="16384" width="11" style="86"/>
  </cols>
  <sheetData>
    <row r="2" spans="1:6" ht="18">
      <c r="A2" s="119" t="s">
        <v>130</v>
      </c>
      <c r="B2" s="119"/>
      <c r="C2" s="119"/>
      <c r="D2" s="119"/>
      <c r="E2" s="119"/>
      <c r="F2" s="119"/>
    </row>
    <row r="3" spans="1:6" ht="15.75" thickBot="1"/>
    <row r="4" spans="1:6" s="93" customFormat="1" ht="39.75" customHeight="1" thickTop="1" thickBot="1">
      <c r="A4" s="95"/>
      <c r="B4" s="94" t="s">
        <v>97</v>
      </c>
      <c r="C4" s="94" t="s">
        <v>96</v>
      </c>
      <c r="D4" s="94" t="s">
        <v>95</v>
      </c>
      <c r="E4" s="94" t="s">
        <v>94</v>
      </c>
      <c r="F4" s="94" t="s">
        <v>8</v>
      </c>
    </row>
    <row r="5" spans="1:6" ht="15.75" thickTop="1">
      <c r="A5" s="92" t="s">
        <v>93</v>
      </c>
      <c r="B5" s="91">
        <v>48</v>
      </c>
      <c r="C5" s="90">
        <v>2.38</v>
      </c>
      <c r="D5" s="142">
        <f>B5*C5</f>
        <v>114.24</v>
      </c>
      <c r="E5" s="90">
        <v>360</v>
      </c>
      <c r="F5" s="142">
        <f>SUM(D5+E5)</f>
        <v>474.24</v>
      </c>
    </row>
    <row r="6" spans="1:6">
      <c r="A6" s="92" t="s">
        <v>92</v>
      </c>
      <c r="B6" s="91">
        <v>122</v>
      </c>
      <c r="C6" s="90">
        <v>2.38</v>
      </c>
      <c r="D6" s="142">
        <f t="shared" ref="D6:D9" si="0">B6*C6</f>
        <v>290.36</v>
      </c>
      <c r="E6" s="90">
        <v>680</v>
      </c>
      <c r="F6" s="142">
        <f t="shared" ref="F6:F10" si="1">SUM(D6+E6)</f>
        <v>970.36</v>
      </c>
    </row>
    <row r="7" spans="1:6">
      <c r="A7" s="92" t="s">
        <v>91</v>
      </c>
      <c r="B7" s="91">
        <v>58</v>
      </c>
      <c r="C7" s="90">
        <v>2.38</v>
      </c>
      <c r="D7" s="142">
        <f t="shared" si="0"/>
        <v>138.04</v>
      </c>
      <c r="E7" s="90">
        <v>420</v>
      </c>
      <c r="F7" s="142">
        <f t="shared" si="1"/>
        <v>558.04</v>
      </c>
    </row>
    <row r="8" spans="1:6">
      <c r="A8" s="92" t="s">
        <v>90</v>
      </c>
      <c r="B8" s="91">
        <v>72</v>
      </c>
      <c r="C8" s="90">
        <v>2.38</v>
      </c>
      <c r="D8" s="142">
        <f t="shared" si="0"/>
        <v>171.35999999999999</v>
      </c>
      <c r="E8" s="90">
        <v>420</v>
      </c>
      <c r="F8" s="142">
        <f t="shared" si="1"/>
        <v>591.36</v>
      </c>
    </row>
    <row r="9" spans="1:6" ht="15.75" thickBot="1">
      <c r="A9" s="92" t="s">
        <v>89</v>
      </c>
      <c r="B9" s="91">
        <v>14</v>
      </c>
      <c r="C9" s="90">
        <v>2.38</v>
      </c>
      <c r="D9" s="142">
        <f t="shared" si="0"/>
        <v>33.32</v>
      </c>
      <c r="E9" s="90"/>
      <c r="F9" s="142">
        <f t="shared" si="1"/>
        <v>33.32</v>
      </c>
    </row>
    <row r="10" spans="1:6" s="87" customFormat="1" ht="26.25" customHeight="1" thickTop="1" thickBot="1">
      <c r="A10" s="89" t="s">
        <v>8</v>
      </c>
      <c r="B10" s="88">
        <f>SUM(B5:B9)</f>
        <v>314</v>
      </c>
      <c r="C10" s="88">
        <f t="shared" ref="C10:E10" si="2">SUM(C5:C9)</f>
        <v>11.899999999999999</v>
      </c>
      <c r="D10" s="88">
        <f t="shared" si="2"/>
        <v>747.32</v>
      </c>
      <c r="E10" s="88">
        <f t="shared" si="2"/>
        <v>1880</v>
      </c>
      <c r="F10" s="143">
        <f>SUM(F5:F9)</f>
        <v>2627.32</v>
      </c>
    </row>
    <row r="11" spans="1:6" ht="15.75" thickTop="1"/>
  </sheetData>
  <mergeCells count="1">
    <mergeCell ref="A2:F2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0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27"/>
  <sheetViews>
    <sheetView workbookViewId="0">
      <selection activeCell="C26" sqref="C26"/>
    </sheetView>
  </sheetViews>
  <sheetFormatPr baseColWidth="10" defaultRowHeight="12.75"/>
  <cols>
    <col min="1" max="1" width="14" style="73" customWidth="1"/>
    <col min="2" max="2" width="12" style="73" customWidth="1"/>
    <col min="3" max="16384" width="11" style="73"/>
  </cols>
  <sheetData>
    <row r="1" spans="1:7" ht="18">
      <c r="A1" s="102" t="s">
        <v>110</v>
      </c>
      <c r="B1" s="102"/>
      <c r="C1" s="102"/>
      <c r="D1" s="103"/>
      <c r="E1" s="103"/>
      <c r="F1" s="103"/>
      <c r="G1" s="103"/>
    </row>
    <row r="10" spans="1:7">
      <c r="C10" s="104" t="s">
        <v>111</v>
      </c>
    </row>
    <row r="11" spans="1:7">
      <c r="C11" s="104" t="s">
        <v>112</v>
      </c>
    </row>
    <row r="12" spans="1:7">
      <c r="C12" s="104" t="s">
        <v>113</v>
      </c>
    </row>
    <row r="15" spans="1:7">
      <c r="A15" s="105" t="s">
        <v>114</v>
      </c>
      <c r="B15" s="105" t="s">
        <v>115</v>
      </c>
      <c r="C15" s="105" t="s">
        <v>116</v>
      </c>
      <c r="D15" s="105" t="s">
        <v>117</v>
      </c>
    </row>
    <row r="17" spans="1:4" ht="15.75" customHeight="1">
      <c r="A17" s="74" t="s">
        <v>118</v>
      </c>
      <c r="B17" s="74">
        <v>0.75</v>
      </c>
      <c r="C17" s="74">
        <v>250</v>
      </c>
      <c r="D17" s="74"/>
    </row>
    <row r="18" spans="1:4" ht="15.75" customHeight="1">
      <c r="A18" s="74" t="s">
        <v>119</v>
      </c>
      <c r="B18" s="74">
        <v>1.2</v>
      </c>
      <c r="C18" s="74">
        <v>500</v>
      </c>
      <c r="D18" s="74"/>
    </row>
    <row r="19" spans="1:4" ht="15.75" customHeight="1">
      <c r="A19" s="74" t="s">
        <v>120</v>
      </c>
      <c r="B19" s="74">
        <v>10.199999999999999</v>
      </c>
      <c r="C19" s="74">
        <v>100</v>
      </c>
      <c r="D19" s="74"/>
    </row>
    <row r="20" spans="1:4" ht="15.75" customHeight="1">
      <c r="A20" s="74" t="s">
        <v>121</v>
      </c>
      <c r="B20" s="74">
        <v>1.3</v>
      </c>
      <c r="C20" s="74">
        <v>250</v>
      </c>
      <c r="D20" s="74"/>
    </row>
    <row r="21" spans="1:4" ht="15.75" customHeight="1">
      <c r="A21" s="74" t="s">
        <v>122</v>
      </c>
      <c r="B21" s="74">
        <v>7.25</v>
      </c>
      <c r="C21" s="74">
        <v>120</v>
      </c>
      <c r="D21" s="74"/>
    </row>
    <row r="22" spans="1:4" ht="15.75" customHeight="1"/>
    <row r="23" spans="1:4" ht="15.75" customHeight="1">
      <c r="C23" s="73" t="s">
        <v>123</v>
      </c>
      <c r="D23" s="74"/>
    </row>
    <row r="24" spans="1:4" ht="15.75" customHeight="1">
      <c r="C24" s="73" t="s">
        <v>124</v>
      </c>
      <c r="D24" s="74"/>
    </row>
    <row r="25" spans="1:4" ht="15.75" customHeight="1">
      <c r="C25" s="73" t="s">
        <v>125</v>
      </c>
      <c r="D25" s="74"/>
    </row>
    <row r="26" spans="1:4" ht="15.75" customHeight="1">
      <c r="C26" s="73" t="s">
        <v>126</v>
      </c>
      <c r="D26" s="74"/>
    </row>
    <row r="27" spans="1:4" ht="15.75" customHeight="1">
      <c r="C27" s="73" t="s">
        <v>127</v>
      </c>
      <c r="D27" s="74"/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&amp;R&amp;"Arial,Gras italique"&amp;22&amp;A</oddHeader>
    <oddFooter>&amp;R&amp;"Arial,Italique"&amp;12Exercice n°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construire son tableau</vt:lpstr>
      <vt:lpstr>tarifs</vt:lpstr>
      <vt:lpstr>calculs enchainés</vt:lpstr>
      <vt:lpstr>stock 2</vt:lpstr>
      <vt:lpstr>voyages</vt:lpstr>
      <vt:lpstr>digital</vt:lpstr>
      <vt:lpstr>compari</vt:lpstr>
      <vt:lpstr>Note de frais</vt:lpstr>
      <vt:lpstr>facture</vt:lpstr>
    </vt:vector>
  </TitlesOfParts>
  <Company>IRFAF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 92</dc:creator>
  <cp:lastModifiedBy>Aubert 7</cp:lastModifiedBy>
  <cp:lastPrinted>2020-12-15T11:25:22Z</cp:lastPrinted>
  <dcterms:created xsi:type="dcterms:W3CDTF">2006-07-21T10:08:30Z</dcterms:created>
  <dcterms:modified xsi:type="dcterms:W3CDTF">2020-12-15T15:21:48Z</dcterms:modified>
</cp:coreProperties>
</file>