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11580" windowHeight="6030"/>
  </bookViews>
  <sheets>
    <sheet name="Rapport" sheetId="1" r:id="rId1"/>
  </sheets>
  <calcPr calcId="145621"/>
</workbook>
</file>

<file path=xl/calcChain.xml><?xml version="1.0" encoding="utf-8"?>
<calcChain xmlns="http://schemas.openxmlformats.org/spreadsheetml/2006/main">
  <c r="O12" i="1" l="1"/>
  <c r="P12" i="1"/>
  <c r="Q12" i="1"/>
  <c r="R9" i="1"/>
  <c r="R10" i="1"/>
  <c r="R11" i="1"/>
  <c r="O7" i="1"/>
  <c r="P7" i="1"/>
  <c r="Q7" i="1"/>
  <c r="R4" i="1"/>
  <c r="R5" i="1"/>
  <c r="R6" i="1"/>
  <c r="K12" i="1"/>
  <c r="L12" i="1"/>
  <c r="M12" i="1"/>
  <c r="N9" i="1"/>
  <c r="N10" i="1"/>
  <c r="N11" i="1"/>
  <c r="K7" i="1"/>
  <c r="L7" i="1"/>
  <c r="M7" i="1"/>
  <c r="N4" i="1"/>
  <c r="N5" i="1"/>
  <c r="N6" i="1"/>
  <c r="G12" i="1"/>
  <c r="H12" i="1"/>
  <c r="I12" i="1"/>
  <c r="J9" i="1"/>
  <c r="J10" i="1"/>
  <c r="J11" i="1"/>
  <c r="G7" i="1"/>
  <c r="H7" i="1"/>
  <c r="I7" i="1"/>
  <c r="J4" i="1"/>
  <c r="J5" i="1"/>
  <c r="J6" i="1"/>
  <c r="C12" i="1"/>
  <c r="D12" i="1"/>
  <c r="E12" i="1"/>
  <c r="F9" i="1"/>
  <c r="F10" i="1"/>
  <c r="F11" i="1"/>
  <c r="C7" i="1"/>
  <c r="D7" i="1"/>
  <c r="E7" i="1"/>
  <c r="F4" i="1"/>
  <c r="F5" i="1"/>
  <c r="F6" i="1"/>
  <c r="N7" i="1" l="1"/>
  <c r="L13" i="1"/>
  <c r="J12" i="1"/>
  <c r="J13" i="1" s="1"/>
  <c r="S11" i="1"/>
  <c r="M13" i="1"/>
  <c r="E13" i="1"/>
  <c r="I13" i="1"/>
  <c r="S4" i="1"/>
  <c r="F7" i="1"/>
  <c r="J7" i="1"/>
  <c r="N12" i="1"/>
  <c r="S10" i="1"/>
  <c r="D13" i="1"/>
  <c r="S6" i="1"/>
  <c r="S9" i="1"/>
  <c r="K13" i="1"/>
  <c r="H13" i="1"/>
  <c r="S5" i="1"/>
  <c r="R7" i="1"/>
  <c r="Q13" i="1"/>
  <c r="O13" i="1"/>
  <c r="G13" i="1"/>
  <c r="R12" i="1"/>
  <c r="F12" i="1"/>
  <c r="C13" i="1"/>
  <c r="P13" i="1"/>
  <c r="F13" i="1" l="1"/>
  <c r="S7" i="1"/>
  <c r="N13" i="1"/>
  <c r="R13" i="1"/>
  <c r="S12" i="1"/>
  <c r="S13" i="1" l="1"/>
</calcChain>
</file>

<file path=xl/sharedStrings.xml><?xml version="1.0" encoding="utf-8"?>
<sst xmlns="http://schemas.openxmlformats.org/spreadsheetml/2006/main" count="29" uniqueCount="29">
  <si>
    <t>Rapport des ventes annuelles</t>
  </si>
  <si>
    <t>Jan</t>
  </si>
  <si>
    <t>Fév</t>
  </si>
  <si>
    <t>Mar</t>
  </si>
  <si>
    <t>Trim 1</t>
  </si>
  <si>
    <t>Avr</t>
  </si>
  <si>
    <t>Mai</t>
  </si>
  <si>
    <t>Jun</t>
  </si>
  <si>
    <t>Trim 2</t>
  </si>
  <si>
    <t>Jul</t>
  </si>
  <si>
    <t>Aoû</t>
  </si>
  <si>
    <t>Sep</t>
  </si>
  <si>
    <t>Trim 3</t>
  </si>
  <si>
    <t>Oct</t>
  </si>
  <si>
    <t>Nov</t>
  </si>
  <si>
    <t>Déc</t>
  </si>
  <si>
    <t>Trim 4</t>
  </si>
  <si>
    <t>Totaux annuels</t>
  </si>
  <si>
    <t>Voitures</t>
  </si>
  <si>
    <t>Compactes</t>
  </si>
  <si>
    <t>Moyennes</t>
  </si>
  <si>
    <t>Luxe</t>
  </si>
  <si>
    <t>Total (voitures)</t>
  </si>
  <si>
    <t>Camions</t>
  </si>
  <si>
    <t>Minibus</t>
  </si>
  <si>
    <t>Fourgonnettes</t>
  </si>
  <si>
    <t>Poids lourd</t>
  </si>
  <si>
    <t>Total (camions)</t>
  </si>
  <si>
    <t>Total des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</si>
</sst>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C]_-;\-* #,##0.00\ [$€-40C]_-;_-* &quot;-&quot;??\ [$€-40C]_-;_-@_-"/>
  </numFmts>
  <fonts count="7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5" fillId="0" borderId="11" xfId="3" applyFont="1" applyBorder="1" applyAlignment="1">
      <alignment horizontal="center" vertical="center"/>
    </xf>
    <xf numFmtId="0" fontId="6" fillId="4" borderId="2" xfId="3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0" fontId="4" fillId="2" borderId="8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164" fontId="4" fillId="2" borderId="8" xfId="3" applyNumberFormat="1" applyFont="1" applyFill="1" applyBorder="1" applyAlignment="1">
      <alignment horizontal="center" vertical="center"/>
    </xf>
    <xf numFmtId="164" fontId="4" fillId="2" borderId="0" xfId="3" applyNumberFormat="1" applyFont="1" applyFill="1" applyBorder="1" applyAlignment="1">
      <alignment horizontal="center" vertical="center"/>
    </xf>
    <xf numFmtId="164" fontId="4" fillId="2" borderId="9" xfId="3" applyNumberFormat="1" applyFont="1" applyFill="1" applyBorder="1" applyAlignment="1">
      <alignment horizontal="center" vertical="center"/>
    </xf>
    <xf numFmtId="164" fontId="4" fillId="2" borderId="14" xfId="3" applyNumberFormat="1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3" fillId="2" borderId="11" xfId="3" applyFont="1" applyFill="1" applyBorder="1" applyAlignment="1">
      <alignment horizontal="center" vertical="center"/>
    </xf>
    <xf numFmtId="164" fontId="4" fillId="2" borderId="10" xfId="3" applyNumberFormat="1" applyFont="1" applyFill="1" applyBorder="1" applyAlignment="1">
      <alignment horizontal="center" vertical="center"/>
    </xf>
    <xf numFmtId="164" fontId="4" fillId="2" borderId="11" xfId="3" applyNumberFormat="1" applyFont="1" applyFill="1" applyBorder="1" applyAlignment="1">
      <alignment horizontal="center" vertical="center"/>
    </xf>
    <xf numFmtId="164" fontId="4" fillId="2" borderId="12" xfId="3" applyNumberFormat="1" applyFont="1" applyFill="1" applyBorder="1" applyAlignment="1">
      <alignment horizontal="center" vertical="center"/>
    </xf>
    <xf numFmtId="164" fontId="4" fillId="2" borderId="15" xfId="3" applyNumberFormat="1" applyFont="1" applyFill="1" applyBorder="1" applyAlignment="1">
      <alignment horizontal="center" vertical="center"/>
    </xf>
    <xf numFmtId="0" fontId="4" fillId="3" borderId="8" xfId="3" applyFont="1" applyFill="1" applyBorder="1" applyAlignment="1">
      <alignment horizontal="center" vertical="center"/>
    </xf>
    <xf numFmtId="0" fontId="4" fillId="3" borderId="0" xfId="3" applyFont="1" applyFill="1" applyBorder="1" applyAlignment="1">
      <alignment horizontal="center" vertical="center"/>
    </xf>
    <xf numFmtId="164" fontId="4" fillId="3" borderId="8" xfId="3" applyNumberFormat="1" applyFont="1" applyFill="1" applyBorder="1" applyAlignment="1">
      <alignment horizontal="center" vertical="center"/>
    </xf>
    <xf numFmtId="164" fontId="4" fillId="3" borderId="0" xfId="3" applyNumberFormat="1" applyFont="1" applyFill="1" applyBorder="1" applyAlignment="1">
      <alignment horizontal="center" vertical="center"/>
    </xf>
    <xf numFmtId="164" fontId="4" fillId="3" borderId="9" xfId="3" applyNumberFormat="1" applyFont="1" applyFill="1" applyBorder="1" applyAlignment="1">
      <alignment horizontal="center" vertical="center"/>
    </xf>
    <xf numFmtId="164" fontId="4" fillId="3" borderId="14" xfId="3" applyNumberFormat="1" applyFont="1" applyFill="1" applyBorder="1" applyAlignment="1">
      <alignment horizontal="center" vertical="center"/>
    </xf>
    <xf numFmtId="0" fontId="4" fillId="3" borderId="10" xfId="3" applyFont="1" applyFill="1" applyBorder="1" applyAlignment="1">
      <alignment horizontal="center" vertical="center"/>
    </xf>
    <xf numFmtId="0" fontId="3" fillId="3" borderId="11" xfId="3" applyFont="1" applyFill="1" applyBorder="1" applyAlignment="1">
      <alignment horizontal="center" vertical="center"/>
    </xf>
    <xf numFmtId="164" fontId="4" fillId="3" borderId="10" xfId="3" applyNumberFormat="1" applyFont="1" applyFill="1" applyBorder="1" applyAlignment="1">
      <alignment horizontal="center" vertical="center"/>
    </xf>
    <xf numFmtId="164" fontId="4" fillId="3" borderId="11" xfId="3" applyNumberFormat="1" applyFont="1" applyFill="1" applyBorder="1" applyAlignment="1">
      <alignment horizontal="center" vertical="center"/>
    </xf>
    <xf numFmtId="164" fontId="4" fillId="3" borderId="12" xfId="3" applyNumberFormat="1" applyFont="1" applyFill="1" applyBorder="1" applyAlignment="1">
      <alignment horizontal="center" vertical="center"/>
    </xf>
    <xf numFmtId="164" fontId="4" fillId="3" borderId="15" xfId="3" applyNumberFormat="1" applyFont="1" applyFill="1" applyBorder="1" applyAlignment="1">
      <alignment horizontal="center" vertical="center"/>
    </xf>
    <xf numFmtId="0" fontId="4" fillId="4" borderId="10" xfId="3" applyFont="1" applyFill="1" applyBorder="1" applyAlignment="1">
      <alignment horizontal="center" vertical="center"/>
    </xf>
    <xf numFmtId="0" fontId="3" fillId="4" borderId="11" xfId="3" applyFon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0" fontId="3" fillId="5" borderId="5" xfId="3" applyFont="1" applyFill="1" applyBorder="1" applyAlignment="1">
      <alignment horizontal="center" vertical="center"/>
    </xf>
    <xf numFmtId="0" fontId="4" fillId="5" borderId="6" xfId="3" applyFont="1" applyFill="1" applyBorder="1" applyAlignment="1">
      <alignment horizontal="center" vertical="center"/>
    </xf>
    <xf numFmtId="0" fontId="4" fillId="5" borderId="5" xfId="3" applyFont="1" applyFill="1" applyBorder="1" applyAlignment="1">
      <alignment horizontal="center" vertical="center"/>
    </xf>
    <xf numFmtId="0" fontId="4" fillId="5" borderId="7" xfId="3" applyFont="1" applyFill="1" applyBorder="1" applyAlignment="1">
      <alignment horizontal="center" vertical="center"/>
    </xf>
    <xf numFmtId="0" fontId="4" fillId="5" borderId="13" xfId="3" applyFont="1" applyFill="1" applyBorder="1" applyAlignment="1">
      <alignment horizontal="center" vertical="center"/>
    </xf>
    <xf numFmtId="0" fontId="3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164" fontId="4" fillId="6" borderId="5" xfId="3" applyNumberFormat="1" applyFont="1" applyFill="1" applyBorder="1" applyAlignment="1">
      <alignment horizontal="center" vertical="center"/>
    </xf>
    <xf numFmtId="164" fontId="4" fillId="6" borderId="6" xfId="3" applyNumberFormat="1" applyFont="1" applyFill="1" applyBorder="1" applyAlignment="1">
      <alignment horizontal="center" vertical="center"/>
    </xf>
    <xf numFmtId="164" fontId="4" fillId="6" borderId="7" xfId="3" applyNumberFormat="1" applyFont="1" applyFill="1" applyBorder="1" applyAlignment="1">
      <alignment horizontal="center" vertical="center"/>
    </xf>
    <xf numFmtId="164" fontId="4" fillId="6" borderId="13" xfId="3" applyNumberFormat="1" applyFont="1" applyFill="1" applyBorder="1" applyAlignment="1">
      <alignment horizontal="center" vertical="center"/>
    </xf>
  </cellXfs>
  <cellStyles count="4">
    <cellStyle name="Comma [0]" xfId="1"/>
    <cellStyle name="Currency [0]" xfId="2"/>
    <cellStyle name="Normal" xfId="0" builtinId="0"/>
    <cellStyle name="Normal_SALES9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S13"/>
  <sheetViews>
    <sheetView showZeros="0" tabSelected="1" workbookViewId="0">
      <selection sqref="A1:S1"/>
    </sheetView>
  </sheetViews>
  <sheetFormatPr baseColWidth="10" defaultColWidth="9.140625" defaultRowHeight="12.75" outlineLevelRow="2" outlineLevelCol="2" x14ac:dyDescent="0.2"/>
  <cols>
    <col min="1" max="1" width="9.140625" style="6" customWidth="1"/>
    <col min="2" max="2" width="18.140625" style="6" customWidth="1"/>
    <col min="3" max="5" width="14" style="6" customWidth="1" outlineLevel="2"/>
    <col min="6" max="6" width="14" style="6" customWidth="1" outlineLevel="1"/>
    <col min="7" max="9" width="14" style="6" customWidth="1" outlineLevel="2"/>
    <col min="10" max="10" width="14" style="6" customWidth="1" outlineLevel="1"/>
    <col min="11" max="13" width="14" style="6" customWidth="1" outlineLevel="2"/>
    <col min="14" max="14" width="14" style="6" customWidth="1" outlineLevel="1"/>
    <col min="15" max="17" width="14" style="6" customWidth="1" outlineLevel="2"/>
    <col min="18" max="18" width="14" style="6" customWidth="1" outlineLevel="1"/>
    <col min="19" max="19" width="14.42578125" style="6" bestFit="1" customWidth="1"/>
    <col min="20" max="20" width="14" style="6" customWidth="1"/>
    <col min="21" max="16384" width="9.140625" style="6"/>
  </cols>
  <sheetData>
    <row r="1" spans="1:19" ht="33.75" customHeight="1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7" customFormat="1" ht="20.25" customHeight="1" thickBot="1" x14ac:dyDescent="0.25">
      <c r="A2" s="2"/>
      <c r="B2" s="3"/>
      <c r="C2" s="2" t="s">
        <v>1</v>
      </c>
      <c r="D2" s="3" t="s">
        <v>2</v>
      </c>
      <c r="E2" s="4" t="s">
        <v>3</v>
      </c>
      <c r="F2" s="3" t="s">
        <v>4</v>
      </c>
      <c r="G2" s="2" t="s">
        <v>5</v>
      </c>
      <c r="H2" s="3" t="s">
        <v>6</v>
      </c>
      <c r="I2" s="4" t="s">
        <v>7</v>
      </c>
      <c r="J2" s="3" t="s">
        <v>8</v>
      </c>
      <c r="K2" s="2" t="s">
        <v>9</v>
      </c>
      <c r="L2" s="3" t="s">
        <v>10</v>
      </c>
      <c r="M2" s="4" t="s">
        <v>11</v>
      </c>
      <c r="N2" s="3" t="s">
        <v>12</v>
      </c>
      <c r="O2" s="2" t="s">
        <v>13</v>
      </c>
      <c r="P2" s="3" t="s">
        <v>14</v>
      </c>
      <c r="Q2" s="4" t="s">
        <v>15</v>
      </c>
      <c r="R2" s="5" t="s">
        <v>16</v>
      </c>
      <c r="S2" s="4" t="s">
        <v>17</v>
      </c>
    </row>
    <row r="3" spans="1:19" outlineLevel="1" x14ac:dyDescent="0.2">
      <c r="A3" s="38" t="s">
        <v>18</v>
      </c>
      <c r="B3" s="39"/>
      <c r="C3" s="40"/>
      <c r="D3" s="39"/>
      <c r="E3" s="41"/>
      <c r="F3" s="39"/>
      <c r="G3" s="40"/>
      <c r="H3" s="39"/>
      <c r="I3" s="41"/>
      <c r="J3" s="39"/>
      <c r="K3" s="40"/>
      <c r="L3" s="39"/>
      <c r="M3" s="41"/>
      <c r="N3" s="39"/>
      <c r="O3" s="40"/>
      <c r="P3" s="39"/>
      <c r="Q3" s="41"/>
      <c r="R3" s="42"/>
      <c r="S3" s="41"/>
    </row>
    <row r="4" spans="1:19" outlineLevel="2" x14ac:dyDescent="0.2">
      <c r="A4" s="8"/>
      <c r="B4" s="9" t="s">
        <v>19</v>
      </c>
      <c r="C4" s="10">
        <v>31735</v>
      </c>
      <c r="D4" s="11">
        <v>11566</v>
      </c>
      <c r="E4" s="12">
        <v>71639</v>
      </c>
      <c r="F4" s="11">
        <f>SUM(C4:E4)</f>
        <v>114940</v>
      </c>
      <c r="G4" s="10">
        <v>44132</v>
      </c>
      <c r="H4" s="11">
        <v>16276</v>
      </c>
      <c r="I4" s="12">
        <v>65668</v>
      </c>
      <c r="J4" s="11">
        <f>SUM(G4:I4)</f>
        <v>126076</v>
      </c>
      <c r="K4" s="10">
        <v>68912</v>
      </c>
      <c r="L4" s="11">
        <v>52657</v>
      </c>
      <c r="M4" s="12">
        <v>28477</v>
      </c>
      <c r="N4" s="11">
        <f>SUM(K4:M4)</f>
        <v>150046</v>
      </c>
      <c r="O4" s="10">
        <v>58322</v>
      </c>
      <c r="P4" s="11">
        <v>40165</v>
      </c>
      <c r="Q4" s="12">
        <v>42579</v>
      </c>
      <c r="R4" s="13">
        <f>SUM(O4:Q4)</f>
        <v>141066</v>
      </c>
      <c r="S4" s="12">
        <f>SUM(R4,N4,J4,F4)</f>
        <v>532128</v>
      </c>
    </row>
    <row r="5" spans="1:19" outlineLevel="2" x14ac:dyDescent="0.2">
      <c r="A5" s="8"/>
      <c r="B5" s="9" t="s">
        <v>20</v>
      </c>
      <c r="C5" s="10">
        <v>63074</v>
      </c>
      <c r="D5" s="11">
        <v>20519</v>
      </c>
      <c r="E5" s="12">
        <v>12828</v>
      </c>
      <c r="F5" s="11">
        <f>SUM(C5:E5)</f>
        <v>96421</v>
      </c>
      <c r="G5" s="10">
        <v>83793</v>
      </c>
      <c r="H5" s="11">
        <v>16039</v>
      </c>
      <c r="I5" s="12">
        <v>52379</v>
      </c>
      <c r="J5" s="11">
        <f>SUM(G5:I5)</f>
        <v>152211</v>
      </c>
      <c r="K5" s="10">
        <v>29592</v>
      </c>
      <c r="L5" s="11">
        <v>33388</v>
      </c>
      <c r="M5" s="12">
        <v>72458</v>
      </c>
      <c r="N5" s="11">
        <f>SUM(K5:M5)</f>
        <v>135438</v>
      </c>
      <c r="O5" s="10">
        <v>55347</v>
      </c>
      <c r="P5" s="11">
        <v>49468</v>
      </c>
      <c r="Q5" s="12">
        <v>58498</v>
      </c>
      <c r="R5" s="13">
        <f>SUM(O5:Q5)</f>
        <v>163313</v>
      </c>
      <c r="S5" s="12">
        <f t="shared" ref="S5:S12" si="0">SUM(R5,N5,J5,F5)</f>
        <v>547383</v>
      </c>
    </row>
    <row r="6" spans="1:19" outlineLevel="2" x14ac:dyDescent="0.2">
      <c r="A6" s="8"/>
      <c r="B6" s="9" t="s">
        <v>21</v>
      </c>
      <c r="C6" s="10">
        <v>45696</v>
      </c>
      <c r="D6" s="11">
        <v>77739</v>
      </c>
      <c r="E6" s="12">
        <v>76476</v>
      </c>
      <c r="F6" s="11">
        <f>SUM(C6:E6)</f>
        <v>199911</v>
      </c>
      <c r="G6" s="10">
        <v>22164</v>
      </c>
      <c r="H6" s="11">
        <v>67842</v>
      </c>
      <c r="I6" s="12">
        <v>88076</v>
      </c>
      <c r="J6" s="11">
        <f>SUM(G6:I6)</f>
        <v>178082</v>
      </c>
      <c r="K6" s="10">
        <v>12602</v>
      </c>
      <c r="L6" s="11">
        <v>33981</v>
      </c>
      <c r="M6" s="12">
        <v>43565</v>
      </c>
      <c r="N6" s="11">
        <f>SUM(K6:M6)</f>
        <v>90148</v>
      </c>
      <c r="O6" s="10">
        <v>53656</v>
      </c>
      <c r="P6" s="11">
        <v>62618</v>
      </c>
      <c r="Q6" s="12">
        <v>53618</v>
      </c>
      <c r="R6" s="13">
        <f>SUM(O6:Q6)</f>
        <v>169892</v>
      </c>
      <c r="S6" s="12">
        <f t="shared" si="0"/>
        <v>638033</v>
      </c>
    </row>
    <row r="7" spans="1:19" ht="19.5" customHeight="1" outlineLevel="1" thickBot="1" x14ac:dyDescent="0.25">
      <c r="A7" s="14"/>
      <c r="B7" s="15" t="s">
        <v>22</v>
      </c>
      <c r="C7" s="16">
        <f>SUM(C4:C6)</f>
        <v>140505</v>
      </c>
      <c r="D7" s="17">
        <f>SUM(D4:D6)</f>
        <v>109824</v>
      </c>
      <c r="E7" s="18">
        <f>SUM(E4:E6)</f>
        <v>160943</v>
      </c>
      <c r="F7" s="17">
        <f>SUM(C7:E7)</f>
        <v>411272</v>
      </c>
      <c r="G7" s="16">
        <f>SUM(G4:G6)</f>
        <v>150089</v>
      </c>
      <c r="H7" s="17">
        <f>SUM(H4:H6)</f>
        <v>100157</v>
      </c>
      <c r="I7" s="18">
        <f>SUM(I4:I6)</f>
        <v>206123</v>
      </c>
      <c r="J7" s="17">
        <f>SUM(G7:I7)</f>
        <v>456369</v>
      </c>
      <c r="K7" s="16">
        <f>SUM(K4:K6)</f>
        <v>111106</v>
      </c>
      <c r="L7" s="17">
        <f>SUM(L4:L6)</f>
        <v>120026</v>
      </c>
      <c r="M7" s="18">
        <f>SUM(M4:M6)</f>
        <v>144500</v>
      </c>
      <c r="N7" s="17">
        <f>SUM(K7:M7)</f>
        <v>375632</v>
      </c>
      <c r="O7" s="16">
        <f>SUM(O4:O6)</f>
        <v>167325</v>
      </c>
      <c r="P7" s="17">
        <f>SUM(P4:P6)</f>
        <v>152251</v>
      </c>
      <c r="Q7" s="18">
        <f>SUM(Q4:Q6)</f>
        <v>154695</v>
      </c>
      <c r="R7" s="19">
        <f>SUM(O7:Q7)</f>
        <v>474271</v>
      </c>
      <c r="S7" s="18">
        <f t="shared" si="0"/>
        <v>1717544</v>
      </c>
    </row>
    <row r="8" spans="1:19" outlineLevel="1" x14ac:dyDescent="0.2">
      <c r="A8" s="43" t="s">
        <v>23</v>
      </c>
      <c r="B8" s="44"/>
      <c r="C8" s="45"/>
      <c r="D8" s="46"/>
      <c r="E8" s="47"/>
      <c r="F8" s="46"/>
      <c r="G8" s="45"/>
      <c r="H8" s="46"/>
      <c r="I8" s="47"/>
      <c r="J8" s="46"/>
      <c r="K8" s="45"/>
      <c r="L8" s="46"/>
      <c r="M8" s="47"/>
      <c r="N8" s="46"/>
      <c r="O8" s="45"/>
      <c r="P8" s="46"/>
      <c r="Q8" s="47"/>
      <c r="R8" s="48"/>
      <c r="S8" s="47"/>
    </row>
    <row r="9" spans="1:19" outlineLevel="2" x14ac:dyDescent="0.2">
      <c r="A9" s="20"/>
      <c r="B9" s="21" t="s">
        <v>24</v>
      </c>
      <c r="C9" s="22">
        <v>90196</v>
      </c>
      <c r="D9" s="23">
        <v>85310</v>
      </c>
      <c r="E9" s="24">
        <v>24513</v>
      </c>
      <c r="F9" s="23">
        <f>SUM(C9:E9)</f>
        <v>200019</v>
      </c>
      <c r="G9" s="22">
        <v>27491</v>
      </c>
      <c r="H9" s="23">
        <v>70941</v>
      </c>
      <c r="I9" s="24">
        <v>29808</v>
      </c>
      <c r="J9" s="23">
        <f>SUM(G9:I9)</f>
        <v>128240</v>
      </c>
      <c r="K9" s="22">
        <v>60486</v>
      </c>
      <c r="L9" s="23">
        <v>41903</v>
      </c>
      <c r="M9" s="24">
        <v>97986</v>
      </c>
      <c r="N9" s="23">
        <f>SUM(K9:M9)</f>
        <v>200375</v>
      </c>
      <c r="O9" s="22">
        <v>47878</v>
      </c>
      <c r="P9" s="23">
        <v>78494</v>
      </c>
      <c r="Q9" s="24">
        <v>55587</v>
      </c>
      <c r="R9" s="25">
        <f>SUM(O9:Q9)</f>
        <v>181959</v>
      </c>
      <c r="S9" s="24">
        <f t="shared" si="0"/>
        <v>710593</v>
      </c>
    </row>
    <row r="10" spans="1:19" outlineLevel="2" x14ac:dyDescent="0.2">
      <c r="A10" s="20"/>
      <c r="B10" s="21" t="s">
        <v>25</v>
      </c>
      <c r="C10" s="22">
        <v>80260</v>
      </c>
      <c r="D10" s="23">
        <v>18206</v>
      </c>
      <c r="E10" s="24">
        <v>66115</v>
      </c>
      <c r="F10" s="23">
        <f>SUM(C10:E10)</f>
        <v>164581</v>
      </c>
      <c r="G10" s="22">
        <v>62070</v>
      </c>
      <c r="H10" s="23">
        <v>46504</v>
      </c>
      <c r="I10" s="24">
        <v>16572</v>
      </c>
      <c r="J10" s="23">
        <f>SUM(G10:I10)</f>
        <v>125146</v>
      </c>
      <c r="K10" s="22">
        <v>56350</v>
      </c>
      <c r="L10" s="23">
        <v>71081</v>
      </c>
      <c r="M10" s="24">
        <v>21560</v>
      </c>
      <c r="N10" s="23">
        <f>SUM(K10:M10)</f>
        <v>148991</v>
      </c>
      <c r="O10" s="22">
        <v>55063</v>
      </c>
      <c r="P10" s="23">
        <v>71704</v>
      </c>
      <c r="Q10" s="24">
        <v>59976</v>
      </c>
      <c r="R10" s="25">
        <f>SUM(O10:Q10)</f>
        <v>186743</v>
      </c>
      <c r="S10" s="24">
        <f t="shared" si="0"/>
        <v>625461</v>
      </c>
    </row>
    <row r="11" spans="1:19" outlineLevel="2" x14ac:dyDescent="0.2">
      <c r="A11" s="20"/>
      <c r="B11" s="21" t="s">
        <v>26</v>
      </c>
      <c r="C11" s="22">
        <v>63075</v>
      </c>
      <c r="D11" s="23">
        <v>82701</v>
      </c>
      <c r="E11" s="24">
        <v>51812</v>
      </c>
      <c r="F11" s="23">
        <f>SUM(C11:E11)</f>
        <v>197588</v>
      </c>
      <c r="G11" s="22">
        <v>77758</v>
      </c>
      <c r="H11" s="23">
        <v>60902</v>
      </c>
      <c r="I11" s="24">
        <v>29935</v>
      </c>
      <c r="J11" s="23">
        <f>SUM(G11:I11)</f>
        <v>168595</v>
      </c>
      <c r="K11" s="22">
        <v>77621</v>
      </c>
      <c r="L11" s="23">
        <v>43472</v>
      </c>
      <c r="M11" s="24">
        <v>86897</v>
      </c>
      <c r="N11" s="23">
        <f>SUM(K11:M11)</f>
        <v>207990</v>
      </c>
      <c r="O11" s="22">
        <v>19076</v>
      </c>
      <c r="P11" s="23">
        <v>47278</v>
      </c>
      <c r="Q11" s="24">
        <v>89060</v>
      </c>
      <c r="R11" s="25">
        <f>SUM(O11:Q11)</f>
        <v>155414</v>
      </c>
      <c r="S11" s="24">
        <f t="shared" si="0"/>
        <v>729587</v>
      </c>
    </row>
    <row r="12" spans="1:19" ht="21" customHeight="1" outlineLevel="1" thickBot="1" x14ac:dyDescent="0.25">
      <c r="A12" s="26"/>
      <c r="B12" s="27" t="s">
        <v>27</v>
      </c>
      <c r="C12" s="28">
        <f>SUM(C9:C11)</f>
        <v>233531</v>
      </c>
      <c r="D12" s="29">
        <f>SUM(D9:D11)</f>
        <v>186217</v>
      </c>
      <c r="E12" s="30">
        <f>SUM(E9:E11)</f>
        <v>142440</v>
      </c>
      <c r="F12" s="29">
        <f>SUM(C12:E12)</f>
        <v>562188</v>
      </c>
      <c r="G12" s="28">
        <f>SUM(G9:G11)</f>
        <v>167319</v>
      </c>
      <c r="H12" s="29">
        <f>SUM(H9:H11)</f>
        <v>178347</v>
      </c>
      <c r="I12" s="30">
        <f>SUM(I9:I11)</f>
        <v>76315</v>
      </c>
      <c r="J12" s="29">
        <f>SUM(G12:I12)</f>
        <v>421981</v>
      </c>
      <c r="K12" s="28">
        <f>SUM(K9:K11)</f>
        <v>194457</v>
      </c>
      <c r="L12" s="29">
        <f>SUM(L9:L11)</f>
        <v>156456</v>
      </c>
      <c r="M12" s="30">
        <f>SUM(M9:M11)</f>
        <v>206443</v>
      </c>
      <c r="N12" s="29">
        <f>SUM(K12:M12)</f>
        <v>557356</v>
      </c>
      <c r="O12" s="28">
        <f>SUM(O9:O11)</f>
        <v>122017</v>
      </c>
      <c r="P12" s="29">
        <f>SUM(P9:P11)</f>
        <v>197476</v>
      </c>
      <c r="Q12" s="30">
        <f>SUM(Q9:Q11)</f>
        <v>204623</v>
      </c>
      <c r="R12" s="31">
        <f>SUM(O12:Q12)</f>
        <v>524116</v>
      </c>
      <c r="S12" s="30">
        <f t="shared" si="0"/>
        <v>2065641</v>
      </c>
    </row>
    <row r="13" spans="1:19" ht="24.75" customHeight="1" thickBot="1" x14ac:dyDescent="0.25">
      <c r="A13" s="32"/>
      <c r="B13" s="33" t="s">
        <v>28</v>
      </c>
      <c r="C13" s="34">
        <f>SUM(C12,C7)</f>
        <v>374036</v>
      </c>
      <c r="D13" s="35">
        <f t="shared" ref="D13:S13" si="1">SUM(D12,D7)</f>
        <v>296041</v>
      </c>
      <c r="E13" s="36">
        <f t="shared" si="1"/>
        <v>303383</v>
      </c>
      <c r="F13" s="35">
        <f t="shared" si="1"/>
        <v>973460</v>
      </c>
      <c r="G13" s="34">
        <f t="shared" si="1"/>
        <v>317408</v>
      </c>
      <c r="H13" s="35">
        <f t="shared" si="1"/>
        <v>278504</v>
      </c>
      <c r="I13" s="36">
        <f t="shared" si="1"/>
        <v>282438</v>
      </c>
      <c r="J13" s="35">
        <f t="shared" si="1"/>
        <v>878350</v>
      </c>
      <c r="K13" s="34">
        <f t="shared" si="1"/>
        <v>305563</v>
      </c>
      <c r="L13" s="35">
        <f t="shared" si="1"/>
        <v>276482</v>
      </c>
      <c r="M13" s="36">
        <f t="shared" si="1"/>
        <v>350943</v>
      </c>
      <c r="N13" s="35">
        <f t="shared" si="1"/>
        <v>932988</v>
      </c>
      <c r="O13" s="34">
        <f t="shared" si="1"/>
        <v>289342</v>
      </c>
      <c r="P13" s="35">
        <f t="shared" si="1"/>
        <v>349727</v>
      </c>
      <c r="Q13" s="36">
        <f t="shared" si="1"/>
        <v>359318</v>
      </c>
      <c r="R13" s="37">
        <f t="shared" si="1"/>
        <v>998387</v>
      </c>
      <c r="S13" s="36">
        <f t="shared" si="1"/>
        <v>3783185</v>
      </c>
    </row>
  </sheetData>
  <mergeCells count="1">
    <mergeCell ref="A1:S1"/>
  </mergeCells>
  <phoneticPr fontId="0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87" orientation="landscape" verticalDpi="1200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</vt:lpstr>
    </vt:vector>
  </TitlesOfParts>
  <Company>Monoprix 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Monoprix</dc:creator>
  <cp:lastModifiedBy>Nicolas</cp:lastModifiedBy>
  <cp:lastPrinted>2008-04-28T09:26:43Z</cp:lastPrinted>
  <dcterms:created xsi:type="dcterms:W3CDTF">2004-10-15T13:21:39Z</dcterms:created>
  <dcterms:modified xsi:type="dcterms:W3CDTF">2014-03-20T09:22:31Z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&gt;&lt;version val=&quot;16202&quot;/&gt;&lt;partner val=&quot;530&quot;/&gt;&lt;CXlWorkbook id=&quot;1&quot;&gt;&lt;m_cxllink/&gt;&lt;/CXlWorkbook&gt;&lt;/root&gt;">
    <vt:bool>false</vt:bool>
  </property>
</Properties>
</file>