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9888DF4-2AED-48BA-B5C1-1716C0940896}" xr6:coauthVersionLast="45" xr6:coauthVersionMax="45" xr10:uidLastSave="{00000000-0000-0000-0000-000000000000}"/>
  <bookViews>
    <workbookView xWindow="-120" yWindow="-120" windowWidth="29040" windowHeight="15840" xr2:uid="{2005597D-F87E-42DC-9A5A-8D4F59BE3F1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9" i="1" l="1"/>
  <c r="C20" i="1"/>
  <c r="C18" i="1"/>
  <c r="C8" i="1"/>
  <c r="C9" i="1"/>
  <c r="C10" i="1"/>
  <c r="C11" i="1"/>
  <c r="C7" i="1"/>
</calcChain>
</file>

<file path=xl/sharedStrings.xml><?xml version="1.0" encoding="utf-8"?>
<sst xmlns="http://schemas.openxmlformats.org/spreadsheetml/2006/main" count="14" uniqueCount="12">
  <si>
    <t>EDF</t>
  </si>
  <si>
    <t>SALAIRES</t>
  </si>
  <si>
    <t>ENTRETIEN</t>
  </si>
  <si>
    <t>FOURNITURES</t>
  </si>
  <si>
    <t>MATIERES PREMEIRES</t>
  </si>
  <si>
    <t>TOTAL</t>
  </si>
  <si>
    <t>PRODUITS</t>
  </si>
  <si>
    <t>VENTES</t>
  </si>
  <si>
    <t>SERVICES</t>
  </si>
  <si>
    <t>LOCATIONS</t>
  </si>
  <si>
    <t>PART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</si>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</sst>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uble">
        <color auto="1"/>
      </left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0" fontId="0" fillId="0" borderId="2" xfId="0" applyBorder="1"/>
    <xf numFmtId="43" fontId="0" fillId="0" borderId="3" xfId="1" applyFont="1" applyBorder="1"/>
    <xf numFmtId="164" fontId="0" fillId="0" borderId="4" xfId="2" applyNumberFormat="1" applyFont="1" applyBorder="1"/>
    <xf numFmtId="0" fontId="0" fillId="0" borderId="5" xfId="0" applyBorder="1"/>
    <xf numFmtId="43" fontId="0" fillId="0" borderId="6" xfId="1" applyFont="1" applyBorder="1"/>
    <xf numFmtId="164" fontId="0" fillId="0" borderId="7" xfId="2" applyNumberFormat="1" applyFont="1" applyBorder="1"/>
    <xf numFmtId="0" fontId="0" fillId="0" borderId="8" xfId="0" applyBorder="1"/>
    <xf numFmtId="43" fontId="0" fillId="0" borderId="9" xfId="1" applyFont="1" applyBorder="1"/>
    <xf numFmtId="164" fontId="0" fillId="0" borderId="10" xfId="2" applyNumberFormat="1" applyFont="1" applyBorder="1"/>
    <xf numFmtId="0" fontId="0" fillId="0" borderId="0" xfId="0" applyFill="1"/>
    <xf numFmtId="0" fontId="2" fillId="2" borderId="1" xfId="0" applyFont="1" applyFill="1" applyBorder="1" applyAlignment="1">
      <alignment horizontal="center" vertical="center"/>
    </xf>
    <xf numFmtId="43" fontId="0" fillId="2" borderId="12" xfId="1" applyFont="1" applyFill="1" applyBorder="1"/>
    <xf numFmtId="0" fontId="0" fillId="2" borderId="11" xfId="0" applyFill="1" applyBorder="1"/>
    <xf numFmtId="0" fontId="0" fillId="0" borderId="0" xfId="0" applyFill="1" applyBorder="1"/>
    <xf numFmtId="43" fontId="0" fillId="0" borderId="0" xfId="1" applyFont="1" applyFill="1" applyBorder="1"/>
    <xf numFmtId="0" fontId="0" fillId="3" borderId="11" xfId="0" applyFill="1" applyBorder="1"/>
    <xf numFmtId="43" fontId="0" fillId="3" borderId="12" xfId="1" applyFont="1" applyFill="1" applyBorder="1"/>
    <xf numFmtId="0" fontId="2" fillId="3" borderId="1" xfId="0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fr-FR"/>
              <a:t>Répartition sdes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Feuil1!$A$7:$A$11</c:f>
              <c:strCache>
                <c:ptCount val="5"/>
                <c:pt idx="0">
                  <c:v>EDF</c:v>
                </c:pt>
                <c:pt idx="1">
                  <c:v>SALAIRES</c:v>
                </c:pt>
                <c:pt idx="2">
                  <c:v>ENTRETIEN</c:v>
                </c:pt>
                <c:pt idx="3">
                  <c:v>FOURNITURES</c:v>
                </c:pt>
                <c:pt idx="4">
                  <c:v>MATIERES PREMEIRES</c:v>
                </c:pt>
              </c:strCache>
            </c:strRef>
          </c:cat>
          <c:val>
            <c:numRef>
              <c:f>Feuil1!$B$7:$B$11</c:f>
              <c:numCache>
                <c:formatCode>_(* #,##0.00_);_(* \(#,##0.00\);_(* "-"??_);_(@_)</c:formatCode>
                <c:ptCount val="5"/>
                <c:pt idx="0">
                  <c:v>80</c:v>
                </c:pt>
                <c:pt idx="1">
                  <c:v>300</c:v>
                </c:pt>
                <c:pt idx="2">
                  <c:v>200</c:v>
                </c:pt>
                <c:pt idx="3">
                  <c:v>350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4-4C03-9518-DBD618FD07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02634864"/>
        <c:axId val="300676016"/>
      </c:barChart>
      <c:catAx>
        <c:axId val="30263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676016"/>
        <c:crosses val="autoZero"/>
        <c:auto val="1"/>
        <c:lblAlgn val="ctr"/>
        <c:lblOffset val="100"/>
        <c:noMultiLvlLbl val="0"/>
      </c:catAx>
      <c:valAx>
        <c:axId val="300676016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30263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Feuil1!$A$18:$A$20</c:f>
              <c:strCache>
                <c:ptCount val="3"/>
                <c:pt idx="0">
                  <c:v>VENTES</c:v>
                </c:pt>
                <c:pt idx="1">
                  <c:v>SERVICES</c:v>
                </c:pt>
                <c:pt idx="2">
                  <c:v>LOCATIONS</c:v>
                </c:pt>
              </c:strCache>
            </c:strRef>
          </c:cat>
          <c:val>
            <c:numRef>
              <c:f>Feuil1!$B$18:$B$20</c:f>
              <c:numCache>
                <c:formatCode>_(* #,##0.00_);_(* \(#,##0.00\);_(* "-"??_);_(@_)</c:formatCode>
                <c:ptCount val="3"/>
                <c:pt idx="0">
                  <c:v>800</c:v>
                </c:pt>
                <c:pt idx="1">
                  <c:v>250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4-49D3-BF08-0FDDC33E4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70608"/>
        <c:axId val="300681424"/>
      </c:barChart>
      <c:catAx>
        <c:axId val="2138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681424"/>
        <c:crosses val="autoZero"/>
        <c:auto val="1"/>
        <c:lblAlgn val="ctr"/>
        <c:lblOffset val="100"/>
        <c:noMultiLvlLbl val="0"/>
      </c:catAx>
      <c:valAx>
        <c:axId val="3006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8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719137</xdr:colOff>
      <xdr:row>0</xdr:row>
      <xdr:rowOff>94061</xdr:rowOff>
    </xdr:from>
    <xdr:to>
      <xdr:col>2</xdr:col>
      <xdr:colOff>184546</xdr:colOff>
      <xdr:row>2</xdr:row>
      <xdr:rowOff>184548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D9175F6E-C104-4C76-8094-F687A48CDDDA}"/>
            </a:ext>
          </a:extLst>
        </xdr:cNvPr>
        <xdr:cNvSpPr/>
      </xdr:nvSpPr>
      <xdr:spPr>
        <a:xfrm>
          <a:off x="719137" y="94061"/>
          <a:ext cx="1888331" cy="471487"/>
        </a:xfrm>
        <a:prstGeom prst="round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4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4">
                <a:lumMod val="40000"/>
                <a:lumOff val="60000"/>
                <a:shade val="100000"/>
                <a:satMod val="115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fr-FR" sz="1100" b="1" cap="none" spc="0">
              <a:ln/>
              <a:solidFill>
                <a:sysClr val="windowText" lastClr="000000"/>
              </a:solidFill>
              <a:effectLst/>
            </a:rPr>
            <a:t>SOCIETE</a:t>
          </a:r>
          <a:r>
            <a:rPr lang="fr-FR" sz="1100" b="1" cap="none" spc="0">
              <a:ln/>
              <a:solidFill>
                <a:schemeClr val="accent3"/>
              </a:solidFill>
              <a:effectLst/>
            </a:rPr>
            <a:t> </a:t>
          </a:r>
          <a:r>
            <a:rPr lang="fr-FR" sz="1100" b="1" cap="none" spc="0">
              <a:ln/>
              <a:solidFill>
                <a:sysClr val="windowText" lastClr="000000"/>
              </a:solidFill>
              <a:effectLst/>
            </a:rPr>
            <a:t>MARTIN</a:t>
          </a:r>
        </a:p>
      </xdr:txBody>
    </xdr:sp>
    <xdr:clientData/>
  </xdr:twoCellAnchor>
  <xdr:twoCellAnchor>
    <xdr:from>
      <xdr:col>3</xdr:col>
      <xdr:colOff>759024</xdr:colOff>
      <xdr:row>4</xdr:row>
      <xdr:rowOff>65484</xdr:rowOff>
    </xdr:from>
    <xdr:to>
      <xdr:col>8</xdr:col>
      <xdr:colOff>756047</xdr:colOff>
      <xdr:row>12</xdr:row>
      <xdr:rowOff>196454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0BA2B0F-B46D-46DB-ADBA-621EC139B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753071</xdr:colOff>
      <xdr:row>15</xdr:row>
      <xdr:rowOff>0</xdr:rowOff>
    </xdr:from>
    <xdr:to>
      <xdr:col>8</xdr:col>
      <xdr:colOff>625079</xdr:colOff>
      <xdr:row>22</xdr:row>
      <xdr:rowOff>5953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29FE1ED-8EA5-4DE5-8F44-82BEF2851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5EBA-821D-4EC3-A5C2-1E3053CCD5A6}">
  <dimension ref="A3:F23"/>
  <sheetViews>
    <sheetView tabSelected="1" zoomScale="160" zoomScaleNormal="160" workbookViewId="0">
      <selection activeCell="E3" sqref="E3"/>
    </sheetView>
  </sheetViews>
  <sheetFormatPr baseColWidth="10" defaultRowHeight="15" x14ac:dyDescent="0.25"/>
  <cols>
    <col min="1" max="1" width="23.28515625" customWidth="1"/>
    <col min="2" max="2" width="13" customWidth="1"/>
    <col min="3" max="3" width="12.140625" bestFit="1" customWidth="1"/>
  </cols>
  <sheetData>
    <row r="3" spans="1:6" ht="30.75" customHeight="1" x14ac:dyDescent="0.25"/>
    <row r="4" spans="1:6" ht="15.75" thickBot="1" x14ac:dyDescent="0.3"/>
    <row r="5" spans="1:6" ht="16.5" thickTop="1" thickBot="1" x14ac:dyDescent="0.3">
      <c r="A5" s="12" t="s">
        <v>11</v>
      </c>
      <c r="C5" s="12" t="s">
        <v>10</v>
      </c>
    </row>
    <row r="6" spans="1:6" ht="16.5" thickTop="1" thickBot="1" x14ac:dyDescent="0.3">
      <c r="B6" s="1"/>
      <c r="C6" s="11"/>
    </row>
    <row r="7" spans="1:6" ht="15.75" thickTop="1" x14ac:dyDescent="0.25">
      <c r="A7" s="2" t="s">
        <v>0</v>
      </c>
      <c r="B7" s="3">
        <v>80</v>
      </c>
      <c r="C7" s="4">
        <f>B7/$B$13</f>
        <v>5.2287581699346407E-2</v>
      </c>
    </row>
    <row r="8" spans="1:6" x14ac:dyDescent="0.25">
      <c r="A8" s="5" t="s">
        <v>1</v>
      </c>
      <c r="B8" s="6">
        <v>300</v>
      </c>
      <c r="C8" s="7">
        <f t="shared" ref="C8:C11" si="0">B8/$B$13</f>
        <v>0.19607843137254902</v>
      </c>
    </row>
    <row r="9" spans="1:6" x14ac:dyDescent="0.25">
      <c r="A9" s="5" t="s">
        <v>2</v>
      </c>
      <c r="B9" s="6">
        <v>200</v>
      </c>
      <c r="C9" s="7">
        <f t="shared" si="0"/>
        <v>0.13071895424836602</v>
      </c>
    </row>
    <row r="10" spans="1:6" x14ac:dyDescent="0.25">
      <c r="A10" s="5" t="s">
        <v>3</v>
      </c>
      <c r="B10" s="6">
        <v>350</v>
      </c>
      <c r="C10" s="7">
        <f t="shared" si="0"/>
        <v>0.22875816993464052</v>
      </c>
    </row>
    <row r="11" spans="1:6" ht="15.75" thickBot="1" x14ac:dyDescent="0.3">
      <c r="A11" s="8" t="s">
        <v>4</v>
      </c>
      <c r="B11" s="9">
        <v>600</v>
      </c>
      <c r="C11" s="10">
        <f t="shared" si="0"/>
        <v>0.39215686274509803</v>
      </c>
    </row>
    <row r="12" spans="1:6" ht="16.5" thickTop="1" thickBot="1" x14ac:dyDescent="0.3">
      <c r="B12" s="1"/>
    </row>
    <row r="13" spans="1:6" ht="16.5" thickTop="1" thickBot="1" x14ac:dyDescent="0.3">
      <c r="A13" s="14" t="s">
        <v>5</v>
      </c>
      <c r="B13" s="13">
        <v>1530</v>
      </c>
    </row>
    <row r="14" spans="1:6" s="11" customFormat="1" ht="15.75" thickTop="1" x14ac:dyDescent="0.25">
      <c r="A14" s="15"/>
      <c r="B14" s="16"/>
    </row>
    <row r="15" spans="1:6" ht="15.75" customHeight="1" thickBot="1" x14ac:dyDescent="0.3">
      <c r="B15" s="1"/>
      <c r="D15" s="11"/>
    </row>
    <row r="16" spans="1:6" ht="16.5" thickTop="1" thickBot="1" x14ac:dyDescent="0.3">
      <c r="A16" s="19" t="s">
        <v>6</v>
      </c>
      <c r="B16" s="1"/>
      <c r="C16" s="19" t="s">
        <v>10</v>
      </c>
      <c r="F16" s="11"/>
    </row>
    <row r="17" spans="1:3" ht="16.5" thickTop="1" thickBot="1" x14ac:dyDescent="0.3">
      <c r="B17" s="1"/>
    </row>
    <row r="18" spans="1:3" ht="15.75" thickTop="1" x14ac:dyDescent="0.25">
      <c r="A18" s="2" t="s">
        <v>7</v>
      </c>
      <c r="B18" s="3">
        <v>800</v>
      </c>
      <c r="C18" s="4">
        <f>B18/$B$22</f>
        <v>0.68376068376068377</v>
      </c>
    </row>
    <row r="19" spans="1:3" x14ac:dyDescent="0.25">
      <c r="A19" s="5" t="s">
        <v>8</v>
      </c>
      <c r="B19" s="6">
        <v>250</v>
      </c>
      <c r="C19" s="7">
        <f t="shared" ref="C19:C20" si="1">B19/$B$22</f>
        <v>0.21367521367521367</v>
      </c>
    </row>
    <row r="20" spans="1:3" ht="15.75" thickBot="1" x14ac:dyDescent="0.3">
      <c r="A20" s="8" t="s">
        <v>9</v>
      </c>
      <c r="B20" s="9">
        <v>120</v>
      </c>
      <c r="C20" s="10">
        <f t="shared" si="1"/>
        <v>0.10256410256410256</v>
      </c>
    </row>
    <row r="21" spans="1:3" ht="16.5" thickTop="1" thickBot="1" x14ac:dyDescent="0.3"/>
    <row r="22" spans="1:3" ht="16.5" thickTop="1" thickBot="1" x14ac:dyDescent="0.3">
      <c r="A22" s="17" t="s">
        <v>5</v>
      </c>
      <c r="B22" s="18">
        <v>1170</v>
      </c>
    </row>
    <row r="23" spans="1:3" ht="15.75" thickTop="1" x14ac:dyDescent="0.25"/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&amp;L&amp;EEXTRAIT DE COMPTE&amp;R&amp;D</oddHeader>
    <oddFooter xml:space="preserve">&amp;Csté MARTIN
8, boulevard des Italiens
75001 PARIS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Aubert 7</dc:creator>
  <cp:lastModifiedBy>Aubert 7</cp:lastModifiedBy>
  <cp:lastPrinted>2020-12-16T11:24:58Z</cp:lastPrinted>
  <dcterms:created xsi:type="dcterms:W3CDTF">2020-12-16T11:06:40Z</dcterms:created>
  <dcterms:modified xsi:type="dcterms:W3CDTF">2020-12-16T11:37:03Z</dcterms:modified>
</cp:coreProperties>
</file>