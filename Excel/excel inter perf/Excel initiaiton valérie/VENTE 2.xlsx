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 initiaiton valérie\"/>
    </mc:Choice>
  </mc:AlternateContent>
  <xr:revisionPtr revIDLastSave="0" documentId="13_ncr:1_{3F0ABC7B-25D5-47B9-B9A7-FB8A85830197}" xr6:coauthVersionLast="45" xr6:coauthVersionMax="45" xr10:uidLastSave="{00000000-0000-0000-0000-000000000000}"/>
  <bookViews>
    <workbookView xWindow="-120" yWindow="-120" windowWidth="29040" windowHeight="15840" xr2:uid="{045FDB6D-9474-46A8-8B59-A820DA64B99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3" i="1" l="1"/>
  <c r="D14" i="1"/>
  <c r="E14" i="1"/>
  <c r="F5" i="1" l="1"/>
  <c r="F6" i="1"/>
  <c r="F7" i="1"/>
  <c r="F8" i="1"/>
  <c r="F4" i="1"/>
  <c r="D9" i="1"/>
  <c r="E9" i="1"/>
  <c r="C9" i="1"/>
  <c r="C10" i="1" l="1"/>
  <c r="C11" i="1" s="1"/>
  <c r="C14" i="1"/>
  <c r="D10" i="1"/>
  <c r="E10" i="1"/>
  <c r="E11" i="1" s="1"/>
  <c r="F10" i="1"/>
  <c r="F9" i="1"/>
  <c r="F11" i="1" s="1"/>
  <c r="D11" i="1"/>
  <c r="G6" i="1" l="1"/>
  <c r="D13" i="1"/>
  <c r="G7" i="1"/>
  <c r="G8" i="1"/>
  <c r="C13" i="1"/>
  <c r="G5" i="1"/>
  <c r="G4" i="1"/>
</calcChain>
</file>

<file path=xl/sharedStrings.xml><?xml version="1.0" encoding="utf-8"?>
<sst xmlns="http://schemas.openxmlformats.org/spreadsheetml/2006/main" count="17" uniqueCount="17">
  <si>
    <t>TRIM1</t>
  </si>
  <si>
    <t>TRIM2</t>
  </si>
  <si>
    <t>TRIM3</t>
  </si>
  <si>
    <t>TOTAL</t>
  </si>
  <si>
    <t>référence 10</t>
  </si>
  <si>
    <t>référence 20</t>
  </si>
  <si>
    <t>référence 30</t>
  </si>
  <si>
    <t xml:space="preserve">référence 40 </t>
  </si>
  <si>
    <t>référence 50</t>
  </si>
  <si>
    <t>Total</t>
  </si>
  <si>
    <t>TVA</t>
  </si>
  <si>
    <t>TTC</t>
  </si>
  <si>
    <t>REFERENCE</t>
  </si>
  <si>
    <t>GUERIN</t>
  </si>
  <si>
    <t>Part en %</t>
  </si>
  <si>
    <t>% TRIM</t>
  </si>
  <si>
    <t>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</si>
</sst>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&quot;€&quot;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0">
    <border>
      <left/>
      <right/>
      <top/>
      <bottom/>
      <diagonal/>
    </border>
    <border>
      <left style="double">
        <color theme="9" tint="-0.24994659260841701"/>
      </left>
      <right style="mediumDashDotDot">
        <color theme="8" tint="-0.24994659260841701"/>
      </right>
      <top style="double">
        <color theme="9" tint="-0.24994659260841701"/>
      </top>
      <bottom style="double">
        <color theme="9" tint="-0.24994659260841701"/>
      </bottom>
      <diagonal/>
    </border>
    <border>
      <left style="mediumDashDotDot">
        <color theme="8" tint="-0.24994659260841701"/>
      </left>
      <right style="mediumDashDotDot">
        <color theme="8" tint="-0.24994659260841701"/>
      </right>
      <top style="double">
        <color theme="9" tint="-0.24994659260841701"/>
      </top>
      <bottom style="double">
        <color theme="9" tint="-0.24994659260841701"/>
      </bottom>
      <diagonal/>
    </border>
    <border>
      <left style="mediumDashDotDot">
        <color theme="8" tint="-0.24994659260841701"/>
      </left>
      <right style="double">
        <color theme="9" tint="-0.24994659260841701"/>
      </right>
      <top style="double">
        <color theme="9" tint="-0.24994659260841701"/>
      </top>
      <bottom style="double">
        <color theme="9" tint="-0.24994659260841701"/>
      </bottom>
      <diagonal/>
    </border>
    <border>
      <left style="double">
        <color theme="9" tint="-0.24994659260841701"/>
      </left>
      <right style="mediumDashDotDot">
        <color theme="8" tint="-0.24994659260841701"/>
      </right>
      <top style="double">
        <color theme="9" tint="-0.24994659260841701"/>
      </top>
      <bottom/>
      <diagonal/>
    </border>
    <border>
      <left style="mediumDashDotDot">
        <color theme="8" tint="-0.24994659260841701"/>
      </left>
      <right style="mediumDashDotDot">
        <color theme="8" tint="-0.24994659260841701"/>
      </right>
      <top style="double">
        <color theme="9" tint="-0.24994659260841701"/>
      </top>
      <bottom/>
      <diagonal/>
    </border>
    <border>
      <left style="mediumDashDotDot">
        <color theme="8" tint="-0.24994659260841701"/>
      </left>
      <right style="double">
        <color theme="9" tint="-0.24994659260841701"/>
      </right>
      <top style="double">
        <color theme="9" tint="-0.24994659260841701"/>
      </top>
      <bottom/>
      <diagonal/>
    </border>
    <border>
      <left style="double">
        <color theme="9" tint="-0.24994659260841701"/>
      </left>
      <right style="mediumDashDotDot">
        <color theme="8" tint="-0.24994659260841701"/>
      </right>
      <top/>
      <bottom/>
      <diagonal/>
    </border>
    <border>
      <left style="mediumDashDotDot">
        <color theme="8" tint="-0.24994659260841701"/>
      </left>
      <right style="mediumDashDotDot">
        <color theme="8" tint="-0.24994659260841701"/>
      </right>
      <top/>
      <bottom/>
      <diagonal/>
    </border>
    <border>
      <left style="mediumDashDotDot">
        <color theme="8" tint="-0.24994659260841701"/>
      </left>
      <right style="double">
        <color theme="9" tint="-0.24994659260841701"/>
      </right>
      <top/>
      <bottom/>
      <diagonal/>
    </border>
    <border>
      <left style="double">
        <color theme="9" tint="-0.24994659260841701"/>
      </left>
      <right style="mediumDashDotDot">
        <color theme="8" tint="-0.24994659260841701"/>
      </right>
      <top/>
      <bottom style="double">
        <color theme="9" tint="-0.24994659260841701"/>
      </bottom>
      <diagonal/>
    </border>
    <border>
      <left style="mediumDashDotDot">
        <color theme="8" tint="-0.24994659260841701"/>
      </left>
      <right style="mediumDashDotDot">
        <color theme="8" tint="-0.24994659260841701"/>
      </right>
      <top/>
      <bottom style="double">
        <color theme="9" tint="-0.24994659260841701"/>
      </bottom>
      <diagonal/>
    </border>
    <border>
      <left style="mediumDashDotDot">
        <color theme="8" tint="-0.24994659260841701"/>
      </left>
      <right style="double">
        <color theme="9" tint="-0.24994659260841701"/>
      </right>
      <top/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/>
      <diagonal/>
    </border>
    <border>
      <left style="double">
        <color theme="9" tint="-0.24994659260841701"/>
      </left>
      <right style="double">
        <color theme="9" tint="-0.24994659260841701"/>
      </right>
      <top/>
      <bottom/>
      <diagonal/>
    </border>
    <border>
      <left style="double">
        <color theme="9" tint="-0.24994659260841701"/>
      </left>
      <right style="double">
        <color theme="9" tint="-0.24994659260841701"/>
      </right>
      <top/>
      <bottom style="double">
        <color theme="9" tint="-0.2499465926084170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3" fontId="0" fillId="0" borderId="5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1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43" fontId="0" fillId="0" borderId="5" xfId="1" applyFont="1" applyBorder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" fontId="0" fillId="0" borderId="9" xfId="1" applyNumberFormat="1" applyFont="1" applyBorder="1" applyAlignment="1">
      <alignment horizontal="center" vertical="center"/>
    </xf>
    <xf numFmtId="4" fontId="0" fillId="0" borderId="12" xfId="1" applyNumberFormat="1" applyFont="1" applyBorder="1" applyAlignment="1">
      <alignment horizontal="center" vertical="center"/>
    </xf>
    <xf numFmtId="4" fontId="0" fillId="0" borderId="6" xfId="1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3" fontId="0" fillId="2" borderId="8" xfId="1" applyFont="1" applyFill="1" applyBorder="1" applyAlignment="1">
      <alignment horizontal="center" vertical="center"/>
    </xf>
    <xf numFmtId="4" fontId="0" fillId="2" borderId="9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43" fontId="2" fillId="3" borderId="2" xfId="1" applyFont="1" applyFill="1" applyBorder="1" applyAlignment="1">
      <alignment horizontal="center" vertical="center"/>
    </xf>
    <xf numFmtId="4" fontId="2" fillId="3" borderId="3" xfId="1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43" fontId="8" fillId="0" borderId="11" xfId="1" applyFont="1" applyBorder="1" applyAlignment="1">
      <alignment horizontal="center" vertical="center"/>
    </xf>
    <xf numFmtId="4" fontId="8" fillId="0" borderId="12" xfId="1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textRotation="90"/>
    </xf>
    <xf numFmtId="0" fontId="4" fillId="3" borderId="14" xfId="0" applyFont="1" applyFill="1" applyBorder="1" applyAlignment="1">
      <alignment horizontal="center" vertical="center" textRotation="90"/>
    </xf>
    <xf numFmtId="0" fontId="4" fillId="3" borderId="15" xfId="0" applyFont="1" applyFill="1" applyBorder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9" fontId="0" fillId="0" borderId="17" xfId="2" applyFont="1" applyBorder="1"/>
    <xf numFmtId="9" fontId="0" fillId="0" borderId="18" xfId="2" applyFont="1" applyBorder="1"/>
    <xf numFmtId="9" fontId="0" fillId="0" borderId="19" xfId="2" applyFont="1" applyBorder="1"/>
    <xf numFmtId="43" fontId="0" fillId="0" borderId="17" xfId="1" applyFont="1" applyBorder="1"/>
    <xf numFmtId="43" fontId="0" fillId="0" borderId="18" xfId="1" applyFont="1" applyBorder="1"/>
    <xf numFmtId="43" fontId="0" fillId="0" borderId="19" xfId="1" applyFont="1" applyBorder="1"/>
    <xf numFmtId="0" fontId="0" fillId="2" borderId="16" xfId="0" applyFill="1" applyBorder="1" applyAlignment="1">
      <alignment horizontal="left"/>
    </xf>
    <xf numFmtId="9" fontId="0" fillId="2" borderId="16" xfId="0" applyNumberFormat="1" applyFill="1" applyBorder="1" applyAlignment="1">
      <alignment horizontal="left"/>
    </xf>
    <xf numFmtId="165" fontId="0" fillId="0" borderId="13" xfId="2" applyNumberFormat="1" applyFont="1" applyBorder="1"/>
    <xf numFmtId="165" fontId="0" fillId="0" borderId="14" xfId="2" applyNumberFormat="1" applyFont="1" applyBorder="1"/>
    <xf numFmtId="165" fontId="0" fillId="0" borderId="15" xfId="2" applyNumberFormat="1" applyFont="1" applyBorder="1"/>
    <xf numFmtId="165" fontId="0" fillId="0" borderId="14" xfId="2" applyNumberFormat="1" applyFont="1" applyFill="1" applyBorder="1"/>
  </cellXfs>
  <cellStyles count="3">
    <cellStyle name="Milliers" xfId="1" builtinId="3"/>
    <cellStyle name="Normal" xfId="0" builtinId="0"/>
    <cellStyle name="Pourcentag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ventes par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Feuil1!$C$3</c:f>
              <c:strCache>
                <c:ptCount val="1"/>
                <c:pt idx="0">
                  <c:v>TRIM1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Feuil1!$B$4:$B$8</c:f>
              <c:strCache>
                <c:ptCount val="5"/>
                <c:pt idx="0">
                  <c:v>référence 10</c:v>
                </c:pt>
                <c:pt idx="1">
                  <c:v>référence 20</c:v>
                </c:pt>
                <c:pt idx="2">
                  <c:v>référence 30</c:v>
                </c:pt>
                <c:pt idx="3">
                  <c:v>référence 40 </c:v>
                </c:pt>
                <c:pt idx="4">
                  <c:v>référence 50</c:v>
                </c:pt>
              </c:strCache>
            </c:strRef>
          </c:cat>
          <c:val>
            <c:numRef>
              <c:f>Feuil1!$C$4:$C$8</c:f>
              <c:numCache>
                <c:formatCode>_(* #,##0.00_);_(* \(#,##0.00\);_(* "-"??_);_(@_)</c:formatCode>
                <c:ptCount val="5"/>
                <c:pt idx="0">
                  <c:v>12000</c:v>
                </c:pt>
                <c:pt idx="1">
                  <c:v>15000</c:v>
                </c:pt>
                <c:pt idx="2">
                  <c:v>14500</c:v>
                </c:pt>
                <c:pt idx="3">
                  <c:v>16200</c:v>
                </c:pt>
                <c:pt idx="4">
                  <c:v>13100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1-48B1-AEE3-EBA5A044B972}"/>
            </c:ext>
          </c:extLst>
        </c:ser>
        <c:ser>
          <c:idx val="1"/>
          <c:order val="1"/>
          <c:tx>
            <c:strRef>
              <c:f>Feuil1!$D$3</c:f>
              <c:strCache>
                <c:ptCount val="1"/>
                <c:pt idx="0">
                  <c:v>TRIM2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Feuil1!$B$4:$B$8</c:f>
              <c:strCache>
                <c:ptCount val="5"/>
                <c:pt idx="0">
                  <c:v>référence 10</c:v>
                </c:pt>
                <c:pt idx="1">
                  <c:v>référence 20</c:v>
                </c:pt>
                <c:pt idx="2">
                  <c:v>référence 30</c:v>
                </c:pt>
                <c:pt idx="3">
                  <c:v>référence 40 </c:v>
                </c:pt>
                <c:pt idx="4">
                  <c:v>référence 50</c:v>
                </c:pt>
              </c:strCache>
            </c:strRef>
          </c:cat>
          <c:val>
            <c:numRef>
              <c:f>Feuil1!$D$4:$D$8</c:f>
              <c:numCache>
                <c:formatCode>_(* #,##0.00_);_(* \(#,##0.00\);_(* "-"??_);_(@_)</c:formatCode>
                <c:ptCount val="5"/>
                <c:pt idx="0">
                  <c:v>13000</c:v>
                </c:pt>
                <c:pt idx="1">
                  <c:v>52000</c:v>
                </c:pt>
                <c:pt idx="2">
                  <c:v>14000</c:v>
                </c:pt>
                <c:pt idx="3">
                  <c:v>12500</c:v>
                </c:pt>
                <c:pt idx="4">
                  <c:v>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1-48B1-AEE3-EBA5A044B972}"/>
            </c:ext>
          </c:extLst>
        </c:ser>
        <c:ser>
          <c:idx val="2"/>
          <c:order val="2"/>
          <c:tx>
            <c:strRef>
              <c:f>Feuil1!$E$3</c:f>
              <c:strCache>
                <c:ptCount val="1"/>
                <c:pt idx="0">
                  <c:v>TRIM3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Feuil1!$B$4:$B$8</c:f>
              <c:strCache>
                <c:ptCount val="5"/>
                <c:pt idx="0">
                  <c:v>référence 10</c:v>
                </c:pt>
                <c:pt idx="1">
                  <c:v>référence 20</c:v>
                </c:pt>
                <c:pt idx="2">
                  <c:v>référence 30</c:v>
                </c:pt>
                <c:pt idx="3">
                  <c:v>référence 40 </c:v>
                </c:pt>
                <c:pt idx="4">
                  <c:v>référence 50</c:v>
                </c:pt>
              </c:strCache>
            </c:strRef>
          </c:cat>
          <c:val>
            <c:numRef>
              <c:f>Feuil1!$E$4:$E$8</c:f>
              <c:numCache>
                <c:formatCode>_(* #,##0.00_);_(* \(#,##0.00\);_(* "-"??_);_(@_)</c:formatCode>
                <c:ptCount val="5"/>
                <c:pt idx="0">
                  <c:v>13200</c:v>
                </c:pt>
                <c:pt idx="1">
                  <c:v>14500</c:v>
                </c:pt>
                <c:pt idx="2">
                  <c:v>16500</c:v>
                </c:pt>
                <c:pt idx="3">
                  <c:v>12500</c:v>
                </c:pt>
                <c:pt idx="4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1-48B1-AEE3-EBA5A044B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149536"/>
        <c:axId val="313912240"/>
      </c:barChart>
      <c:catAx>
        <c:axId val="314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3912240"/>
        <c:crosses val="autoZero"/>
        <c:auto val="1"/>
        <c:lblAlgn val="ctr"/>
        <c:lblOffset val="100"/>
        <c:noMultiLvlLbl val="0"/>
      </c:catAx>
      <c:valAx>
        <c:axId val="3139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41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5F-4958-A616-3741F8A60D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5F-4958-A616-3741F8A60D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5F-4958-A616-3741F8A60D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5F-4958-A616-3741F8A60D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5F-4958-A616-3741F8A60D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Feuil1!$B$4:$B$8</c:f>
              <c:strCache>
                <c:ptCount val="5"/>
                <c:pt idx="0">
                  <c:v>référence 10</c:v>
                </c:pt>
                <c:pt idx="1">
                  <c:v>référence 20</c:v>
                </c:pt>
                <c:pt idx="2">
                  <c:v>référence 30</c:v>
                </c:pt>
                <c:pt idx="3">
                  <c:v>référence 40 </c:v>
                </c:pt>
                <c:pt idx="4">
                  <c:v>référence 50</c:v>
                </c:pt>
              </c:strCache>
            </c:strRef>
          </c:cat>
          <c:val>
            <c:numRef>
              <c:f>Feuil1!$F$4:$F$8</c:f>
              <c:numCache>
                <c:formatCode>#,##0.00</c:formatCode>
                <c:ptCount val="5"/>
                <c:pt idx="0">
                  <c:v>38200</c:v>
                </c:pt>
                <c:pt idx="1">
                  <c:v>81500</c:v>
                </c:pt>
                <c:pt idx="2">
                  <c:v>45000</c:v>
                </c:pt>
                <c:pt idx="3">
                  <c:v>41200</c:v>
                </c:pt>
                <c:pt idx="4">
                  <c:v>37800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E-4609-87DC-533F4133CAD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98913</xdr:colOff>
      <xdr:row>15</xdr:row>
      <xdr:rowOff>167054</xdr:rowOff>
    </xdr:from>
    <xdr:to>
      <xdr:col>5</xdr:col>
      <xdr:colOff>747346</xdr:colOff>
      <xdr:row>29</xdr:row>
      <xdr:rowOff>80597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6CD1A13-6602-428A-9F2C-1066AA806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32971</xdr:colOff>
      <xdr:row>15</xdr:row>
      <xdr:rowOff>174382</xdr:rowOff>
    </xdr:from>
    <xdr:to>
      <xdr:col>11</xdr:col>
      <xdr:colOff>696058</xdr:colOff>
      <xdr:row>28</xdr:row>
      <xdr:rowOff>139212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B96F024-B4E7-44B8-884D-F1CD816FC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343C-0C89-4912-9C40-50B5061C3230}">
  <dimension ref="A1:G15"/>
  <sheetViews>
    <sheetView tabSelected="1" topLeftCell="A7" zoomScale="130" zoomScaleNormal="130" workbookViewId="0">
      <selection activeCell="I6" sqref="I6"/>
    </sheetView>
  </sheetViews>
  <sheetFormatPr baseColWidth="10" defaultRowHeight="15" x14ac:dyDescent="0.25"/>
  <cols>
    <col min="1" max="1" width="4" customWidth="1"/>
    <col min="2" max="2" width="13.85546875" style="5" customWidth="1"/>
    <col min="3" max="5" width="13.5703125" customWidth="1"/>
    <col min="6" max="6" width="13.5703125" style="10" customWidth="1"/>
  </cols>
  <sheetData>
    <row r="1" spans="1:7" ht="21" x14ac:dyDescent="0.35">
      <c r="A1" s="29" t="s">
        <v>13</v>
      </c>
      <c r="B1" s="29"/>
      <c r="C1" s="29"/>
      <c r="D1" s="29"/>
      <c r="E1" s="29"/>
      <c r="F1" s="29"/>
    </row>
    <row r="2" spans="1:7" ht="21.75" customHeight="1" thickBot="1" x14ac:dyDescent="0.3"/>
    <row r="3" spans="1:7" ht="18" customHeight="1" thickTop="1" thickBot="1" x14ac:dyDescent="0.3">
      <c r="C3" s="17" t="s">
        <v>0</v>
      </c>
      <c r="D3" s="18" t="s">
        <v>1</v>
      </c>
      <c r="E3" s="18" t="s">
        <v>2</v>
      </c>
      <c r="F3" s="19" t="s">
        <v>3</v>
      </c>
      <c r="G3" s="30" t="s">
        <v>14</v>
      </c>
    </row>
    <row r="4" spans="1:7" s="2" customFormat="1" ht="21.75" customHeight="1" thickTop="1" x14ac:dyDescent="0.25">
      <c r="A4" s="26" t="s">
        <v>12</v>
      </c>
      <c r="B4" s="6" t="s">
        <v>4</v>
      </c>
      <c r="C4" s="1">
        <v>12000</v>
      </c>
      <c r="D4" s="1">
        <v>13000</v>
      </c>
      <c r="E4" s="9">
        <v>13200</v>
      </c>
      <c r="F4" s="13">
        <f>SUM(C4:E4)</f>
        <v>38200</v>
      </c>
      <c r="G4" s="39">
        <f>F4/$F$9</f>
        <v>0.15675010258514568</v>
      </c>
    </row>
    <row r="5" spans="1:7" s="2" customFormat="1" ht="21.75" customHeight="1" x14ac:dyDescent="0.25">
      <c r="A5" s="27"/>
      <c r="B5" s="14" t="s">
        <v>5</v>
      </c>
      <c r="C5" s="15">
        <v>15000</v>
      </c>
      <c r="D5" s="15">
        <v>52000</v>
      </c>
      <c r="E5" s="15">
        <v>14500</v>
      </c>
      <c r="F5" s="16">
        <f t="shared" ref="F5:F10" si="0">SUM(C5:E5)</f>
        <v>81500</v>
      </c>
      <c r="G5" s="42">
        <f t="shared" ref="G5:G8" si="1">F5/$F$9</f>
        <v>0.33442757488715635</v>
      </c>
    </row>
    <row r="6" spans="1:7" s="2" customFormat="1" ht="21.75" customHeight="1" x14ac:dyDescent="0.25">
      <c r="A6" s="27"/>
      <c r="B6" s="7" t="s">
        <v>6</v>
      </c>
      <c r="C6" s="3">
        <v>14500</v>
      </c>
      <c r="D6" s="3">
        <v>14000</v>
      </c>
      <c r="E6" s="3">
        <v>16500</v>
      </c>
      <c r="F6" s="11">
        <f t="shared" si="0"/>
        <v>45000</v>
      </c>
      <c r="G6" s="40">
        <f t="shared" si="1"/>
        <v>0.18465326220763234</v>
      </c>
    </row>
    <row r="7" spans="1:7" s="2" customFormat="1" ht="21.75" customHeight="1" x14ac:dyDescent="0.25">
      <c r="A7" s="27"/>
      <c r="B7" s="14" t="s">
        <v>7</v>
      </c>
      <c r="C7" s="15">
        <v>16200</v>
      </c>
      <c r="D7" s="15">
        <v>12500</v>
      </c>
      <c r="E7" s="15">
        <v>12500</v>
      </c>
      <c r="F7" s="16">
        <f t="shared" si="0"/>
        <v>41200</v>
      </c>
      <c r="G7" s="40">
        <f t="shared" si="1"/>
        <v>0.1690603200656545</v>
      </c>
    </row>
    <row r="8" spans="1:7" s="2" customFormat="1" ht="21.75" customHeight="1" thickBot="1" x14ac:dyDescent="0.3">
      <c r="A8" s="28"/>
      <c r="B8" s="8" t="s">
        <v>8</v>
      </c>
      <c r="C8" s="4">
        <v>13100</v>
      </c>
      <c r="D8" s="4">
        <v>11500</v>
      </c>
      <c r="E8" s="4">
        <v>13200</v>
      </c>
      <c r="F8" s="12">
        <f t="shared" si="0"/>
        <v>37800</v>
      </c>
      <c r="G8" s="41">
        <f t="shared" si="1"/>
        <v>0.15510874025441115</v>
      </c>
    </row>
    <row r="9" spans="1:7" s="2" customFormat="1" ht="21.75" customHeight="1" thickTop="1" thickBot="1" x14ac:dyDescent="0.3">
      <c r="B9" s="20" t="s">
        <v>9</v>
      </c>
      <c r="C9" s="21">
        <f>SUM(C4:C8)</f>
        <v>70800</v>
      </c>
      <c r="D9" s="21">
        <f t="shared" ref="D9:E9" si="2">SUM(D4:D8)</f>
        <v>103000</v>
      </c>
      <c r="E9" s="21">
        <f t="shared" si="2"/>
        <v>69900</v>
      </c>
      <c r="F9" s="22">
        <f t="shared" si="0"/>
        <v>243700</v>
      </c>
    </row>
    <row r="10" spans="1:7" s="2" customFormat="1" ht="21.75" customHeight="1" thickTop="1" x14ac:dyDescent="0.25">
      <c r="B10" s="6" t="s">
        <v>10</v>
      </c>
      <c r="C10" s="1">
        <f>C9*20%</f>
        <v>14160</v>
      </c>
      <c r="D10" s="1">
        <f t="shared" ref="D10:E10" si="3">D9*20%</f>
        <v>20600</v>
      </c>
      <c r="E10" s="1">
        <f t="shared" si="3"/>
        <v>13980</v>
      </c>
      <c r="F10" s="13">
        <f t="shared" si="0"/>
        <v>48740</v>
      </c>
    </row>
    <row r="11" spans="1:7" s="2" customFormat="1" ht="21.75" customHeight="1" thickBot="1" x14ac:dyDescent="0.3">
      <c r="B11" s="23" t="s">
        <v>11</v>
      </c>
      <c r="C11" s="24">
        <f>SUM(C9:C10)</f>
        <v>84960</v>
      </c>
      <c r="D11" s="24">
        <f t="shared" ref="D11:F11" si="4">SUM(D9:D10)</f>
        <v>123600</v>
      </c>
      <c r="E11" s="24">
        <f t="shared" si="4"/>
        <v>83880</v>
      </c>
      <c r="F11" s="25">
        <f t="shared" si="4"/>
        <v>292440</v>
      </c>
    </row>
    <row r="12" spans="1:7" ht="16.5" thickTop="1" thickBot="1" x14ac:dyDescent="0.3"/>
    <row r="13" spans="1:7" ht="15.75" thickBot="1" x14ac:dyDescent="0.3">
      <c r="B13" s="37" t="s">
        <v>15</v>
      </c>
      <c r="C13" s="31">
        <f>C9/$F$9</f>
        <v>0.29052113254000822</v>
      </c>
      <c r="D13" s="32">
        <f t="shared" ref="D13:E13" si="5">D9/$F$9</f>
        <v>0.42265080016413625</v>
      </c>
      <c r="E13" s="33">
        <f>E9/$F$9</f>
        <v>0.28682806729585558</v>
      </c>
    </row>
    <row r="14" spans="1:7" ht="15.75" thickBot="1" x14ac:dyDescent="0.3">
      <c r="B14" s="37" t="s">
        <v>16</v>
      </c>
      <c r="C14" s="34">
        <f>C9*$B$15</f>
        <v>28320</v>
      </c>
      <c r="D14" s="35">
        <f t="shared" ref="D14:E14" si="6">D9*$B$15</f>
        <v>41200</v>
      </c>
      <c r="E14" s="36">
        <f t="shared" si="6"/>
        <v>27960</v>
      </c>
    </row>
    <row r="15" spans="1:7" ht="15.75" thickBot="1" x14ac:dyDescent="0.3">
      <c r="B15" s="38">
        <v>0.4</v>
      </c>
    </row>
  </sheetData>
  <mergeCells count="2">
    <mergeCell ref="A4:A8"/>
    <mergeCell ref="A1:F1"/>
  </mergeCells>
  <conditionalFormatting sqref="G4:G8">
    <cfRule type="top10" dxfId="0" priority="1" percent="1" rank="1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dcterms:created xsi:type="dcterms:W3CDTF">2020-12-14T14:54:00Z</dcterms:created>
  <dcterms:modified xsi:type="dcterms:W3CDTF">2020-12-16T11:06:11Z</dcterms:modified>
</cp:coreProperties>
</file>