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E34C16CB-244F-45A0-9483-7E2D26B89FCD}" xr6:coauthVersionLast="45" xr6:coauthVersionMax="45" xr10:uidLastSave="{00000000-0000-0000-0000-000000000000}"/>
  <bookViews>
    <workbookView xWindow="-120" yWindow="-120" windowWidth="29040" windowHeight="15840" activeTab="2" xr2:uid="{BF2608E4-31AA-40DD-BA65-446E3DA5F0C0}"/>
  </bookViews>
  <sheets>
    <sheet name="galerie lafayette" sheetId="1" r:id="rId1"/>
    <sheet name="printemps" sheetId="3" r:id="rId2"/>
    <sheet name="Le bon marché" sheetId="4" r:id="rId3"/>
    <sheet name="BHV" sheetId="5" r:id="rId4"/>
    <sheet name="récap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6" i="6" l="1"/>
  <c r="H7" i="6"/>
  <c r="H8" i="6"/>
  <c r="H9" i="6"/>
  <c r="H4" i="6"/>
  <c r="H5" i="6"/>
  <c r="E6" i="6"/>
  <c r="E5" i="6"/>
  <c r="E4" i="6"/>
  <c r="B6" i="6"/>
  <c r="B7" i="6"/>
  <c r="B5" i="6"/>
  <c r="B4" i="6"/>
  <c r="D15" i="5"/>
  <c r="C15" i="5"/>
  <c r="B15" i="5"/>
  <c r="H13" i="5"/>
  <c r="G13" i="5"/>
  <c r="F13" i="5"/>
  <c r="E13" i="5"/>
  <c r="H12" i="5"/>
  <c r="G12" i="5"/>
  <c r="F12" i="5"/>
  <c r="E12" i="5"/>
  <c r="H11" i="5"/>
  <c r="G11" i="5"/>
  <c r="F11" i="5"/>
  <c r="E11" i="5"/>
  <c r="B4" i="5" s="1"/>
  <c r="H10" i="5"/>
  <c r="G10" i="5"/>
  <c r="F10" i="5"/>
  <c r="E10" i="5"/>
  <c r="H9" i="5"/>
  <c r="G9" i="5"/>
  <c r="F9" i="5"/>
  <c r="E9" i="5"/>
  <c r="H8" i="5"/>
  <c r="G8" i="5"/>
  <c r="F8" i="5"/>
  <c r="E8" i="5"/>
  <c r="E15" i="5" s="1"/>
  <c r="D15" i="4"/>
  <c r="C15" i="4"/>
  <c r="B15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E15" i="4" s="1"/>
  <c r="B4" i="4"/>
  <c r="D15" i="3"/>
  <c r="C15" i="3"/>
  <c r="B15" i="3"/>
  <c r="H13" i="3"/>
  <c r="G13" i="3"/>
  <c r="F13" i="3"/>
  <c r="E13" i="3"/>
  <c r="H12" i="3"/>
  <c r="G12" i="3"/>
  <c r="F12" i="3"/>
  <c r="E12" i="3"/>
  <c r="H11" i="3"/>
  <c r="G11" i="3"/>
  <c r="F11" i="3"/>
  <c r="E11" i="3"/>
  <c r="B4" i="3" s="1"/>
  <c r="H10" i="3"/>
  <c r="G10" i="3"/>
  <c r="F10" i="3"/>
  <c r="E10" i="3"/>
  <c r="H9" i="3"/>
  <c r="G9" i="3"/>
  <c r="F9" i="3"/>
  <c r="E9" i="3"/>
  <c r="H8" i="3"/>
  <c r="G8" i="3"/>
  <c r="F8" i="3"/>
  <c r="E8" i="3"/>
  <c r="E15" i="3" s="1"/>
  <c r="B5" i="1"/>
  <c r="B4" i="1"/>
  <c r="B3" i="1"/>
  <c r="H9" i="1"/>
  <c r="H10" i="1"/>
  <c r="H11" i="1"/>
  <c r="H12" i="1"/>
  <c r="H13" i="1"/>
  <c r="H8" i="1"/>
  <c r="G9" i="1"/>
  <c r="G10" i="1"/>
  <c r="G11" i="1"/>
  <c r="G12" i="1"/>
  <c r="G13" i="1"/>
  <c r="G8" i="1"/>
  <c r="F9" i="1"/>
  <c r="F10" i="1"/>
  <c r="F11" i="1"/>
  <c r="F12" i="1"/>
  <c r="F13" i="1"/>
  <c r="F8" i="1"/>
  <c r="C15" i="1"/>
  <c r="D15" i="1"/>
  <c r="B15" i="1"/>
  <c r="E9" i="1"/>
  <c r="E10" i="1"/>
  <c r="E11" i="1"/>
  <c r="E12" i="1"/>
  <c r="E13" i="1"/>
  <c r="E8" i="1"/>
  <c r="B8" i="6" l="1"/>
  <c r="E7" i="6"/>
  <c r="H10" i="6"/>
  <c r="E16" i="5"/>
  <c r="E17" i="5" s="1"/>
  <c r="B2" i="5"/>
  <c r="B16" i="5"/>
  <c r="B17" i="5" s="1"/>
  <c r="D16" i="5"/>
  <c r="D17" i="5" s="1"/>
  <c r="B3" i="5"/>
  <c r="B5" i="5"/>
  <c r="C16" i="5"/>
  <c r="C17" i="5" s="1"/>
  <c r="E16" i="4"/>
  <c r="E17" i="4" s="1"/>
  <c r="B2" i="4"/>
  <c r="C17" i="4"/>
  <c r="B16" i="4"/>
  <c r="B17" i="4" s="1"/>
  <c r="D16" i="4"/>
  <c r="D17" i="4" s="1"/>
  <c r="B3" i="4"/>
  <c r="B5" i="4"/>
  <c r="C16" i="4"/>
  <c r="E16" i="3"/>
  <c r="E17" i="3" s="1"/>
  <c r="B2" i="3"/>
  <c r="B16" i="3"/>
  <c r="B17" i="3" s="1"/>
  <c r="D16" i="3"/>
  <c r="D17" i="3" s="1"/>
  <c r="B3" i="3"/>
  <c r="B5" i="3"/>
  <c r="C16" i="3"/>
  <c r="C17" i="3" s="1"/>
  <c r="E15" i="1"/>
  <c r="E16" i="1"/>
  <c r="E17" i="1" s="1"/>
  <c r="B2" i="1"/>
  <c r="B16" i="1"/>
  <c r="D16" i="1"/>
  <c r="D17" i="1" s="1"/>
  <c r="B17" i="1"/>
  <c r="C16" i="1"/>
  <c r="C17" i="1" s="1"/>
</calcChain>
</file>

<file path=xl/sharedStrings.xml><?xml version="1.0" encoding="utf-8"?>
<sst xmlns="http://schemas.openxmlformats.org/spreadsheetml/2006/main" count="103" uniqueCount="33">
  <si>
    <t>Synthèse vente</t>
  </si>
  <si>
    <t>TOTAL</t>
  </si>
  <si>
    <t>MOYENNE</t>
  </si>
  <si>
    <t>MAX</t>
  </si>
  <si>
    <t>MIN</t>
  </si>
  <si>
    <t>janvier</t>
  </si>
  <si>
    <t>février</t>
  </si>
  <si>
    <t>mars</t>
  </si>
  <si>
    <t>total</t>
  </si>
  <si>
    <t>Moyenne</t>
  </si>
  <si>
    <t>Max</t>
  </si>
  <si>
    <t>Minimum</t>
  </si>
  <si>
    <t>Cosmétique</t>
  </si>
  <si>
    <t>Librairie</t>
  </si>
  <si>
    <t>Maroquinerie</t>
  </si>
  <si>
    <t>Habillement</t>
  </si>
  <si>
    <t>Hi-fi</t>
  </si>
  <si>
    <t>CD</t>
  </si>
  <si>
    <t>TVA 20%</t>
  </si>
  <si>
    <t>TTC</t>
  </si>
  <si>
    <t>Total mois</t>
  </si>
  <si>
    <t>Galeries Lafayette</t>
  </si>
  <si>
    <t>Printemps</t>
  </si>
  <si>
    <t>Bon marché</t>
  </si>
  <si>
    <t>BHV</t>
  </si>
  <si>
    <t>Total</t>
  </si>
  <si>
    <t>par magasin</t>
  </si>
  <si>
    <t>Janvier</t>
  </si>
  <si>
    <t>Février</t>
  </si>
  <si>
    <t>Mars</t>
  </si>
  <si>
    <t>par mois</t>
  </si>
  <si>
    <t>par produit</t>
  </si>
  <si>
    <t>CD-DVD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</si>
</sst>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thin">
        <color theme="8" tint="-0.24994659260841701"/>
      </left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/>
      <bottom style="medium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Fill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3" fontId="0" fillId="0" borderId="4" xfId="1" applyFont="1" applyBorder="1"/>
    <xf numFmtId="43" fontId="0" fillId="3" borderId="1" xfId="1" applyFont="1" applyFill="1" applyBorder="1"/>
    <xf numFmtId="43" fontId="0" fillId="0" borderId="0" xfId="1" applyFont="1"/>
    <xf numFmtId="43" fontId="0" fillId="0" borderId="6" xfId="1" applyFont="1" applyBorder="1"/>
    <xf numFmtId="43" fontId="0" fillId="3" borderId="7" xfId="1" applyFont="1" applyFill="1" applyBorder="1"/>
    <xf numFmtId="43" fontId="0" fillId="0" borderId="8" xfId="1" applyFont="1" applyBorder="1"/>
    <xf numFmtId="43" fontId="0" fillId="3" borderId="9" xfId="1" applyFont="1" applyFill="1" applyBorder="1"/>
    <xf numFmtId="43" fontId="4" fillId="2" borderId="2" xfId="1" applyFont="1" applyFill="1" applyBorder="1"/>
    <xf numFmtId="43" fontId="4" fillId="2" borderId="10" xfId="1" applyFont="1" applyFill="1" applyBorder="1"/>
    <xf numFmtId="43" fontId="4" fillId="2" borderId="3" xfId="1" applyFont="1" applyFill="1" applyBorder="1"/>
    <xf numFmtId="43" fontId="5" fillId="3" borderId="4" xfId="1" applyFont="1" applyFill="1" applyBorder="1"/>
    <xf numFmtId="43" fontId="0" fillId="0" borderId="11" xfId="1" applyFont="1" applyBorder="1"/>
    <xf numFmtId="43" fontId="0" fillId="3" borderId="11" xfId="1" applyFont="1" applyFill="1" applyBorder="1"/>
    <xf numFmtId="43" fontId="0" fillId="0" borderId="5" xfId="1" applyFont="1" applyBorder="1"/>
    <xf numFmtId="43" fontId="5" fillId="3" borderId="6" xfId="1" applyFont="1" applyFill="1" applyBorder="1"/>
    <xf numFmtId="43" fontId="0" fillId="0" borderId="12" xfId="1" applyFont="1" applyBorder="1"/>
    <xf numFmtId="43" fontId="0" fillId="3" borderId="12" xfId="1" applyFont="1" applyFill="1" applyBorder="1"/>
    <xf numFmtId="43" fontId="0" fillId="0" borderId="7" xfId="1" applyFont="1" applyBorder="1"/>
    <xf numFmtId="43" fontId="5" fillId="3" borderId="8" xfId="1" applyFont="1" applyFill="1" applyBorder="1"/>
    <xf numFmtId="43" fontId="0" fillId="0" borderId="13" xfId="1" applyFont="1" applyBorder="1"/>
    <xf numFmtId="43" fontId="0" fillId="3" borderId="13" xfId="1" applyFont="1" applyFill="1" applyBorder="1"/>
    <xf numFmtId="43" fontId="0" fillId="0" borderId="9" xfId="1" applyFont="1" applyBorder="1"/>
    <xf numFmtId="0" fontId="2" fillId="3" borderId="15" xfId="0" applyFont="1" applyFill="1" applyBorder="1"/>
    <xf numFmtId="43" fontId="0" fillId="0" borderId="16" xfId="1" applyFont="1" applyBorder="1"/>
    <xf numFmtId="43" fontId="2" fillId="3" borderId="15" xfId="1" applyFont="1" applyFill="1" applyBorder="1"/>
    <xf numFmtId="43" fontId="4" fillId="3" borderId="15" xfId="1" applyFont="1" applyFill="1" applyBorder="1"/>
    <xf numFmtId="43" fontId="0" fillId="0" borderId="17" xfId="0" applyNumberFormat="1" applyBorder="1"/>
    <xf numFmtId="0" fontId="0" fillId="0" borderId="0" xfId="0" applyBorder="1"/>
    <xf numFmtId="0" fontId="0" fillId="3" borderId="18" xfId="0" applyFill="1" applyBorder="1"/>
    <xf numFmtId="43" fontId="0" fillId="0" borderId="19" xfId="1" applyFont="1" applyBorder="1"/>
    <xf numFmtId="0" fontId="0" fillId="3" borderId="20" xfId="0" applyFill="1" applyBorder="1"/>
    <xf numFmtId="43" fontId="0" fillId="0" borderId="21" xfId="1" applyFont="1" applyBorder="1"/>
    <xf numFmtId="43" fontId="0" fillId="3" borderId="18" xfId="1" applyFont="1" applyFill="1" applyBorder="1"/>
    <xf numFmtId="43" fontId="0" fillId="3" borderId="20" xfId="1" applyFont="1" applyFill="1" applyBorder="1"/>
    <xf numFmtId="43" fontId="5" fillId="3" borderId="18" xfId="1" applyFont="1" applyFill="1" applyBorder="1"/>
    <xf numFmtId="43" fontId="5" fillId="3" borderId="20" xfId="1" applyFont="1" applyFill="1" applyBorder="1"/>
    <xf numFmtId="0" fontId="6" fillId="0" borderId="0" xfId="0" applyFont="1"/>
    <xf numFmtId="0" fontId="7" fillId="0" borderId="0" xfId="0" applyFont="1"/>
    <xf numFmtId="0" fontId="6" fillId="0" borderId="0" xfId="0" applyFont="1" applyFill="1"/>
    <xf numFmtId="0" fontId="2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produits par mois </a:t>
            </a:r>
          </a:p>
        </c:rich>
      </c:tx>
      <c:layout>
        <c:manualLayout>
          <c:xMode val="edge"/>
          <c:yMode val="edge"/>
          <c:x val="0.257062335958005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'galerie lafayette'!$B$7</c:f>
              <c:strCache>
                <c:ptCount val="1"/>
                <c:pt idx="0">
                  <c:v> janvier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'galerie lafayette'!$A$8:$A$13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'galerie lafayette'!$B$8:$B$13</c:f>
              <c:numCache>
                <c:formatCode>_(* #,##0.00_);_(* \(#,##0.00\);_(* "-"??_);_(@_)</c:formatCode>
                <c:ptCount val="6"/>
                <c:pt idx="0">
                  <c:v>15000</c:v>
                </c:pt>
                <c:pt idx="1">
                  <c:v>25000</c:v>
                </c:pt>
                <c:pt idx="2">
                  <c:v>35000</c:v>
                </c:pt>
                <c:pt idx="3">
                  <c:v>64000</c:v>
                </c:pt>
                <c:pt idx="4">
                  <c:v>52000</c:v>
                </c:pt>
                <c:pt idx="5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C-4192-9B7E-621001719D4C}"/>
            </c:ext>
          </c:extLst>
        </c:ser>
        <c:ser>
          <c:idx val="1"/>
          <c:order val="1"/>
          <c:tx>
            <c:strRef>
              <c:f>'galerie lafayette'!$C$7</c:f>
              <c:strCache>
                <c:ptCount val="1"/>
                <c:pt idx="0">
                  <c:v> février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'galerie lafayette'!$A$8:$A$13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'galerie lafayette'!$C$8:$C$13</c:f>
              <c:numCache>
                <c:formatCode>_(* #,##0.00_);_(* \(#,##0.00\);_(* "-"??_);_(@_)</c:formatCode>
                <c:ptCount val="6"/>
                <c:pt idx="0">
                  <c:v>17000</c:v>
                </c:pt>
                <c:pt idx="1">
                  <c:v>33000</c:v>
                </c:pt>
                <c:pt idx="2">
                  <c:v>31000</c:v>
                </c:pt>
                <c:pt idx="3">
                  <c:v>64000</c:v>
                </c:pt>
                <c:pt idx="4">
                  <c:v>50000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C-4192-9B7E-621001719D4C}"/>
            </c:ext>
          </c:extLst>
        </c:ser>
        <c:ser>
          <c:idx val="2"/>
          <c:order val="2"/>
          <c:tx>
            <c:strRef>
              <c:f>'galerie lafayette'!$D$7</c:f>
              <c:strCache>
                <c:ptCount val="1"/>
                <c:pt idx="0">
                  <c:v> mars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'galerie lafayette'!$A$8:$A$13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'galerie lafayette'!$D$8:$D$13</c:f>
              <c:numCache>
                <c:formatCode>_(* #,##0.00_);_(* \(#,##0.00\);_(* "-"??_);_(@_)</c:formatCode>
                <c:ptCount val="6"/>
                <c:pt idx="0">
                  <c:v>18000</c:v>
                </c:pt>
                <c:pt idx="1">
                  <c:v>24000</c:v>
                </c:pt>
                <c:pt idx="2">
                  <c:v>30000</c:v>
                </c:pt>
                <c:pt idx="3">
                  <c:v>54000</c:v>
                </c:pt>
                <c:pt idx="4">
                  <c:v>64000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5C-4192-9B7E-621001719D4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7696"/>
        <c:axId val="302532624"/>
      </c:barChart>
      <c:catAx>
        <c:axId val="2049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2532624"/>
        <c:crosses val="autoZero"/>
        <c:auto val="1"/>
        <c:lblAlgn val="ctr"/>
        <c:lblOffset val="100"/>
        <c:noMultiLvlLbl val="0"/>
      </c:catAx>
      <c:valAx>
        <c:axId val="3025326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91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'galerie lafayette'!$E$7</c:f>
              <c:strCache>
                <c:ptCount val="1"/>
                <c:pt idx="0">
                  <c:v> total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'galerie lafayette'!$A$8:$A$13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'galerie lafayette'!$E$8:$E$13</c:f>
              <c:numCache>
                <c:formatCode>_(* #,##0.00_);_(* \(#,##0.00\);_(* "-"??_);_(@_)</c:formatCode>
                <c:ptCount val="6"/>
                <c:pt idx="0">
                  <c:v>50000</c:v>
                </c:pt>
                <c:pt idx="1">
                  <c:v>82000</c:v>
                </c:pt>
                <c:pt idx="2">
                  <c:v>96000</c:v>
                </c:pt>
                <c:pt idx="3">
                  <c:v>182000</c:v>
                </c:pt>
                <c:pt idx="4">
                  <c:v>166000</c:v>
                </c:pt>
                <c:pt idx="5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3-4D04-905F-39D1AC65E7D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produits par mois </a:t>
            </a:r>
          </a:p>
        </c:rich>
      </c:tx>
      <c:layout>
        <c:manualLayout>
          <c:xMode val="edge"/>
          <c:yMode val="edge"/>
          <c:x val="0.257062335958005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printemps!$B$7</c:f>
              <c:strCache>
                <c:ptCount val="1"/>
                <c:pt idx="0">
                  <c:v> janvier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printemps!$A$8:$A$13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printemps!$B$8:$B$13</c:f>
              <c:numCache>
                <c:formatCode>_(* #,##0.00_);_(* \(#,##0.00\);_(* "-"??_);_(@_)</c:formatCode>
                <c:ptCount val="6"/>
                <c:pt idx="0">
                  <c:v>12000</c:v>
                </c:pt>
                <c:pt idx="1">
                  <c:v>25000</c:v>
                </c:pt>
                <c:pt idx="2">
                  <c:v>35000</c:v>
                </c:pt>
                <c:pt idx="3">
                  <c:v>64000</c:v>
                </c:pt>
                <c:pt idx="4">
                  <c:v>52000</c:v>
                </c:pt>
                <c:pt idx="5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0-4B76-A665-40B901AE5130}"/>
            </c:ext>
          </c:extLst>
        </c:ser>
        <c:ser>
          <c:idx val="1"/>
          <c:order val="1"/>
          <c:tx>
            <c:strRef>
              <c:f>printemps!$C$7</c:f>
              <c:strCache>
                <c:ptCount val="1"/>
                <c:pt idx="0">
                  <c:v> février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printemps!$A$8:$A$13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printemps!$C$8:$C$13</c:f>
              <c:numCache>
                <c:formatCode>_(* #,##0.00_);_(* \(#,##0.00\);_(* "-"??_);_(@_)</c:formatCode>
                <c:ptCount val="6"/>
                <c:pt idx="0">
                  <c:v>17000</c:v>
                </c:pt>
                <c:pt idx="1">
                  <c:v>133000</c:v>
                </c:pt>
                <c:pt idx="2">
                  <c:v>31000</c:v>
                </c:pt>
                <c:pt idx="3">
                  <c:v>64000</c:v>
                </c:pt>
                <c:pt idx="4">
                  <c:v>50000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0-4B76-A665-40B901AE5130}"/>
            </c:ext>
          </c:extLst>
        </c:ser>
        <c:ser>
          <c:idx val="2"/>
          <c:order val="2"/>
          <c:tx>
            <c:strRef>
              <c:f>printemps!$D$7</c:f>
              <c:strCache>
                <c:ptCount val="1"/>
                <c:pt idx="0">
                  <c:v> mars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printemps!$A$8:$A$13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printemps!$D$8:$D$13</c:f>
              <c:numCache>
                <c:formatCode>_(* #,##0.00_);_(* \(#,##0.00\);_(* "-"??_);_(@_)</c:formatCode>
                <c:ptCount val="6"/>
                <c:pt idx="0">
                  <c:v>18000</c:v>
                </c:pt>
                <c:pt idx="1">
                  <c:v>24000</c:v>
                </c:pt>
                <c:pt idx="2">
                  <c:v>30000</c:v>
                </c:pt>
                <c:pt idx="3">
                  <c:v>14000</c:v>
                </c:pt>
                <c:pt idx="4">
                  <c:v>64000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0-4B76-A665-40B901AE5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7696"/>
        <c:axId val="302532624"/>
      </c:barChart>
      <c:catAx>
        <c:axId val="2049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2532624"/>
        <c:crosses val="autoZero"/>
        <c:auto val="1"/>
        <c:lblAlgn val="ctr"/>
        <c:lblOffset val="100"/>
        <c:noMultiLvlLbl val="0"/>
      </c:catAx>
      <c:valAx>
        <c:axId val="3025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91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printemps!$E$7</c:f>
              <c:strCache>
                <c:ptCount val="1"/>
                <c:pt idx="0">
                  <c:v> total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3B-4E01-84ED-2EAADB2646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3B-4E01-84ED-2EAADB2646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3B-4E01-84ED-2EAADB2646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B3B-4E01-84ED-2EAADB2646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B3B-4E01-84ED-2EAADB2646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B3B-4E01-84ED-2EAADB2646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printemps!$A$8:$A$13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printemps!$E$8:$E$13</c:f>
              <c:numCache>
                <c:formatCode>_(* #,##0.00_);_(* \(#,##0.00\);_(* "-"??_);_(@_)</c:formatCode>
                <c:ptCount val="6"/>
                <c:pt idx="0">
                  <c:v>47000</c:v>
                </c:pt>
                <c:pt idx="1">
                  <c:v>182000</c:v>
                </c:pt>
                <c:pt idx="2">
                  <c:v>96000</c:v>
                </c:pt>
                <c:pt idx="3">
                  <c:v>142000</c:v>
                </c:pt>
                <c:pt idx="4">
                  <c:v>166000</c:v>
                </c:pt>
                <c:pt idx="5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3B-4E01-84ED-2EAADB26462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produits par mois </a:t>
            </a:r>
          </a:p>
        </c:rich>
      </c:tx>
      <c:layout>
        <c:manualLayout>
          <c:xMode val="edge"/>
          <c:yMode val="edge"/>
          <c:x val="0.257062335958005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 bon marché'!$B$7</c:f>
              <c:strCache>
                <c:ptCount val="1"/>
                <c:pt idx="0">
                  <c:v> janvier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 bon marché'!$A$8:$A$13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'Le bon marché'!$B$8:$B$13</c:f>
              <c:numCache>
                <c:formatCode>_(* #,##0.00_);_(* \(#,##0.00\);_(* "-"??_);_(@_)</c:formatCode>
                <c:ptCount val="6"/>
                <c:pt idx="0">
                  <c:v>15000</c:v>
                </c:pt>
                <c:pt idx="1">
                  <c:v>15000</c:v>
                </c:pt>
                <c:pt idx="2">
                  <c:v>35000</c:v>
                </c:pt>
                <c:pt idx="3">
                  <c:v>64000</c:v>
                </c:pt>
                <c:pt idx="4">
                  <c:v>52000</c:v>
                </c:pt>
                <c:pt idx="5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1-4CAC-9FC1-16C1A0A5808D}"/>
            </c:ext>
          </c:extLst>
        </c:ser>
        <c:ser>
          <c:idx val="1"/>
          <c:order val="1"/>
          <c:tx>
            <c:strRef>
              <c:f>'Le bon marché'!$C$7</c:f>
              <c:strCache>
                <c:ptCount val="1"/>
                <c:pt idx="0">
                  <c:v> février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 bon marché'!$A$8:$A$13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'Le bon marché'!$C$8:$C$13</c:f>
              <c:numCache>
                <c:formatCode>_(* #,##0.00_);_(* \(#,##0.00\);_(* "-"??_);_(@_)</c:formatCode>
                <c:ptCount val="6"/>
                <c:pt idx="0">
                  <c:v>17000</c:v>
                </c:pt>
                <c:pt idx="1">
                  <c:v>33000</c:v>
                </c:pt>
                <c:pt idx="2">
                  <c:v>31000</c:v>
                </c:pt>
                <c:pt idx="3">
                  <c:v>14000</c:v>
                </c:pt>
                <c:pt idx="4">
                  <c:v>50000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1-4CAC-9FC1-16C1A0A5808D}"/>
            </c:ext>
          </c:extLst>
        </c:ser>
        <c:ser>
          <c:idx val="2"/>
          <c:order val="2"/>
          <c:tx>
            <c:strRef>
              <c:f>'Le bon marché'!$D$7</c:f>
              <c:strCache>
                <c:ptCount val="1"/>
                <c:pt idx="0">
                  <c:v> mars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 bon marché'!$A$8:$A$13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'Le bon marché'!$D$8:$D$13</c:f>
              <c:numCache>
                <c:formatCode>_(* #,##0.00_);_(* \(#,##0.00\);_(* "-"??_);_(@_)</c:formatCode>
                <c:ptCount val="6"/>
                <c:pt idx="0">
                  <c:v>18000</c:v>
                </c:pt>
                <c:pt idx="1">
                  <c:v>24000</c:v>
                </c:pt>
                <c:pt idx="2">
                  <c:v>30000</c:v>
                </c:pt>
                <c:pt idx="3">
                  <c:v>54000</c:v>
                </c:pt>
                <c:pt idx="4">
                  <c:v>14000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1-4CAC-9FC1-16C1A0A58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7696"/>
        <c:axId val="302532624"/>
      </c:barChart>
      <c:catAx>
        <c:axId val="2049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2532624"/>
        <c:crosses val="autoZero"/>
        <c:auto val="1"/>
        <c:lblAlgn val="ctr"/>
        <c:lblOffset val="100"/>
        <c:noMultiLvlLbl val="0"/>
      </c:catAx>
      <c:valAx>
        <c:axId val="3025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91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'Le bon marché'!$E$7</c:f>
              <c:strCache>
                <c:ptCount val="1"/>
                <c:pt idx="0">
                  <c:v> total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4F-4D70-9FB0-8531E36E18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4F-4D70-9FB0-8531E36E18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4F-4D70-9FB0-8531E36E18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4F-4D70-9FB0-8531E36E18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4F-4D70-9FB0-8531E36E18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C4F-4D70-9FB0-8531E36E18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'Le bon marché'!$A$8:$A$13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'Le bon marché'!$E$8:$E$13</c:f>
              <c:numCache>
                <c:formatCode>_(* #,##0.00_);_(* \(#,##0.00\);_(* "-"??_);_(@_)</c:formatCode>
                <c:ptCount val="6"/>
                <c:pt idx="0">
                  <c:v>50000</c:v>
                </c:pt>
                <c:pt idx="1">
                  <c:v>72000</c:v>
                </c:pt>
                <c:pt idx="2">
                  <c:v>96000</c:v>
                </c:pt>
                <c:pt idx="3">
                  <c:v>132000</c:v>
                </c:pt>
                <c:pt idx="4">
                  <c:v>116000</c:v>
                </c:pt>
                <c:pt idx="5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4F-4D70-9FB0-8531E36E18C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produits par mois </a:t>
            </a:r>
          </a:p>
        </c:rich>
      </c:tx>
      <c:layout>
        <c:manualLayout>
          <c:xMode val="edge"/>
          <c:yMode val="edge"/>
          <c:x val="0.257062335958005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BHV!$B$7</c:f>
              <c:strCache>
                <c:ptCount val="1"/>
                <c:pt idx="0">
                  <c:v> janvier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BHV!$A$8:$A$13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BHV!$B$8:$B$13</c:f>
              <c:numCache>
                <c:formatCode>_(* #,##0.00_);_(* \(#,##0.00\);_(* "-"??_);_(@_)</c:formatCode>
                <c:ptCount val="6"/>
                <c:pt idx="0">
                  <c:v>15000</c:v>
                </c:pt>
                <c:pt idx="1">
                  <c:v>25000</c:v>
                </c:pt>
                <c:pt idx="2">
                  <c:v>1000</c:v>
                </c:pt>
                <c:pt idx="3">
                  <c:v>64000</c:v>
                </c:pt>
                <c:pt idx="4">
                  <c:v>52000</c:v>
                </c:pt>
                <c:pt idx="5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1-4F8F-8181-33DE44320CBB}"/>
            </c:ext>
          </c:extLst>
        </c:ser>
        <c:ser>
          <c:idx val="1"/>
          <c:order val="1"/>
          <c:tx>
            <c:strRef>
              <c:f>BHV!$C$7</c:f>
              <c:strCache>
                <c:ptCount val="1"/>
                <c:pt idx="0">
                  <c:v> février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BHV!$A$8:$A$13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BHV!$C$8:$C$13</c:f>
              <c:numCache>
                <c:formatCode>_(* #,##0.00_);_(* \(#,##0.00\);_(* "-"??_);_(@_)</c:formatCode>
                <c:ptCount val="6"/>
                <c:pt idx="0">
                  <c:v>17000</c:v>
                </c:pt>
                <c:pt idx="1">
                  <c:v>33000</c:v>
                </c:pt>
                <c:pt idx="2">
                  <c:v>10000</c:v>
                </c:pt>
                <c:pt idx="3">
                  <c:v>64000</c:v>
                </c:pt>
                <c:pt idx="4">
                  <c:v>50000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1-4F8F-8181-33DE44320CBB}"/>
            </c:ext>
          </c:extLst>
        </c:ser>
        <c:ser>
          <c:idx val="2"/>
          <c:order val="2"/>
          <c:tx>
            <c:strRef>
              <c:f>BHV!$D$7</c:f>
              <c:strCache>
                <c:ptCount val="1"/>
                <c:pt idx="0">
                  <c:v> mars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BHV!$A$8:$A$13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BHV!$D$8:$D$13</c:f>
              <c:numCache>
                <c:formatCode>_(* #,##0.00_);_(* \(#,##0.00\);_(* "-"??_);_(@_)</c:formatCode>
                <c:ptCount val="6"/>
                <c:pt idx="0">
                  <c:v>18000</c:v>
                </c:pt>
                <c:pt idx="1">
                  <c:v>24000</c:v>
                </c:pt>
                <c:pt idx="2">
                  <c:v>30000</c:v>
                </c:pt>
                <c:pt idx="3">
                  <c:v>14000</c:v>
                </c:pt>
                <c:pt idx="4">
                  <c:v>64000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1-4F8F-8181-33DE44320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7696"/>
        <c:axId val="302532624"/>
      </c:barChart>
      <c:catAx>
        <c:axId val="2049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2532624"/>
        <c:crosses val="autoZero"/>
        <c:auto val="1"/>
        <c:lblAlgn val="ctr"/>
        <c:lblOffset val="100"/>
        <c:noMultiLvlLbl val="0"/>
      </c:catAx>
      <c:valAx>
        <c:axId val="3025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91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BHV!$E$7</c:f>
              <c:strCache>
                <c:ptCount val="1"/>
                <c:pt idx="0">
                  <c:v> total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BD-4AD8-9685-32C814BB12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BD-4AD8-9685-32C814BB12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BD-4AD8-9685-32C814BB12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BD-4AD8-9685-32C814BB12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3BD-4AD8-9685-32C814BB12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3BD-4AD8-9685-32C814BB12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BHV!$A$8:$A$13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CD-DVD </c:v>
                </c:pt>
              </c:strCache>
            </c:strRef>
          </c:cat>
          <c:val>
            <c:numRef>
              <c:f>BHV!$E$8:$E$13</c:f>
              <c:numCache>
                <c:formatCode>_(* #,##0.00_);_(* \(#,##0.00\);_(* "-"??_);_(@_)</c:formatCode>
                <c:ptCount val="6"/>
                <c:pt idx="0">
                  <c:v>50000</c:v>
                </c:pt>
                <c:pt idx="1">
                  <c:v>82000</c:v>
                </c:pt>
                <c:pt idx="2">
                  <c:v>41000</c:v>
                </c:pt>
                <c:pt idx="3">
                  <c:v>142000</c:v>
                </c:pt>
                <c:pt idx="4">
                  <c:v>166000</c:v>
                </c:pt>
                <c:pt idx="5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BD-4AD8-9685-32C814BB127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fr-FR" sz="1050" b="1"/>
              <a:t>Répartition des ventes par magasin</a:t>
            </a:r>
          </a:p>
        </c:rich>
      </c:tx>
      <c:layout>
        <c:manualLayout>
          <c:xMode val="edge"/>
          <c:yMode val="edge"/>
          <c:x val="0.25774571512693489"/>
          <c:y val="4.190219131576774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récap!$A$4:$A$7</c:f>
              <c:strCache>
                <c:ptCount val="4"/>
                <c:pt idx="0">
                  <c:v>Galeries Lafayette</c:v>
                </c:pt>
                <c:pt idx="1">
                  <c:v>Printemps</c:v>
                </c:pt>
                <c:pt idx="2">
                  <c:v>Bon marché</c:v>
                </c:pt>
                <c:pt idx="3">
                  <c:v>BHV</c:v>
                </c:pt>
              </c:strCache>
            </c:strRef>
          </c:cat>
          <c:val>
            <c:numRef>
              <c:f>récap!$B$4:$B$7</c:f>
              <c:numCache>
                <c:formatCode>_(* #,##0.00_);_(* \(#,##0.00\);_(* "-"??_);_(@_)</c:formatCode>
                <c:ptCount val="4"/>
                <c:pt idx="0">
                  <c:v>707000</c:v>
                </c:pt>
                <c:pt idx="1">
                  <c:v>764000</c:v>
                </c:pt>
                <c:pt idx="2">
                  <c:v>597000</c:v>
                </c:pt>
                <c:pt idx="3">
                  <c:v>612000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A-4D54-9628-368A8C5949E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60404032"/>
        <c:axId val="304203680"/>
      </c:barChart>
      <c:catAx>
        <c:axId val="46040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4203680"/>
        <c:crosses val="autoZero"/>
        <c:auto val="1"/>
        <c:lblAlgn val="ctr"/>
        <c:lblOffset val="100"/>
        <c:noMultiLvlLbl val="0"/>
      </c:catAx>
      <c:valAx>
        <c:axId val="30420368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6040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% des ventes des produits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récap!$G$4:$G$9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 </c:v>
                </c:pt>
              </c:strCache>
            </c:strRef>
          </c:cat>
          <c:val>
            <c:numRef>
              <c:f>récap!$H$4:$H$9</c:f>
              <c:numCache>
                <c:formatCode>_(* #,##0.00_);_(* \(#,##0.00\);_(* "-"??_);_(@_)</c:formatCode>
                <c:ptCount val="6"/>
                <c:pt idx="0">
                  <c:v>197000</c:v>
                </c:pt>
                <c:pt idx="1">
                  <c:v>418000</c:v>
                </c:pt>
                <c:pt idx="2">
                  <c:v>329000</c:v>
                </c:pt>
                <c:pt idx="3">
                  <c:v>598000</c:v>
                </c:pt>
                <c:pt idx="4">
                  <c:v>614000</c:v>
                </c:pt>
                <c:pt idx="5">
                  <c:v>524000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C-4419-8E7B-CA1E29E406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201490</xdr:colOff>
      <xdr:row>18</xdr:row>
      <xdr:rowOff>20516</xdr:rowOff>
    </xdr:from>
    <xdr:to>
      <xdr:col>4</xdr:col>
      <xdr:colOff>729028</xdr:colOff>
      <xdr:row>32</xdr:row>
      <xdr:rowOff>96716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D0AD14A-65A2-43DF-9DD6-8F19221C2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481820</xdr:colOff>
      <xdr:row>13</xdr:row>
      <xdr:rowOff>124558</xdr:rowOff>
    </xdr:from>
    <xdr:to>
      <xdr:col>7</xdr:col>
      <xdr:colOff>747347</xdr:colOff>
      <xdr:row>17</xdr:row>
      <xdr:rowOff>131886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AF581A38-288A-48F6-8547-FF384AD15C3B}"/>
            </a:ext>
          </a:extLst>
        </xdr:cNvPr>
        <xdr:cNvSpPr/>
      </xdr:nvSpPr>
      <xdr:spPr>
        <a:xfrm>
          <a:off x="5537397" y="2645020"/>
          <a:ext cx="2287758" cy="791308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/>
            <a:t>Les résultats du trimestre ne seront pas comptabilisés dans le calcul des primes</a:t>
          </a:r>
        </a:p>
      </xdr:txBody>
    </xdr:sp>
    <xdr:clientData/>
  </xdr:twoCellAnchor>
  <xdr:oneCellAnchor>
    <xdr:from>
      <xdr:col>1</xdr:col>
      <xdr:colOff>762566</xdr:colOff>
      <xdr:row>0</xdr:row>
      <xdr:rowOff>36634</xdr:rowOff>
    </xdr:from>
    <xdr:ext cx="6381184" cy="754456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7A15BEA-E9AA-41DB-8826-5528E1134B55}"/>
            </a:ext>
          </a:extLst>
        </xdr:cNvPr>
        <xdr:cNvSpPr/>
      </xdr:nvSpPr>
      <xdr:spPr>
        <a:xfrm>
          <a:off x="1773681" y="36634"/>
          <a:ext cx="6381184" cy="754456"/>
        </a:xfrm>
        <a:prstGeom prst="rect">
          <a:avLst/>
        </a:prstGeom>
        <a:noFill/>
      </xdr:spPr>
      <xdr:txBody>
        <a:bodyPr wrap="square" lIns="91440" tIns="45720" rIns="91440" bIns="45720">
          <a:prstTxWarp prst="textArchDown">
            <a:avLst/>
          </a:prstTxWarp>
          <a:spAutoFit/>
        </a:bodyPr>
        <a:lstStyle/>
        <a:p>
          <a:pPr algn="ctr"/>
          <a:r>
            <a:rPr lang="fr-FR" sz="36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Les Galeries lafayette</a:t>
          </a:r>
        </a:p>
      </xdr:txBody>
    </xdr:sp>
    <xdr:clientData/>
  </xdr:oneCellAnchor>
  <xdr:twoCellAnchor>
    <xdr:from>
      <xdr:col>5</xdr:col>
      <xdr:colOff>106240</xdr:colOff>
      <xdr:row>18</xdr:row>
      <xdr:rowOff>139211</xdr:rowOff>
    </xdr:from>
    <xdr:to>
      <xdr:col>8</xdr:col>
      <xdr:colOff>139212</xdr:colOff>
      <xdr:row>32</xdr:row>
      <xdr:rowOff>7327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4EF6702-5322-446C-97FB-CEE70E90E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201490</xdr:colOff>
      <xdr:row>18</xdr:row>
      <xdr:rowOff>20516</xdr:rowOff>
    </xdr:from>
    <xdr:to>
      <xdr:col>4</xdr:col>
      <xdr:colOff>729028</xdr:colOff>
      <xdr:row>32</xdr:row>
      <xdr:rowOff>96716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EC66237-11A8-433A-B4FC-49A0233A5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481820</xdr:colOff>
      <xdr:row>13</xdr:row>
      <xdr:rowOff>124558</xdr:rowOff>
    </xdr:from>
    <xdr:to>
      <xdr:col>7</xdr:col>
      <xdr:colOff>747347</xdr:colOff>
      <xdr:row>17</xdr:row>
      <xdr:rowOff>131886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D9F112EA-FFFB-4D9D-BEEE-4CDF42E8452A}"/>
            </a:ext>
          </a:extLst>
        </xdr:cNvPr>
        <xdr:cNvSpPr/>
      </xdr:nvSpPr>
      <xdr:spPr>
        <a:xfrm>
          <a:off x="5530070" y="2658208"/>
          <a:ext cx="2284827" cy="79790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/>
            <a:t>Les résultats du trimestre ne seront pas comptabilisés dans le calcul des primes</a:t>
          </a:r>
        </a:p>
      </xdr:txBody>
    </xdr:sp>
    <xdr:clientData/>
  </xdr:twoCellAnchor>
  <xdr:oneCellAnchor>
    <xdr:from>
      <xdr:col>1</xdr:col>
      <xdr:colOff>762566</xdr:colOff>
      <xdr:row>0</xdr:row>
      <xdr:rowOff>36634</xdr:rowOff>
    </xdr:from>
    <xdr:ext cx="6381184" cy="75445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5CF2DB0-7E11-4106-A83D-BC71F89F8347}"/>
            </a:ext>
          </a:extLst>
        </xdr:cNvPr>
        <xdr:cNvSpPr/>
      </xdr:nvSpPr>
      <xdr:spPr>
        <a:xfrm>
          <a:off x="1772216" y="36634"/>
          <a:ext cx="6381184" cy="754456"/>
        </a:xfrm>
        <a:prstGeom prst="rect">
          <a:avLst/>
        </a:prstGeom>
        <a:noFill/>
      </xdr:spPr>
      <xdr:txBody>
        <a:bodyPr wrap="square" lIns="91440" tIns="45720" rIns="91440" bIns="45720">
          <a:prstTxWarp prst="textArchDown">
            <a:avLst/>
          </a:prstTxWarp>
          <a:spAutoFit/>
        </a:bodyPr>
        <a:lstStyle/>
        <a:p>
          <a:pPr algn="ctr"/>
          <a:r>
            <a:rPr lang="fr-FR" sz="36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Printemps</a:t>
          </a:r>
        </a:p>
      </xdr:txBody>
    </xdr:sp>
    <xdr:clientData/>
  </xdr:oneCellAnchor>
  <xdr:twoCellAnchor>
    <xdr:from>
      <xdr:col>5</xdr:col>
      <xdr:colOff>106240</xdr:colOff>
      <xdr:row>18</xdr:row>
      <xdr:rowOff>139211</xdr:rowOff>
    </xdr:from>
    <xdr:to>
      <xdr:col>8</xdr:col>
      <xdr:colOff>139212</xdr:colOff>
      <xdr:row>32</xdr:row>
      <xdr:rowOff>7327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0AEC14B-0C15-4025-BA4E-AF8735663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201490</xdr:colOff>
      <xdr:row>18</xdr:row>
      <xdr:rowOff>20516</xdr:rowOff>
    </xdr:from>
    <xdr:to>
      <xdr:col>4</xdr:col>
      <xdr:colOff>729028</xdr:colOff>
      <xdr:row>32</xdr:row>
      <xdr:rowOff>96716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D9752CD-B3FC-4950-B138-674F184F9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481820</xdr:colOff>
      <xdr:row>13</xdr:row>
      <xdr:rowOff>124558</xdr:rowOff>
    </xdr:from>
    <xdr:to>
      <xdr:col>7</xdr:col>
      <xdr:colOff>747347</xdr:colOff>
      <xdr:row>17</xdr:row>
      <xdr:rowOff>131886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4D0B0A12-27B8-456B-BE16-6030FA3B7601}"/>
            </a:ext>
          </a:extLst>
        </xdr:cNvPr>
        <xdr:cNvSpPr/>
      </xdr:nvSpPr>
      <xdr:spPr>
        <a:xfrm>
          <a:off x="5530070" y="2658208"/>
          <a:ext cx="2284827" cy="79790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/>
            <a:t>Les résultats du trimestre ne seront pas comptabilisés dans le calcul des primes</a:t>
          </a:r>
        </a:p>
      </xdr:txBody>
    </xdr:sp>
    <xdr:clientData/>
  </xdr:twoCellAnchor>
  <xdr:oneCellAnchor>
    <xdr:from>
      <xdr:col>1</xdr:col>
      <xdr:colOff>762566</xdr:colOff>
      <xdr:row>0</xdr:row>
      <xdr:rowOff>36634</xdr:rowOff>
    </xdr:from>
    <xdr:ext cx="6381184" cy="75445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3830060-AE07-467D-9B52-5BBAD85255D3}"/>
            </a:ext>
          </a:extLst>
        </xdr:cNvPr>
        <xdr:cNvSpPr/>
      </xdr:nvSpPr>
      <xdr:spPr>
        <a:xfrm>
          <a:off x="1772216" y="36634"/>
          <a:ext cx="6381184" cy="754456"/>
        </a:xfrm>
        <a:prstGeom prst="rect">
          <a:avLst/>
        </a:prstGeom>
        <a:noFill/>
      </xdr:spPr>
      <xdr:txBody>
        <a:bodyPr wrap="square" lIns="91440" tIns="45720" rIns="91440" bIns="45720">
          <a:prstTxWarp prst="textArchDown">
            <a:avLst/>
          </a:prstTxWarp>
          <a:spAutoFit/>
        </a:bodyPr>
        <a:lstStyle/>
        <a:p>
          <a:pPr algn="ctr"/>
          <a:r>
            <a:rPr lang="fr-FR" sz="36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Le Bon marché</a:t>
          </a:r>
        </a:p>
      </xdr:txBody>
    </xdr:sp>
    <xdr:clientData/>
  </xdr:oneCellAnchor>
  <xdr:twoCellAnchor>
    <xdr:from>
      <xdr:col>5</xdr:col>
      <xdr:colOff>106240</xdr:colOff>
      <xdr:row>18</xdr:row>
      <xdr:rowOff>139211</xdr:rowOff>
    </xdr:from>
    <xdr:to>
      <xdr:col>8</xdr:col>
      <xdr:colOff>139212</xdr:colOff>
      <xdr:row>32</xdr:row>
      <xdr:rowOff>7327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028DF5C-6A8C-4BC3-B724-F8A45FA22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201490</xdr:colOff>
      <xdr:row>18</xdr:row>
      <xdr:rowOff>20516</xdr:rowOff>
    </xdr:from>
    <xdr:to>
      <xdr:col>4</xdr:col>
      <xdr:colOff>729028</xdr:colOff>
      <xdr:row>32</xdr:row>
      <xdr:rowOff>96716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C28FF84-597B-4DA8-8DE3-B1B691088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481820</xdr:colOff>
      <xdr:row>13</xdr:row>
      <xdr:rowOff>124558</xdr:rowOff>
    </xdr:from>
    <xdr:to>
      <xdr:col>7</xdr:col>
      <xdr:colOff>747347</xdr:colOff>
      <xdr:row>17</xdr:row>
      <xdr:rowOff>131886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7149E2B1-030E-48CB-BCFE-A78038EFC5B7}"/>
            </a:ext>
          </a:extLst>
        </xdr:cNvPr>
        <xdr:cNvSpPr/>
      </xdr:nvSpPr>
      <xdr:spPr>
        <a:xfrm>
          <a:off x="5530070" y="2658208"/>
          <a:ext cx="2284827" cy="79790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/>
            <a:t>Les résultats du trimestre ne seront pas comptabilisés dans le calcul des primes</a:t>
          </a:r>
        </a:p>
      </xdr:txBody>
    </xdr:sp>
    <xdr:clientData/>
  </xdr:twoCellAnchor>
  <xdr:oneCellAnchor>
    <xdr:from>
      <xdr:col>1</xdr:col>
      <xdr:colOff>762566</xdr:colOff>
      <xdr:row>0</xdr:row>
      <xdr:rowOff>36634</xdr:rowOff>
    </xdr:from>
    <xdr:ext cx="6381184" cy="75445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6D7C039-6DD0-40A1-B55F-4B3DDE7A66E2}"/>
            </a:ext>
          </a:extLst>
        </xdr:cNvPr>
        <xdr:cNvSpPr/>
      </xdr:nvSpPr>
      <xdr:spPr>
        <a:xfrm>
          <a:off x="1772216" y="36634"/>
          <a:ext cx="6381184" cy="754456"/>
        </a:xfrm>
        <a:prstGeom prst="rect">
          <a:avLst/>
        </a:prstGeom>
        <a:noFill/>
      </xdr:spPr>
      <xdr:txBody>
        <a:bodyPr wrap="square" lIns="91440" tIns="45720" rIns="91440" bIns="45720">
          <a:prstTxWarp prst="textArchDown">
            <a:avLst/>
          </a:prstTxWarp>
          <a:spAutoFit/>
        </a:bodyPr>
        <a:lstStyle/>
        <a:p>
          <a:pPr algn="ctr"/>
          <a:r>
            <a:rPr lang="fr-FR" sz="36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BHV</a:t>
          </a:r>
        </a:p>
      </xdr:txBody>
    </xdr:sp>
    <xdr:clientData/>
  </xdr:oneCellAnchor>
  <xdr:twoCellAnchor>
    <xdr:from>
      <xdr:col>5</xdr:col>
      <xdr:colOff>106240</xdr:colOff>
      <xdr:row>18</xdr:row>
      <xdr:rowOff>139211</xdr:rowOff>
    </xdr:from>
    <xdr:to>
      <xdr:col>8</xdr:col>
      <xdr:colOff>139212</xdr:colOff>
      <xdr:row>32</xdr:row>
      <xdr:rowOff>7327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028A5BF-6BAD-4965-B553-9E57ED9F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10026</xdr:rowOff>
    </xdr:from>
    <xdr:to>
      <xdr:col>4</xdr:col>
      <xdr:colOff>406066</xdr:colOff>
      <xdr:row>22</xdr:row>
      <xdr:rowOff>10025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9056E7-7D31-471A-8B15-51505140A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531394</xdr:colOff>
      <xdr:row>11</xdr:row>
      <xdr:rowOff>10026</xdr:rowOff>
    </xdr:from>
    <xdr:to>
      <xdr:col>8</xdr:col>
      <xdr:colOff>641684</xdr:colOff>
      <xdr:row>21</xdr:row>
      <xdr:rowOff>180474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53D7526-AAF1-4631-A530-29EFCECD3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98CF-5972-4421-BBC0-652DE65B83DF}">
  <sheetPr>
    <tabColor rgb="FF7030A0"/>
  </sheetPr>
  <dimension ref="A1:H19"/>
  <sheetViews>
    <sheetView zoomScale="130" zoomScaleNormal="130" workbookViewId="0">
      <selection activeCell="J12" sqref="J12"/>
    </sheetView>
  </sheetViews>
  <sheetFormatPr baseColWidth="10" defaultRowHeight="15" x14ac:dyDescent="0.25"/>
  <cols>
    <col min="1" max="8" width="15.140625" customWidth="1"/>
  </cols>
  <sheetData>
    <row r="1" spans="1:8" ht="15.75" thickBot="1" x14ac:dyDescent="0.3">
      <c r="A1" s="2" t="s">
        <v>0</v>
      </c>
      <c r="B1" s="3"/>
    </row>
    <row r="2" spans="1:8" ht="15.75" thickBot="1" x14ac:dyDescent="0.3">
      <c r="A2" s="4" t="s">
        <v>1</v>
      </c>
      <c r="B2" s="5">
        <f>E15</f>
        <v>707000</v>
      </c>
      <c r="C2" s="6"/>
      <c r="D2" s="6"/>
      <c r="E2" s="6"/>
      <c r="F2" s="6"/>
      <c r="G2" s="6"/>
      <c r="H2" s="6"/>
    </row>
    <row r="3" spans="1:8" x14ac:dyDescent="0.25">
      <c r="A3" s="7" t="s">
        <v>2</v>
      </c>
      <c r="B3" s="8">
        <f>AVERAGE(E8:E13)</f>
        <v>117833.33333333333</v>
      </c>
      <c r="C3" s="6"/>
      <c r="D3" s="6"/>
      <c r="E3" s="6"/>
      <c r="F3" s="6"/>
      <c r="G3" s="6"/>
      <c r="H3" s="6"/>
    </row>
    <row r="4" spans="1:8" x14ac:dyDescent="0.25">
      <c r="A4" s="7" t="s">
        <v>3</v>
      </c>
      <c r="B4" s="8">
        <f>MAX(E8:E13)</f>
        <v>182000</v>
      </c>
      <c r="C4" s="6"/>
      <c r="D4" s="6"/>
      <c r="E4" s="6"/>
      <c r="F4" s="6"/>
      <c r="G4" s="6"/>
      <c r="H4" s="6"/>
    </row>
    <row r="5" spans="1:8" ht="15.75" thickBot="1" x14ac:dyDescent="0.3">
      <c r="A5" s="9" t="s">
        <v>4</v>
      </c>
      <c r="B5" s="10">
        <f>MIN(E8:E13)</f>
        <v>50000</v>
      </c>
      <c r="C5" s="6"/>
      <c r="D5" s="6"/>
      <c r="E5" s="6"/>
      <c r="F5" s="6"/>
      <c r="G5" s="6"/>
      <c r="H5" s="6"/>
    </row>
    <row r="6" spans="1:8" ht="15.75" thickBot="1" x14ac:dyDescent="0.3">
      <c r="A6" s="6"/>
      <c r="B6" s="6"/>
      <c r="C6" s="6"/>
      <c r="D6" s="6"/>
      <c r="E6" s="6"/>
      <c r="F6" s="6"/>
      <c r="G6" s="6"/>
      <c r="H6" s="6"/>
    </row>
    <row r="7" spans="1:8" ht="15.75" thickBot="1" x14ac:dyDescent="0.3">
      <c r="A7" s="6"/>
      <c r="B7" s="11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2" t="s">
        <v>10</v>
      </c>
      <c r="H7" s="13" t="s">
        <v>11</v>
      </c>
    </row>
    <row r="8" spans="1:8" x14ac:dyDescent="0.25">
      <c r="A8" s="14" t="s">
        <v>12</v>
      </c>
      <c r="B8" s="15">
        <v>15000</v>
      </c>
      <c r="C8" s="15">
        <v>17000</v>
      </c>
      <c r="D8" s="15">
        <v>18000</v>
      </c>
      <c r="E8" s="16">
        <f>SUM(B8:D8)</f>
        <v>50000</v>
      </c>
      <c r="F8" s="15">
        <f>AVERAGE(B8:D8)</f>
        <v>16666.666666666668</v>
      </c>
      <c r="G8" s="15">
        <f>MAX(B8:D8)</f>
        <v>18000</v>
      </c>
      <c r="H8" s="17">
        <f>MIN(B8:D8)</f>
        <v>15000</v>
      </c>
    </row>
    <row r="9" spans="1:8" x14ac:dyDescent="0.25">
      <c r="A9" s="18" t="s">
        <v>13</v>
      </c>
      <c r="B9" s="19">
        <v>25000</v>
      </c>
      <c r="C9" s="19">
        <v>33000</v>
      </c>
      <c r="D9" s="19">
        <v>24000</v>
      </c>
      <c r="E9" s="20">
        <f t="shared" ref="E9:E13" si="0">SUM(B9:D9)</f>
        <v>82000</v>
      </c>
      <c r="F9" s="19">
        <f t="shared" ref="F9:F13" si="1">AVERAGE(B9:D9)</f>
        <v>27333.333333333332</v>
      </c>
      <c r="G9" s="19">
        <f t="shared" ref="G9:G13" si="2">MAX(B9:D9)</f>
        <v>33000</v>
      </c>
      <c r="H9" s="21">
        <f t="shared" ref="H9:H13" si="3">MIN(B9:D9)</f>
        <v>24000</v>
      </c>
    </row>
    <row r="10" spans="1:8" x14ac:dyDescent="0.25">
      <c r="A10" s="18" t="s">
        <v>14</v>
      </c>
      <c r="B10" s="19">
        <v>35000</v>
      </c>
      <c r="C10" s="19">
        <v>31000</v>
      </c>
      <c r="D10" s="19">
        <v>30000</v>
      </c>
      <c r="E10" s="20">
        <f t="shared" si="0"/>
        <v>96000</v>
      </c>
      <c r="F10" s="19">
        <f t="shared" si="1"/>
        <v>32000</v>
      </c>
      <c r="G10" s="19">
        <f t="shared" si="2"/>
        <v>35000</v>
      </c>
      <c r="H10" s="21">
        <f t="shared" si="3"/>
        <v>30000</v>
      </c>
    </row>
    <row r="11" spans="1:8" x14ac:dyDescent="0.25">
      <c r="A11" s="18" t="s">
        <v>15</v>
      </c>
      <c r="B11" s="19">
        <v>64000</v>
      </c>
      <c r="C11" s="19">
        <v>64000</v>
      </c>
      <c r="D11" s="19">
        <v>54000</v>
      </c>
      <c r="E11" s="20">
        <f t="shared" si="0"/>
        <v>182000</v>
      </c>
      <c r="F11" s="19">
        <f t="shared" si="1"/>
        <v>60666.666666666664</v>
      </c>
      <c r="G11" s="19">
        <f t="shared" si="2"/>
        <v>64000</v>
      </c>
      <c r="H11" s="21">
        <f t="shared" si="3"/>
        <v>54000</v>
      </c>
    </row>
    <row r="12" spans="1:8" x14ac:dyDescent="0.25">
      <c r="A12" s="18" t="s">
        <v>16</v>
      </c>
      <c r="B12" s="19">
        <v>52000</v>
      </c>
      <c r="C12" s="19">
        <v>50000</v>
      </c>
      <c r="D12" s="19">
        <v>64000</v>
      </c>
      <c r="E12" s="20">
        <f t="shared" si="0"/>
        <v>166000</v>
      </c>
      <c r="F12" s="19">
        <f t="shared" si="1"/>
        <v>55333.333333333336</v>
      </c>
      <c r="G12" s="19">
        <f t="shared" si="2"/>
        <v>64000</v>
      </c>
      <c r="H12" s="21">
        <f t="shared" si="3"/>
        <v>50000</v>
      </c>
    </row>
    <row r="13" spans="1:8" ht="15.75" thickBot="1" x14ac:dyDescent="0.3">
      <c r="A13" s="22" t="s">
        <v>32</v>
      </c>
      <c r="B13" s="23">
        <v>41000</v>
      </c>
      <c r="C13" s="23">
        <v>40000</v>
      </c>
      <c r="D13" s="23">
        <v>50000</v>
      </c>
      <c r="E13" s="24">
        <f t="shared" si="0"/>
        <v>131000</v>
      </c>
      <c r="F13" s="23">
        <f t="shared" si="1"/>
        <v>43666.666666666664</v>
      </c>
      <c r="G13" s="23">
        <f t="shared" si="2"/>
        <v>50000</v>
      </c>
      <c r="H13" s="25">
        <f t="shared" si="3"/>
        <v>40000</v>
      </c>
    </row>
    <row r="14" spans="1:8" ht="15.75" thickBot="1" x14ac:dyDescent="0.3">
      <c r="A14" s="6"/>
      <c r="B14" s="6"/>
      <c r="C14" s="6"/>
      <c r="D14" s="6"/>
      <c r="E14" s="6"/>
      <c r="F14" s="6"/>
      <c r="G14" s="6"/>
      <c r="H14" s="6"/>
    </row>
    <row r="15" spans="1:8" ht="15.75" thickBot="1" x14ac:dyDescent="0.3">
      <c r="A15" s="11" t="s">
        <v>20</v>
      </c>
      <c r="B15" s="12">
        <f>SUM(B8:B14)</f>
        <v>232000</v>
      </c>
      <c r="C15" s="12">
        <f t="shared" ref="C15:E15" si="4">SUM(C8:C14)</f>
        <v>235000</v>
      </c>
      <c r="D15" s="12">
        <f t="shared" si="4"/>
        <v>240000</v>
      </c>
      <c r="E15" s="13">
        <f t="shared" si="4"/>
        <v>707000</v>
      </c>
      <c r="F15" s="6"/>
      <c r="G15" s="6"/>
      <c r="H15" s="6"/>
    </row>
    <row r="16" spans="1:8" x14ac:dyDescent="0.25">
      <c r="A16" s="4" t="s">
        <v>18</v>
      </c>
      <c r="B16" s="15">
        <f>B15*20%</f>
        <v>46400</v>
      </c>
      <c r="C16" s="15">
        <f t="shared" ref="C16:E16" si="5">C15*20%</f>
        <v>47000</v>
      </c>
      <c r="D16" s="15">
        <f t="shared" si="5"/>
        <v>48000</v>
      </c>
      <c r="E16" s="17">
        <f t="shared" si="5"/>
        <v>141400</v>
      </c>
      <c r="F16" s="6"/>
      <c r="G16" s="6"/>
      <c r="H16" s="6"/>
    </row>
    <row r="17" spans="1:8" ht="15.75" thickBot="1" x14ac:dyDescent="0.3">
      <c r="A17" s="9" t="s">
        <v>19</v>
      </c>
      <c r="B17" s="23">
        <f>SUM(B15+B16)</f>
        <v>278400</v>
      </c>
      <c r="C17" s="23">
        <f t="shared" ref="C17:E17" si="6">SUM(C15+C16)</f>
        <v>282000</v>
      </c>
      <c r="D17" s="23">
        <f t="shared" si="6"/>
        <v>288000</v>
      </c>
      <c r="E17" s="25">
        <f t="shared" si="6"/>
        <v>848400</v>
      </c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E19" s="1"/>
      <c r="G19" s="1"/>
    </row>
  </sheetData>
  <mergeCells count="1">
    <mergeCell ref="A1:B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&amp;L&amp;D&amp;RLes Grands magasins</oddHeader>
    <oddFooter>&amp;Lservice comptabilité&amp;R&amp;A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9E2B-E891-4BB8-9A5D-9067FC4806DD}">
  <sheetPr>
    <tabColor theme="9" tint="-0.249977111117893"/>
  </sheetPr>
  <dimension ref="A1:H19"/>
  <sheetViews>
    <sheetView topLeftCell="A7" zoomScale="130" zoomScaleNormal="130" workbookViewId="0">
      <selection activeCell="J12" sqref="J12"/>
    </sheetView>
  </sheetViews>
  <sheetFormatPr baseColWidth="10" defaultRowHeight="15" x14ac:dyDescent="0.25"/>
  <cols>
    <col min="1" max="8" width="15.140625" customWidth="1"/>
  </cols>
  <sheetData>
    <row r="1" spans="1:8" ht="15.75" thickBot="1" x14ac:dyDescent="0.3">
      <c r="A1" s="2" t="s">
        <v>0</v>
      </c>
      <c r="B1" s="3"/>
    </row>
    <row r="2" spans="1:8" ht="15.75" thickBot="1" x14ac:dyDescent="0.3">
      <c r="A2" s="4" t="s">
        <v>1</v>
      </c>
      <c r="B2" s="5">
        <f>E15</f>
        <v>764000</v>
      </c>
      <c r="C2" s="6"/>
      <c r="D2" s="6"/>
      <c r="E2" s="6"/>
      <c r="F2" s="6"/>
      <c r="G2" s="6"/>
      <c r="H2" s="6"/>
    </row>
    <row r="3" spans="1:8" x14ac:dyDescent="0.25">
      <c r="A3" s="7" t="s">
        <v>2</v>
      </c>
      <c r="B3" s="8">
        <f>AVERAGE(E8:E13)</f>
        <v>127333.33333333333</v>
      </c>
      <c r="C3" s="6"/>
      <c r="D3" s="6"/>
      <c r="E3" s="6"/>
      <c r="F3" s="6"/>
      <c r="G3" s="6"/>
      <c r="H3" s="6"/>
    </row>
    <row r="4" spans="1:8" x14ac:dyDescent="0.25">
      <c r="A4" s="7" t="s">
        <v>3</v>
      </c>
      <c r="B4" s="8">
        <f>MAX(E8:E13)</f>
        <v>182000</v>
      </c>
      <c r="C4" s="6"/>
      <c r="D4" s="6"/>
      <c r="E4" s="6"/>
      <c r="F4" s="6"/>
      <c r="G4" s="6"/>
      <c r="H4" s="6"/>
    </row>
    <row r="5" spans="1:8" ht="15.75" thickBot="1" x14ac:dyDescent="0.3">
      <c r="A5" s="9" t="s">
        <v>4</v>
      </c>
      <c r="B5" s="8">
        <f>MIN(E8:E13)</f>
        <v>47000</v>
      </c>
      <c r="C5" s="6"/>
      <c r="D5" s="6"/>
      <c r="E5" s="6"/>
      <c r="F5" s="6"/>
      <c r="G5" s="6"/>
      <c r="H5" s="6"/>
    </row>
    <row r="6" spans="1:8" ht="15.75" thickBot="1" x14ac:dyDescent="0.3">
      <c r="A6" s="6"/>
      <c r="B6" s="6"/>
      <c r="C6" s="6"/>
      <c r="D6" s="6"/>
      <c r="E6" s="6"/>
      <c r="F6" s="6"/>
      <c r="G6" s="6"/>
      <c r="H6" s="6"/>
    </row>
    <row r="7" spans="1:8" ht="15.75" thickBot="1" x14ac:dyDescent="0.3">
      <c r="A7" s="6"/>
      <c r="B7" s="11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2" t="s">
        <v>10</v>
      </c>
      <c r="H7" s="13" t="s">
        <v>11</v>
      </c>
    </row>
    <row r="8" spans="1:8" x14ac:dyDescent="0.25">
      <c r="A8" s="14" t="s">
        <v>12</v>
      </c>
      <c r="B8" s="15">
        <v>12000</v>
      </c>
      <c r="C8" s="15">
        <v>17000</v>
      </c>
      <c r="D8" s="15">
        <v>18000</v>
      </c>
      <c r="E8" s="16">
        <f>SUM(B8:D8)</f>
        <v>47000</v>
      </c>
      <c r="F8" s="15">
        <f>AVERAGE(B8:D8)</f>
        <v>15666.666666666666</v>
      </c>
      <c r="G8" s="15">
        <f>MAX(B8:D8)</f>
        <v>18000</v>
      </c>
      <c r="H8" s="17">
        <f>MIN(B8:D8)</f>
        <v>12000</v>
      </c>
    </row>
    <row r="9" spans="1:8" x14ac:dyDescent="0.25">
      <c r="A9" s="18" t="s">
        <v>13</v>
      </c>
      <c r="B9" s="19">
        <v>25000</v>
      </c>
      <c r="C9" s="19">
        <v>133000</v>
      </c>
      <c r="D9" s="19">
        <v>24000</v>
      </c>
      <c r="E9" s="20">
        <f t="shared" ref="E9:E13" si="0">SUM(B9:D9)</f>
        <v>182000</v>
      </c>
      <c r="F9" s="19">
        <f t="shared" ref="F9:F13" si="1">AVERAGE(B9:D9)</f>
        <v>60666.666666666664</v>
      </c>
      <c r="G9" s="19">
        <f t="shared" ref="G9:G13" si="2">MAX(B9:D9)</f>
        <v>133000</v>
      </c>
      <c r="H9" s="21">
        <f t="shared" ref="H9:H13" si="3">MIN(B9:D9)</f>
        <v>24000</v>
      </c>
    </row>
    <row r="10" spans="1:8" x14ac:dyDescent="0.25">
      <c r="A10" s="18" t="s">
        <v>14</v>
      </c>
      <c r="B10" s="19">
        <v>35000</v>
      </c>
      <c r="C10" s="19">
        <v>31000</v>
      </c>
      <c r="D10" s="19">
        <v>30000</v>
      </c>
      <c r="E10" s="20">
        <f t="shared" si="0"/>
        <v>96000</v>
      </c>
      <c r="F10" s="19">
        <f t="shared" si="1"/>
        <v>32000</v>
      </c>
      <c r="G10" s="19">
        <f t="shared" si="2"/>
        <v>35000</v>
      </c>
      <c r="H10" s="21">
        <f t="shared" si="3"/>
        <v>30000</v>
      </c>
    </row>
    <row r="11" spans="1:8" x14ac:dyDescent="0.25">
      <c r="A11" s="18" t="s">
        <v>15</v>
      </c>
      <c r="B11" s="19">
        <v>64000</v>
      </c>
      <c r="C11" s="19">
        <v>64000</v>
      </c>
      <c r="D11" s="19">
        <v>14000</v>
      </c>
      <c r="E11" s="20">
        <f t="shared" si="0"/>
        <v>142000</v>
      </c>
      <c r="F11" s="19">
        <f t="shared" si="1"/>
        <v>47333.333333333336</v>
      </c>
      <c r="G11" s="19">
        <f t="shared" si="2"/>
        <v>64000</v>
      </c>
      <c r="H11" s="21">
        <f t="shared" si="3"/>
        <v>14000</v>
      </c>
    </row>
    <row r="12" spans="1:8" x14ac:dyDescent="0.25">
      <c r="A12" s="18" t="s">
        <v>16</v>
      </c>
      <c r="B12" s="19">
        <v>52000</v>
      </c>
      <c r="C12" s="19">
        <v>50000</v>
      </c>
      <c r="D12" s="19">
        <v>64000</v>
      </c>
      <c r="E12" s="20">
        <f t="shared" si="0"/>
        <v>166000</v>
      </c>
      <c r="F12" s="19">
        <f t="shared" si="1"/>
        <v>55333.333333333336</v>
      </c>
      <c r="G12" s="19">
        <f t="shared" si="2"/>
        <v>64000</v>
      </c>
      <c r="H12" s="21">
        <f t="shared" si="3"/>
        <v>50000</v>
      </c>
    </row>
    <row r="13" spans="1:8" ht="15.75" thickBot="1" x14ac:dyDescent="0.3">
      <c r="A13" s="22" t="s">
        <v>32</v>
      </c>
      <c r="B13" s="23">
        <v>41000</v>
      </c>
      <c r="C13" s="23">
        <v>40000</v>
      </c>
      <c r="D13" s="23">
        <v>50000</v>
      </c>
      <c r="E13" s="24">
        <f t="shared" si="0"/>
        <v>131000</v>
      </c>
      <c r="F13" s="23">
        <f t="shared" si="1"/>
        <v>43666.666666666664</v>
      </c>
      <c r="G13" s="23">
        <f t="shared" si="2"/>
        <v>50000</v>
      </c>
      <c r="H13" s="25">
        <f t="shared" si="3"/>
        <v>40000</v>
      </c>
    </row>
    <row r="14" spans="1:8" ht="15.75" thickBot="1" x14ac:dyDescent="0.3">
      <c r="A14" s="6"/>
      <c r="B14" s="6"/>
      <c r="C14" s="6"/>
      <c r="D14" s="6"/>
      <c r="E14" s="6"/>
      <c r="F14" s="6"/>
      <c r="G14" s="6"/>
      <c r="H14" s="6"/>
    </row>
    <row r="15" spans="1:8" ht="15.75" thickBot="1" x14ac:dyDescent="0.3">
      <c r="A15" s="11" t="s">
        <v>20</v>
      </c>
      <c r="B15" s="12">
        <f>SUM(B8:B14)</f>
        <v>229000</v>
      </c>
      <c r="C15" s="12">
        <f t="shared" ref="C15:E15" si="4">SUM(C8:C14)</f>
        <v>335000</v>
      </c>
      <c r="D15" s="12">
        <f t="shared" si="4"/>
        <v>200000</v>
      </c>
      <c r="E15" s="13">
        <f t="shared" si="4"/>
        <v>764000</v>
      </c>
      <c r="F15" s="6"/>
      <c r="G15" s="6"/>
      <c r="H15" s="6"/>
    </row>
    <row r="16" spans="1:8" x14ac:dyDescent="0.25">
      <c r="A16" s="4" t="s">
        <v>18</v>
      </c>
      <c r="B16" s="15">
        <f>B15*20%</f>
        <v>45800</v>
      </c>
      <c r="C16" s="15">
        <f t="shared" ref="C16:E16" si="5">C15*20%</f>
        <v>67000</v>
      </c>
      <c r="D16" s="15">
        <f t="shared" si="5"/>
        <v>40000</v>
      </c>
      <c r="E16" s="17">
        <f t="shared" si="5"/>
        <v>152800</v>
      </c>
      <c r="F16" s="6"/>
      <c r="G16" s="6"/>
      <c r="H16" s="6"/>
    </row>
    <row r="17" spans="1:8" ht="15.75" thickBot="1" x14ac:dyDescent="0.3">
      <c r="A17" s="9" t="s">
        <v>19</v>
      </c>
      <c r="B17" s="23">
        <f>SUM(B15+B16)</f>
        <v>274800</v>
      </c>
      <c r="C17" s="23">
        <f t="shared" ref="C17:E17" si="6">SUM(C15+C16)</f>
        <v>402000</v>
      </c>
      <c r="D17" s="23">
        <f t="shared" si="6"/>
        <v>240000</v>
      </c>
      <c r="E17" s="25">
        <f t="shared" si="6"/>
        <v>916800</v>
      </c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E19" s="1"/>
      <c r="G19" s="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&amp;L&amp;D&amp;RLes Grands magasins</oddHeader>
    <oddFooter>&amp;Lservice comptabilité&amp;R&amp;A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ACF9-C5FA-44E7-9A77-B9E956693F53}">
  <sheetPr>
    <tabColor theme="7" tint="0.39997558519241921"/>
  </sheetPr>
  <dimension ref="A1:H19"/>
  <sheetViews>
    <sheetView tabSelected="1" zoomScale="130" zoomScaleNormal="130" workbookViewId="0">
      <selection activeCell="I17" sqref="I17"/>
    </sheetView>
  </sheetViews>
  <sheetFormatPr baseColWidth="10" defaultRowHeight="15" x14ac:dyDescent="0.25"/>
  <cols>
    <col min="1" max="7" width="15.140625" customWidth="1"/>
    <col min="8" max="8" width="15.28515625" customWidth="1"/>
  </cols>
  <sheetData>
    <row r="1" spans="1:8" ht="15.75" thickBot="1" x14ac:dyDescent="0.3">
      <c r="A1" s="2" t="s">
        <v>0</v>
      </c>
      <c r="B1" s="3"/>
    </row>
    <row r="2" spans="1:8" ht="15.75" thickBot="1" x14ac:dyDescent="0.3">
      <c r="A2" s="4" t="s">
        <v>1</v>
      </c>
      <c r="B2" s="5">
        <f>E15</f>
        <v>597000</v>
      </c>
      <c r="C2" s="6"/>
      <c r="D2" s="6"/>
      <c r="E2" s="6"/>
      <c r="F2" s="6"/>
      <c r="G2" s="6"/>
      <c r="H2" s="6"/>
    </row>
    <row r="3" spans="1:8" x14ac:dyDescent="0.25">
      <c r="A3" s="7" t="s">
        <v>2</v>
      </c>
      <c r="B3" s="8">
        <f>AVERAGE(E8:E13)</f>
        <v>99500</v>
      </c>
      <c r="C3" s="6"/>
      <c r="D3" s="6"/>
      <c r="E3" s="6"/>
      <c r="F3" s="6"/>
      <c r="G3" s="6"/>
      <c r="H3" s="6"/>
    </row>
    <row r="4" spans="1:8" x14ac:dyDescent="0.25">
      <c r="A4" s="7" t="s">
        <v>3</v>
      </c>
      <c r="B4" s="8">
        <f>MAX(E8:E13)</f>
        <v>132000</v>
      </c>
      <c r="C4" s="6"/>
      <c r="D4" s="6"/>
      <c r="E4" s="6"/>
      <c r="F4" s="6"/>
      <c r="G4" s="6"/>
    </row>
    <row r="5" spans="1:8" ht="15.75" thickBot="1" x14ac:dyDescent="0.3">
      <c r="A5" s="9" t="s">
        <v>4</v>
      </c>
      <c r="B5" s="8">
        <f>MIN(E8:E13)</f>
        <v>50000</v>
      </c>
      <c r="C5" s="6"/>
      <c r="D5" s="6"/>
      <c r="E5" s="6"/>
      <c r="F5" s="6"/>
      <c r="G5" s="6"/>
    </row>
    <row r="6" spans="1:8" ht="15.75" thickBot="1" x14ac:dyDescent="0.3">
      <c r="A6" s="6"/>
      <c r="B6" s="6"/>
      <c r="C6" s="6"/>
      <c r="D6" s="6"/>
      <c r="E6" s="6"/>
      <c r="F6" s="6"/>
      <c r="G6" s="6"/>
      <c r="H6" s="6"/>
    </row>
    <row r="7" spans="1:8" ht="15.75" thickBot="1" x14ac:dyDescent="0.3">
      <c r="A7" s="6"/>
      <c r="B7" s="11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2" t="s">
        <v>10</v>
      </c>
      <c r="H7" s="13" t="s">
        <v>11</v>
      </c>
    </row>
    <row r="8" spans="1:8" x14ac:dyDescent="0.25">
      <c r="A8" s="14" t="s">
        <v>12</v>
      </c>
      <c r="B8" s="15">
        <v>15000</v>
      </c>
      <c r="C8" s="15">
        <v>17000</v>
      </c>
      <c r="D8" s="15">
        <v>18000</v>
      </c>
      <c r="E8" s="16">
        <f>SUM(B8:D8)</f>
        <v>50000</v>
      </c>
      <c r="F8" s="15">
        <f>AVERAGE(B8:D8)</f>
        <v>16666.666666666668</v>
      </c>
      <c r="G8" s="15">
        <f>MAX(B8:D8)</f>
        <v>18000</v>
      </c>
      <c r="H8" s="17">
        <f>MIN(B8:D8)</f>
        <v>15000</v>
      </c>
    </row>
    <row r="9" spans="1:8" x14ac:dyDescent="0.25">
      <c r="A9" s="18" t="s">
        <v>13</v>
      </c>
      <c r="B9" s="19">
        <v>15000</v>
      </c>
      <c r="C9" s="19">
        <v>33000</v>
      </c>
      <c r="D9" s="19">
        <v>24000</v>
      </c>
      <c r="E9" s="20">
        <f t="shared" ref="E9:E13" si="0">SUM(B9:D9)</f>
        <v>72000</v>
      </c>
      <c r="F9" s="19">
        <f t="shared" ref="F9:F13" si="1">AVERAGE(B9:D9)</f>
        <v>24000</v>
      </c>
      <c r="G9" s="19">
        <f t="shared" ref="G9:G13" si="2">MAX(B9:D9)</f>
        <v>33000</v>
      </c>
      <c r="H9" s="21">
        <f t="shared" ref="H9:H13" si="3">MIN(B9:D9)</f>
        <v>15000</v>
      </c>
    </row>
    <row r="10" spans="1:8" x14ac:dyDescent="0.25">
      <c r="A10" s="18" t="s">
        <v>14</v>
      </c>
      <c r="B10" s="19">
        <v>35000</v>
      </c>
      <c r="C10" s="19">
        <v>31000</v>
      </c>
      <c r="D10" s="19">
        <v>30000</v>
      </c>
      <c r="E10" s="20">
        <f t="shared" si="0"/>
        <v>96000</v>
      </c>
      <c r="F10" s="19">
        <f t="shared" si="1"/>
        <v>32000</v>
      </c>
      <c r="G10" s="19">
        <f t="shared" si="2"/>
        <v>35000</v>
      </c>
      <c r="H10" s="21">
        <f t="shared" si="3"/>
        <v>30000</v>
      </c>
    </row>
    <row r="11" spans="1:8" x14ac:dyDescent="0.25">
      <c r="A11" s="18" t="s">
        <v>15</v>
      </c>
      <c r="B11" s="19">
        <v>64000</v>
      </c>
      <c r="C11" s="19">
        <v>14000</v>
      </c>
      <c r="D11" s="19">
        <v>54000</v>
      </c>
      <c r="E11" s="20">
        <f t="shared" si="0"/>
        <v>132000</v>
      </c>
      <c r="F11" s="19">
        <f t="shared" si="1"/>
        <v>44000</v>
      </c>
      <c r="G11" s="19">
        <f t="shared" si="2"/>
        <v>64000</v>
      </c>
      <c r="H11" s="21">
        <f t="shared" si="3"/>
        <v>14000</v>
      </c>
    </row>
    <row r="12" spans="1:8" x14ac:dyDescent="0.25">
      <c r="A12" s="18" t="s">
        <v>16</v>
      </c>
      <c r="B12" s="19">
        <v>52000</v>
      </c>
      <c r="C12" s="19">
        <v>50000</v>
      </c>
      <c r="D12" s="19">
        <v>14000</v>
      </c>
      <c r="E12" s="20">
        <f t="shared" si="0"/>
        <v>116000</v>
      </c>
      <c r="F12" s="19">
        <f t="shared" si="1"/>
        <v>38666.666666666664</v>
      </c>
      <c r="G12" s="19">
        <f t="shared" si="2"/>
        <v>52000</v>
      </c>
      <c r="H12" s="21">
        <f t="shared" si="3"/>
        <v>14000</v>
      </c>
    </row>
    <row r="13" spans="1:8" ht="15.75" thickBot="1" x14ac:dyDescent="0.3">
      <c r="A13" s="22" t="s">
        <v>32</v>
      </c>
      <c r="B13" s="23">
        <v>41000</v>
      </c>
      <c r="C13" s="23">
        <v>40000</v>
      </c>
      <c r="D13" s="23">
        <v>50000</v>
      </c>
      <c r="E13" s="24">
        <f t="shared" si="0"/>
        <v>131000</v>
      </c>
      <c r="F13" s="23">
        <f t="shared" si="1"/>
        <v>43666.666666666664</v>
      </c>
      <c r="G13" s="23">
        <f t="shared" si="2"/>
        <v>50000</v>
      </c>
      <c r="H13" s="25">
        <f t="shared" si="3"/>
        <v>40000</v>
      </c>
    </row>
    <row r="14" spans="1:8" ht="15.75" thickBot="1" x14ac:dyDescent="0.3">
      <c r="A14" s="6"/>
      <c r="B14" s="6"/>
      <c r="C14" s="6"/>
      <c r="D14" s="6"/>
      <c r="E14" s="6"/>
      <c r="F14" s="6"/>
      <c r="G14" s="6"/>
      <c r="H14" s="6"/>
    </row>
    <row r="15" spans="1:8" ht="15.75" thickBot="1" x14ac:dyDescent="0.3">
      <c r="A15" s="11" t="s">
        <v>20</v>
      </c>
      <c r="B15" s="12">
        <f>SUM(B8:B14)</f>
        <v>222000</v>
      </c>
      <c r="C15" s="12">
        <f t="shared" ref="C15:E15" si="4">SUM(C8:C14)</f>
        <v>185000</v>
      </c>
      <c r="D15" s="12">
        <f t="shared" si="4"/>
        <v>190000</v>
      </c>
      <c r="E15" s="13">
        <f t="shared" si="4"/>
        <v>597000</v>
      </c>
      <c r="F15" s="6"/>
      <c r="G15" s="6"/>
      <c r="H15" s="6"/>
    </row>
    <row r="16" spans="1:8" x14ac:dyDescent="0.25">
      <c r="A16" s="4" t="s">
        <v>18</v>
      </c>
      <c r="B16" s="15">
        <f>B15*20%</f>
        <v>44400</v>
      </c>
      <c r="C16" s="15">
        <f t="shared" ref="C16:E16" si="5">C15*20%</f>
        <v>37000</v>
      </c>
      <c r="D16" s="15">
        <f t="shared" si="5"/>
        <v>38000</v>
      </c>
      <c r="E16" s="17">
        <f t="shared" si="5"/>
        <v>119400</v>
      </c>
      <c r="F16" s="6"/>
      <c r="G16" s="6"/>
      <c r="H16" s="6"/>
    </row>
    <row r="17" spans="1:8" ht="15.75" thickBot="1" x14ac:dyDescent="0.3">
      <c r="A17" s="9" t="s">
        <v>19</v>
      </c>
      <c r="B17" s="23">
        <f>SUM(B15+B16)</f>
        <v>266400</v>
      </c>
      <c r="C17" s="23">
        <f t="shared" ref="C17:E17" si="6">SUM(C15+C16)</f>
        <v>222000</v>
      </c>
      <c r="D17" s="23">
        <f t="shared" si="6"/>
        <v>228000</v>
      </c>
      <c r="E17" s="25">
        <f t="shared" si="6"/>
        <v>716400</v>
      </c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E19" s="1"/>
      <c r="G19" s="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&amp;L&amp;D&amp;RLes Grands magasins</oddHeader>
    <oddFooter>&amp;Lservice comptabilité&amp;R&amp;A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9DFC-8D6A-4F5F-837A-654673907C25}">
  <sheetPr>
    <tabColor theme="5" tint="-0.249977111117893"/>
  </sheetPr>
  <dimension ref="A1:H19"/>
  <sheetViews>
    <sheetView topLeftCell="A10" zoomScale="130" zoomScaleNormal="130" workbookViewId="0">
      <selection activeCell="J12" sqref="J12"/>
    </sheetView>
  </sheetViews>
  <sheetFormatPr baseColWidth="10" defaultRowHeight="15" x14ac:dyDescent="0.25"/>
  <cols>
    <col min="1" max="8" width="15.140625" customWidth="1"/>
  </cols>
  <sheetData>
    <row r="1" spans="1:8" ht="15.75" thickBot="1" x14ac:dyDescent="0.3">
      <c r="A1" s="2" t="s">
        <v>0</v>
      </c>
      <c r="B1" s="3"/>
    </row>
    <row r="2" spans="1:8" ht="15.75" thickBot="1" x14ac:dyDescent="0.3">
      <c r="A2" s="4" t="s">
        <v>1</v>
      </c>
      <c r="B2" s="5">
        <f>E15</f>
        <v>612000</v>
      </c>
      <c r="C2" s="6"/>
      <c r="D2" s="6"/>
      <c r="E2" s="6"/>
      <c r="F2" s="6"/>
      <c r="G2" s="6"/>
      <c r="H2" s="6"/>
    </row>
    <row r="3" spans="1:8" x14ac:dyDescent="0.25">
      <c r="A3" s="7" t="s">
        <v>2</v>
      </c>
      <c r="B3" s="8">
        <f>AVERAGE(E8:E13)</f>
        <v>102000</v>
      </c>
      <c r="C3" s="6"/>
      <c r="D3" s="6"/>
      <c r="E3" s="6"/>
      <c r="F3" s="6"/>
      <c r="G3" s="6"/>
      <c r="H3" s="6"/>
    </row>
    <row r="4" spans="1:8" x14ac:dyDescent="0.25">
      <c r="A4" s="7" t="s">
        <v>3</v>
      </c>
      <c r="B4" s="8">
        <f>MAX(E8:E13)</f>
        <v>166000</v>
      </c>
      <c r="C4" s="6"/>
      <c r="D4" s="6"/>
      <c r="E4" s="6"/>
      <c r="F4" s="6"/>
      <c r="G4" s="6"/>
      <c r="H4" s="6"/>
    </row>
    <row r="5" spans="1:8" ht="15.75" thickBot="1" x14ac:dyDescent="0.3">
      <c r="A5" s="9" t="s">
        <v>4</v>
      </c>
      <c r="B5" s="8">
        <f>MIN(E8:E13)</f>
        <v>41000</v>
      </c>
      <c r="C5" s="6"/>
      <c r="D5" s="6"/>
      <c r="E5" s="6"/>
      <c r="F5" s="6"/>
      <c r="G5" s="6"/>
      <c r="H5" s="6"/>
    </row>
    <row r="6" spans="1:8" ht="15.75" thickBot="1" x14ac:dyDescent="0.3">
      <c r="A6" s="6"/>
      <c r="B6" s="6"/>
      <c r="C6" s="6"/>
      <c r="D6" s="6"/>
      <c r="E6" s="6"/>
      <c r="F6" s="6"/>
      <c r="G6" s="6"/>
      <c r="H6" s="6"/>
    </row>
    <row r="7" spans="1:8" ht="15.75" thickBot="1" x14ac:dyDescent="0.3">
      <c r="A7" s="6"/>
      <c r="B7" s="11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2" t="s">
        <v>10</v>
      </c>
      <c r="H7" s="13" t="s">
        <v>11</v>
      </c>
    </row>
    <row r="8" spans="1:8" x14ac:dyDescent="0.25">
      <c r="A8" s="14" t="s">
        <v>12</v>
      </c>
      <c r="B8" s="15">
        <v>15000</v>
      </c>
      <c r="C8" s="15">
        <v>17000</v>
      </c>
      <c r="D8" s="15">
        <v>18000</v>
      </c>
      <c r="E8" s="16">
        <f>SUM(B8:D8)</f>
        <v>50000</v>
      </c>
      <c r="F8" s="15">
        <f>AVERAGE(B8:D8)</f>
        <v>16666.666666666668</v>
      </c>
      <c r="G8" s="15">
        <f>MAX(B8:D8)</f>
        <v>18000</v>
      </c>
      <c r="H8" s="17">
        <f>MIN(B8:D8)</f>
        <v>15000</v>
      </c>
    </row>
    <row r="9" spans="1:8" x14ac:dyDescent="0.25">
      <c r="A9" s="18" t="s">
        <v>13</v>
      </c>
      <c r="B9" s="19">
        <v>25000</v>
      </c>
      <c r="C9" s="19">
        <v>33000</v>
      </c>
      <c r="D9" s="19">
        <v>24000</v>
      </c>
      <c r="E9" s="20">
        <f t="shared" ref="E9:E13" si="0">SUM(B9:D9)</f>
        <v>82000</v>
      </c>
      <c r="F9" s="19">
        <f t="shared" ref="F9:F13" si="1">AVERAGE(B9:D9)</f>
        <v>27333.333333333332</v>
      </c>
      <c r="G9" s="19">
        <f t="shared" ref="G9:G13" si="2">MAX(B9:D9)</f>
        <v>33000</v>
      </c>
      <c r="H9" s="21">
        <f t="shared" ref="H9:H13" si="3">MIN(B9:D9)</f>
        <v>24000</v>
      </c>
    </row>
    <row r="10" spans="1:8" x14ac:dyDescent="0.25">
      <c r="A10" s="18" t="s">
        <v>14</v>
      </c>
      <c r="B10" s="19">
        <v>1000</v>
      </c>
      <c r="C10" s="19">
        <v>10000</v>
      </c>
      <c r="D10" s="19">
        <v>30000</v>
      </c>
      <c r="E10" s="20">
        <f t="shared" si="0"/>
        <v>41000</v>
      </c>
      <c r="F10" s="19">
        <f t="shared" si="1"/>
        <v>13666.666666666666</v>
      </c>
      <c r="G10" s="19">
        <f t="shared" si="2"/>
        <v>30000</v>
      </c>
      <c r="H10" s="21">
        <f t="shared" si="3"/>
        <v>1000</v>
      </c>
    </row>
    <row r="11" spans="1:8" x14ac:dyDescent="0.25">
      <c r="A11" s="18" t="s">
        <v>15</v>
      </c>
      <c r="B11" s="19">
        <v>64000</v>
      </c>
      <c r="C11" s="19">
        <v>64000</v>
      </c>
      <c r="D11" s="19">
        <v>14000</v>
      </c>
      <c r="E11" s="20">
        <f t="shared" si="0"/>
        <v>142000</v>
      </c>
      <c r="F11" s="19">
        <f t="shared" si="1"/>
        <v>47333.333333333336</v>
      </c>
      <c r="G11" s="19">
        <f t="shared" si="2"/>
        <v>64000</v>
      </c>
      <c r="H11" s="21">
        <f t="shared" si="3"/>
        <v>14000</v>
      </c>
    </row>
    <row r="12" spans="1:8" x14ac:dyDescent="0.25">
      <c r="A12" s="18" t="s">
        <v>16</v>
      </c>
      <c r="B12" s="19">
        <v>52000</v>
      </c>
      <c r="C12" s="19">
        <v>50000</v>
      </c>
      <c r="D12" s="19">
        <v>64000</v>
      </c>
      <c r="E12" s="20">
        <f t="shared" si="0"/>
        <v>166000</v>
      </c>
      <c r="F12" s="19">
        <f t="shared" si="1"/>
        <v>55333.333333333336</v>
      </c>
      <c r="G12" s="19">
        <f t="shared" si="2"/>
        <v>64000</v>
      </c>
      <c r="H12" s="21">
        <f t="shared" si="3"/>
        <v>50000</v>
      </c>
    </row>
    <row r="13" spans="1:8" ht="15.75" thickBot="1" x14ac:dyDescent="0.3">
      <c r="A13" s="22" t="s">
        <v>32</v>
      </c>
      <c r="B13" s="23">
        <v>41000</v>
      </c>
      <c r="C13" s="23">
        <v>40000</v>
      </c>
      <c r="D13" s="23">
        <v>50000</v>
      </c>
      <c r="E13" s="24">
        <f t="shared" si="0"/>
        <v>131000</v>
      </c>
      <c r="F13" s="23">
        <f t="shared" si="1"/>
        <v>43666.666666666664</v>
      </c>
      <c r="G13" s="23">
        <f t="shared" si="2"/>
        <v>50000</v>
      </c>
      <c r="H13" s="25">
        <f t="shared" si="3"/>
        <v>40000</v>
      </c>
    </row>
    <row r="14" spans="1:8" ht="15.75" thickBot="1" x14ac:dyDescent="0.3">
      <c r="A14" s="6"/>
      <c r="B14" s="6"/>
      <c r="C14" s="6"/>
      <c r="D14" s="6"/>
      <c r="E14" s="6"/>
      <c r="F14" s="6"/>
      <c r="G14" s="6"/>
      <c r="H14" s="6"/>
    </row>
    <row r="15" spans="1:8" ht="15.75" thickBot="1" x14ac:dyDescent="0.3">
      <c r="A15" s="11" t="s">
        <v>20</v>
      </c>
      <c r="B15" s="12">
        <f>SUM(B8:B14)</f>
        <v>198000</v>
      </c>
      <c r="C15" s="12">
        <f t="shared" ref="C15:E15" si="4">SUM(C8:C14)</f>
        <v>214000</v>
      </c>
      <c r="D15" s="12">
        <f t="shared" si="4"/>
        <v>200000</v>
      </c>
      <c r="E15" s="13">
        <f t="shared" si="4"/>
        <v>612000</v>
      </c>
      <c r="F15" s="6"/>
      <c r="G15" s="6"/>
      <c r="H15" s="6"/>
    </row>
    <row r="16" spans="1:8" x14ac:dyDescent="0.25">
      <c r="A16" s="4" t="s">
        <v>18</v>
      </c>
      <c r="B16" s="15">
        <f>B15*20%</f>
        <v>39600</v>
      </c>
      <c r="C16" s="15">
        <f t="shared" ref="C16:E16" si="5">C15*20%</f>
        <v>42800</v>
      </c>
      <c r="D16" s="15">
        <f t="shared" si="5"/>
        <v>40000</v>
      </c>
      <c r="E16" s="17">
        <f t="shared" si="5"/>
        <v>122400</v>
      </c>
      <c r="F16" s="6"/>
      <c r="G16" s="6"/>
      <c r="H16" s="6"/>
    </row>
    <row r="17" spans="1:8" ht="15.75" thickBot="1" x14ac:dyDescent="0.3">
      <c r="A17" s="9" t="s">
        <v>19</v>
      </c>
      <c r="B17" s="23">
        <f>SUM(B15+B16)</f>
        <v>237600</v>
      </c>
      <c r="C17" s="23">
        <f t="shared" ref="C17:E17" si="6">SUM(C15+C16)</f>
        <v>256800</v>
      </c>
      <c r="D17" s="23">
        <f t="shared" si="6"/>
        <v>240000</v>
      </c>
      <c r="E17" s="25">
        <f t="shared" si="6"/>
        <v>734400</v>
      </c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E19" s="1"/>
      <c r="G19" s="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&amp;L&amp;D&amp;RLes Grands magasins</oddHeader>
    <oddFooter>&amp;Lservice comptabilité&amp;R&amp;A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D90F-AA29-4B47-9597-5CCF77B2C9F0}">
  <dimension ref="A1:I21"/>
  <sheetViews>
    <sheetView zoomScale="190" zoomScaleNormal="190" workbookViewId="0">
      <selection activeCell="I9" sqref="I9"/>
    </sheetView>
  </sheetViews>
  <sheetFormatPr baseColWidth="10" defaultRowHeight="15" x14ac:dyDescent="0.25"/>
  <cols>
    <col min="1" max="1" width="16.42578125" customWidth="1"/>
    <col min="2" max="2" width="13.140625" bestFit="1" customWidth="1"/>
    <col min="4" max="4" width="12.42578125" bestFit="1" customWidth="1"/>
    <col min="5" max="5" width="13.140625" bestFit="1" customWidth="1"/>
    <col min="7" max="7" width="14.42578125" customWidth="1"/>
    <col min="8" max="8" width="13.140625" bestFit="1" customWidth="1"/>
  </cols>
  <sheetData>
    <row r="1" spans="1:9" ht="15.75" thickBot="1" x14ac:dyDescent="0.3"/>
    <row r="2" spans="1:9" ht="16.5" thickTop="1" thickBot="1" x14ac:dyDescent="0.3">
      <c r="A2" s="43" t="s">
        <v>26</v>
      </c>
      <c r="B2" s="44"/>
      <c r="C2" s="44"/>
      <c r="D2" s="43" t="s">
        <v>30</v>
      </c>
      <c r="E2" s="44"/>
      <c r="F2" s="44"/>
      <c r="G2" s="43" t="s">
        <v>31</v>
      </c>
    </row>
    <row r="3" spans="1:9" ht="16.5" thickTop="1" thickBot="1" x14ac:dyDescent="0.3"/>
    <row r="4" spans="1:9" x14ac:dyDescent="0.25">
      <c r="A4" s="32" t="s">
        <v>21</v>
      </c>
      <c r="B4" s="33">
        <f>('galerie lafayette'!E15)</f>
        <v>707000</v>
      </c>
      <c r="C4" s="6"/>
      <c r="D4" s="36" t="s">
        <v>27</v>
      </c>
      <c r="E4" s="33">
        <f>SUM('galerie lafayette:BHV'!B15)</f>
        <v>881000</v>
      </c>
      <c r="F4" s="6"/>
      <c r="G4" s="38" t="s">
        <v>12</v>
      </c>
      <c r="H4" s="33">
        <f>SUM('galerie lafayette:BHV'!E8)</f>
        <v>197000</v>
      </c>
    </row>
    <row r="5" spans="1:9" x14ac:dyDescent="0.25">
      <c r="A5" s="34" t="s">
        <v>22</v>
      </c>
      <c r="B5" s="35">
        <f>(printemps!E15)</f>
        <v>764000</v>
      </c>
      <c r="C5" s="6"/>
      <c r="D5" s="37" t="s">
        <v>28</v>
      </c>
      <c r="E5" s="35">
        <f>SUM('galerie lafayette:BHV'!C15)</f>
        <v>969000</v>
      </c>
      <c r="F5" s="6"/>
      <c r="G5" s="39" t="s">
        <v>13</v>
      </c>
      <c r="H5" s="35">
        <f>SUM('galerie lafayette:BHV'!E9)</f>
        <v>418000</v>
      </c>
    </row>
    <row r="6" spans="1:9" ht="15.75" thickBot="1" x14ac:dyDescent="0.3">
      <c r="A6" s="34" t="s">
        <v>23</v>
      </c>
      <c r="B6" s="35">
        <f>('Le bon marché'!E15)</f>
        <v>597000</v>
      </c>
      <c r="C6" s="6"/>
      <c r="D6" s="37" t="s">
        <v>29</v>
      </c>
      <c r="E6" s="35">
        <f>SUM('galerie lafayette:BHV'!D15)</f>
        <v>830000</v>
      </c>
      <c r="F6" s="6"/>
      <c r="G6" s="39" t="s">
        <v>14</v>
      </c>
      <c r="H6" s="35">
        <f>SUM('galerie lafayette:BHV'!E10)</f>
        <v>329000</v>
      </c>
    </row>
    <row r="7" spans="1:9" ht="15.75" thickBot="1" x14ac:dyDescent="0.3">
      <c r="A7" s="34" t="s">
        <v>24</v>
      </c>
      <c r="B7" s="35">
        <f>(BHV!E15)</f>
        <v>612000</v>
      </c>
      <c r="C7" s="6"/>
      <c r="D7" s="28" t="s">
        <v>25</v>
      </c>
      <c r="E7" s="27">
        <f>SUM(E4:E6)</f>
        <v>2680000</v>
      </c>
      <c r="F7" s="6"/>
      <c r="G7" s="39" t="s">
        <v>15</v>
      </c>
      <c r="H7" s="35">
        <f>SUM('galerie lafayette:BHV'!E11)</f>
        <v>598000</v>
      </c>
    </row>
    <row r="8" spans="1:9" ht="15.75" thickBot="1" x14ac:dyDescent="0.3">
      <c r="A8" s="26" t="s">
        <v>25</v>
      </c>
      <c r="B8" s="27">
        <f>SUM(B4:B7)</f>
        <v>2680000</v>
      </c>
      <c r="C8" s="6"/>
      <c r="D8" s="6"/>
      <c r="E8" s="6"/>
      <c r="F8" s="6"/>
      <c r="G8" s="39" t="s">
        <v>16</v>
      </c>
      <c r="H8" s="35">
        <f>SUM('galerie lafayette:BHV'!E12)</f>
        <v>614000</v>
      </c>
    </row>
    <row r="9" spans="1:9" ht="15.75" thickBot="1" x14ac:dyDescent="0.3">
      <c r="B9" s="6"/>
      <c r="C9" s="6"/>
      <c r="D9" s="6"/>
      <c r="E9" s="6"/>
      <c r="F9" s="6"/>
      <c r="G9" s="39" t="s">
        <v>17</v>
      </c>
      <c r="H9" s="35">
        <f>SUM('galerie lafayette:BHV'!E13)</f>
        <v>524000</v>
      </c>
    </row>
    <row r="10" spans="1:9" ht="15.75" thickBot="1" x14ac:dyDescent="0.3">
      <c r="A10" s="40"/>
      <c r="B10" s="40"/>
      <c r="C10" s="40"/>
      <c r="E10" s="40"/>
      <c r="G10" s="29" t="s">
        <v>25</v>
      </c>
      <c r="H10" s="30">
        <f>SUM(H4:H9)</f>
        <v>2680000</v>
      </c>
    </row>
    <row r="11" spans="1:9" x14ac:dyDescent="0.25">
      <c r="A11" s="40"/>
      <c r="B11" s="40"/>
      <c r="C11" s="41"/>
      <c r="E11" s="40"/>
    </row>
    <row r="12" spans="1:9" x14ac:dyDescent="0.25">
      <c r="A12" s="40"/>
      <c r="B12" s="40"/>
      <c r="C12" s="40"/>
      <c r="D12" s="42"/>
      <c r="E12" s="40"/>
      <c r="I12" s="31"/>
    </row>
    <row r="13" spans="1:9" x14ac:dyDescent="0.25">
      <c r="A13" s="40"/>
      <c r="B13" s="40"/>
      <c r="C13" s="40"/>
      <c r="D13" s="40"/>
      <c r="E13" s="40"/>
    </row>
    <row r="14" spans="1:9" x14ac:dyDescent="0.25">
      <c r="A14" s="40"/>
      <c r="B14" s="40"/>
      <c r="C14" s="40"/>
      <c r="D14" s="40"/>
      <c r="E14" s="40"/>
    </row>
    <row r="15" spans="1:9" x14ac:dyDescent="0.25">
      <c r="A15" s="40"/>
      <c r="B15" s="40"/>
      <c r="C15" s="40"/>
      <c r="D15" s="40"/>
      <c r="E15" s="40"/>
    </row>
    <row r="16" spans="1:9" x14ac:dyDescent="0.25">
      <c r="A16" s="40"/>
      <c r="B16" s="40"/>
      <c r="C16" s="40"/>
      <c r="D16" s="40"/>
      <c r="E16" s="40"/>
    </row>
    <row r="17" spans="1:5" x14ac:dyDescent="0.25">
      <c r="A17" s="40"/>
      <c r="B17" s="40"/>
      <c r="C17" s="40"/>
      <c r="D17" s="40"/>
      <c r="E17" s="40"/>
    </row>
    <row r="18" spans="1:5" x14ac:dyDescent="0.25">
      <c r="A18" s="40"/>
      <c r="B18" s="40"/>
      <c r="C18" s="40"/>
      <c r="D18" s="40"/>
      <c r="E18" s="40"/>
    </row>
    <row r="19" spans="1:5" x14ac:dyDescent="0.25">
      <c r="A19" s="40"/>
      <c r="B19" s="40"/>
      <c r="C19" s="40"/>
      <c r="D19" s="40"/>
      <c r="E19" s="40"/>
    </row>
    <row r="20" spans="1:5" x14ac:dyDescent="0.25">
      <c r="A20" s="40"/>
      <c r="B20" s="40"/>
      <c r="C20" s="40"/>
      <c r="D20" s="40"/>
      <c r="E20" s="40"/>
    </row>
    <row r="21" spans="1:5" x14ac:dyDescent="0.25">
      <c r="A21" s="40"/>
      <c r="B21" s="40"/>
      <c r="C21" s="40"/>
      <c r="D21" s="40"/>
      <c r="E21" s="4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galerie lafayette</vt:lpstr>
      <vt:lpstr>printemps</vt:lpstr>
      <vt:lpstr>Le bon marché</vt:lpstr>
      <vt:lpstr>BHV</vt:lpstr>
      <vt:lpstr>récap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Aubert 7</dc:creator>
  <cp:lastModifiedBy>Aubert 7</cp:lastModifiedBy>
  <cp:lastPrinted>2020-12-16T09:19:28Z</cp:lastPrinted>
  <dcterms:created xsi:type="dcterms:W3CDTF">2020-12-16T08:21:27Z</dcterms:created>
  <dcterms:modified xsi:type="dcterms:W3CDTF">2020-12-16T10:32:41Z</dcterms:modified>
</cp:coreProperties>
</file>