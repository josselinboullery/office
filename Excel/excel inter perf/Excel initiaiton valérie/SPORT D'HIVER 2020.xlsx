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C89D436-87EA-41CB-895D-3243D0E223D5}" xr6:coauthVersionLast="45" xr6:coauthVersionMax="45" xr10:uidLastSave="{00000000-0000-0000-0000-000000000000}"/>
  <bookViews>
    <workbookView xWindow="-120" yWindow="-120" windowWidth="29040" windowHeight="15840" tabRatio="680" activeTab="4" xr2:uid="{38B63411-A778-4352-ADDE-FB8AC2E24A2E}"/>
  </bookViews>
  <sheets>
    <sheet name="trimestre 4 (2)" sheetId="8" r:id="rId1"/>
    <sheet name="Feuil1" sheetId="1" r:id="rId2"/>
    <sheet name="Feuil2" sheetId="2" r:id="rId3"/>
    <sheet name="trimestre 1" sheetId="3" r:id="rId4"/>
    <sheet name="trimestre 2" sheetId="5" r:id="rId5"/>
    <sheet name="trimestre 3" sheetId="6" r:id="rId6"/>
    <sheet name="trimestre 4" sheetId="4" r:id="rId7"/>
    <sheet name="recap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6" i="9" l="1"/>
  <c r="K10" i="9"/>
  <c r="J10" i="9"/>
  <c r="K9" i="9"/>
  <c r="K8" i="9"/>
  <c r="K7" i="9"/>
  <c r="K5" i="9"/>
  <c r="J6" i="9"/>
  <c r="J7" i="9"/>
  <c r="J8" i="9"/>
  <c r="J9" i="9"/>
  <c r="J5" i="9"/>
  <c r="F14" i="9"/>
  <c r="F17" i="9" s="1"/>
  <c r="F16" i="9"/>
  <c r="F15" i="9"/>
  <c r="F13" i="9"/>
  <c r="F12" i="9"/>
  <c r="F11" i="9"/>
  <c r="F10" i="9"/>
  <c r="F9" i="9"/>
  <c r="F8" i="9"/>
  <c r="F7" i="9"/>
  <c r="F6" i="9"/>
  <c r="F5" i="9"/>
  <c r="B9" i="9"/>
  <c r="B8" i="9"/>
  <c r="B7" i="9"/>
  <c r="B6" i="9"/>
  <c r="B5" i="9"/>
  <c r="D16" i="8"/>
  <c r="C16" i="8"/>
  <c r="B16" i="8"/>
  <c r="D15" i="8"/>
  <c r="C15" i="8"/>
  <c r="B15" i="8"/>
  <c r="D14" i="8"/>
  <c r="C14" i="8"/>
  <c r="B14" i="8"/>
  <c r="D11" i="8"/>
  <c r="C11" i="8"/>
  <c r="C12" i="8" s="1"/>
  <c r="C13" i="8" s="1"/>
  <c r="B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11" i="8" s="1"/>
  <c r="D16" i="6"/>
  <c r="C16" i="6"/>
  <c r="B16" i="6"/>
  <c r="D15" i="6"/>
  <c r="C15" i="6"/>
  <c r="B15" i="6"/>
  <c r="D14" i="6"/>
  <c r="C14" i="6"/>
  <c r="B14" i="6"/>
  <c r="D11" i="6"/>
  <c r="D12" i="6" s="1"/>
  <c r="D13" i="6" s="1"/>
  <c r="C11" i="6"/>
  <c r="B11" i="6"/>
  <c r="B12" i="6" s="1"/>
  <c r="B13" i="6" s="1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11" i="6" s="1"/>
  <c r="D16" i="5"/>
  <c r="C16" i="5"/>
  <c r="B16" i="5"/>
  <c r="D15" i="5"/>
  <c r="C15" i="5"/>
  <c r="B15" i="5"/>
  <c r="D14" i="5"/>
  <c r="C14" i="5"/>
  <c r="B14" i="5"/>
  <c r="D11" i="5"/>
  <c r="D12" i="5" s="1"/>
  <c r="C11" i="5"/>
  <c r="B11" i="5"/>
  <c r="B12" i="5" s="1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11" i="5" s="1"/>
  <c r="D16" i="4"/>
  <c r="C16" i="4"/>
  <c r="B16" i="4"/>
  <c r="D15" i="4"/>
  <c r="C15" i="4"/>
  <c r="B15" i="4"/>
  <c r="D14" i="4"/>
  <c r="C14" i="4"/>
  <c r="B14" i="4"/>
  <c r="D11" i="4"/>
  <c r="D12" i="4" s="1"/>
  <c r="C11" i="4"/>
  <c r="B11" i="4"/>
  <c r="B12" i="4" s="1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11" i="4" l="1"/>
  <c r="B12" i="8"/>
  <c r="B13" i="8" s="1"/>
  <c r="D12" i="8"/>
  <c r="D13" i="8" s="1"/>
  <c r="C12" i="6"/>
  <c r="C13" i="6" s="1"/>
  <c r="C12" i="5"/>
  <c r="C13" i="5" s="1"/>
  <c r="B13" i="5"/>
  <c r="D13" i="5"/>
  <c r="C12" i="4"/>
  <c r="C13" i="4" s="1"/>
  <c r="B13" i="4"/>
  <c r="D13" i="4"/>
  <c r="G10" i="3"/>
  <c r="C16" i="3"/>
  <c r="D16" i="3"/>
  <c r="B16" i="3"/>
  <c r="C15" i="3"/>
  <c r="D15" i="3"/>
  <c r="B15" i="3"/>
  <c r="C14" i="3"/>
  <c r="D14" i="3"/>
  <c r="B14" i="3"/>
  <c r="H7" i="3"/>
  <c r="H8" i="3"/>
  <c r="H9" i="3"/>
  <c r="H10" i="3"/>
  <c r="H6" i="3"/>
  <c r="G7" i="3"/>
  <c r="G8" i="3"/>
  <c r="G9" i="3"/>
  <c r="G6" i="3"/>
  <c r="F9" i="3"/>
  <c r="F10" i="3"/>
  <c r="F8" i="3"/>
  <c r="F7" i="3"/>
  <c r="F6" i="3"/>
  <c r="E7" i="3"/>
  <c r="E8" i="3"/>
  <c r="E9" i="3"/>
  <c r="E10" i="3"/>
  <c r="E6" i="3"/>
  <c r="C11" i="3"/>
  <c r="C12" i="3" s="1"/>
  <c r="D11" i="3"/>
  <c r="B11" i="3"/>
  <c r="B12" i="3" s="1"/>
  <c r="D13" i="3" l="1"/>
  <c r="D12" i="3"/>
  <c r="E11" i="3"/>
  <c r="B13" i="3"/>
  <c r="C13" i="3"/>
</calcChain>
</file>

<file path=xl/sharedStrings.xml><?xml version="1.0" encoding="utf-8"?>
<sst xmlns="http://schemas.openxmlformats.org/spreadsheetml/2006/main" count="127" uniqueCount="41">
  <si>
    <t>Lundi</t>
  </si>
  <si>
    <t>Mardi</t>
  </si>
  <si>
    <t>Mercredi</t>
  </si>
  <si>
    <t>Jeudi</t>
  </si>
  <si>
    <t>Vendredi</t>
  </si>
  <si>
    <t>janvier</t>
  </si>
  <si>
    <t>février</t>
  </si>
  <si>
    <t>mars</t>
  </si>
  <si>
    <t>madame 
ffffffffffffffffff</t>
  </si>
  <si>
    <t>total</t>
  </si>
  <si>
    <t>Moyenne</t>
  </si>
  <si>
    <t>Maximum</t>
  </si>
  <si>
    <t>Minimum</t>
  </si>
  <si>
    <t>combinaison</t>
  </si>
  <si>
    <t>gants</t>
  </si>
  <si>
    <t>Chaussures</t>
  </si>
  <si>
    <t>Skis</t>
  </si>
  <si>
    <t>bâtons</t>
  </si>
  <si>
    <t>Total</t>
  </si>
  <si>
    <t>TVA 20%</t>
  </si>
  <si>
    <t>TTC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</si>
  <si>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</si>
  <si>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</si>
  <si>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</si>
  <si>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</si>
  <si>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</si>
  <si>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</si>
  <si>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</si>
  <si>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</si>
  <si>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</si>
  <si>
    <t>récapitulatif trimestres</t>
  </si>
  <si>
    <t>TRIMESTRE 1</t>
  </si>
  <si>
    <t>TRIMESTRE 2</t>
  </si>
  <si>
    <t>TRIMESTRE 3</t>
  </si>
  <si>
    <t>TRIMESTRE 4</t>
  </si>
  <si>
    <t>Récapitulatif mois</t>
  </si>
  <si>
    <t>avril</t>
  </si>
  <si>
    <t>mai</t>
  </si>
  <si>
    <t>juin</t>
  </si>
  <si>
    <t>décembre</t>
  </si>
  <si>
    <t>Récapitulatif par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</si>
</sst>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ck">
        <color theme="8" tint="-0.499984740745262"/>
      </left>
      <right style="medium">
        <color theme="9" tint="-0.24994659260841701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9" tint="-0.24994659260841701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ck">
        <color theme="8" tint="-0.499984740745262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thick">
        <color theme="8" tint="-0.499984740745262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/>
      <bottom style="thick">
        <color theme="8" tint="-0.499984740745262"/>
      </bottom>
      <diagonal/>
    </border>
    <border>
      <left style="medium">
        <color theme="9" tint="-0.24994659260841701"/>
      </left>
      <right style="thick">
        <color theme="8" tint="-0.499984740745262"/>
      </right>
      <top/>
      <bottom style="thick">
        <color theme="8" tint="-0.499984740745262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ck">
        <color theme="8" tint="-0.499984740745262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ck">
        <color theme="8" tint="-0.499984740745262"/>
      </top>
      <bottom style="thin">
        <color theme="9" tint="-0.24994659260841701"/>
      </bottom>
      <diagonal/>
    </border>
    <border>
      <left style="thin">
        <color theme="9" tint="-0.24994659260841701"/>
      </left>
      <right style="thick">
        <color theme="8" tint="-0.499984740745262"/>
      </right>
      <top style="thick">
        <color theme="8" tint="-0.499984740745262"/>
      </top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ck">
        <color theme="8" tint="-0.499984740745262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ck">
        <color theme="8" tint="-0.499984740745262"/>
      </bottom>
      <diagonal/>
    </border>
    <border>
      <left style="thin">
        <color theme="9" tint="-0.24994659260841701"/>
      </left>
      <right style="thick">
        <color theme="8" tint="-0.499984740745262"/>
      </right>
      <top style="thin">
        <color theme="9" tint="-0.24994659260841701"/>
      </top>
      <bottom style="thick">
        <color theme="8" tint="-0.499984740745262"/>
      </bottom>
      <diagonal/>
    </border>
    <border>
      <left style="thick">
        <color theme="8" tint="-0.499984740745262"/>
      </left>
      <right style="medium">
        <color theme="9" tint="-0.24994659260841701"/>
      </right>
      <top style="thick">
        <color theme="8" tint="-0.499984740745262"/>
      </top>
      <bottom style="thin">
        <color theme="9" tint="0.39994506668294322"/>
      </bottom>
      <diagonal/>
    </border>
    <border>
      <left style="thick">
        <color theme="8" tint="-0.499984740745262"/>
      </left>
      <right style="medium">
        <color theme="9" tint="-0.24994659260841701"/>
      </right>
      <top style="thin">
        <color theme="9" tint="0.39994506668294322"/>
      </top>
      <bottom style="thin">
        <color theme="9" tint="0.39994506668294322"/>
      </bottom>
      <diagonal/>
    </border>
    <border>
      <left style="thick">
        <color theme="8" tint="-0.499984740745262"/>
      </left>
      <right style="medium">
        <color theme="9" tint="-0.24994659260841701"/>
      </right>
      <top style="thin">
        <color theme="9" tint="0.39994506668294322"/>
      </top>
      <bottom style="thick">
        <color theme="8" tint="-0.499984740745262"/>
      </bottom>
      <diagonal/>
    </border>
    <border>
      <left style="thick">
        <color theme="8" tint="-0.499984740745262"/>
      </left>
      <right style="medium">
        <color theme="9" tint="-0.24994659260841701"/>
      </right>
      <top style="thin">
        <color theme="9" tint="0.39994506668294322"/>
      </top>
      <bottom/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17" xfId="0" applyFill="1" applyBorder="1"/>
    <xf numFmtId="0" fontId="0" fillId="2" borderId="18" xfId="0" applyFill="1" applyBorder="1"/>
    <xf numFmtId="0" fontId="0" fillId="2" borderId="20" xfId="0" applyFill="1" applyBorder="1"/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1" xfId="0" applyFill="1" applyBorder="1"/>
    <xf numFmtId="4" fontId="0" fillId="0" borderId="4" xfId="0" applyNumberFormat="1" applyBorder="1"/>
    <xf numFmtId="4" fontId="0" fillId="2" borderId="9" xfId="0" applyNumberFormat="1" applyFill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5" xfId="0" applyNumberFormat="1" applyBorder="1"/>
    <xf numFmtId="4" fontId="0" fillId="2" borderId="12" xfId="0" applyNumberFormat="1" applyFill="1" applyBorder="1"/>
    <xf numFmtId="4" fontId="0" fillId="0" borderId="13" xfId="0" applyNumberFormat="1" applyBorder="1"/>
    <xf numFmtId="4" fontId="0" fillId="0" borderId="14" xfId="0" applyNumberFormat="1" applyBorder="1"/>
    <xf numFmtId="4" fontId="0" fillId="2" borderId="21" xfId="0" applyNumberFormat="1" applyFill="1" applyBorder="1"/>
    <xf numFmtId="4" fontId="0" fillId="0" borderId="15" xfId="0" applyNumberFormat="1" applyBorder="1"/>
    <xf numFmtId="4" fontId="0" fillId="0" borderId="16" xfId="0" applyNumberFormat="1" applyBorder="1"/>
    <xf numFmtId="4" fontId="0" fillId="3" borderId="2" xfId="0" applyNumberFormat="1" applyFill="1" applyBorder="1"/>
    <xf numFmtId="4" fontId="0" fillId="3" borderId="3" xfId="0" applyNumberFormat="1" applyFill="1" applyBorder="1"/>
    <xf numFmtId="4" fontId="0" fillId="0" borderId="0" xfId="0" applyNumberFormat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0" fontId="0" fillId="0" borderId="24" xfId="0" applyBorder="1"/>
    <xf numFmtId="4" fontId="0" fillId="0" borderId="24" xfId="0" applyNumberFormat="1" applyBorder="1"/>
    <xf numFmtId="0" fontId="0" fillId="2" borderId="23" xfId="0" applyFill="1" applyBorder="1"/>
    <xf numFmtId="4" fontId="0" fillId="2" borderId="23" xfId="0" applyNumberFormat="1" applyFill="1" applyBorder="1"/>
    <xf numFmtId="0" fontId="0" fillId="2" borderId="24" xfId="0" applyFill="1" applyBorder="1"/>
    <xf numFmtId="4" fontId="0" fillId="2" borderId="24" xfId="0" applyNumberFormat="1" applyFill="1" applyBorder="1"/>
    <xf numFmtId="0" fontId="0" fillId="0" borderId="24" xfId="0" applyFill="1" applyBorder="1"/>
    <xf numFmtId="4" fontId="0" fillId="0" borderId="24" xfId="0" applyNumberFormat="1" applyFill="1" applyBorder="1"/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25" xfId="0" applyFont="1" applyFill="1" applyBorder="1"/>
    <xf numFmtId="4" fontId="2" fillId="4" borderId="25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446690</xdr:colOff>
      <xdr:row>0</xdr:row>
      <xdr:rowOff>32844</xdr:rowOff>
    </xdr:from>
    <xdr:to>
      <xdr:col>6</xdr:col>
      <xdr:colOff>210209</xdr:colOff>
      <xdr:row>2</xdr:row>
      <xdr:rowOff>98533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4015D3CA-94E7-4409-AADF-8E246B4CB972}"/>
            </a:ext>
          </a:extLst>
        </xdr:cNvPr>
        <xdr:cNvSpPr/>
      </xdr:nvSpPr>
      <xdr:spPr>
        <a:xfrm>
          <a:off x="2389790" y="32844"/>
          <a:ext cx="3649719" cy="44668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VENTE RAYON SPORT </a:t>
          </a:r>
          <a:r>
            <a:rPr lang="fr-FR" sz="1100" b="1" cap="none" spc="0">
              <a:ln w="0"/>
              <a:solidFill>
                <a:schemeClr val="accent5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D'HIVER</a:t>
          </a:r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2020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446690</xdr:colOff>
      <xdr:row>0</xdr:row>
      <xdr:rowOff>32844</xdr:rowOff>
    </xdr:from>
    <xdr:to>
      <xdr:col>6</xdr:col>
      <xdr:colOff>210209</xdr:colOff>
      <xdr:row>2</xdr:row>
      <xdr:rowOff>98533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34B51A9A-708A-4F4B-812A-37D333B8E650}"/>
            </a:ext>
          </a:extLst>
        </xdr:cNvPr>
        <xdr:cNvSpPr/>
      </xdr:nvSpPr>
      <xdr:spPr>
        <a:xfrm>
          <a:off x="2391104" y="32844"/>
          <a:ext cx="3652346" cy="44668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VENTE RAYON SPORT </a:t>
          </a:r>
          <a:r>
            <a:rPr lang="fr-FR" sz="1100" b="1" cap="none" spc="0">
              <a:ln w="0"/>
              <a:solidFill>
                <a:schemeClr val="accent5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D'HIVER</a:t>
          </a:r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2020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446690</xdr:colOff>
      <xdr:row>0</xdr:row>
      <xdr:rowOff>32844</xdr:rowOff>
    </xdr:from>
    <xdr:to>
      <xdr:col>6</xdr:col>
      <xdr:colOff>210209</xdr:colOff>
      <xdr:row>2</xdr:row>
      <xdr:rowOff>98533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B684F3CB-77B0-4083-93BA-EA90470C88F9}"/>
            </a:ext>
          </a:extLst>
        </xdr:cNvPr>
        <xdr:cNvSpPr/>
      </xdr:nvSpPr>
      <xdr:spPr>
        <a:xfrm>
          <a:off x="2389790" y="32844"/>
          <a:ext cx="3649719" cy="44668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VENTE RAYON SPORT </a:t>
          </a:r>
          <a:r>
            <a:rPr lang="fr-FR" sz="1100" b="1" cap="none" spc="0">
              <a:ln w="0"/>
              <a:solidFill>
                <a:schemeClr val="accent5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D'HIVER</a:t>
          </a:r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2020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446690</xdr:colOff>
      <xdr:row>0</xdr:row>
      <xdr:rowOff>32844</xdr:rowOff>
    </xdr:from>
    <xdr:to>
      <xdr:col>6</xdr:col>
      <xdr:colOff>210209</xdr:colOff>
      <xdr:row>2</xdr:row>
      <xdr:rowOff>98533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1AAD7BA3-8629-4E34-882F-89BB1095D845}"/>
            </a:ext>
          </a:extLst>
        </xdr:cNvPr>
        <xdr:cNvSpPr/>
      </xdr:nvSpPr>
      <xdr:spPr>
        <a:xfrm>
          <a:off x="2389790" y="32844"/>
          <a:ext cx="3649719" cy="44668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VENTE RAYON SPORT </a:t>
          </a:r>
          <a:r>
            <a:rPr lang="fr-FR" sz="1100" b="1" cap="none" spc="0">
              <a:ln w="0"/>
              <a:solidFill>
                <a:schemeClr val="accent5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D'HIVER</a:t>
          </a:r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2020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446690</xdr:colOff>
      <xdr:row>0</xdr:row>
      <xdr:rowOff>32844</xdr:rowOff>
    </xdr:from>
    <xdr:to>
      <xdr:col>6</xdr:col>
      <xdr:colOff>210209</xdr:colOff>
      <xdr:row>2</xdr:row>
      <xdr:rowOff>98533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DABFFE19-151C-4051-B29D-1ABE6FCF588F}"/>
            </a:ext>
          </a:extLst>
        </xdr:cNvPr>
        <xdr:cNvSpPr/>
      </xdr:nvSpPr>
      <xdr:spPr>
        <a:xfrm>
          <a:off x="2389790" y="32844"/>
          <a:ext cx="3649719" cy="44668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VENTE RAYON SPORT </a:t>
          </a:r>
          <a:r>
            <a:rPr lang="fr-FR" sz="1100" b="1" cap="none" spc="0">
              <a:ln w="0"/>
              <a:solidFill>
                <a:schemeClr val="accent5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D'HIVER</a:t>
          </a:r>
          <a:r>
            <a:rPr lang="fr-FR" sz="11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2020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FF73-5A37-43BE-B258-E18232636C45}">
  <dimension ref="A4:H17"/>
  <sheetViews>
    <sheetView zoomScale="145" zoomScaleNormal="145" workbookViewId="0">
      <selection activeCell="F14" sqref="F14"/>
    </sheetView>
  </sheetViews>
  <sheetFormatPr baseColWidth="10" defaultRowHeight="15" x14ac:dyDescent="0.25"/>
  <cols>
    <col min="1" max="1" width="14.5703125" customWidth="1"/>
    <col min="2" max="8" width="14.5703125" style="5" customWidth="1"/>
  </cols>
  <sheetData>
    <row r="4" spans="1:8" ht="15.75" thickBot="1" x14ac:dyDescent="0.3"/>
    <row r="5" spans="1:8" ht="24" customHeight="1" thickTop="1" thickBot="1" x14ac:dyDescent="0.3">
      <c r="B5" s="12" t="s">
        <v>24</v>
      </c>
      <c r="C5" s="12" t="s">
        <v>25</v>
      </c>
      <c r="D5" s="12" t="s">
        <v>26</v>
      </c>
      <c r="E5" s="13" t="s">
        <v>9</v>
      </c>
      <c r="F5" s="13" t="s">
        <v>10</v>
      </c>
      <c r="G5" s="13" t="s">
        <v>11</v>
      </c>
      <c r="H5" s="14" t="s">
        <v>12</v>
      </c>
    </row>
    <row r="6" spans="1:8" ht="23.25" customHeight="1" thickTop="1" x14ac:dyDescent="0.25">
      <c r="A6" s="9" t="s">
        <v>13</v>
      </c>
      <c r="B6" s="16">
        <v>18000</v>
      </c>
      <c r="C6" s="16"/>
      <c r="D6" s="16"/>
      <c r="E6" s="17">
        <f>SUM(B6:D6)</f>
        <v>18000</v>
      </c>
      <c r="F6" s="18">
        <f>AVERAGE(B6:D6)</f>
        <v>18000</v>
      </c>
      <c r="G6" s="18">
        <f>MAX(B6:D6)</f>
        <v>18000</v>
      </c>
      <c r="H6" s="19">
        <f>MIN(B6:D6)</f>
        <v>18000</v>
      </c>
    </row>
    <row r="7" spans="1:8" ht="23.25" customHeight="1" x14ac:dyDescent="0.25">
      <c r="A7" s="10" t="s">
        <v>14</v>
      </c>
      <c r="B7" s="20"/>
      <c r="C7" s="20"/>
      <c r="D7" s="20">
        <v>56000</v>
      </c>
      <c r="E7" s="21">
        <f t="shared" ref="E7:E10" si="0">SUM(B7:D7)</f>
        <v>56000</v>
      </c>
      <c r="F7" s="22">
        <f>AVERAGE(B7:D7)</f>
        <v>56000</v>
      </c>
      <c r="G7" s="22">
        <f t="shared" ref="G7:G9" si="1">MAX(B7:D7)</f>
        <v>56000</v>
      </c>
      <c r="H7" s="23">
        <f t="shared" ref="H7:H10" si="2">MIN(B7:D7)</f>
        <v>56000</v>
      </c>
    </row>
    <row r="8" spans="1:8" ht="23.25" customHeight="1" x14ac:dyDescent="0.25">
      <c r="A8" s="10" t="s">
        <v>15</v>
      </c>
      <c r="B8" s="20"/>
      <c r="C8" s="20">
        <v>21000</v>
      </c>
      <c r="D8" s="20"/>
      <c r="E8" s="21">
        <f t="shared" si="0"/>
        <v>21000</v>
      </c>
      <c r="F8" s="22">
        <f>AVERAGE(B8:D8)</f>
        <v>21000</v>
      </c>
      <c r="G8" s="22">
        <f t="shared" si="1"/>
        <v>21000</v>
      </c>
      <c r="H8" s="23">
        <f t="shared" si="2"/>
        <v>21000</v>
      </c>
    </row>
    <row r="9" spans="1:8" ht="23.25" customHeight="1" x14ac:dyDescent="0.25">
      <c r="A9" s="10" t="s">
        <v>16</v>
      </c>
      <c r="B9" s="20"/>
      <c r="C9" s="20"/>
      <c r="D9" s="20"/>
      <c r="E9" s="21">
        <f t="shared" si="0"/>
        <v>0</v>
      </c>
      <c r="F9" s="22" t="e">
        <f t="shared" ref="F9:F10" si="3">AVERAGE(B9:D9)</f>
        <v>#DIV/0!</v>
      </c>
      <c r="G9" s="22">
        <f t="shared" si="1"/>
        <v>0</v>
      </c>
      <c r="H9" s="23">
        <f t="shared" si="2"/>
        <v>0</v>
      </c>
    </row>
    <row r="10" spans="1:8" ht="23.25" customHeight="1" thickBot="1" x14ac:dyDescent="0.3">
      <c r="A10" s="11" t="s">
        <v>17</v>
      </c>
      <c r="B10" s="20"/>
      <c r="C10" s="20"/>
      <c r="D10" s="20">
        <v>95000</v>
      </c>
      <c r="E10" s="24">
        <f t="shared" si="0"/>
        <v>95000</v>
      </c>
      <c r="F10" s="25">
        <f t="shared" si="3"/>
        <v>95000</v>
      </c>
      <c r="G10" s="25">
        <f>MAX(B10:D10)</f>
        <v>95000</v>
      </c>
      <c r="H10" s="26">
        <f t="shared" si="2"/>
        <v>95000</v>
      </c>
    </row>
    <row r="11" spans="1:8" ht="23.25" customHeight="1" thickTop="1" thickBot="1" x14ac:dyDescent="0.3">
      <c r="A11" s="15" t="s">
        <v>18</v>
      </c>
      <c r="B11" s="27">
        <f>SUM(B6:B10)</f>
        <v>18000</v>
      </c>
      <c r="C11" s="27">
        <f t="shared" ref="C11:D11" si="4">SUM(C6:C10)</f>
        <v>21000</v>
      </c>
      <c r="D11" s="27">
        <f t="shared" si="4"/>
        <v>151000</v>
      </c>
      <c r="E11" s="28">
        <f>SUM(E6:E10)</f>
        <v>190000</v>
      </c>
      <c r="F11" s="29"/>
      <c r="G11" s="29"/>
      <c r="H11" s="29"/>
    </row>
    <row r="12" spans="1:8" ht="23.25" customHeight="1" thickTop="1" x14ac:dyDescent="0.25">
      <c r="A12" s="6" t="s">
        <v>19</v>
      </c>
      <c r="B12" s="20">
        <f>B11*20%</f>
        <v>3600</v>
      </c>
      <c r="C12" s="20">
        <f t="shared" ref="C12:D12" si="5">C11*20%</f>
        <v>4200</v>
      </c>
      <c r="D12" s="30">
        <f t="shared" si="5"/>
        <v>30200</v>
      </c>
      <c r="E12" s="29"/>
      <c r="F12" s="29"/>
      <c r="G12" s="29"/>
      <c r="H12"/>
    </row>
    <row r="13" spans="1:8" ht="23.25" customHeight="1" x14ac:dyDescent="0.25">
      <c r="A13" s="7" t="s">
        <v>20</v>
      </c>
      <c r="B13" s="20">
        <f>SUM(B11:B12)</f>
        <v>21600</v>
      </c>
      <c r="C13" s="20">
        <f t="shared" ref="C13:D13" si="6">SUM(C11:C12)</f>
        <v>25200</v>
      </c>
      <c r="D13" s="30">
        <f t="shared" si="6"/>
        <v>181200</v>
      </c>
      <c r="E13" s="29"/>
      <c r="F13" s="29"/>
      <c r="G13" s="29"/>
      <c r="H13"/>
    </row>
    <row r="14" spans="1:8" ht="23.25" customHeight="1" x14ac:dyDescent="0.25">
      <c r="A14" s="7" t="s">
        <v>10</v>
      </c>
      <c r="B14" s="20">
        <f>AVERAGE(B6:B10)</f>
        <v>18000</v>
      </c>
      <c r="C14" s="20">
        <f t="shared" ref="C14:D14" si="7">AVERAGE(C6:C10)</f>
        <v>21000</v>
      </c>
      <c r="D14" s="30">
        <f t="shared" si="7"/>
        <v>75500</v>
      </c>
      <c r="E14" s="29"/>
      <c r="F14" s="29"/>
      <c r="G14" s="29"/>
      <c r="H14"/>
    </row>
    <row r="15" spans="1:8" ht="23.25" customHeight="1" x14ac:dyDescent="0.25">
      <c r="A15" s="7" t="s">
        <v>11</v>
      </c>
      <c r="B15" s="20">
        <f>MAX(B6:B10)</f>
        <v>18000</v>
      </c>
      <c r="C15" s="20">
        <f t="shared" ref="C15:D15" si="8">MAX(C6:C10)</f>
        <v>21000</v>
      </c>
      <c r="D15" s="30">
        <f t="shared" si="8"/>
        <v>95000</v>
      </c>
      <c r="E15" s="29"/>
      <c r="F15" s="29"/>
      <c r="G15" s="29"/>
      <c r="H15"/>
    </row>
    <row r="16" spans="1:8" ht="23.25" customHeight="1" thickBot="1" x14ac:dyDescent="0.3">
      <c r="A16" s="8" t="s">
        <v>12</v>
      </c>
      <c r="B16" s="31">
        <f>MIN(B6:B10)</f>
        <v>18000</v>
      </c>
      <c r="C16" s="31">
        <f t="shared" ref="C16:D16" si="9">MIN(C6:C10)</f>
        <v>21000</v>
      </c>
      <c r="D16" s="32">
        <f t="shared" si="9"/>
        <v>56000</v>
      </c>
      <c r="E16" s="29"/>
      <c r="F16" s="29"/>
      <c r="G16" s="29"/>
      <c r="H16" s="29"/>
    </row>
    <row r="17" ht="15.75" thickTop="1" x14ac:dyDescent="0.25"/>
  </sheetData>
  <printOptions horizontalCentered="1" verticalCentered="1"/>
  <pageMargins left="0.70866141732283472" right="0.70866141732283472" top="0" bottom="0.74803149606299213" header="0.31496062992125984" footer="0.31496062992125984"/>
  <pageSetup paperSize="9" orientation="landscape" r:id="rId1"/>
  <headerFooter>
    <oddHeader>&amp;LVALERIE&amp;C&amp;A&amp;R&amp;D  &amp;T</oddHeader>
    <oddFooter>&amp;C&amp;G&amp;R 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D7D-0B64-4373-9D83-73CEBB88F738}">
  <dimension ref="A2:F44"/>
  <sheetViews>
    <sheetView zoomScale="175" zoomScaleNormal="175" workbookViewId="0">
      <selection activeCell="F5" sqref="F5"/>
    </sheetView>
  </sheetViews>
  <sheetFormatPr baseColWidth="10" defaultRowHeight="15" x14ac:dyDescent="0.25"/>
  <cols>
    <col min="3" max="3" width="22.42578125" bestFit="1" customWidth="1"/>
    <col min="5" max="5" width="11.42578125" customWidth="1"/>
    <col min="6" max="6" width="27.7109375" customWidth="1"/>
  </cols>
  <sheetData>
    <row r="2" spans="1:4" x14ac:dyDescent="0.25">
      <c r="A2" s="1">
        <v>44197</v>
      </c>
      <c r="C2" s="2">
        <v>44198</v>
      </c>
      <c r="D2" s="1">
        <v>44197</v>
      </c>
    </row>
    <row r="3" spans="1:4" x14ac:dyDescent="0.25">
      <c r="A3" s="1">
        <v>44200</v>
      </c>
      <c r="C3" s="2">
        <v>44229</v>
      </c>
      <c r="D3" s="1">
        <v>44228</v>
      </c>
    </row>
    <row r="4" spans="1:4" x14ac:dyDescent="0.25">
      <c r="A4" s="1">
        <v>44201</v>
      </c>
      <c r="C4" s="2">
        <v>44257</v>
      </c>
      <c r="D4" s="1">
        <v>44256</v>
      </c>
    </row>
    <row r="5" spans="1:4" x14ac:dyDescent="0.25">
      <c r="A5" s="1">
        <v>44202</v>
      </c>
      <c r="C5" s="2">
        <v>44288</v>
      </c>
      <c r="D5" s="1">
        <v>44287</v>
      </c>
    </row>
    <row r="6" spans="1:4" x14ac:dyDescent="0.25">
      <c r="A6" s="1">
        <v>44203</v>
      </c>
      <c r="C6" s="2">
        <v>44318</v>
      </c>
      <c r="D6" s="1">
        <v>44317</v>
      </c>
    </row>
    <row r="7" spans="1:4" x14ac:dyDescent="0.25">
      <c r="A7" s="1">
        <v>44204</v>
      </c>
      <c r="C7" s="2">
        <v>44349</v>
      </c>
      <c r="D7" s="1">
        <v>44348</v>
      </c>
    </row>
    <row r="8" spans="1:4" x14ac:dyDescent="0.25">
      <c r="A8" s="1">
        <v>44207</v>
      </c>
      <c r="C8" s="2">
        <v>44379</v>
      </c>
    </row>
    <row r="9" spans="1:4" x14ac:dyDescent="0.25">
      <c r="A9" s="1">
        <v>44208</v>
      </c>
      <c r="C9" s="2">
        <v>44410</v>
      </c>
    </row>
    <row r="10" spans="1:4" x14ac:dyDescent="0.25">
      <c r="A10" s="1">
        <v>44209</v>
      </c>
      <c r="C10" s="2">
        <v>44441</v>
      </c>
    </row>
    <row r="11" spans="1:4" x14ac:dyDescent="0.25">
      <c r="A11" s="1">
        <v>44210</v>
      </c>
      <c r="C11" s="2">
        <v>44471</v>
      </c>
    </row>
    <row r="12" spans="1:4" x14ac:dyDescent="0.25">
      <c r="A12" s="1">
        <v>44211</v>
      </c>
      <c r="C12" s="2">
        <v>44502</v>
      </c>
    </row>
    <row r="13" spans="1:4" x14ac:dyDescent="0.25">
      <c r="A13" s="1">
        <v>44214</v>
      </c>
      <c r="C13" s="2">
        <v>44532</v>
      </c>
    </row>
    <row r="14" spans="1:4" x14ac:dyDescent="0.25">
      <c r="A14" s="1">
        <v>44215</v>
      </c>
      <c r="C14" s="2">
        <v>44563</v>
      </c>
    </row>
    <row r="15" spans="1:4" x14ac:dyDescent="0.25">
      <c r="A15" s="1">
        <v>44216</v>
      </c>
      <c r="C15" s="2">
        <v>44594</v>
      </c>
    </row>
    <row r="16" spans="1:4" x14ac:dyDescent="0.25">
      <c r="A16" s="1">
        <v>44217</v>
      </c>
    </row>
    <row r="17" spans="1:6" x14ac:dyDescent="0.25">
      <c r="A17" s="1">
        <v>44218</v>
      </c>
    </row>
    <row r="18" spans="1:6" x14ac:dyDescent="0.25">
      <c r="A18" s="1">
        <v>44221</v>
      </c>
    </row>
    <row r="19" spans="1:6" x14ac:dyDescent="0.25">
      <c r="A19" s="1">
        <v>44222</v>
      </c>
    </row>
    <row r="20" spans="1:6" x14ac:dyDescent="0.25">
      <c r="A20" s="1">
        <v>44223</v>
      </c>
      <c r="F20" s="2"/>
    </row>
    <row r="21" spans="1:6" x14ac:dyDescent="0.25">
      <c r="A21" s="1">
        <v>44224</v>
      </c>
      <c r="F21" s="1"/>
    </row>
    <row r="22" spans="1:6" x14ac:dyDescent="0.25">
      <c r="A22" s="1">
        <v>44225</v>
      </c>
    </row>
    <row r="23" spans="1:6" x14ac:dyDescent="0.25">
      <c r="A23" s="1">
        <v>44228</v>
      </c>
    </row>
    <row r="24" spans="1:6" x14ac:dyDescent="0.25">
      <c r="A24" s="1">
        <v>44229</v>
      </c>
    </row>
    <row r="25" spans="1:6" x14ac:dyDescent="0.25">
      <c r="A25" s="1">
        <v>44230</v>
      </c>
    </row>
    <row r="26" spans="1:6" x14ac:dyDescent="0.25">
      <c r="A26" s="1">
        <v>44231</v>
      </c>
    </row>
    <row r="27" spans="1:6" x14ac:dyDescent="0.25">
      <c r="A27" s="1">
        <v>44232</v>
      </c>
    </row>
    <row r="28" spans="1:6" x14ac:dyDescent="0.25">
      <c r="A28" s="1">
        <v>44235</v>
      </c>
    </row>
    <row r="29" spans="1:6" x14ac:dyDescent="0.25">
      <c r="A29" s="1">
        <v>44236</v>
      </c>
    </row>
    <row r="30" spans="1:6" x14ac:dyDescent="0.25">
      <c r="A30" s="1">
        <v>44237</v>
      </c>
    </row>
    <row r="31" spans="1:6" x14ac:dyDescent="0.25">
      <c r="A31" s="1">
        <v>44238</v>
      </c>
    </row>
    <row r="32" spans="1:6" x14ac:dyDescent="0.25">
      <c r="A32" s="1">
        <v>44239</v>
      </c>
    </row>
    <row r="33" spans="1:1" x14ac:dyDescent="0.25">
      <c r="A33" s="1">
        <v>44242</v>
      </c>
    </row>
    <row r="34" spans="1:1" x14ac:dyDescent="0.25">
      <c r="A34" s="1">
        <v>44243</v>
      </c>
    </row>
    <row r="35" spans="1:1" x14ac:dyDescent="0.25">
      <c r="A35" s="1">
        <v>44244</v>
      </c>
    </row>
    <row r="36" spans="1:1" x14ac:dyDescent="0.25">
      <c r="A36" s="1">
        <v>44245</v>
      </c>
    </row>
    <row r="37" spans="1:1" x14ac:dyDescent="0.25">
      <c r="A37" s="1">
        <v>44246</v>
      </c>
    </row>
    <row r="38" spans="1:1" x14ac:dyDescent="0.25">
      <c r="A38" s="1">
        <v>44249</v>
      </c>
    </row>
    <row r="39" spans="1:1" x14ac:dyDescent="0.25">
      <c r="A39" s="1">
        <v>44250</v>
      </c>
    </row>
    <row r="40" spans="1:1" x14ac:dyDescent="0.25">
      <c r="A40" s="1">
        <v>44251</v>
      </c>
    </row>
    <row r="41" spans="1:1" x14ac:dyDescent="0.25">
      <c r="A41" s="1">
        <v>44252</v>
      </c>
    </row>
    <row r="42" spans="1:1" x14ac:dyDescent="0.25">
      <c r="A42" s="1">
        <v>44253</v>
      </c>
    </row>
    <row r="43" spans="1:1" x14ac:dyDescent="0.25">
      <c r="A43" s="1">
        <v>44256</v>
      </c>
    </row>
    <row r="44" spans="1:1" x14ac:dyDescent="0.25">
      <c r="A44" s="1">
        <v>44257</v>
      </c>
    </row>
  </sheetData>
  <phoneticPr fontId="1" type="noConversion"/>
  <conditionalFormatting sqref="C2:C15">
    <cfRule type="timePeriod" dxfId="0" priority="1" timePeriod="lastMonth">
      <formula>AND(MONTH(C2)=MONTH(EDATE(TODAY(),0-1)),YEAR(C2)=YEAR(EDATE(TODAY(),0-1)))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A38B-B905-4609-BBAC-2B4386F87CEB}">
  <dimension ref="A1:K28"/>
  <sheetViews>
    <sheetView zoomScale="130" zoomScaleNormal="130" workbookViewId="0">
      <selection activeCell="C26" sqref="C26"/>
    </sheetView>
  </sheetViews>
  <sheetFormatPr baseColWidth="10" defaultRowHeight="15" x14ac:dyDescent="0.25"/>
  <cols>
    <col min="3" max="3" width="19.85546875" customWidth="1"/>
    <col min="4" max="4" width="12" customWidth="1"/>
    <col min="5" max="5" width="19.85546875" customWidth="1"/>
    <col min="6" max="6" width="12" customWidth="1"/>
    <col min="7" max="7" width="19.85546875" customWidth="1"/>
    <col min="8" max="8" width="12" customWidth="1"/>
    <col min="9" max="9" width="19.85546875" customWidth="1"/>
    <col min="10" max="10" width="12" customWidth="1"/>
    <col min="11" max="11" width="19.85546875" customWidth="1"/>
  </cols>
  <sheetData>
    <row r="1" spans="1:11" x14ac:dyDescent="0.25">
      <c r="C1" t="s">
        <v>0</v>
      </c>
      <c r="E1" t="s">
        <v>1</v>
      </c>
      <c r="G1" t="s">
        <v>2</v>
      </c>
      <c r="I1" t="s">
        <v>3</v>
      </c>
      <c r="K1" t="s">
        <v>4</v>
      </c>
    </row>
    <row r="2" spans="1:11" x14ac:dyDescent="0.25">
      <c r="A2" s="3">
        <v>0.33333333333333331</v>
      </c>
      <c r="B2" s="3"/>
      <c r="C2" s="4"/>
      <c r="D2" s="3">
        <v>0.33333333333333331</v>
      </c>
      <c r="E2" s="4"/>
      <c r="F2" s="4"/>
      <c r="G2" s="4"/>
      <c r="H2" s="4"/>
      <c r="I2" s="4"/>
      <c r="J2" s="4"/>
      <c r="K2" s="4"/>
    </row>
    <row r="3" spans="1:11" ht="45" x14ac:dyDescent="0.25">
      <c r="A3" s="3">
        <v>0.35416666666666669</v>
      </c>
      <c r="B3" s="3"/>
      <c r="C3" s="4"/>
      <c r="D3" s="3">
        <v>0.35416666666666669</v>
      </c>
      <c r="E3" s="4" t="s">
        <v>8</v>
      </c>
      <c r="F3" s="4"/>
      <c r="G3" s="4"/>
      <c r="H3" s="4"/>
      <c r="I3" s="4"/>
      <c r="J3" s="4"/>
      <c r="K3" s="4"/>
    </row>
    <row r="4" spans="1:11" x14ac:dyDescent="0.25">
      <c r="A4" s="3">
        <v>0.375</v>
      </c>
      <c r="B4" s="3"/>
      <c r="C4" s="4"/>
      <c r="D4" s="3">
        <v>0.375</v>
      </c>
      <c r="E4" s="4"/>
      <c r="F4" s="4"/>
      <c r="G4" s="4"/>
      <c r="H4" s="4"/>
      <c r="I4" s="4"/>
      <c r="J4" s="4"/>
      <c r="K4" s="4"/>
    </row>
    <row r="5" spans="1:11" x14ac:dyDescent="0.25">
      <c r="A5" s="3">
        <v>0.39583333333333298</v>
      </c>
      <c r="B5" s="3"/>
      <c r="C5" s="4"/>
      <c r="D5" s="3">
        <v>0.39583333333333298</v>
      </c>
      <c r="E5" s="4"/>
      <c r="F5" s="4"/>
      <c r="G5" s="4"/>
      <c r="H5" s="4"/>
      <c r="I5" s="4"/>
      <c r="J5" s="4"/>
      <c r="K5" s="4"/>
    </row>
    <row r="6" spans="1:11" x14ac:dyDescent="0.25">
      <c r="A6" s="3">
        <v>0.41666666666666702</v>
      </c>
      <c r="B6" s="3"/>
      <c r="C6" s="4"/>
      <c r="D6" s="3">
        <v>0.41666666666666702</v>
      </c>
      <c r="E6" s="4"/>
      <c r="F6" s="4"/>
      <c r="G6" s="4"/>
      <c r="H6" s="4"/>
      <c r="I6" s="4"/>
      <c r="J6" s="4"/>
      <c r="K6" s="4"/>
    </row>
    <row r="7" spans="1:11" x14ac:dyDescent="0.25">
      <c r="A7" s="3">
        <v>0.4375</v>
      </c>
      <c r="B7" s="3"/>
      <c r="C7" s="4"/>
      <c r="D7" s="3">
        <v>0.4375</v>
      </c>
      <c r="E7" s="4"/>
      <c r="F7" s="4"/>
      <c r="G7" s="4"/>
      <c r="H7" s="4"/>
      <c r="I7" s="4"/>
      <c r="J7" s="4"/>
      <c r="K7" s="4"/>
    </row>
    <row r="8" spans="1:11" x14ac:dyDescent="0.25">
      <c r="A8" s="3">
        <v>0.45833333333333298</v>
      </c>
      <c r="B8" s="3"/>
      <c r="C8" s="4"/>
      <c r="D8" s="3">
        <v>0.45833333333333298</v>
      </c>
      <c r="E8" s="4"/>
      <c r="F8" s="4"/>
      <c r="G8" s="4"/>
      <c r="H8" s="4"/>
      <c r="I8" s="4"/>
      <c r="J8" s="4"/>
      <c r="K8" s="4"/>
    </row>
    <row r="9" spans="1:11" x14ac:dyDescent="0.25">
      <c r="A9" s="3">
        <v>0.47916666666666702</v>
      </c>
      <c r="B9" s="3"/>
      <c r="C9" s="4"/>
      <c r="D9" s="3">
        <v>0.47916666666666702</v>
      </c>
      <c r="E9" s="4"/>
      <c r="F9" s="4"/>
      <c r="G9" s="4"/>
      <c r="H9" s="4"/>
      <c r="I9" s="4"/>
      <c r="J9" s="4"/>
      <c r="K9" s="4"/>
    </row>
    <row r="10" spans="1:11" x14ac:dyDescent="0.25">
      <c r="A10" s="3">
        <v>0.5</v>
      </c>
      <c r="B10" s="3"/>
      <c r="C10" s="4"/>
      <c r="D10" s="3">
        <v>0.5</v>
      </c>
      <c r="E10" s="4"/>
      <c r="F10" s="4"/>
      <c r="G10" s="4"/>
      <c r="H10" s="4"/>
      <c r="I10" s="4"/>
      <c r="J10" s="4"/>
      <c r="K10" s="4"/>
    </row>
    <row r="11" spans="1:11" x14ac:dyDescent="0.25">
      <c r="A11" s="3">
        <v>0.52083333333333304</v>
      </c>
      <c r="B11" s="3"/>
      <c r="C11" s="4"/>
      <c r="D11" s="3">
        <v>0.52083333333333304</v>
      </c>
      <c r="E11" s="4"/>
      <c r="F11" s="4"/>
      <c r="G11" s="4"/>
      <c r="H11" s="4"/>
      <c r="I11" s="4"/>
      <c r="J11" s="4"/>
      <c r="K11" s="4"/>
    </row>
    <row r="12" spans="1:11" x14ac:dyDescent="0.25">
      <c r="A12" s="3">
        <v>0.54166666666666696</v>
      </c>
      <c r="B12" s="3"/>
      <c r="C12" s="4"/>
      <c r="D12" s="3">
        <v>0.54166666666666696</v>
      </c>
      <c r="E12" s="4"/>
      <c r="F12" s="4"/>
      <c r="G12" s="4"/>
      <c r="H12" s="4"/>
      <c r="I12" s="4"/>
      <c r="J12" s="4"/>
      <c r="K12" s="4"/>
    </row>
    <row r="13" spans="1:11" x14ac:dyDescent="0.25">
      <c r="A13" s="3">
        <v>0.5625</v>
      </c>
      <c r="B13" s="3"/>
      <c r="C13" s="4"/>
      <c r="D13" s="3">
        <v>0.5625</v>
      </c>
      <c r="E13" s="4"/>
      <c r="F13" s="4"/>
      <c r="G13" s="4"/>
      <c r="H13" s="4"/>
      <c r="I13" s="4"/>
      <c r="J13" s="4"/>
      <c r="K13" s="4"/>
    </row>
    <row r="14" spans="1:11" x14ac:dyDescent="0.25">
      <c r="A14" s="3">
        <v>0.58333333333333304</v>
      </c>
      <c r="B14" s="3"/>
      <c r="C14" s="4"/>
      <c r="D14" s="3">
        <v>0.58333333333333304</v>
      </c>
      <c r="E14" s="4"/>
      <c r="F14" s="4"/>
      <c r="G14" s="4"/>
      <c r="H14" s="4"/>
      <c r="I14" s="4"/>
      <c r="J14" s="4"/>
      <c r="K14" s="4"/>
    </row>
    <row r="15" spans="1:11" x14ac:dyDescent="0.25">
      <c r="A15" s="3">
        <v>0.60416666666666696</v>
      </c>
      <c r="B15" s="3"/>
      <c r="C15" s="4"/>
      <c r="D15" s="3">
        <v>0.60416666666666696</v>
      </c>
      <c r="E15" s="4"/>
      <c r="F15" s="4"/>
      <c r="G15" s="4"/>
      <c r="H15" s="4"/>
      <c r="I15" s="4"/>
      <c r="J15" s="4"/>
      <c r="K15" s="4"/>
    </row>
    <row r="16" spans="1:11" x14ac:dyDescent="0.25">
      <c r="A16" s="3">
        <v>0.625</v>
      </c>
      <c r="B16" s="3"/>
      <c r="C16" s="4"/>
      <c r="D16" s="3">
        <v>0.625</v>
      </c>
      <c r="E16" s="4"/>
      <c r="F16" s="4"/>
      <c r="G16" s="4"/>
      <c r="H16" s="4"/>
      <c r="I16" s="4"/>
      <c r="J16" s="4"/>
      <c r="K16" s="4"/>
    </row>
    <row r="17" spans="1:11" x14ac:dyDescent="0.25">
      <c r="A17" s="3">
        <v>0.64583333333333404</v>
      </c>
      <c r="B17" s="3"/>
      <c r="C17" s="4"/>
      <c r="D17" s="3">
        <v>0.64583333333333404</v>
      </c>
      <c r="E17" s="4"/>
      <c r="F17" s="4"/>
      <c r="G17" s="4"/>
      <c r="H17" s="4"/>
      <c r="I17" s="4"/>
      <c r="J17" s="4"/>
      <c r="K17" s="4"/>
    </row>
    <row r="18" spans="1:11" x14ac:dyDescent="0.25">
      <c r="A18" s="3">
        <v>0.66666666666666696</v>
      </c>
      <c r="B18" s="3"/>
      <c r="C18" s="4"/>
      <c r="D18" s="3">
        <v>0.66666666666666696</v>
      </c>
      <c r="E18" s="4"/>
      <c r="F18" s="4"/>
      <c r="G18" s="4"/>
      <c r="H18" s="4"/>
      <c r="I18" s="4"/>
      <c r="J18" s="4"/>
      <c r="K18" s="4"/>
    </row>
    <row r="19" spans="1:11" x14ac:dyDescent="0.25">
      <c r="A19" s="3">
        <v>0.6875</v>
      </c>
      <c r="B19" s="3"/>
      <c r="C19" s="4"/>
      <c r="D19" s="3">
        <v>0.6875</v>
      </c>
      <c r="E19" s="4"/>
      <c r="F19" s="4"/>
      <c r="G19" s="4"/>
      <c r="H19" s="4"/>
      <c r="I19" s="4"/>
      <c r="J19" s="4"/>
      <c r="K19" s="4"/>
    </row>
    <row r="20" spans="1:11" x14ac:dyDescent="0.25">
      <c r="A20" s="3">
        <v>0.70833333333333404</v>
      </c>
      <c r="B20" s="3"/>
      <c r="D20" s="3">
        <v>0.70833333333333404</v>
      </c>
      <c r="E20" s="4"/>
      <c r="F20" s="4"/>
      <c r="G20" s="4"/>
      <c r="H20" s="4"/>
      <c r="I20" s="4"/>
      <c r="J20" s="4"/>
      <c r="K20" s="4"/>
    </row>
    <row r="21" spans="1:11" x14ac:dyDescent="0.25">
      <c r="A21" s="3">
        <v>0.72916666666666696</v>
      </c>
      <c r="B21" s="3"/>
      <c r="D21" s="3">
        <v>0.72916666666666696</v>
      </c>
      <c r="E21" s="4"/>
      <c r="F21" s="4"/>
      <c r="G21" s="4"/>
      <c r="H21" s="4"/>
      <c r="I21" s="4"/>
      <c r="J21" s="4"/>
      <c r="K21" s="4"/>
    </row>
    <row r="22" spans="1:11" x14ac:dyDescent="0.25">
      <c r="A22" s="3">
        <v>0.75</v>
      </c>
      <c r="B22" s="3"/>
      <c r="D22" s="3">
        <v>0.75</v>
      </c>
      <c r="E22" s="4"/>
      <c r="F22" s="4"/>
      <c r="G22" s="4"/>
      <c r="H22" s="4"/>
      <c r="I22" s="4"/>
      <c r="J22" s="4"/>
      <c r="K22" s="4"/>
    </row>
    <row r="23" spans="1:11" x14ac:dyDescent="0.25">
      <c r="A23" s="3">
        <v>0.77083333333333404</v>
      </c>
      <c r="B23" s="3"/>
      <c r="D23" s="3">
        <v>0.77083333333333404</v>
      </c>
      <c r="E23" s="4"/>
      <c r="F23" s="4"/>
      <c r="G23" s="4"/>
      <c r="H23" s="4"/>
      <c r="I23" s="4"/>
      <c r="J23" s="4"/>
      <c r="K23" s="4"/>
    </row>
    <row r="24" spans="1:11" x14ac:dyDescent="0.25">
      <c r="A24" s="3">
        <v>0.79166666666666696</v>
      </c>
      <c r="B24" s="3"/>
      <c r="C24" s="4"/>
      <c r="D24" s="3">
        <v>0.79166666666666696</v>
      </c>
      <c r="E24" s="4"/>
      <c r="F24" s="4"/>
      <c r="G24" s="4"/>
      <c r="H24" s="4"/>
      <c r="I24" s="4"/>
      <c r="J24" s="4"/>
      <c r="K24" s="4"/>
    </row>
    <row r="25" spans="1:11" x14ac:dyDescent="0.25">
      <c r="A25" s="3">
        <v>0.70833333333333404</v>
      </c>
      <c r="B25" s="3"/>
      <c r="D25" s="3">
        <v>0.70833333333333404</v>
      </c>
    </row>
    <row r="26" spans="1:11" x14ac:dyDescent="0.25">
      <c r="A26" s="3">
        <v>0.72916666666666696</v>
      </c>
      <c r="B26" s="3"/>
      <c r="D26" s="3">
        <v>0.72916666666666696</v>
      </c>
    </row>
    <row r="27" spans="1:11" x14ac:dyDescent="0.25">
      <c r="A27" s="3">
        <v>0.75</v>
      </c>
      <c r="B27" s="3"/>
      <c r="D27" s="3">
        <v>0.75</v>
      </c>
    </row>
    <row r="28" spans="1:11" x14ac:dyDescent="0.25">
      <c r="A28" s="3">
        <v>0.77083333333333404</v>
      </c>
      <c r="B28" s="3"/>
      <c r="D28" s="3">
        <v>0.77083333333333404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A6E8-3116-40F1-97E8-FC49FB30B8FE}">
  <sheetPr>
    <tabColor rgb="FF92D050"/>
  </sheetPr>
  <dimension ref="A4:H17"/>
  <sheetViews>
    <sheetView zoomScale="145" zoomScaleNormal="145" workbookViewId="0">
      <selection activeCell="K5" sqref="K5"/>
    </sheetView>
  </sheetViews>
  <sheetFormatPr baseColWidth="10" defaultRowHeight="15" x14ac:dyDescent="0.25"/>
  <cols>
    <col min="1" max="1" width="14.5703125" customWidth="1"/>
    <col min="2" max="8" width="14.5703125" style="5" customWidth="1"/>
  </cols>
  <sheetData>
    <row r="4" spans="1:8" ht="15.75" thickBot="1" x14ac:dyDescent="0.3"/>
    <row r="5" spans="1:8" ht="24" customHeight="1" thickTop="1" thickBot="1" x14ac:dyDescent="0.3">
      <c r="B5" s="12" t="s">
        <v>5</v>
      </c>
      <c r="C5" s="13" t="s">
        <v>6</v>
      </c>
      <c r="D5" s="13" t="s">
        <v>7</v>
      </c>
      <c r="E5" s="13" t="s">
        <v>9</v>
      </c>
      <c r="F5" s="13" t="s">
        <v>10</v>
      </c>
      <c r="G5" s="13" t="s">
        <v>11</v>
      </c>
      <c r="H5" s="14" t="s">
        <v>12</v>
      </c>
    </row>
    <row r="6" spans="1:8" ht="23.25" customHeight="1" thickTop="1" x14ac:dyDescent="0.25">
      <c r="A6" s="9" t="s">
        <v>13</v>
      </c>
      <c r="B6" s="16">
        <v>25321</v>
      </c>
      <c r="C6" s="16">
        <v>25589</v>
      </c>
      <c r="D6" s="16">
        <v>19874</v>
      </c>
      <c r="E6" s="17">
        <f>SUM(B6:D6)</f>
        <v>70784</v>
      </c>
      <c r="F6" s="18">
        <f>AVERAGE(B6:D6)</f>
        <v>23594.666666666668</v>
      </c>
      <c r="G6" s="18">
        <f>MAX(B6:D6)</f>
        <v>25589</v>
      </c>
      <c r="H6" s="19">
        <f>MIN(B6:D6)</f>
        <v>19874</v>
      </c>
    </row>
    <row r="7" spans="1:8" ht="23.25" customHeight="1" x14ac:dyDescent="0.25">
      <c r="A7" s="10" t="s">
        <v>14</v>
      </c>
      <c r="B7" s="20">
        <v>12000</v>
      </c>
      <c r="C7" s="20">
        <v>15239</v>
      </c>
      <c r="D7" s="20">
        <v>12569</v>
      </c>
      <c r="E7" s="21">
        <f t="shared" ref="E7:E10" si="0">SUM(B7:D7)</f>
        <v>39808</v>
      </c>
      <c r="F7" s="22">
        <f>AVERAGE(B7:D7)</f>
        <v>13269.333333333334</v>
      </c>
      <c r="G7" s="22">
        <f t="shared" ref="G7:G9" si="1">MAX(B7:D7)</f>
        <v>15239</v>
      </c>
      <c r="H7" s="23">
        <f t="shared" ref="H7:H10" si="2">MIN(B7:D7)</f>
        <v>12000</v>
      </c>
    </row>
    <row r="8" spans="1:8" ht="23.25" customHeight="1" x14ac:dyDescent="0.25">
      <c r="A8" s="10" t="s">
        <v>15</v>
      </c>
      <c r="B8" s="20">
        <v>51000</v>
      </c>
      <c r="C8" s="20">
        <v>52369</v>
      </c>
      <c r="D8" s="20">
        <v>51459</v>
      </c>
      <c r="E8" s="21">
        <f t="shared" si="0"/>
        <v>154828</v>
      </c>
      <c r="F8" s="22">
        <f>AVERAGE(B8:D8)</f>
        <v>51609.333333333336</v>
      </c>
      <c r="G8" s="22">
        <f t="shared" si="1"/>
        <v>52369</v>
      </c>
      <c r="H8" s="23">
        <f t="shared" si="2"/>
        <v>51000</v>
      </c>
    </row>
    <row r="9" spans="1:8" ht="23.25" customHeight="1" x14ac:dyDescent="0.25">
      <c r="A9" s="10" t="s">
        <v>16</v>
      </c>
      <c r="B9" s="20">
        <v>23000</v>
      </c>
      <c r="C9" s="20">
        <v>59745</v>
      </c>
      <c r="D9" s="20">
        <v>51236</v>
      </c>
      <c r="E9" s="21">
        <f t="shared" si="0"/>
        <v>133981</v>
      </c>
      <c r="F9" s="22">
        <f t="shared" ref="F9:F10" si="3">AVERAGE(B9:D9)</f>
        <v>44660.333333333336</v>
      </c>
      <c r="G9" s="22">
        <f t="shared" si="1"/>
        <v>59745</v>
      </c>
      <c r="H9" s="23">
        <f t="shared" si="2"/>
        <v>23000</v>
      </c>
    </row>
    <row r="10" spans="1:8" ht="23.25" customHeight="1" thickBot="1" x14ac:dyDescent="0.3">
      <c r="A10" s="11" t="s">
        <v>17</v>
      </c>
      <c r="B10" s="20">
        <v>12301</v>
      </c>
      <c r="C10" s="20">
        <v>11458</v>
      </c>
      <c r="D10" s="20">
        <v>12654</v>
      </c>
      <c r="E10" s="24">
        <f t="shared" si="0"/>
        <v>36413</v>
      </c>
      <c r="F10" s="25">
        <f t="shared" si="3"/>
        <v>12137.666666666666</v>
      </c>
      <c r="G10" s="25">
        <f>MAX(B10:D10)</f>
        <v>12654</v>
      </c>
      <c r="H10" s="26">
        <f t="shared" si="2"/>
        <v>11458</v>
      </c>
    </row>
    <row r="11" spans="1:8" ht="23.25" customHeight="1" thickTop="1" thickBot="1" x14ac:dyDescent="0.3">
      <c r="A11" s="15" t="s">
        <v>18</v>
      </c>
      <c r="B11" s="27">
        <f>SUM(B6:B10)</f>
        <v>123622</v>
      </c>
      <c r="C11" s="27">
        <f t="shared" ref="C11:D11" si="4">SUM(C6:C10)</f>
        <v>164400</v>
      </c>
      <c r="D11" s="27">
        <f t="shared" si="4"/>
        <v>147792</v>
      </c>
      <c r="E11" s="28">
        <f>SUM(B11:D11)</f>
        <v>435814</v>
      </c>
      <c r="F11" s="29"/>
      <c r="G11" s="29"/>
      <c r="H11" s="29"/>
    </row>
    <row r="12" spans="1:8" ht="23.25" customHeight="1" thickTop="1" x14ac:dyDescent="0.25">
      <c r="A12" s="6" t="s">
        <v>19</v>
      </c>
      <c r="B12" s="20">
        <f>B11*20%</f>
        <v>24724.400000000001</v>
      </c>
      <c r="C12" s="20">
        <f t="shared" ref="C12:D12" si="5">C11*20%</f>
        <v>32880</v>
      </c>
      <c r="D12" s="30">
        <f t="shared" si="5"/>
        <v>29558.400000000001</v>
      </c>
      <c r="E12" s="29"/>
      <c r="F12" s="29"/>
      <c r="G12" s="29"/>
      <c r="H12"/>
    </row>
    <row r="13" spans="1:8" ht="23.25" customHeight="1" x14ac:dyDescent="0.25">
      <c r="A13" s="7" t="s">
        <v>20</v>
      </c>
      <c r="B13" s="20">
        <f>SUM(B11:B12)</f>
        <v>148346.4</v>
      </c>
      <c r="C13" s="20">
        <f t="shared" ref="C13:D13" si="6">SUM(C11:C12)</f>
        <v>197280</v>
      </c>
      <c r="D13" s="30">
        <f t="shared" si="6"/>
        <v>177350.39999999999</v>
      </c>
      <c r="E13" s="29"/>
      <c r="F13" s="29"/>
      <c r="G13" s="29"/>
      <c r="H13"/>
    </row>
    <row r="14" spans="1:8" ht="23.25" customHeight="1" x14ac:dyDescent="0.25">
      <c r="A14" s="7" t="s">
        <v>10</v>
      </c>
      <c r="B14" s="20">
        <f>AVERAGE(B6:B10)</f>
        <v>24724.400000000001</v>
      </c>
      <c r="C14" s="20">
        <f t="shared" ref="C14:D14" si="7">AVERAGE(C6:C10)</f>
        <v>32880</v>
      </c>
      <c r="D14" s="30">
        <f t="shared" si="7"/>
        <v>29558.400000000001</v>
      </c>
      <c r="E14" s="29"/>
      <c r="F14" s="29"/>
      <c r="G14" s="29"/>
      <c r="H14"/>
    </row>
    <row r="15" spans="1:8" ht="23.25" customHeight="1" x14ac:dyDescent="0.25">
      <c r="A15" s="7" t="s">
        <v>11</v>
      </c>
      <c r="B15" s="20">
        <f>MAX(B6:B10)</f>
        <v>51000</v>
      </c>
      <c r="C15" s="20">
        <f t="shared" ref="C15:D15" si="8">MAX(C6:C10)</f>
        <v>59745</v>
      </c>
      <c r="D15" s="30">
        <f t="shared" si="8"/>
        <v>51459</v>
      </c>
      <c r="E15" s="29"/>
      <c r="F15" s="29"/>
      <c r="G15" s="29"/>
      <c r="H15"/>
    </row>
    <row r="16" spans="1:8" ht="23.25" customHeight="1" thickBot="1" x14ac:dyDescent="0.3">
      <c r="A16" s="8" t="s">
        <v>12</v>
      </c>
      <c r="B16" s="31">
        <f>MIN(B6:B10)</f>
        <v>12000</v>
      </c>
      <c r="C16" s="31">
        <f t="shared" ref="C16:D16" si="9">MIN(C6:C10)</f>
        <v>11458</v>
      </c>
      <c r="D16" s="32">
        <f t="shared" si="9"/>
        <v>12569</v>
      </c>
      <c r="E16" s="29"/>
      <c r="F16" s="29"/>
      <c r="G16" s="29"/>
      <c r="H16" s="29"/>
    </row>
    <row r="17" ht="15.75" thickTop="1" x14ac:dyDescent="0.25"/>
  </sheetData>
  <phoneticPr fontId="1" type="noConversion"/>
  <printOptions horizontalCentered="1" verticalCentered="1"/>
  <pageMargins left="0.70866141732283472" right="0.70866141732283472" top="0" bottom="0.74803149606299213" header="0.31496062992125984" footer="0.31496062992125984"/>
  <pageSetup paperSize="9" orientation="landscape" r:id="rId1"/>
  <headerFooter>
    <oddHeader>&amp;LVALERIE&amp;C&amp;A&amp;R&amp;D  &amp;T</oddHeader>
    <oddFooter>&amp;C&amp;G&amp;R &amp;P/&amp;N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B636-129E-4841-B251-13D315CD5B2E}">
  <dimension ref="A4:H17"/>
  <sheetViews>
    <sheetView tabSelected="1" zoomScale="145" zoomScaleNormal="145" workbookViewId="0">
      <selection activeCell="K5" sqref="K5"/>
    </sheetView>
  </sheetViews>
  <sheetFormatPr baseColWidth="10" defaultRowHeight="15" x14ac:dyDescent="0.25"/>
  <cols>
    <col min="1" max="1" width="14.5703125" customWidth="1"/>
    <col min="2" max="8" width="14.5703125" style="5" customWidth="1"/>
  </cols>
  <sheetData>
    <row r="4" spans="1:8" ht="15.75" thickBot="1" x14ac:dyDescent="0.3"/>
    <row r="5" spans="1:8" ht="24" customHeight="1" thickTop="1" thickBot="1" x14ac:dyDescent="0.3">
      <c r="B5" s="12" t="s">
        <v>21</v>
      </c>
      <c r="C5" s="12" t="s">
        <v>22</v>
      </c>
      <c r="D5" s="12" t="s">
        <v>23</v>
      </c>
      <c r="E5" s="13" t="s">
        <v>9</v>
      </c>
      <c r="F5" s="13" t="s">
        <v>10</v>
      </c>
      <c r="G5" s="13" t="s">
        <v>11</v>
      </c>
      <c r="H5" s="14" t="s">
        <v>12</v>
      </c>
    </row>
    <row r="6" spans="1:8" ht="23.25" customHeight="1" thickTop="1" x14ac:dyDescent="0.25">
      <c r="A6" s="9" t="s">
        <v>13</v>
      </c>
      <c r="B6" s="16">
        <v>15000</v>
      </c>
      <c r="C6" s="16"/>
      <c r="D6" s="16"/>
      <c r="E6" s="17">
        <f>SUM(B6:D6)</f>
        <v>15000</v>
      </c>
      <c r="F6" s="18">
        <f>AVERAGE(B6:D6)</f>
        <v>15000</v>
      </c>
      <c r="G6" s="18">
        <f>MAX(B6:D6)</f>
        <v>15000</v>
      </c>
      <c r="H6" s="19">
        <f>MIN(B6:D6)</f>
        <v>15000</v>
      </c>
    </row>
    <row r="7" spans="1:8" ht="23.25" customHeight="1" x14ac:dyDescent="0.25">
      <c r="A7" s="10" t="s">
        <v>14</v>
      </c>
      <c r="B7" s="20"/>
      <c r="C7" s="20"/>
      <c r="D7" s="20">
        <v>85000</v>
      </c>
      <c r="E7" s="21">
        <f t="shared" ref="E7:E10" si="0">SUM(B7:D7)</f>
        <v>85000</v>
      </c>
      <c r="F7" s="22">
        <f>AVERAGE(B7:D7)</f>
        <v>85000</v>
      </c>
      <c r="G7" s="22">
        <f t="shared" ref="G7:G9" si="1">MAX(B7:D7)</f>
        <v>85000</v>
      </c>
      <c r="H7" s="23">
        <f t="shared" ref="H7:H10" si="2">MIN(B7:D7)</f>
        <v>85000</v>
      </c>
    </row>
    <row r="8" spans="1:8" ht="23.25" customHeight="1" x14ac:dyDescent="0.25">
      <c r="A8" s="10" t="s">
        <v>15</v>
      </c>
      <c r="B8" s="20"/>
      <c r="C8" s="20">
        <v>13000</v>
      </c>
      <c r="D8" s="20"/>
      <c r="E8" s="21">
        <f t="shared" si="0"/>
        <v>13000</v>
      </c>
      <c r="F8" s="22">
        <f>AVERAGE(B8:D8)</f>
        <v>13000</v>
      </c>
      <c r="G8" s="22">
        <f t="shared" si="1"/>
        <v>13000</v>
      </c>
      <c r="H8" s="23">
        <f t="shared" si="2"/>
        <v>13000</v>
      </c>
    </row>
    <row r="9" spans="1:8" ht="23.25" customHeight="1" x14ac:dyDescent="0.25">
      <c r="A9" s="10" t="s">
        <v>16</v>
      </c>
      <c r="B9" s="20"/>
      <c r="C9" s="20">
        <v>260000</v>
      </c>
      <c r="D9" s="20"/>
      <c r="E9" s="21">
        <f t="shared" si="0"/>
        <v>260000</v>
      </c>
      <c r="F9" s="22">
        <f t="shared" ref="F9:F10" si="3">AVERAGE(B9:D9)</f>
        <v>260000</v>
      </c>
      <c r="G9" s="22">
        <f t="shared" si="1"/>
        <v>260000</v>
      </c>
      <c r="H9" s="23">
        <f t="shared" si="2"/>
        <v>260000</v>
      </c>
    </row>
    <row r="10" spans="1:8" ht="23.25" customHeight="1" thickBot="1" x14ac:dyDescent="0.3">
      <c r="A10" s="11" t="s">
        <v>17</v>
      </c>
      <c r="B10" s="20"/>
      <c r="C10" s="20"/>
      <c r="D10" s="20">
        <v>25000</v>
      </c>
      <c r="E10" s="24">
        <f t="shared" si="0"/>
        <v>25000</v>
      </c>
      <c r="F10" s="25">
        <f t="shared" si="3"/>
        <v>25000</v>
      </c>
      <c r="G10" s="25">
        <f>MAX(B10:D10)</f>
        <v>25000</v>
      </c>
      <c r="H10" s="26">
        <f t="shared" si="2"/>
        <v>25000</v>
      </c>
    </row>
    <row r="11" spans="1:8" ht="23.25" customHeight="1" thickTop="1" thickBot="1" x14ac:dyDescent="0.3">
      <c r="A11" s="15" t="s">
        <v>18</v>
      </c>
      <c r="B11" s="27">
        <f>SUM(B6:B10)</f>
        <v>15000</v>
      </c>
      <c r="C11" s="27">
        <f t="shared" ref="C11:D11" si="4">SUM(C6:C10)</f>
        <v>273000</v>
      </c>
      <c r="D11" s="27">
        <f t="shared" si="4"/>
        <v>110000</v>
      </c>
      <c r="E11" s="28">
        <f>SUM(E6:E10)</f>
        <v>398000</v>
      </c>
      <c r="F11" s="29"/>
      <c r="G11" s="29"/>
      <c r="H11" s="29"/>
    </row>
    <row r="12" spans="1:8" ht="23.25" customHeight="1" thickTop="1" x14ac:dyDescent="0.25">
      <c r="A12" s="6" t="s">
        <v>19</v>
      </c>
      <c r="B12" s="20">
        <f>B11*20%</f>
        <v>3000</v>
      </c>
      <c r="C12" s="20">
        <f t="shared" ref="C12:D12" si="5">C11*20%</f>
        <v>54600</v>
      </c>
      <c r="D12" s="30">
        <f t="shared" si="5"/>
        <v>22000</v>
      </c>
      <c r="E12" s="29"/>
      <c r="F12" s="29"/>
      <c r="G12" s="29"/>
      <c r="H12"/>
    </row>
    <row r="13" spans="1:8" ht="23.25" customHeight="1" x14ac:dyDescent="0.25">
      <c r="A13" s="7" t="s">
        <v>20</v>
      </c>
      <c r="B13" s="20">
        <f>SUM(B11:B12)</f>
        <v>18000</v>
      </c>
      <c r="C13" s="20">
        <f t="shared" ref="C13:D13" si="6">SUM(C11:C12)</f>
        <v>327600</v>
      </c>
      <c r="D13" s="30">
        <f t="shared" si="6"/>
        <v>132000</v>
      </c>
      <c r="E13" s="29"/>
      <c r="F13" s="29"/>
      <c r="G13" s="29"/>
      <c r="H13"/>
    </row>
    <row r="14" spans="1:8" ht="23.25" customHeight="1" x14ac:dyDescent="0.25">
      <c r="A14" s="7" t="s">
        <v>10</v>
      </c>
      <c r="B14" s="20">
        <f>AVERAGE(B6:B10)</f>
        <v>15000</v>
      </c>
      <c r="C14" s="20">
        <f t="shared" ref="C14:D14" si="7">AVERAGE(C6:C10)</f>
        <v>136500</v>
      </c>
      <c r="D14" s="30">
        <f t="shared" si="7"/>
        <v>55000</v>
      </c>
      <c r="E14" s="29"/>
      <c r="F14" s="29"/>
      <c r="G14" s="29"/>
      <c r="H14"/>
    </row>
    <row r="15" spans="1:8" ht="23.25" customHeight="1" x14ac:dyDescent="0.25">
      <c r="A15" s="7" t="s">
        <v>11</v>
      </c>
      <c r="B15" s="20">
        <f>MAX(B6:B10)</f>
        <v>15000</v>
      </c>
      <c r="C15" s="20">
        <f t="shared" ref="C15:D15" si="8">MAX(C6:C10)</f>
        <v>260000</v>
      </c>
      <c r="D15" s="30">
        <f t="shared" si="8"/>
        <v>85000</v>
      </c>
      <c r="E15" s="29"/>
      <c r="F15" s="29"/>
      <c r="G15" s="29"/>
      <c r="H15"/>
    </row>
    <row r="16" spans="1:8" ht="23.25" customHeight="1" thickBot="1" x14ac:dyDescent="0.3">
      <c r="A16" s="8" t="s">
        <v>12</v>
      </c>
      <c r="B16" s="31">
        <f>MIN(B6:B10)</f>
        <v>15000</v>
      </c>
      <c r="C16" s="31">
        <f t="shared" ref="C16:D16" si="9">MIN(C6:C10)</f>
        <v>13000</v>
      </c>
      <c r="D16" s="32">
        <f t="shared" si="9"/>
        <v>25000</v>
      </c>
      <c r="E16" s="29"/>
      <c r="F16" s="29"/>
      <c r="G16" s="29"/>
      <c r="H16" s="29"/>
    </row>
    <row r="17" ht="15.75" thickTop="1" x14ac:dyDescent="0.25"/>
  </sheetData>
  <phoneticPr fontId="1" type="noConversion"/>
  <printOptions horizontalCentered="1" verticalCentered="1"/>
  <pageMargins left="0.70866141732283472" right="0.70866141732283472" top="0" bottom="0.74803149606299213" header="0.31496062992125984" footer="0.31496062992125984"/>
  <pageSetup paperSize="9" orientation="landscape" r:id="rId1"/>
  <headerFooter>
    <oddHeader>&amp;LVALERIE&amp;C&amp;A&amp;R&amp;D  &amp;T</oddHeader>
    <oddFooter>&amp;C&amp;G&amp;R &amp;P/&amp;N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A64C-BAE0-47D9-A159-B47FA55F7913}">
  <dimension ref="A4:H17"/>
  <sheetViews>
    <sheetView zoomScale="145" zoomScaleNormal="145" workbookViewId="0">
      <selection activeCell="K5" sqref="K5"/>
    </sheetView>
  </sheetViews>
  <sheetFormatPr baseColWidth="10" defaultRowHeight="15" x14ac:dyDescent="0.25"/>
  <cols>
    <col min="1" max="1" width="14.5703125" customWidth="1"/>
    <col min="2" max="8" width="14.5703125" style="5" customWidth="1"/>
  </cols>
  <sheetData>
    <row r="4" spans="1:8" ht="15.75" thickBot="1" x14ac:dyDescent="0.3"/>
    <row r="5" spans="1:8" ht="24" customHeight="1" thickTop="1" thickBot="1" x14ac:dyDescent="0.3">
      <c r="B5" s="12" t="s">
        <v>24</v>
      </c>
      <c r="C5" s="12" t="s">
        <v>25</v>
      </c>
      <c r="D5" s="12" t="s">
        <v>26</v>
      </c>
      <c r="E5" s="13" t="s">
        <v>9</v>
      </c>
      <c r="F5" s="13" t="s">
        <v>10</v>
      </c>
      <c r="G5" s="13" t="s">
        <v>11</v>
      </c>
      <c r="H5" s="14" t="s">
        <v>12</v>
      </c>
    </row>
    <row r="6" spans="1:8" ht="23.25" customHeight="1" thickTop="1" x14ac:dyDescent="0.25">
      <c r="A6" s="9" t="s">
        <v>13</v>
      </c>
      <c r="B6" s="16">
        <v>18000</v>
      </c>
      <c r="C6" s="16"/>
      <c r="D6" s="16"/>
      <c r="E6" s="17">
        <f>SUM(B6:D6)</f>
        <v>18000</v>
      </c>
      <c r="F6" s="18">
        <f>AVERAGE(B6:D6)</f>
        <v>18000</v>
      </c>
      <c r="G6" s="18">
        <f>MAX(B6:D6)</f>
        <v>18000</v>
      </c>
      <c r="H6" s="19">
        <f>MIN(B6:D6)</f>
        <v>18000</v>
      </c>
    </row>
    <row r="7" spans="1:8" ht="23.25" customHeight="1" x14ac:dyDescent="0.25">
      <c r="A7" s="10" t="s">
        <v>14</v>
      </c>
      <c r="B7" s="20"/>
      <c r="C7" s="20"/>
      <c r="D7" s="20">
        <v>56000</v>
      </c>
      <c r="E7" s="21">
        <f t="shared" ref="E7:E10" si="0">SUM(B7:D7)</f>
        <v>56000</v>
      </c>
      <c r="F7" s="22">
        <f>AVERAGE(B7:D7)</f>
        <v>56000</v>
      </c>
      <c r="G7" s="22">
        <f t="shared" ref="G7:G9" si="1">MAX(B7:D7)</f>
        <v>56000</v>
      </c>
      <c r="H7" s="23">
        <f t="shared" ref="H7:H10" si="2">MIN(B7:D7)</f>
        <v>56000</v>
      </c>
    </row>
    <row r="8" spans="1:8" ht="23.25" customHeight="1" x14ac:dyDescent="0.25">
      <c r="A8" s="10" t="s">
        <v>15</v>
      </c>
      <c r="B8" s="20"/>
      <c r="C8" s="20">
        <v>21000</v>
      </c>
      <c r="D8" s="20"/>
      <c r="E8" s="21">
        <f t="shared" si="0"/>
        <v>21000</v>
      </c>
      <c r="F8" s="22">
        <f>AVERAGE(B8:D8)</f>
        <v>21000</v>
      </c>
      <c r="G8" s="22">
        <f t="shared" si="1"/>
        <v>21000</v>
      </c>
      <c r="H8" s="23">
        <f t="shared" si="2"/>
        <v>21000</v>
      </c>
    </row>
    <row r="9" spans="1:8" ht="23.25" customHeight="1" x14ac:dyDescent="0.25">
      <c r="A9" s="10" t="s">
        <v>16</v>
      </c>
      <c r="B9" s="20"/>
      <c r="C9" s="20"/>
      <c r="D9" s="20"/>
      <c r="E9" s="21">
        <f t="shared" si="0"/>
        <v>0</v>
      </c>
      <c r="F9" s="22" t="e">
        <f t="shared" ref="F9:F10" si="3">AVERAGE(B9:D9)</f>
        <v>#DIV/0!</v>
      </c>
      <c r="G9" s="22">
        <f t="shared" si="1"/>
        <v>0</v>
      </c>
      <c r="H9" s="23">
        <f t="shared" si="2"/>
        <v>0</v>
      </c>
    </row>
    <row r="10" spans="1:8" ht="23.25" customHeight="1" thickBot="1" x14ac:dyDescent="0.3">
      <c r="A10" s="11" t="s">
        <v>17</v>
      </c>
      <c r="B10" s="20"/>
      <c r="C10" s="20"/>
      <c r="D10" s="20">
        <v>95000</v>
      </c>
      <c r="E10" s="24">
        <f t="shared" si="0"/>
        <v>95000</v>
      </c>
      <c r="F10" s="25">
        <f t="shared" si="3"/>
        <v>95000</v>
      </c>
      <c r="G10" s="25">
        <f>MAX(B10:D10)</f>
        <v>95000</v>
      </c>
      <c r="H10" s="26">
        <f t="shared" si="2"/>
        <v>95000</v>
      </c>
    </row>
    <row r="11" spans="1:8" ht="23.25" customHeight="1" thickTop="1" thickBot="1" x14ac:dyDescent="0.3">
      <c r="A11" s="15" t="s">
        <v>18</v>
      </c>
      <c r="B11" s="27">
        <f>SUM(B6:B10)</f>
        <v>18000</v>
      </c>
      <c r="C11" s="27">
        <f t="shared" ref="C11:D11" si="4">SUM(C6:C10)</f>
        <v>21000</v>
      </c>
      <c r="D11" s="27">
        <f t="shared" si="4"/>
        <v>151000</v>
      </c>
      <c r="E11" s="28">
        <f>SUM(E6:E10)</f>
        <v>190000</v>
      </c>
      <c r="F11" s="29"/>
      <c r="G11" s="29"/>
      <c r="H11" s="29"/>
    </row>
    <row r="12" spans="1:8" ht="23.25" customHeight="1" thickTop="1" x14ac:dyDescent="0.25">
      <c r="A12" s="6" t="s">
        <v>19</v>
      </c>
      <c r="B12" s="20">
        <f>B11*20%</f>
        <v>3600</v>
      </c>
      <c r="C12" s="20">
        <f t="shared" ref="C12:D12" si="5">C11*20%</f>
        <v>4200</v>
      </c>
      <c r="D12" s="30">
        <f t="shared" si="5"/>
        <v>30200</v>
      </c>
      <c r="E12" s="29"/>
      <c r="F12" s="29"/>
      <c r="G12" s="29"/>
      <c r="H12"/>
    </row>
    <row r="13" spans="1:8" ht="23.25" customHeight="1" x14ac:dyDescent="0.25">
      <c r="A13" s="7" t="s">
        <v>20</v>
      </c>
      <c r="B13" s="20">
        <f>SUM(B11:B12)</f>
        <v>21600</v>
      </c>
      <c r="C13" s="20">
        <f t="shared" ref="C13:D13" si="6">SUM(C11:C12)</f>
        <v>25200</v>
      </c>
      <c r="D13" s="30">
        <f t="shared" si="6"/>
        <v>181200</v>
      </c>
      <c r="E13" s="29"/>
      <c r="F13" s="29"/>
      <c r="G13" s="29"/>
      <c r="H13"/>
    </row>
    <row r="14" spans="1:8" ht="23.25" customHeight="1" x14ac:dyDescent="0.25">
      <c r="A14" s="7" t="s">
        <v>10</v>
      </c>
      <c r="B14" s="20">
        <f>AVERAGE(B6:B10)</f>
        <v>18000</v>
      </c>
      <c r="C14" s="20">
        <f t="shared" ref="C14:D14" si="7">AVERAGE(C6:C10)</f>
        <v>21000</v>
      </c>
      <c r="D14" s="30">
        <f t="shared" si="7"/>
        <v>75500</v>
      </c>
      <c r="E14" s="29"/>
      <c r="F14" s="29"/>
      <c r="G14" s="29"/>
      <c r="H14"/>
    </row>
    <row r="15" spans="1:8" ht="23.25" customHeight="1" x14ac:dyDescent="0.25">
      <c r="A15" s="7" t="s">
        <v>11</v>
      </c>
      <c r="B15" s="20">
        <f>MAX(B6:B10)</f>
        <v>18000</v>
      </c>
      <c r="C15" s="20">
        <f t="shared" ref="C15:D15" si="8">MAX(C6:C10)</f>
        <v>21000</v>
      </c>
      <c r="D15" s="30">
        <f t="shared" si="8"/>
        <v>95000</v>
      </c>
      <c r="E15" s="29"/>
      <c r="F15" s="29"/>
      <c r="G15" s="29"/>
      <c r="H15"/>
    </row>
    <row r="16" spans="1:8" ht="23.25" customHeight="1" thickBot="1" x14ac:dyDescent="0.3">
      <c r="A16" s="8" t="s">
        <v>12</v>
      </c>
      <c r="B16" s="31">
        <f>MIN(B6:B10)</f>
        <v>18000</v>
      </c>
      <c r="C16" s="31">
        <f t="shared" ref="C16:D16" si="9">MIN(C6:C10)</f>
        <v>21000</v>
      </c>
      <c r="D16" s="32">
        <f t="shared" si="9"/>
        <v>56000</v>
      </c>
      <c r="E16" s="29"/>
      <c r="F16" s="29"/>
      <c r="G16" s="29"/>
      <c r="H16" s="29"/>
    </row>
    <row r="17" ht="15.75" thickTop="1" x14ac:dyDescent="0.25"/>
  </sheetData>
  <phoneticPr fontId="1" type="noConversion"/>
  <printOptions horizontalCentered="1" verticalCentered="1"/>
  <pageMargins left="0.70866141732283472" right="0.70866141732283472" top="0" bottom="0.74803149606299213" header="0.31496062992125984" footer="0.31496062992125984"/>
  <pageSetup paperSize="9" orientation="landscape" r:id="rId1"/>
  <headerFooter>
    <oddHeader>&amp;LVALERIE&amp;C&amp;A&amp;R&amp;D  &amp;T</oddHeader>
    <oddFooter>&amp;C&amp;G&amp;R &amp;P/&amp;N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18E9-C7D8-433C-8150-F5BEFBE708B9}">
  <sheetPr>
    <tabColor theme="5"/>
  </sheetPr>
  <dimension ref="A4:H17"/>
  <sheetViews>
    <sheetView zoomScale="145" zoomScaleNormal="145" workbookViewId="0">
      <selection activeCell="K5" sqref="K5"/>
    </sheetView>
  </sheetViews>
  <sheetFormatPr baseColWidth="10" defaultRowHeight="15" x14ac:dyDescent="0.25"/>
  <cols>
    <col min="1" max="1" width="14.5703125" customWidth="1"/>
    <col min="2" max="8" width="14.5703125" style="5" customWidth="1"/>
  </cols>
  <sheetData>
    <row r="4" spans="1:8" ht="15.75" thickBot="1" x14ac:dyDescent="0.3"/>
    <row r="5" spans="1:8" ht="24" customHeight="1" thickTop="1" thickBot="1" x14ac:dyDescent="0.3">
      <c r="B5" s="12" t="s">
        <v>27</v>
      </c>
      <c r="C5" s="13" t="s">
        <v>28</v>
      </c>
      <c r="D5" s="13" t="s">
        <v>29</v>
      </c>
      <c r="E5" s="13" t="s">
        <v>9</v>
      </c>
      <c r="F5" s="13" t="s">
        <v>10</v>
      </c>
      <c r="G5" s="13" t="s">
        <v>11</v>
      </c>
      <c r="H5" s="14" t="s">
        <v>12</v>
      </c>
    </row>
    <row r="6" spans="1:8" ht="23.25" customHeight="1" thickTop="1" x14ac:dyDescent="0.25">
      <c r="A6" s="9" t="s">
        <v>13</v>
      </c>
      <c r="B6" s="16">
        <v>23000</v>
      </c>
      <c r="C6" s="16"/>
      <c r="D6" s="16"/>
      <c r="E6" s="17">
        <f>SUM(B6:D6)</f>
        <v>23000</v>
      </c>
      <c r="F6" s="18">
        <f>AVERAGE(B6:D6)</f>
        <v>23000</v>
      </c>
      <c r="G6" s="18">
        <f>MAX(B6:D6)</f>
        <v>23000</v>
      </c>
      <c r="H6" s="19">
        <f>MIN(B6:D6)</f>
        <v>23000</v>
      </c>
    </row>
    <row r="7" spans="1:8" ht="23.25" customHeight="1" x14ac:dyDescent="0.25">
      <c r="A7" s="10" t="s">
        <v>14</v>
      </c>
      <c r="B7" s="20"/>
      <c r="C7" s="20">
        <v>54000</v>
      </c>
      <c r="D7" s="20"/>
      <c r="E7" s="21">
        <f t="shared" ref="E7:E10" si="0">SUM(B7:D7)</f>
        <v>54000</v>
      </c>
      <c r="F7" s="22">
        <f>AVERAGE(B7:D7)</f>
        <v>54000</v>
      </c>
      <c r="G7" s="22">
        <f t="shared" ref="G7:G9" si="1">MAX(B7:D7)</f>
        <v>54000</v>
      </c>
      <c r="H7" s="23">
        <f t="shared" ref="H7:H10" si="2">MIN(B7:D7)</f>
        <v>54000</v>
      </c>
    </row>
    <row r="8" spans="1:8" ht="23.25" customHeight="1" x14ac:dyDescent="0.25">
      <c r="A8" s="10" t="s">
        <v>15</v>
      </c>
      <c r="B8" s="20"/>
      <c r="C8" s="20"/>
      <c r="D8" s="20">
        <v>56000</v>
      </c>
      <c r="E8" s="21">
        <f t="shared" si="0"/>
        <v>56000</v>
      </c>
      <c r="F8" s="22">
        <f>AVERAGE(B8:D8)</f>
        <v>56000</v>
      </c>
      <c r="G8" s="22">
        <f t="shared" si="1"/>
        <v>56000</v>
      </c>
      <c r="H8" s="23">
        <f t="shared" si="2"/>
        <v>56000</v>
      </c>
    </row>
    <row r="9" spans="1:8" ht="23.25" customHeight="1" x14ac:dyDescent="0.25">
      <c r="A9" s="10" t="s">
        <v>16</v>
      </c>
      <c r="B9" s="20"/>
      <c r="C9" s="20"/>
      <c r="D9" s="20">
        <v>15000</v>
      </c>
      <c r="E9" s="21">
        <f t="shared" si="0"/>
        <v>15000</v>
      </c>
      <c r="F9" s="22">
        <f t="shared" ref="F9:F10" si="3">AVERAGE(B9:D9)</f>
        <v>15000</v>
      </c>
      <c r="G9" s="22">
        <f t="shared" si="1"/>
        <v>15000</v>
      </c>
      <c r="H9" s="23">
        <f t="shared" si="2"/>
        <v>15000</v>
      </c>
    </row>
    <row r="10" spans="1:8" ht="23.25" customHeight="1" thickBot="1" x14ac:dyDescent="0.3">
      <c r="A10" s="11" t="s">
        <v>17</v>
      </c>
      <c r="B10" s="20">
        <v>11000</v>
      </c>
      <c r="C10" s="20"/>
      <c r="D10" s="20"/>
      <c r="E10" s="24">
        <f t="shared" si="0"/>
        <v>11000</v>
      </c>
      <c r="F10" s="25">
        <f t="shared" si="3"/>
        <v>11000</v>
      </c>
      <c r="G10" s="25">
        <f>MAX(B10:D10)</f>
        <v>11000</v>
      </c>
      <c r="H10" s="26">
        <f t="shared" si="2"/>
        <v>11000</v>
      </c>
    </row>
    <row r="11" spans="1:8" ht="23.25" customHeight="1" thickTop="1" thickBot="1" x14ac:dyDescent="0.3">
      <c r="A11" s="15" t="s">
        <v>18</v>
      </c>
      <c r="B11" s="27">
        <f>SUM(B6:B10)</f>
        <v>34000</v>
      </c>
      <c r="C11" s="27">
        <f t="shared" ref="C11:D11" si="4">SUM(C6:C10)</f>
        <v>54000</v>
      </c>
      <c r="D11" s="27">
        <f t="shared" si="4"/>
        <v>71000</v>
      </c>
      <c r="E11" s="28">
        <f>SUM(E6:E10)</f>
        <v>159000</v>
      </c>
      <c r="F11" s="29"/>
      <c r="G11" s="29"/>
      <c r="H11" s="29"/>
    </row>
    <row r="12" spans="1:8" ht="23.25" customHeight="1" thickTop="1" x14ac:dyDescent="0.25">
      <c r="A12" s="6" t="s">
        <v>19</v>
      </c>
      <c r="B12" s="20">
        <f>B11*20%</f>
        <v>6800</v>
      </c>
      <c r="C12" s="20">
        <f t="shared" ref="C12:D12" si="5">C11*20%</f>
        <v>10800</v>
      </c>
      <c r="D12" s="30">
        <f t="shared" si="5"/>
        <v>14200</v>
      </c>
      <c r="E12" s="29"/>
      <c r="F12" s="29"/>
      <c r="G12" s="29"/>
      <c r="H12"/>
    </row>
    <row r="13" spans="1:8" ht="23.25" customHeight="1" x14ac:dyDescent="0.25">
      <c r="A13" s="7" t="s">
        <v>20</v>
      </c>
      <c r="B13" s="20">
        <f>SUM(B11:B12)</f>
        <v>40800</v>
      </c>
      <c r="C13" s="20">
        <f t="shared" ref="C13:D13" si="6">SUM(C11:C12)</f>
        <v>64800</v>
      </c>
      <c r="D13" s="30">
        <f t="shared" si="6"/>
        <v>85200</v>
      </c>
      <c r="E13" s="29"/>
      <c r="F13" s="29"/>
      <c r="G13" s="29"/>
      <c r="H13"/>
    </row>
    <row r="14" spans="1:8" ht="23.25" customHeight="1" x14ac:dyDescent="0.25">
      <c r="A14" s="7" t="s">
        <v>10</v>
      </c>
      <c r="B14" s="20">
        <f>AVERAGE(B6:B10)</f>
        <v>17000</v>
      </c>
      <c r="C14" s="20">
        <f t="shared" ref="C14:D14" si="7">AVERAGE(C6:C10)</f>
        <v>54000</v>
      </c>
      <c r="D14" s="30">
        <f t="shared" si="7"/>
        <v>35500</v>
      </c>
      <c r="E14" s="29"/>
      <c r="F14" s="29"/>
      <c r="G14" s="29"/>
      <c r="H14"/>
    </row>
    <row r="15" spans="1:8" ht="23.25" customHeight="1" x14ac:dyDescent="0.25">
      <c r="A15" s="7" t="s">
        <v>11</v>
      </c>
      <c r="B15" s="20">
        <f>MAX(B6:B10)</f>
        <v>23000</v>
      </c>
      <c r="C15" s="20">
        <f t="shared" ref="C15:D15" si="8">MAX(C6:C10)</f>
        <v>54000</v>
      </c>
      <c r="D15" s="30">
        <f t="shared" si="8"/>
        <v>56000</v>
      </c>
      <c r="E15" s="29"/>
      <c r="F15" s="29"/>
      <c r="G15" s="29"/>
      <c r="H15"/>
    </row>
    <row r="16" spans="1:8" ht="23.25" customHeight="1" thickBot="1" x14ac:dyDescent="0.3">
      <c r="A16" s="8" t="s">
        <v>12</v>
      </c>
      <c r="B16" s="31">
        <f>MIN(B6:B10)</f>
        <v>11000</v>
      </c>
      <c r="C16" s="31">
        <f t="shared" ref="C16:D16" si="9">MIN(C6:C10)</f>
        <v>54000</v>
      </c>
      <c r="D16" s="32">
        <f t="shared" si="9"/>
        <v>15000</v>
      </c>
      <c r="E16" s="29"/>
      <c r="F16" s="29"/>
      <c r="G16" s="29"/>
      <c r="H16" s="29"/>
    </row>
    <row r="17" ht="15.75" thickTop="1" x14ac:dyDescent="0.25"/>
  </sheetData>
  <printOptions horizontalCentered="1" verticalCentered="1"/>
  <pageMargins left="0.70866141732283472" right="0.70866141732283472" top="0" bottom="0.74803149606299213" header="0.31496062992125984" footer="0.31496062992125984"/>
  <pageSetup paperSize="9" orientation="landscape" r:id="rId1"/>
  <headerFooter>
    <oddHeader>&amp;LVALERIE&amp;C&amp;A&amp;R&amp;D  &amp;T</oddHeader>
    <oddFooter>&amp;C&amp;G&amp;R &amp;P/&amp;N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028B-F170-4074-817F-965BDE7A1345}">
  <dimension ref="A2:L18"/>
  <sheetViews>
    <sheetView zoomScale="130" zoomScaleNormal="130" workbookViewId="0">
      <selection activeCell="H19" sqref="H19"/>
    </sheetView>
  </sheetViews>
  <sheetFormatPr baseColWidth="10" defaultRowHeight="15" x14ac:dyDescent="0.25"/>
  <cols>
    <col min="1" max="2" width="13.42578125" customWidth="1"/>
    <col min="6" max="6" width="13.5703125" customWidth="1"/>
    <col min="10" max="10" width="17.42578125" customWidth="1"/>
    <col min="11" max="11" width="15" customWidth="1"/>
  </cols>
  <sheetData>
    <row r="2" spans="1:12" x14ac:dyDescent="0.25">
      <c r="A2" s="42" t="s">
        <v>30</v>
      </c>
      <c r="B2" s="42"/>
      <c r="E2" s="42" t="s">
        <v>35</v>
      </c>
      <c r="F2" s="42"/>
      <c r="I2" s="42" t="s">
        <v>40</v>
      </c>
      <c r="J2" s="42"/>
      <c r="K2" s="42"/>
    </row>
    <row r="3" spans="1:12" ht="15.75" thickBot="1" x14ac:dyDescent="0.3"/>
    <row r="4" spans="1:12" ht="15.75" thickBot="1" x14ac:dyDescent="0.3">
      <c r="B4" s="43" t="s">
        <v>18</v>
      </c>
      <c r="C4" s="44"/>
      <c r="D4" s="44"/>
      <c r="E4" s="44"/>
      <c r="F4" s="43" t="s">
        <v>18</v>
      </c>
      <c r="G4" s="44"/>
      <c r="H4" s="44"/>
      <c r="I4" s="44"/>
      <c r="J4" s="43" t="s">
        <v>18</v>
      </c>
      <c r="K4" s="43" t="s">
        <v>18</v>
      </c>
    </row>
    <row r="5" spans="1:12" x14ac:dyDescent="0.25">
      <c r="A5" s="35" t="s">
        <v>31</v>
      </c>
      <c r="B5" s="36">
        <f>'trimestre 1'!E11</f>
        <v>435814</v>
      </c>
      <c r="E5" s="35" t="s">
        <v>5</v>
      </c>
      <c r="F5" s="36">
        <f>'trimestre 1'!B11</f>
        <v>123622</v>
      </c>
      <c r="I5" s="35" t="s">
        <v>13</v>
      </c>
      <c r="J5" s="36">
        <f>'trimestre 1'!E6+'trimestre 2'!E6+'trimestre 3'!E6+'trimestre 4'!E6</f>
        <v>126784</v>
      </c>
      <c r="K5" s="35">
        <f>SUM('trimestre 1:trimestre 4'!E6)</f>
        <v>126784</v>
      </c>
    </row>
    <row r="6" spans="1:12" x14ac:dyDescent="0.25">
      <c r="A6" s="33" t="s">
        <v>32</v>
      </c>
      <c r="B6" s="34">
        <f>'trimestre 2'!E11</f>
        <v>398000</v>
      </c>
      <c r="E6" s="33" t="s">
        <v>6</v>
      </c>
      <c r="F6" s="34">
        <f>'trimestre 1'!C11</f>
        <v>164400</v>
      </c>
      <c r="I6" s="33" t="s">
        <v>14</v>
      </c>
      <c r="J6" s="34">
        <f>'trimestre 1'!E7+'trimestre 2'!E7+'trimestre 3'!E7+'trimestre 4'!E7</f>
        <v>234808</v>
      </c>
      <c r="K6" s="33">
        <f>SUM('trimestre 1:trimestre 4'!E7)</f>
        <v>234808</v>
      </c>
    </row>
    <row r="7" spans="1:12" x14ac:dyDescent="0.25">
      <c r="A7" s="37" t="s">
        <v>33</v>
      </c>
      <c r="B7" s="38">
        <f>'trimestre 3'!E11</f>
        <v>190000</v>
      </c>
      <c r="E7" s="37" t="s">
        <v>7</v>
      </c>
      <c r="F7" s="38">
        <f>'trimestre 1'!D11</f>
        <v>147792</v>
      </c>
      <c r="I7" s="37" t="s">
        <v>15</v>
      </c>
      <c r="J7" s="38">
        <f>'trimestre 1'!E8+'trimestre 2'!E8+'trimestre 3'!E8+'trimestre 4'!E8</f>
        <v>244828</v>
      </c>
      <c r="K7" s="37">
        <f>SUM('trimestre 1:trimestre 4'!E8)</f>
        <v>244828</v>
      </c>
    </row>
    <row r="8" spans="1:12" x14ac:dyDescent="0.25">
      <c r="A8" s="33" t="s">
        <v>34</v>
      </c>
      <c r="B8" s="34">
        <f>'trimestre 4'!E11</f>
        <v>159000</v>
      </c>
      <c r="E8" s="33" t="s">
        <v>36</v>
      </c>
      <c r="F8" s="34">
        <f>'trimestre 2'!B11</f>
        <v>15000</v>
      </c>
      <c r="I8" s="33" t="s">
        <v>16</v>
      </c>
      <c r="J8" s="34">
        <f>'trimestre 1'!E9+'trimestre 2'!E9+'trimestre 3'!E9+'trimestre 4'!E9</f>
        <v>408981</v>
      </c>
      <c r="K8" s="33">
        <f>SUM('trimestre 1:trimestre 4'!E9)</f>
        <v>408981</v>
      </c>
    </row>
    <row r="9" spans="1:12" ht="15.75" thickBot="1" x14ac:dyDescent="0.3">
      <c r="A9" s="45" t="s">
        <v>18</v>
      </c>
      <c r="B9" s="46">
        <f>SUM(B5:B8)</f>
        <v>1182814</v>
      </c>
      <c r="E9" s="37" t="s">
        <v>37</v>
      </c>
      <c r="F9" s="38">
        <f>'trimestre 2'!C11</f>
        <v>273000</v>
      </c>
      <c r="I9" s="37" t="s">
        <v>17</v>
      </c>
      <c r="J9" s="38">
        <f>'trimestre 1'!E10+'trimestre 2'!E10+'trimestre 3'!E10+'trimestre 4'!E10</f>
        <v>167413</v>
      </c>
      <c r="K9" s="37">
        <f>SUM('trimestre 1:trimestre 4'!E10)</f>
        <v>167413</v>
      </c>
    </row>
    <row r="10" spans="1:12" ht="15.75" thickBot="1" x14ac:dyDescent="0.3">
      <c r="E10" s="33" t="s">
        <v>38</v>
      </c>
      <c r="F10" s="34">
        <f>'trimestre 2'!D11</f>
        <v>110000</v>
      </c>
      <c r="I10" s="45" t="s">
        <v>18</v>
      </c>
      <c r="J10" s="46">
        <f>SUM(J5:J9)</f>
        <v>1182814</v>
      </c>
      <c r="K10" s="46">
        <f>SUM(K5:K9)</f>
        <v>1182814</v>
      </c>
    </row>
    <row r="11" spans="1:12" x14ac:dyDescent="0.25">
      <c r="E11" s="37" t="s">
        <v>24</v>
      </c>
      <c r="F11" s="38">
        <f>'trimestre 3'!B11</f>
        <v>18000</v>
      </c>
    </row>
    <row r="12" spans="1:12" x14ac:dyDescent="0.25">
      <c r="E12" s="33" t="s">
        <v>25</v>
      </c>
      <c r="F12" s="34">
        <f>'trimestre 3'!C11</f>
        <v>21000</v>
      </c>
    </row>
    <row r="13" spans="1:12" x14ac:dyDescent="0.25">
      <c r="E13" s="37" t="s">
        <v>26</v>
      </c>
      <c r="F13" s="38">
        <f>'trimestre 3'!D11</f>
        <v>151000</v>
      </c>
    </row>
    <row r="14" spans="1:12" x14ac:dyDescent="0.25">
      <c r="E14" s="33" t="s">
        <v>27</v>
      </c>
      <c r="F14" s="34">
        <f>'trimestre 4'!B11</f>
        <v>34000</v>
      </c>
    </row>
    <row r="15" spans="1:12" x14ac:dyDescent="0.25">
      <c r="E15" s="37" t="s">
        <v>28</v>
      </c>
      <c r="F15" s="38">
        <f>'trimestre 4'!C11</f>
        <v>54000</v>
      </c>
    </row>
    <row r="16" spans="1:12" x14ac:dyDescent="0.25">
      <c r="E16" s="39" t="s">
        <v>39</v>
      </c>
      <c r="F16" s="40">
        <f>'trimestre 4'!D11</f>
        <v>71000</v>
      </c>
      <c r="L16" s="41"/>
    </row>
    <row r="17" spans="5:8" ht="15.75" thickBot="1" x14ac:dyDescent="0.3">
      <c r="E17" s="45" t="s">
        <v>18</v>
      </c>
      <c r="F17" s="46">
        <f>SUM(F5:F16)</f>
        <v>1182814</v>
      </c>
    </row>
    <row r="18" spans="5:8" x14ac:dyDescent="0.25">
      <c r="E18" s="41"/>
      <c r="H18" s="41"/>
    </row>
  </sheetData>
  <mergeCells count="3">
    <mergeCell ref="A2:B2"/>
    <mergeCell ref="E2:F2"/>
    <mergeCell ref="I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trimestre 4 (2)</vt:lpstr>
      <vt:lpstr>Feuil1</vt:lpstr>
      <vt:lpstr>Feuil2</vt:lpstr>
      <vt:lpstr>trimestre 1</vt:lpstr>
      <vt:lpstr>trimestre 2</vt:lpstr>
      <vt:lpstr>trimestre 3</vt:lpstr>
      <vt:lpstr>trimestre 4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cp:lastPrinted>2020-12-15T14:09:24Z</cp:lastPrinted>
  <dcterms:created xsi:type="dcterms:W3CDTF">2020-12-15T08:06:57Z</dcterms:created>
  <dcterms:modified xsi:type="dcterms:W3CDTF">2020-12-15T15:22:10Z</dcterms:modified>
</cp:coreProperties>
</file>