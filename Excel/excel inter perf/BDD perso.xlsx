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BE7BFCF-926D-4E45-B050-D285E4F293B4}" xr6:coauthVersionLast="45" xr6:coauthVersionMax="45" xr10:uidLastSave="{00000000-0000-0000-0000-000000000000}"/>
  <bookViews>
    <workbookView xWindow="-120" yWindow="-120" windowWidth="29040" windowHeight="15840" tabRatio="714" xr2:uid="{00000000-000D-0000-FFFF-FFFF00000000}"/>
  </bookViews>
  <sheets>
    <sheet name="TCD Vendeurs" sheetId="3" r:id="rId1"/>
    <sheet name="TCD Secteurs" sheetId="4" r:id="rId2"/>
    <sheet name="TCD Produits" sheetId="5" r:id="rId3"/>
    <sheet name="bdd commandes" sheetId="1" r:id="rId4"/>
    <sheet name="TCD Commandes" sheetId="2" state="hidden" r:id="rId5"/>
  </sheets>
  <externalReferences>
    <externalReference r:id="rId6"/>
  </externalReferences>
  <definedNames>
    <definedName name="_xlnm._FilterDatabase" localSheetId="3" hidden="1">'bdd commandes'!$A$1:$H$50</definedName>
    <definedName name="CNE">'[1]ID ETUDIANT (2)'!$A$1:$E$5</definedName>
    <definedName name="_xlnm.Criteria" localSheetId="3">'bdd commandes'!$I$16:$I$17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8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51" i="1" l="1"/>
  <c r="H5" i="1"/>
  <c r="I5" i="1" s="1"/>
  <c r="H22" i="1"/>
  <c r="I22" i="1" s="1"/>
  <c r="H43" i="1"/>
  <c r="I43" i="1" s="1"/>
  <c r="H7" i="1"/>
  <c r="I7" i="1" s="1"/>
  <c r="H46" i="1"/>
  <c r="I46" i="1" s="1"/>
  <c r="H3" i="1"/>
  <c r="I3" i="1" s="1"/>
  <c r="H27" i="1"/>
  <c r="I27" i="1" s="1"/>
  <c r="H25" i="1"/>
  <c r="I25" i="1" s="1"/>
  <c r="H31" i="1"/>
  <c r="I31" i="1" s="1"/>
  <c r="H47" i="1"/>
  <c r="I47" i="1" s="1"/>
  <c r="H42" i="1"/>
  <c r="I42" i="1" s="1"/>
  <c r="H18" i="1"/>
  <c r="I18" i="1" s="1"/>
  <c r="H48" i="1"/>
  <c r="I48" i="1" s="1"/>
  <c r="H2" i="1"/>
  <c r="I2" i="1" s="1"/>
  <c r="H50" i="1"/>
  <c r="I50" i="1" s="1"/>
  <c r="H40" i="1"/>
  <c r="I40" i="1" s="1"/>
  <c r="H11" i="1"/>
  <c r="I11" i="1" s="1"/>
  <c r="H29" i="1"/>
  <c r="I29" i="1" s="1"/>
  <c r="H6" i="1"/>
  <c r="I6" i="1" s="1"/>
  <c r="H13" i="1"/>
  <c r="I13" i="1" s="1"/>
  <c r="H45" i="1"/>
  <c r="I45" i="1" s="1"/>
  <c r="H38" i="1"/>
  <c r="I38" i="1" s="1"/>
  <c r="H34" i="1"/>
  <c r="I34" i="1" s="1"/>
  <c r="H24" i="1"/>
  <c r="I24" i="1" s="1"/>
  <c r="H12" i="1"/>
  <c r="I12" i="1" s="1"/>
  <c r="H28" i="1"/>
  <c r="I28" i="1" s="1"/>
  <c r="H30" i="1"/>
  <c r="I30" i="1" s="1"/>
  <c r="H33" i="1"/>
  <c r="I33" i="1" s="1"/>
  <c r="H23" i="1"/>
  <c r="I23" i="1" s="1"/>
  <c r="H36" i="1"/>
  <c r="I36" i="1" s="1"/>
  <c r="H8" i="1"/>
  <c r="I8" i="1" s="1"/>
  <c r="H35" i="1"/>
  <c r="I35" i="1" s="1"/>
  <c r="H15" i="1"/>
  <c r="I15" i="1" s="1"/>
  <c r="H39" i="1"/>
  <c r="I39" i="1" s="1"/>
  <c r="H16" i="1"/>
  <c r="I16" i="1" s="1"/>
  <c r="H10" i="1"/>
  <c r="I10" i="1" s="1"/>
  <c r="H19" i="1"/>
  <c r="I19" i="1" s="1"/>
  <c r="H21" i="1"/>
  <c r="I21" i="1" s="1"/>
  <c r="H20" i="1"/>
  <c r="I20" i="1" s="1"/>
  <c r="H4" i="1"/>
  <c r="I4" i="1" s="1"/>
  <c r="H44" i="1"/>
  <c r="I44" i="1" s="1"/>
  <c r="H32" i="1"/>
  <c r="I32" i="1" s="1"/>
  <c r="H17" i="1"/>
  <c r="I17" i="1" s="1"/>
  <c r="H41" i="1"/>
  <c r="I41" i="1" s="1"/>
  <c r="H49" i="1"/>
  <c r="I49" i="1" s="1"/>
  <c r="H14" i="1"/>
  <c r="I14" i="1" s="1"/>
  <c r="H9" i="1"/>
  <c r="I9" i="1" s="1"/>
  <c r="H37" i="1"/>
  <c r="I37" i="1" s="1"/>
  <c r="H26" i="1"/>
  <c r="I26" i="1" s="1"/>
  <c r="H51" i="1" l="1"/>
</calcChain>
</file>

<file path=xl/sharedStrings.xml><?xml version="1.0" encoding="utf-8"?>
<sst xmlns="http://schemas.openxmlformats.org/spreadsheetml/2006/main" count="263" uniqueCount="66">
  <si>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</si>
  <si>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</si>
  <si>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</si>
  <si>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</si>
  <si>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</si>
  <si>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</si>
  <si>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</si>
  <si>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</si>
  <si>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</si>
  <si>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</si>
  <si>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</si>
  <si>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</si>
  <si>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</si>
  <si>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</si>
  <si>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</si>
  <si>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</si>
  <si>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</si>
  <si>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</si>
  <si>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</si>
  <si>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</si>
  <si>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</si>
  <si>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</si>
  <si>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</si>
  <si>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</si>
  <si>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</si>
  <si>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</si>
  <si>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</si>
  <si>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</si>
  <si>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</si>
  <si>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</si>
  <si>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</si>
  <si>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</si>
  <si>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</si>
  <si>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</si>
  <si>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</si>
  <si>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</si>
  <si>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</si>
  <si>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</si>
  <si>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</si>
  <si>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</si>
  <si>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</si>
  <si>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</si>
  <si>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</si>
  <si>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</si>
  <si>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</si>
  <si>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</si>
  <si>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</si>
  <si>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</si>
  <si>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</si>
  <si>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</si>
  <si>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</si>
  <si>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</si>
  <si>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</si>
  <si>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</si>
  <si>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</si>
  <si>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</si>
  <si>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</si>
  <si>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</si>
  <si>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</si>
  <si>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Total général</t>
  </si>
  <si>
    <t>montant 2</t>
  </si>
  <si>
    <t>Total</t>
  </si>
  <si>
    <t>Étiquettes de lignes</t>
  </si>
  <si>
    <t>Somme de MONTANT</t>
  </si>
  <si>
    <t>Moyenne de MONTANT</t>
  </si>
  <si>
    <t>Nombre de VENDEURS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</si>
</sst>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.00\ [$€]_-;\-* #,##0.00\ [$€]_-;_-* &quot;-&quot;??\ [$€]_-;_-@_-"/>
    <numFmt numFmtId="167" formatCode="_-* #,##0.00\ _F_-;\-* #,##0.00\ _F_-;_-* &quot;-&quot;??\ _F_-;_-@_-"/>
    <numFmt numFmtId="168" formatCode="_-* #,##0.00\ &quot;F&quot;_-;\-* #,##0.00\ &quot;F&quot;_-;_-* &quot;-&quot;??\ &quot;F&quot;_-;_-@_-"/>
    <numFmt numFmtId="169" formatCode="_ * #,##0.00_)\ &quot;$&quot;_ ;_ * \(#,##0.00\)\ &quot;$&quot;_ ;_ * &quot;-&quot;??_)\ &quot;$&quot;_ ;_ @_ "/>
    <numFmt numFmtId="170" formatCode="0.0%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0" borderId="0"/>
    <xf numFmtId="0" fontId="9" fillId="8" borderId="1"/>
    <xf numFmtId="164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70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29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  <xf numFmtId="0" fontId="16" fillId="0" borderId="0" xfId="1" applyNumberFormat="1" applyFont="1" applyFill="1" applyBorder="1" applyAlignment="1">
      <alignment horizontal="center"/>
    </xf>
    <xf numFmtId="0" fontId="17" fillId="0" borderId="0" xfId="1" applyNumberFormat="1" applyFont="1" applyFill="1" applyBorder="1" applyAlignment="1"/>
    <xf numFmtId="14" fontId="17" fillId="0" borderId="0" xfId="1" applyNumberFormat="1" applyFont="1" applyFill="1" applyBorder="1" applyAlignment="1"/>
    <xf numFmtId="166" fontId="17" fillId="0" borderId="0" xfId="3" applyNumberFormat="1" applyFont="1" applyFill="1" applyBorder="1"/>
    <xf numFmtId="0" fontId="16" fillId="0" borderId="0" xfId="1" applyNumberFormat="1" applyFont="1" applyFill="1" applyAlignment="1">
      <alignment horizontal="center"/>
    </xf>
    <xf numFmtId="166" fontId="17" fillId="0" borderId="0" xfId="1" applyNumberFormat="1" applyFont="1" applyFill="1" applyAlignment="1"/>
    <xf numFmtId="0" fontId="17" fillId="0" borderId="0" xfId="0" applyNumberFormat="1" applyFont="1" applyFill="1" applyBorder="1" applyAlignment="1" applyProtection="1"/>
    <xf numFmtId="0" fontId="0" fillId="0" borderId="0" xfId="0" applyNumberFormat="1"/>
    <xf numFmtId="0" fontId="17" fillId="0" borderId="0" xfId="0" applyNumberFormat="1" applyFont="1" applyFill="1"/>
    <xf numFmtId="166" fontId="17" fillId="0" borderId="0" xfId="0" applyNumberFormat="1" applyFont="1" applyFill="1" applyBorder="1" applyAlignment="1" applyProtection="1"/>
    <xf numFmtId="166" fontId="17" fillId="0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1">
    <cellStyle name="20 % - Accent1 2" xfId="4" xr:uid="{00000000-0005-0000-0000-000000000000}"/>
    <cellStyle name="Accent1 2" xfId="5" xr:uid="{00000000-0005-0000-0000-000001000000}"/>
    <cellStyle name="Accent2 2" xfId="6" xr:uid="{00000000-0005-0000-0000-000002000000}"/>
    <cellStyle name="Accent3 2" xfId="7" xr:uid="{00000000-0005-0000-0000-000003000000}"/>
    <cellStyle name="Dezimal [0]" xfId="8" xr:uid="{00000000-0005-0000-0000-000004000000}"/>
    <cellStyle name="Dezimal_Tabelle1" xfId="9" xr:uid="{00000000-0005-0000-0000-000005000000}"/>
    <cellStyle name="Euro" xfId="10" xr:uid="{00000000-0005-0000-0000-000006000000}"/>
    <cellStyle name="Euro 2" xfId="3" xr:uid="{00000000-0005-0000-0000-000007000000}"/>
    <cellStyle name="Euro 3" xfId="11" xr:uid="{00000000-0005-0000-0000-000008000000}"/>
    <cellStyle name="Excel Built-in Normal" xfId="12" xr:uid="{00000000-0005-0000-0000-000009000000}"/>
    <cellStyle name="Lien hypertexte" xfId="2" builtinId="8"/>
    <cellStyle name="ligne" xfId="13" xr:uid="{00000000-0005-0000-0000-00000B000000}"/>
    <cellStyle name="Milliers [0] 2" xfId="14" xr:uid="{00000000-0005-0000-0000-00000C000000}"/>
    <cellStyle name="Milliers 2" xfId="15" xr:uid="{00000000-0005-0000-0000-00000D000000}"/>
    <cellStyle name="Milliers 3" xfId="16" xr:uid="{00000000-0005-0000-0000-00000E000000}"/>
    <cellStyle name="Milliers 4" xfId="17" xr:uid="{00000000-0005-0000-0000-00000F000000}"/>
    <cellStyle name="Monétaire 2" xfId="18" xr:uid="{00000000-0005-0000-0000-000010000000}"/>
    <cellStyle name="Monétaire 2 2" xfId="19" xr:uid="{00000000-0005-0000-0000-000011000000}"/>
    <cellStyle name="Monétaire 3" xfId="20" xr:uid="{00000000-0005-0000-0000-000012000000}"/>
    <cellStyle name="Monétaire 4" xfId="21" xr:uid="{00000000-0005-0000-0000-000013000000}"/>
    <cellStyle name="Normal" xfId="0" builtinId="0"/>
    <cellStyle name="Normal 2" xfId="1" xr:uid="{00000000-0005-0000-0000-000015000000}"/>
    <cellStyle name="Normal 3" xfId="22" xr:uid="{00000000-0005-0000-0000-000016000000}"/>
    <cellStyle name="Normal 4" xfId="23" xr:uid="{00000000-0005-0000-0000-000017000000}"/>
    <cellStyle name="Normal 5" xfId="24" xr:uid="{00000000-0005-0000-0000-000018000000}"/>
    <cellStyle name="Normal 6" xfId="25" xr:uid="{00000000-0005-0000-0000-000019000000}"/>
    <cellStyle name="Normal 7" xfId="26" xr:uid="{00000000-0005-0000-0000-00001A000000}"/>
    <cellStyle name="Pourcentage 2" xfId="27" xr:uid="{00000000-0005-0000-0000-00001B000000}"/>
    <cellStyle name="Pourcentage 3" xfId="28" xr:uid="{00000000-0005-0000-0000-00001C000000}"/>
    <cellStyle name="Pourcentage 4" xfId="29" xr:uid="{00000000-0005-0000-0000-00001D000000}"/>
    <cellStyle name="Satisfaisant 2" xfId="30" xr:uid="{00000000-0005-0000-0000-00001E000000}"/>
    <cellStyle name="Standard_Tabelle1" xfId="31" xr:uid="{00000000-0005-0000-0000-00001F000000}"/>
    <cellStyle name="Style 1" xfId="32" xr:uid="{00000000-0005-0000-0000-000020000000}"/>
    <cellStyle name="Summen" xfId="33" xr:uid="{00000000-0005-0000-0000-000021000000}"/>
    <cellStyle name="table" xfId="34" xr:uid="{00000000-0005-0000-0000-000022000000}"/>
    <cellStyle name="TITCOL" xfId="35" xr:uid="{00000000-0005-0000-0000-000023000000}"/>
    <cellStyle name="Titel" xfId="36" xr:uid="{00000000-0005-0000-0000-000024000000}"/>
    <cellStyle name="Untertitel" xfId="37" xr:uid="{00000000-0005-0000-0000-000025000000}"/>
    <cellStyle name="Währung [0]" xfId="38" xr:uid="{00000000-0005-0000-0000-000026000000}"/>
    <cellStyle name="Währung_Tabelle1" xfId="39" xr:uid="{00000000-0005-0000-0000-000027000000}"/>
    <cellStyle name="Zwischensummen" xfId="40" xr:uid="{00000000-0005-0000-0000-000028000000}"/>
  </cellStyles>
  <dxfs count="21"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* #,##0.00\ [$€]_-;\-* #,##0.00\ [$€]_-;_-* &quot;-&quot;??\ [$€]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* #,##0.00\ [$€]_-;\-* #,##0.00\ [$€]_-;_-* &quot;-&quot;??\ [$€]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* #,##0.00\ [$€]_-;\-* #,##0.00\ [$€]_-;_-* &quot;-&quot;??\ [$€]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* #,##0.00\ [$€]_-;\-* #,##0.00\ [$€]_-;_-* &quot;-&quot;??\ [$€]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* #,##0.00\ [$€]_-;\-* #,##0.00\ [$€]_-;_-* &quot;-&quot;??\ [$€]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bert 7" refreshedDate="44183.641317476853" createdVersion="6" refreshedVersion="6" minRefreshableVersion="3" recordCount="49" xr:uid="{3DC9D507-BDA6-46FC-84C3-359AD822B92A}">
  <cacheSource type="worksheet">
    <worksheetSource name="Tableau1"/>
  </cacheSource>
  <cacheFields count="11">
    <cacheField name="VENDEURS" numFmtId="0">
      <sharedItems count="10">
        <s v="Ball"/>
        <s v="Balliard"/>
        <s v="Pellieux"/>
        <s v="Martin"/>
        <s v="Dupuis"/>
        <s v="Leveque"/>
        <s v="Marrou"/>
        <s v="Dupond"/>
        <s v="Mar"/>
        <s v="Tardi"/>
      </sharedItems>
    </cacheField>
    <cacheField name="DATE" numFmtId="14">
      <sharedItems containsSemiMixedTypes="0" containsNonDate="0" containsDate="1" containsString="0" minDate="2015-01-09T00:00:00" maxDate="2016-06-26T00:00:00" count="47">
        <d v="2015-02-09T00:00:00"/>
        <d v="2015-02-15T00:00:00"/>
        <d v="2015-04-04T00:00:00"/>
        <d v="2015-05-31T00:00:00"/>
        <d v="2015-06-26T00:00:00"/>
        <d v="2015-07-12T00:00:00"/>
        <d v="2015-10-13T00:00:00"/>
        <d v="2015-10-16T00:00:00"/>
        <d v="2015-12-13T00:00:00"/>
        <d v="2016-01-10T00:00:00"/>
        <d v="2016-01-29T00:00:00"/>
        <d v="2016-04-17T00:00:00"/>
        <d v="2015-02-17T00:00:00"/>
        <d v="2015-07-03T00:00:00"/>
        <d v="2015-07-17T00:00:00"/>
        <d v="2015-08-21T00:00:00"/>
        <d v="2015-08-30T00:00:00"/>
        <d v="2015-11-14T00:00:00"/>
        <d v="2015-11-22T00:00:00"/>
        <d v="2016-01-03T00:00:00"/>
        <d v="2016-06-14T00:00:00"/>
        <d v="2016-06-19T00:00:00"/>
        <d v="2016-06-25T00:00:00"/>
        <d v="2015-01-09T00:00:00"/>
        <d v="2015-02-27T00:00:00"/>
        <d v="2015-03-07T00:00:00"/>
        <d v="2015-03-31T00:00:00"/>
        <d v="2015-06-12T00:00:00"/>
        <d v="2015-10-10T00:00:00"/>
        <d v="2015-10-30T00:00:00"/>
        <d v="2016-01-16T00:00:00"/>
        <d v="2016-01-18T00:00:00"/>
        <d v="2016-01-22T00:00:00"/>
        <d v="2016-01-25T00:00:00"/>
        <d v="2016-03-01T00:00:00"/>
        <d v="2016-03-05T00:00:00"/>
        <d v="2016-03-15T00:00:00"/>
        <d v="2016-04-22T00:00:00"/>
        <d v="2016-05-24T00:00:00"/>
        <d v="2016-05-27T00:00:00"/>
        <d v="2016-05-31T00:00:00"/>
        <d v="2015-09-05T00:00:00"/>
        <d v="2015-11-09T00:00:00"/>
        <d v="2015-12-15T00:00:00"/>
        <d v="2015-12-28T00:00:00"/>
        <d v="2016-01-24T00:00:00"/>
        <d v="2016-02-23T00:00:00"/>
      </sharedItems>
      <fieldGroup par="10" base="1">
        <rangePr groupBy="months" startDate="2015-01-09T00:00:00" endDate="2016-06-26T00:00:00"/>
        <groupItems count="14">
          <s v="&lt;09/01/201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6/06/2016"/>
        </groupItems>
      </fieldGroup>
    </cacheField>
    <cacheField name="CLIENT" numFmtId="0">
      <sharedItems/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 count="6">
        <s v="Casquettes"/>
        <s v="Stylos"/>
        <s v="Porte-clés"/>
        <s v="Calculatrices"/>
        <s v="Montres"/>
        <s v="Calendriers"/>
      </sharedItems>
    </cacheField>
    <cacheField name="PRIX" numFmtId="166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/>
    </cacheField>
    <cacheField name="MONTANT" numFmtId="166">
      <sharedItems containsSemiMixedTypes="0" containsString="0" containsNumber="1" minValue="7939.5" maxValue="197421"/>
    </cacheField>
    <cacheField name="montant 2" numFmtId="166">
      <sharedItems containsSemiMixedTypes="0" containsString="0" containsNumber="1" minValue="793.95" maxValue="19742.100000000002"/>
    </cacheField>
    <cacheField name="Trimestres" numFmtId="0" databaseField="0">
      <fieldGroup base="1">
        <rangePr groupBy="quarters" startDate="2015-01-09T00:00:00" endDate="2016-06-26T00:00:00"/>
        <groupItems count="6">
          <s v="&lt;09/01/2015"/>
          <s v="Trimestre1"/>
          <s v="Trimestre2"/>
          <s v="Trimestre3"/>
          <s v="Trimestre4"/>
          <s v="&gt;26/06/2016"/>
        </groupItems>
      </fieldGroup>
    </cacheField>
    <cacheField name="Années" numFmtId="0" databaseField="0">
      <fieldGroup base="1">
        <rangePr groupBy="years" startDate="2015-01-09T00:00:00" endDate="2016-06-26T00:00:00"/>
        <groupItems count="4">
          <s v="&lt;09/01/2015"/>
          <s v="2015"/>
          <s v="2016"/>
          <s v="&gt;26/06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s v="Nimbus"/>
    <x v="0"/>
    <x v="0"/>
    <n v="6"/>
    <n v="5764"/>
    <n v="34584"/>
    <n v="3458.4"/>
  </r>
  <r>
    <x v="1"/>
    <x v="1"/>
    <s v="Nimbus"/>
    <x v="0"/>
    <x v="0"/>
    <n v="6"/>
    <n v="6987"/>
    <n v="41922"/>
    <n v="4192.2"/>
  </r>
  <r>
    <x v="2"/>
    <x v="2"/>
    <s v="Nimbus"/>
    <x v="0"/>
    <x v="0"/>
    <n v="6"/>
    <n v="8489"/>
    <n v="50934"/>
    <n v="5093.4000000000005"/>
  </r>
  <r>
    <x v="3"/>
    <x v="3"/>
    <s v="Florus"/>
    <x v="0"/>
    <x v="1"/>
    <n v="1.5"/>
    <n v="7695"/>
    <n v="11542.5"/>
    <n v="1154.25"/>
  </r>
  <r>
    <x v="3"/>
    <x v="4"/>
    <s v="Muse SA"/>
    <x v="0"/>
    <x v="1"/>
    <n v="1.5"/>
    <n v="8639"/>
    <n v="12958.5"/>
    <n v="1295.8500000000001"/>
  </r>
  <r>
    <x v="4"/>
    <x v="5"/>
    <s v="Plein-nord"/>
    <x v="0"/>
    <x v="2"/>
    <n v="3.4"/>
    <n v="8367"/>
    <n v="28447.8"/>
    <n v="2844.78"/>
  </r>
  <r>
    <x v="5"/>
    <x v="6"/>
    <s v="Plein-nord"/>
    <x v="0"/>
    <x v="2"/>
    <n v="3.4"/>
    <n v="8227"/>
    <n v="27971.8"/>
    <n v="2797.1800000000003"/>
  </r>
  <r>
    <x v="5"/>
    <x v="7"/>
    <s v="Plein-nord"/>
    <x v="0"/>
    <x v="3"/>
    <n v="21"/>
    <n v="7464"/>
    <n v="156744"/>
    <n v="15674.400000000001"/>
  </r>
  <r>
    <x v="3"/>
    <x v="7"/>
    <s v="Nimbus"/>
    <x v="0"/>
    <x v="2"/>
    <n v="3.4"/>
    <n v="5336"/>
    <n v="18142.399999999998"/>
    <n v="1814.2399999999998"/>
  </r>
  <r>
    <x v="6"/>
    <x v="8"/>
    <s v="Ifrane"/>
    <x v="0"/>
    <x v="3"/>
    <n v="21"/>
    <n v="8694"/>
    <n v="182574"/>
    <n v="18257.400000000001"/>
  </r>
  <r>
    <x v="3"/>
    <x v="9"/>
    <s v="Plein-nord"/>
    <x v="0"/>
    <x v="3"/>
    <n v="21"/>
    <n v="8279"/>
    <n v="173859"/>
    <n v="17385.900000000001"/>
  </r>
  <r>
    <x v="4"/>
    <x v="10"/>
    <s v="Muse SA"/>
    <x v="0"/>
    <x v="1"/>
    <n v="1.5"/>
    <n v="8804"/>
    <n v="13206"/>
    <n v="1320.6000000000001"/>
  </r>
  <r>
    <x v="1"/>
    <x v="11"/>
    <s v="Ifrane"/>
    <x v="0"/>
    <x v="4"/>
    <n v="25"/>
    <n v="6183"/>
    <n v="154575"/>
    <n v="15457.5"/>
  </r>
  <r>
    <x v="6"/>
    <x v="12"/>
    <s v="Muse SA"/>
    <x v="1"/>
    <x v="3"/>
    <n v="21"/>
    <n v="9401"/>
    <n v="197421"/>
    <n v="19742.100000000002"/>
  </r>
  <r>
    <x v="3"/>
    <x v="13"/>
    <s v="Muse SA"/>
    <x v="1"/>
    <x v="5"/>
    <n v="12"/>
    <n v="9062"/>
    <n v="108744"/>
    <n v="10874.400000000001"/>
  </r>
  <r>
    <x v="1"/>
    <x v="14"/>
    <s v="Pubcité"/>
    <x v="1"/>
    <x v="5"/>
    <n v="12"/>
    <n v="6660"/>
    <n v="79920"/>
    <n v="7992"/>
  </r>
  <r>
    <x v="3"/>
    <x v="15"/>
    <s v="Muse SA"/>
    <x v="1"/>
    <x v="2"/>
    <n v="3.4"/>
    <n v="5641"/>
    <n v="19179.399999999998"/>
    <n v="1917.9399999999998"/>
  </r>
  <r>
    <x v="1"/>
    <x v="16"/>
    <s v="Muse SA"/>
    <x v="1"/>
    <x v="2"/>
    <n v="3.4"/>
    <n v="9165"/>
    <n v="31161"/>
    <n v="3116.1000000000004"/>
  </r>
  <r>
    <x v="6"/>
    <x v="17"/>
    <s v="Nimbus"/>
    <x v="1"/>
    <x v="0"/>
    <n v="6"/>
    <n v="8407"/>
    <n v="50442"/>
    <n v="5044.2000000000007"/>
  </r>
  <r>
    <x v="4"/>
    <x v="18"/>
    <s v="Pubcité"/>
    <x v="1"/>
    <x v="0"/>
    <n v="6"/>
    <n v="7700"/>
    <n v="46200"/>
    <n v="4620"/>
  </r>
  <r>
    <x v="7"/>
    <x v="19"/>
    <s v="Muse SA"/>
    <x v="1"/>
    <x v="1"/>
    <n v="1.5"/>
    <n v="9224"/>
    <n v="13836"/>
    <n v="1383.6000000000001"/>
  </r>
  <r>
    <x v="1"/>
    <x v="20"/>
    <s v="Pubcité"/>
    <x v="1"/>
    <x v="1"/>
    <n v="1.5"/>
    <n v="8091"/>
    <n v="12136.5"/>
    <n v="1213.6500000000001"/>
  </r>
  <r>
    <x v="0"/>
    <x v="21"/>
    <s v="Nimbus"/>
    <x v="1"/>
    <x v="5"/>
    <n v="12"/>
    <n v="9924"/>
    <n v="119088"/>
    <n v="11908.800000000001"/>
  </r>
  <r>
    <x v="0"/>
    <x v="22"/>
    <s v="Florus"/>
    <x v="1"/>
    <x v="4"/>
    <n v="25"/>
    <n v="7329"/>
    <n v="183225"/>
    <n v="18322.5"/>
  </r>
  <r>
    <x v="6"/>
    <x v="23"/>
    <s v="Plein-nord"/>
    <x v="2"/>
    <x v="3"/>
    <n v="21"/>
    <n v="9201"/>
    <n v="193221"/>
    <n v="19322.100000000002"/>
  </r>
  <r>
    <x v="7"/>
    <x v="24"/>
    <s v="Ifrane"/>
    <x v="2"/>
    <x v="3"/>
    <n v="21"/>
    <n v="5954"/>
    <n v="125034"/>
    <n v="12503.400000000001"/>
  </r>
  <r>
    <x v="8"/>
    <x v="25"/>
    <s v="Ifrane"/>
    <x v="2"/>
    <x v="4"/>
    <n v="25"/>
    <n v="7346"/>
    <n v="183650"/>
    <n v="18365"/>
  </r>
  <r>
    <x v="7"/>
    <x v="26"/>
    <s v="Pubcité"/>
    <x v="2"/>
    <x v="1"/>
    <n v="1.5"/>
    <n v="5750"/>
    <n v="8625"/>
    <n v="862.5"/>
  </r>
  <r>
    <x v="9"/>
    <x v="27"/>
    <s v="Plein-nord"/>
    <x v="2"/>
    <x v="1"/>
    <n v="1.5"/>
    <n v="6213"/>
    <n v="9319.5"/>
    <n v="931.95"/>
  </r>
  <r>
    <x v="4"/>
    <x v="28"/>
    <s v="Florus"/>
    <x v="2"/>
    <x v="1"/>
    <n v="1.5"/>
    <n v="5293"/>
    <n v="7939.5"/>
    <n v="793.95"/>
  </r>
  <r>
    <x v="5"/>
    <x v="29"/>
    <s v="Florus"/>
    <x v="2"/>
    <x v="5"/>
    <n v="12"/>
    <n v="5463"/>
    <n v="65556"/>
    <n v="6555.6"/>
  </r>
  <r>
    <x v="7"/>
    <x v="30"/>
    <s v="Pubcité"/>
    <x v="2"/>
    <x v="1"/>
    <n v="1.5"/>
    <n v="7645"/>
    <n v="11467.5"/>
    <n v="1146.75"/>
  </r>
  <r>
    <x v="7"/>
    <x v="31"/>
    <s v="Pubcité"/>
    <x v="2"/>
    <x v="1"/>
    <n v="1.5"/>
    <n v="8611"/>
    <n v="12916.5"/>
    <n v="1291.6500000000001"/>
  </r>
  <r>
    <x v="2"/>
    <x v="32"/>
    <s v="Muse SA"/>
    <x v="2"/>
    <x v="0"/>
    <n v="6"/>
    <n v="6317"/>
    <n v="37902"/>
    <n v="3790.2000000000003"/>
  </r>
  <r>
    <x v="6"/>
    <x v="33"/>
    <s v="Florus"/>
    <x v="2"/>
    <x v="2"/>
    <n v="3.4"/>
    <n v="7819"/>
    <n v="26584.6"/>
    <n v="2658.46"/>
  </r>
  <r>
    <x v="6"/>
    <x v="34"/>
    <s v="Muse SA"/>
    <x v="2"/>
    <x v="4"/>
    <n v="25"/>
    <n v="6523"/>
    <n v="163075"/>
    <n v="16307.5"/>
  </r>
  <r>
    <x v="6"/>
    <x v="35"/>
    <s v="Pubcité"/>
    <x v="2"/>
    <x v="5"/>
    <n v="12"/>
    <n v="7017"/>
    <n v="84204"/>
    <n v="8420.4"/>
  </r>
  <r>
    <x v="9"/>
    <x v="36"/>
    <s v="Pubcité"/>
    <x v="2"/>
    <x v="0"/>
    <n v="6"/>
    <n v="7373"/>
    <n v="44238"/>
    <n v="4423.8"/>
  </r>
  <r>
    <x v="2"/>
    <x v="37"/>
    <s v="sieffert"/>
    <x v="2"/>
    <x v="4"/>
    <n v="25"/>
    <n v="6728"/>
    <n v="168200"/>
    <n v="16820"/>
  </r>
  <r>
    <x v="3"/>
    <x v="38"/>
    <s v="Ifrane"/>
    <x v="2"/>
    <x v="5"/>
    <n v="12"/>
    <n v="7349"/>
    <n v="88188"/>
    <n v="8818.8000000000011"/>
  </r>
  <r>
    <x v="9"/>
    <x v="39"/>
    <s v="Nimbus"/>
    <x v="2"/>
    <x v="1"/>
    <n v="1.5"/>
    <n v="6852"/>
    <n v="10278"/>
    <n v="1027.8"/>
  </r>
  <r>
    <x v="3"/>
    <x v="40"/>
    <s v="Ifrane"/>
    <x v="2"/>
    <x v="1"/>
    <n v="1.5"/>
    <n v="9628"/>
    <n v="14442"/>
    <n v="1444.2"/>
  </r>
  <r>
    <x v="6"/>
    <x v="41"/>
    <s v="Muse SA"/>
    <x v="3"/>
    <x v="0"/>
    <n v="6"/>
    <n v="9929"/>
    <n v="59574"/>
    <n v="5957.4000000000005"/>
  </r>
  <r>
    <x v="2"/>
    <x v="42"/>
    <s v="Plein-nord"/>
    <x v="3"/>
    <x v="5"/>
    <n v="12"/>
    <n v="5136"/>
    <n v="61632"/>
    <n v="6163.2000000000007"/>
  </r>
  <r>
    <x v="5"/>
    <x v="43"/>
    <s v="Pubcité"/>
    <x v="3"/>
    <x v="0"/>
    <n v="6"/>
    <n v="6550"/>
    <n v="39300"/>
    <n v="3930"/>
  </r>
  <r>
    <x v="6"/>
    <x v="44"/>
    <s v="Pubcité"/>
    <x v="3"/>
    <x v="1"/>
    <n v="1.5"/>
    <n v="5562"/>
    <n v="8343"/>
    <n v="834.30000000000007"/>
  </r>
  <r>
    <x v="8"/>
    <x v="45"/>
    <s v="Plein-nord"/>
    <x v="3"/>
    <x v="2"/>
    <n v="3.4"/>
    <n v="7212"/>
    <n v="24520.799999999999"/>
    <n v="2452.08"/>
  </r>
  <r>
    <x v="8"/>
    <x v="10"/>
    <s v="Plein-nord"/>
    <x v="3"/>
    <x v="4"/>
    <n v="25"/>
    <n v="6075"/>
    <n v="151875"/>
    <n v="15187.5"/>
  </r>
  <r>
    <x v="7"/>
    <x v="46"/>
    <s v="Ifrane"/>
    <x v="3"/>
    <x v="5"/>
    <n v="12"/>
    <n v="9886"/>
    <n v="118632"/>
    <n v="11863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FFD24-5DA0-4F3B-92AE-F298C2BEBD8E}" name="Tableau croisé dynamique1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14" firstHeaderRow="0" firstDataRow="1" firstDataCol="1"/>
  <pivotFields count="11">
    <pivotField axis="axisRow" dataField="1" showAll="0">
      <items count="11">
        <item x="8"/>
        <item x="0"/>
        <item x="1"/>
        <item x="7"/>
        <item x="4"/>
        <item x="5"/>
        <item x="6"/>
        <item x="3"/>
        <item x="2"/>
        <item x="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countASubtotal="1">
      <items count="5">
        <item x="0"/>
        <item x="1"/>
        <item x="2"/>
        <item x="3"/>
        <item t="countA"/>
      </items>
    </pivotField>
    <pivotField showAll="0">
      <items count="7">
        <item x="3"/>
        <item x="5"/>
        <item x="0"/>
        <item x="4"/>
        <item x="2"/>
        <item x="1"/>
        <item t="default"/>
      </items>
    </pivotField>
    <pivotField numFmtId="166" showAll="0"/>
    <pivotField showAll="0"/>
    <pivotField dataField="1" numFmtId="166" showAll="0"/>
    <pivotField numFmtId="166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" fld="7" baseField="0" baseItem="0"/>
    <dataField name="Nombre de VENDEU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DACA3-C2E7-49BB-907B-1C73300D8DA0}" name="Tableau croisé dynamique2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8" firstHeaderRow="1" firstDataRow="1" firstDataCol="1"/>
  <pivotFields count="11">
    <pivotField showAll="0"/>
    <pivotField numFmtId="1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66" showAll="0"/>
    <pivotField showAll="0"/>
    <pivotField dataField="1" numFmtId="166" showAll="0"/>
    <pivotField numFmtId="166" showAll="0"/>
    <pivotField showAll="0" defaultSubtota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MONTA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49F94-2AA2-43FE-8C25-4E998A1EBD48}" name="Tableau croisé dynamique3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0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7">
        <item x="3"/>
        <item x="5"/>
        <item x="0"/>
        <item x="4"/>
        <item x="2"/>
        <item x="1"/>
        <item t="default"/>
      </items>
    </pivotField>
    <pivotField numFmtId="166" showAll="0"/>
    <pivotField showAll="0"/>
    <pivotField dataField="1" numFmtId="166" showAll="0"/>
    <pivotField numFmtId="166" showAll="0"/>
    <pivotField showAll="0" defaultSubtotal="0"/>
    <pivotField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oyenne de MONTANT" fld="7" subtotal="average" baseField="4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5A17B-E6DB-4A5A-BB9C-7FCD2E96F5E4}" name="Tableau1" displayName="Tableau1" ref="A1:I51" totalsRowCount="1" headerRowDxfId="20" dataDxfId="19" headerRowCellStyle="Normal 2" dataCellStyle="Normal 2">
  <autoFilter ref="A1:I50" xr:uid="{65FFECC9-EB86-4744-AD6B-DB8A7E2156C7}"/>
  <tableColumns count="9">
    <tableColumn id="1" xr3:uid="{CFEC2E4E-BEB3-4285-9CF7-F1C13432CEA9}" name="VENDEURS" totalsRowLabel="Total" dataDxfId="18" totalsRowDxfId="9" dataCellStyle="Normal 2" totalsRowCellStyle="Normal 2"/>
    <tableColumn id="2" xr3:uid="{F655128D-01D7-40E3-85E6-FB89604F6B70}" name="DATE" dataDxfId="17" totalsRowDxfId="8" dataCellStyle="Normal 2" totalsRowCellStyle="Normal 2"/>
    <tableColumn id="3" xr3:uid="{E147EE6A-FD59-49FE-B29D-6A37CB98C13D}" name="CLIENT" dataDxfId="16" totalsRowDxfId="7" dataCellStyle="Normal 2" totalsRowCellStyle="Normal 2"/>
    <tableColumn id="4" xr3:uid="{75E58719-E3B2-4225-8CDE-F19403F4FEFC}" name="SECTEUR" dataDxfId="15" totalsRowDxfId="6" dataCellStyle="Normal 2" totalsRowCellStyle="Normal 2"/>
    <tableColumn id="5" xr3:uid="{67D0A021-760B-49E3-9825-777188805D82}" name="PRODUIT" dataDxfId="14" totalsRowDxfId="5" dataCellStyle="Normal 2" totalsRowCellStyle="Normal 2"/>
    <tableColumn id="6" xr3:uid="{0E46474D-9C46-405D-B61B-857B5766FAB3}" name="PRIX" totalsRowFunction="count" dataDxfId="13" totalsRowDxfId="2" dataCellStyle="Euro 2"/>
    <tableColumn id="7" xr3:uid="{DD0F7CB2-4D34-4D7A-A149-C62632E0C0F2}" name="QUANTITE" dataDxfId="12" totalsRowDxfId="4" dataCellStyle="Normal 2" totalsRowCellStyle="Normal 2"/>
    <tableColumn id="8" xr3:uid="{DE4D3304-6E50-488C-9106-4164F1770DAD}" name="MONTANT" totalsRowFunction="sum" dataDxfId="11" totalsRowDxfId="1" dataCellStyle="Euro 2">
      <calculatedColumnFormula>F2*G2</calculatedColumnFormula>
    </tableColumn>
    <tableColumn id="9" xr3:uid="{C66E49EB-0854-4F35-A2BE-A7EDAB40E8E1}" name="montant 2" dataDxfId="10" totalsRowDxfId="3" dataCellStyle="Normal 2">
      <calculatedColumnFormula>Tableau1[[#This Row],[MONTANT]]*10%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FED9-E2E5-459A-A317-A375D722206C}">
  <dimension ref="A3:C14"/>
  <sheetViews>
    <sheetView tabSelected="1" workbookViewId="0">
      <selection activeCell="A3" sqref="A3"/>
    </sheetView>
  </sheetViews>
  <sheetFormatPr baseColWidth="10" defaultRowHeight="12.75"/>
  <cols>
    <col min="1" max="1" width="21.140625" bestFit="1" customWidth="1"/>
    <col min="2" max="2" width="20.7109375" bestFit="1" customWidth="1"/>
    <col min="3" max="4" width="21.85546875" bestFit="1" customWidth="1"/>
    <col min="5" max="5" width="13.140625" bestFit="1" customWidth="1"/>
    <col min="6" max="6" width="20.7109375" bestFit="1" customWidth="1"/>
    <col min="7" max="7" width="22" bestFit="1" customWidth="1"/>
    <col min="8" max="8" width="26" bestFit="1" customWidth="1"/>
    <col min="9" max="9" width="27.28515625" bestFit="1" customWidth="1"/>
    <col min="10" max="10" width="8.5703125" bestFit="1" customWidth="1"/>
    <col min="11" max="11" width="8" bestFit="1" customWidth="1"/>
    <col min="12" max="12" width="13.140625" bestFit="1" customWidth="1"/>
    <col min="13" max="13" width="15.7109375" bestFit="1" customWidth="1"/>
    <col min="14" max="14" width="12.5703125" bestFit="1" customWidth="1"/>
    <col min="15" max="16" width="7" bestFit="1" customWidth="1"/>
    <col min="17" max="17" width="15.7109375" bestFit="1" customWidth="1"/>
    <col min="18" max="18" width="10.140625" bestFit="1" customWidth="1"/>
    <col min="19" max="19" width="12.5703125" bestFit="1" customWidth="1"/>
    <col min="20" max="21" width="7" bestFit="1" customWidth="1"/>
    <col min="22" max="22" width="15.7109375" bestFit="1" customWidth="1"/>
    <col min="23" max="23" width="12.5703125" bestFit="1" customWidth="1"/>
    <col min="24" max="24" width="7" bestFit="1" customWidth="1"/>
    <col min="25" max="25" width="9" bestFit="1" customWidth="1"/>
    <col min="26" max="26" width="15.7109375" bestFit="1" customWidth="1"/>
    <col min="27" max="27" width="10.140625" bestFit="1" customWidth="1"/>
    <col min="28" max="28" width="13.140625" bestFit="1" customWidth="1"/>
    <col min="29" max="48" width="10.140625" bestFit="1" customWidth="1"/>
    <col min="49" max="49" width="13.140625" bestFit="1" customWidth="1"/>
  </cols>
  <sheetData>
    <row r="3" spans="1:3">
      <c r="A3" s="26" t="s">
        <v>62</v>
      </c>
      <c r="B3" t="s">
        <v>63</v>
      </c>
      <c r="C3" t="s">
        <v>65</v>
      </c>
    </row>
    <row r="4" spans="1:3">
      <c r="A4" s="27" t="s">
        <v>30</v>
      </c>
      <c r="B4" s="22">
        <v>360045.8</v>
      </c>
      <c r="C4" s="22">
        <v>3</v>
      </c>
    </row>
    <row r="5" spans="1:3">
      <c r="A5" s="27" t="s">
        <v>26</v>
      </c>
      <c r="B5" s="22">
        <v>336897</v>
      </c>
      <c r="C5" s="22">
        <v>3</v>
      </c>
    </row>
    <row r="6" spans="1:3">
      <c r="A6" s="27" t="s">
        <v>23</v>
      </c>
      <c r="B6" s="22">
        <v>319714.5</v>
      </c>
      <c r="C6" s="22">
        <v>5</v>
      </c>
    </row>
    <row r="7" spans="1:3">
      <c r="A7" s="27" t="s">
        <v>11</v>
      </c>
      <c r="B7" s="22">
        <v>290511</v>
      </c>
      <c r="C7" s="22">
        <v>6</v>
      </c>
    </row>
    <row r="8" spans="1:3">
      <c r="A8" s="27" t="s">
        <v>16</v>
      </c>
      <c r="B8" s="22">
        <v>95793.3</v>
      </c>
      <c r="C8" s="22">
        <v>4</v>
      </c>
    </row>
    <row r="9" spans="1:3">
      <c r="A9" s="27" t="s">
        <v>19</v>
      </c>
      <c r="B9" s="22">
        <v>289571.8</v>
      </c>
      <c r="C9" s="22">
        <v>4</v>
      </c>
    </row>
    <row r="10" spans="1:3">
      <c r="A10" s="27" t="s">
        <v>28</v>
      </c>
      <c r="B10" s="22">
        <v>965438.6</v>
      </c>
      <c r="C10" s="22">
        <v>9</v>
      </c>
    </row>
    <row r="11" spans="1:3">
      <c r="A11" s="27" t="s">
        <v>7</v>
      </c>
      <c r="B11" s="22">
        <v>447055.80000000005</v>
      </c>
      <c r="C11" s="22">
        <v>8</v>
      </c>
    </row>
    <row r="12" spans="1:3">
      <c r="A12" s="27" t="s">
        <v>32</v>
      </c>
      <c r="B12" s="22">
        <v>318668</v>
      </c>
      <c r="C12" s="22">
        <v>4</v>
      </c>
    </row>
    <row r="13" spans="1:3">
      <c r="A13" s="27" t="s">
        <v>29</v>
      </c>
      <c r="B13" s="22">
        <v>63835.5</v>
      </c>
      <c r="C13" s="22">
        <v>3</v>
      </c>
    </row>
    <row r="14" spans="1:3">
      <c r="A14" s="27" t="s">
        <v>59</v>
      </c>
      <c r="B14" s="22">
        <v>3487531.3000000003</v>
      </c>
      <c r="C14" s="22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E45B-15B7-4860-9174-BAA72EB6A846}">
  <dimension ref="A3:B8"/>
  <sheetViews>
    <sheetView workbookViewId="0">
      <selection activeCell="A3" sqref="A3"/>
    </sheetView>
  </sheetViews>
  <sheetFormatPr baseColWidth="10" defaultRowHeight="12.75"/>
  <cols>
    <col min="1" max="1" width="21.140625" bestFit="1" customWidth="1"/>
    <col min="2" max="2" width="20.7109375" bestFit="1" customWidth="1"/>
  </cols>
  <sheetData>
    <row r="3" spans="1:2">
      <c r="A3" s="26" t="s">
        <v>62</v>
      </c>
      <c r="B3" t="s">
        <v>63</v>
      </c>
    </row>
    <row r="4" spans="1:2">
      <c r="A4" s="27" t="s">
        <v>9</v>
      </c>
      <c r="B4" s="22">
        <v>907461</v>
      </c>
    </row>
    <row r="5" spans="1:2">
      <c r="A5" s="27" t="s">
        <v>13</v>
      </c>
      <c r="B5" s="22">
        <v>861352.9</v>
      </c>
    </row>
    <row r="6" spans="1:2">
      <c r="A6" s="27" t="s">
        <v>15</v>
      </c>
      <c r="B6" s="22">
        <v>1254840.6000000001</v>
      </c>
    </row>
    <row r="7" spans="1:2">
      <c r="A7" s="27" t="s">
        <v>21</v>
      </c>
      <c r="B7" s="22">
        <v>463876.8</v>
      </c>
    </row>
    <row r="8" spans="1:2">
      <c r="A8" s="27" t="s">
        <v>59</v>
      </c>
      <c r="B8" s="22">
        <v>3487531.3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0084-B6AD-4773-9DD7-0231628D554A}">
  <dimension ref="A3:B10"/>
  <sheetViews>
    <sheetView workbookViewId="0">
      <selection activeCell="B8" sqref="B8"/>
    </sheetView>
  </sheetViews>
  <sheetFormatPr baseColWidth="10" defaultRowHeight="12.75"/>
  <cols>
    <col min="1" max="1" width="21.140625" bestFit="1" customWidth="1"/>
    <col min="2" max="2" width="22.140625" bestFit="1" customWidth="1"/>
  </cols>
  <sheetData>
    <row r="3" spans="1:2">
      <c r="A3" s="26" t="s">
        <v>62</v>
      </c>
      <c r="B3" t="s">
        <v>64</v>
      </c>
    </row>
    <row r="4" spans="1:2">
      <c r="A4" s="27" t="s">
        <v>25</v>
      </c>
      <c r="B4" s="28">
        <v>171475.5</v>
      </c>
    </row>
    <row r="5" spans="1:2">
      <c r="A5" s="27" t="s">
        <v>31</v>
      </c>
      <c r="B5" s="28">
        <v>90745.5</v>
      </c>
    </row>
    <row r="6" spans="1:2">
      <c r="A6" s="27" t="s">
        <v>22</v>
      </c>
      <c r="B6" s="28">
        <v>45010.666666666664</v>
      </c>
    </row>
    <row r="7" spans="1:2">
      <c r="A7" s="27" t="s">
        <v>27</v>
      </c>
      <c r="B7" s="28">
        <v>167433.33333333334</v>
      </c>
    </row>
    <row r="8" spans="1:2">
      <c r="A8" s="27" t="s">
        <v>18</v>
      </c>
      <c r="B8" s="28">
        <v>25143.971428571425</v>
      </c>
    </row>
    <row r="9" spans="1:2">
      <c r="A9" s="27" t="s">
        <v>10</v>
      </c>
      <c r="B9" s="28">
        <v>11308.5</v>
      </c>
    </row>
    <row r="10" spans="1:2">
      <c r="A10" s="27" t="s">
        <v>59</v>
      </c>
      <c r="B10" s="28">
        <v>71174.108163265293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51"/>
  <sheetViews>
    <sheetView zoomScale="145" zoomScaleNormal="145" workbookViewId="0">
      <selection activeCell="C6" sqref="C6"/>
    </sheetView>
  </sheetViews>
  <sheetFormatPr baseColWidth="10" defaultColWidth="11.42578125" defaultRowHeight="12.75"/>
  <cols>
    <col min="1" max="7" width="14.140625" style="1" customWidth="1"/>
    <col min="8" max="8" width="14.85546875" style="1" bestFit="1" customWidth="1"/>
    <col min="9" max="9" width="14.5703125" style="1" bestFit="1" customWidth="1"/>
    <col min="10" max="16384" width="11.42578125" style="1"/>
  </cols>
  <sheetData>
    <row r="1" spans="1:9">
      <c r="A1" s="15" t="s">
        <v>58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9" t="s">
        <v>60</v>
      </c>
    </row>
    <row r="2" spans="1:9">
      <c r="A2" s="16" t="s">
        <v>26</v>
      </c>
      <c r="B2" s="17">
        <v>42044</v>
      </c>
      <c r="C2" s="16" t="s">
        <v>24</v>
      </c>
      <c r="D2" s="16" t="s">
        <v>9</v>
      </c>
      <c r="E2" s="16" t="s">
        <v>22</v>
      </c>
      <c r="F2" s="18">
        <v>6</v>
      </c>
      <c r="G2" s="16">
        <v>5764</v>
      </c>
      <c r="H2" s="18">
        <f>F2*G2</f>
        <v>34584</v>
      </c>
      <c r="I2" s="20">
        <f>Tableau1[[#This Row],[MONTANT]]*10%</f>
        <v>3458.4</v>
      </c>
    </row>
    <row r="3" spans="1:9">
      <c r="A3" s="16" t="s">
        <v>23</v>
      </c>
      <c r="B3" s="17">
        <v>42050</v>
      </c>
      <c r="C3" s="16" t="s">
        <v>24</v>
      </c>
      <c r="D3" s="16" t="s">
        <v>9</v>
      </c>
      <c r="E3" s="16" t="s">
        <v>22</v>
      </c>
      <c r="F3" s="18">
        <v>6</v>
      </c>
      <c r="G3" s="16">
        <v>6987</v>
      </c>
      <c r="H3" s="18">
        <f>F3*G3</f>
        <v>41922</v>
      </c>
      <c r="I3" s="20">
        <f>Tableau1[[#This Row],[MONTANT]]*10%</f>
        <v>4192.2</v>
      </c>
    </row>
    <row r="4" spans="1:9">
      <c r="A4" s="16" t="s">
        <v>32</v>
      </c>
      <c r="B4" s="17">
        <v>42098</v>
      </c>
      <c r="C4" s="16" t="s">
        <v>24</v>
      </c>
      <c r="D4" s="16" t="s">
        <v>9</v>
      </c>
      <c r="E4" s="16" t="s">
        <v>22</v>
      </c>
      <c r="F4" s="18">
        <v>6</v>
      </c>
      <c r="G4" s="16">
        <v>8489</v>
      </c>
      <c r="H4" s="18">
        <f>F4*G4</f>
        <v>50934</v>
      </c>
      <c r="I4" s="20">
        <f>Tableau1[[#This Row],[MONTANT]]*10%</f>
        <v>5093.4000000000005</v>
      </c>
    </row>
    <row r="5" spans="1:9">
      <c r="A5" s="16" t="s">
        <v>7</v>
      </c>
      <c r="B5" s="17">
        <v>42155</v>
      </c>
      <c r="C5" s="16" t="s">
        <v>8</v>
      </c>
      <c r="D5" s="16" t="s">
        <v>9</v>
      </c>
      <c r="E5" s="16" t="s">
        <v>10</v>
      </c>
      <c r="F5" s="18">
        <v>1.5</v>
      </c>
      <c r="G5" s="16">
        <v>7695</v>
      </c>
      <c r="H5" s="18">
        <f>F5*G5</f>
        <v>11542.5</v>
      </c>
      <c r="I5" s="20">
        <f>Tableau1[[#This Row],[MONTANT]]*10%</f>
        <v>1154.25</v>
      </c>
    </row>
    <row r="6" spans="1:9">
      <c r="A6" s="16" t="s">
        <v>7</v>
      </c>
      <c r="B6" s="17">
        <v>42181</v>
      </c>
      <c r="C6" s="16" t="s">
        <v>12</v>
      </c>
      <c r="D6" s="16" t="s">
        <v>9</v>
      </c>
      <c r="E6" s="16" t="s">
        <v>10</v>
      </c>
      <c r="F6" s="18">
        <v>1.5</v>
      </c>
      <c r="G6" s="16">
        <v>8639</v>
      </c>
      <c r="H6" s="18">
        <f>F6*G6</f>
        <v>12958.5</v>
      </c>
      <c r="I6" s="20">
        <f>Tableau1[[#This Row],[MONTANT]]*10%</f>
        <v>1295.8500000000001</v>
      </c>
    </row>
    <row r="7" spans="1:9">
      <c r="A7" s="16" t="s">
        <v>16</v>
      </c>
      <c r="B7" s="17">
        <v>42197</v>
      </c>
      <c r="C7" s="16" t="s">
        <v>17</v>
      </c>
      <c r="D7" s="16" t="s">
        <v>9</v>
      </c>
      <c r="E7" s="16" t="s">
        <v>18</v>
      </c>
      <c r="F7" s="18">
        <v>3.4</v>
      </c>
      <c r="G7" s="16">
        <v>8367</v>
      </c>
      <c r="H7" s="18">
        <f>F7*G7</f>
        <v>28447.8</v>
      </c>
      <c r="I7" s="20">
        <f>Tableau1[[#This Row],[MONTANT]]*10%</f>
        <v>2844.78</v>
      </c>
    </row>
    <row r="8" spans="1:9">
      <c r="A8" s="16" t="s">
        <v>19</v>
      </c>
      <c r="B8" s="17">
        <v>42290</v>
      </c>
      <c r="C8" s="16" t="s">
        <v>17</v>
      </c>
      <c r="D8" s="16" t="s">
        <v>9</v>
      </c>
      <c r="E8" s="16" t="s">
        <v>18</v>
      </c>
      <c r="F8" s="18">
        <v>3.4</v>
      </c>
      <c r="G8" s="16">
        <v>8227</v>
      </c>
      <c r="H8" s="18">
        <f>F8*G8</f>
        <v>27971.8</v>
      </c>
      <c r="I8" s="20">
        <f>Tableau1[[#This Row],[MONTANT]]*10%</f>
        <v>2797.1800000000003</v>
      </c>
    </row>
    <row r="9" spans="1:9">
      <c r="A9" s="16" t="s">
        <v>19</v>
      </c>
      <c r="B9" s="17">
        <v>42293</v>
      </c>
      <c r="C9" s="16" t="s">
        <v>17</v>
      </c>
      <c r="D9" s="16" t="s">
        <v>9</v>
      </c>
      <c r="E9" s="16" t="s">
        <v>25</v>
      </c>
      <c r="F9" s="18">
        <v>21</v>
      </c>
      <c r="G9" s="16">
        <v>7464</v>
      </c>
      <c r="H9" s="18">
        <f>F9*G9</f>
        <v>156744</v>
      </c>
      <c r="I9" s="20">
        <f>Tableau1[[#This Row],[MONTANT]]*10%</f>
        <v>15674.400000000001</v>
      </c>
    </row>
    <row r="10" spans="1:9">
      <c r="A10" s="16" t="s">
        <v>7</v>
      </c>
      <c r="B10" s="17">
        <v>42293</v>
      </c>
      <c r="C10" s="16" t="s">
        <v>24</v>
      </c>
      <c r="D10" s="16" t="s">
        <v>9</v>
      </c>
      <c r="E10" s="16" t="s">
        <v>18</v>
      </c>
      <c r="F10" s="18">
        <v>3.4</v>
      </c>
      <c r="G10" s="16">
        <v>5336</v>
      </c>
      <c r="H10" s="18">
        <f>F10*G10</f>
        <v>18142.399999999998</v>
      </c>
      <c r="I10" s="20">
        <f>Tableau1[[#This Row],[MONTANT]]*10%</f>
        <v>1814.2399999999998</v>
      </c>
    </row>
    <row r="11" spans="1:9">
      <c r="A11" s="16" t="s">
        <v>28</v>
      </c>
      <c r="B11" s="17">
        <v>42351</v>
      </c>
      <c r="C11" s="16" t="s">
        <v>14</v>
      </c>
      <c r="D11" s="16" t="s">
        <v>9</v>
      </c>
      <c r="E11" s="16" t="s">
        <v>25</v>
      </c>
      <c r="F11" s="18">
        <v>21</v>
      </c>
      <c r="G11" s="16">
        <v>8694</v>
      </c>
      <c r="H11" s="18">
        <f>F11*G11</f>
        <v>182574</v>
      </c>
      <c r="I11" s="20">
        <f>Tableau1[[#This Row],[MONTANT]]*10%</f>
        <v>18257.400000000001</v>
      </c>
    </row>
    <row r="12" spans="1:9">
      <c r="A12" s="16" t="s">
        <v>7</v>
      </c>
      <c r="B12" s="17">
        <v>42379</v>
      </c>
      <c r="C12" s="16" t="s">
        <v>17</v>
      </c>
      <c r="D12" s="16" t="s">
        <v>9</v>
      </c>
      <c r="E12" s="16" t="s">
        <v>25</v>
      </c>
      <c r="F12" s="18">
        <v>21</v>
      </c>
      <c r="G12" s="16">
        <v>8279</v>
      </c>
      <c r="H12" s="18">
        <f>F12*G12</f>
        <v>173859</v>
      </c>
      <c r="I12" s="20">
        <f>Tableau1[[#This Row],[MONTANT]]*10%</f>
        <v>17385.900000000001</v>
      </c>
    </row>
    <row r="13" spans="1:9">
      <c r="A13" s="16" t="s">
        <v>16</v>
      </c>
      <c r="B13" s="17">
        <v>42398</v>
      </c>
      <c r="C13" s="16" t="s">
        <v>12</v>
      </c>
      <c r="D13" s="16" t="s">
        <v>9</v>
      </c>
      <c r="E13" s="16" t="s">
        <v>10</v>
      </c>
      <c r="F13" s="18">
        <v>1.5</v>
      </c>
      <c r="G13" s="16">
        <v>8804</v>
      </c>
      <c r="H13" s="18">
        <f>F13*G13</f>
        <v>13206</v>
      </c>
      <c r="I13" s="20">
        <f>Tableau1[[#This Row],[MONTANT]]*10%</f>
        <v>1320.6000000000001</v>
      </c>
    </row>
    <row r="14" spans="1:9">
      <c r="A14" s="16" t="s">
        <v>23</v>
      </c>
      <c r="B14" s="17">
        <v>42477</v>
      </c>
      <c r="C14" s="16" t="s">
        <v>14</v>
      </c>
      <c r="D14" s="16" t="s">
        <v>9</v>
      </c>
      <c r="E14" s="16" t="s">
        <v>27</v>
      </c>
      <c r="F14" s="18">
        <v>25</v>
      </c>
      <c r="G14" s="16">
        <v>6183</v>
      </c>
      <c r="H14" s="18">
        <f>F14*G14</f>
        <v>154575</v>
      </c>
      <c r="I14" s="20">
        <f>Tableau1[[#This Row],[MONTANT]]*10%</f>
        <v>15457.5</v>
      </c>
    </row>
    <row r="15" spans="1:9">
      <c r="A15" s="16" t="s">
        <v>28</v>
      </c>
      <c r="B15" s="17">
        <v>42052</v>
      </c>
      <c r="C15" s="16" t="s">
        <v>12</v>
      </c>
      <c r="D15" s="16" t="s">
        <v>13</v>
      </c>
      <c r="E15" s="16" t="s">
        <v>25</v>
      </c>
      <c r="F15" s="18">
        <v>21</v>
      </c>
      <c r="G15" s="16">
        <v>9401</v>
      </c>
      <c r="H15" s="18">
        <f>F15*G15</f>
        <v>197421</v>
      </c>
      <c r="I15" s="20">
        <f>Tableau1[[#This Row],[MONTANT]]*10%</f>
        <v>19742.100000000002</v>
      </c>
    </row>
    <row r="16" spans="1:9">
      <c r="A16" s="16" t="s">
        <v>7</v>
      </c>
      <c r="B16" s="17">
        <v>42188</v>
      </c>
      <c r="C16" s="16" t="s">
        <v>12</v>
      </c>
      <c r="D16" s="16" t="s">
        <v>13</v>
      </c>
      <c r="E16" s="16" t="s">
        <v>31</v>
      </c>
      <c r="F16" s="18">
        <v>12</v>
      </c>
      <c r="G16" s="16">
        <v>9062</v>
      </c>
      <c r="H16" s="18">
        <f>F16*G16</f>
        <v>108744</v>
      </c>
      <c r="I16" s="20">
        <f>Tableau1[[#This Row],[MONTANT]]*10%</f>
        <v>10874.400000000001</v>
      </c>
    </row>
    <row r="17" spans="1:9">
      <c r="A17" s="16" t="s">
        <v>23</v>
      </c>
      <c r="B17" s="17">
        <v>42202</v>
      </c>
      <c r="C17" s="16" t="s">
        <v>20</v>
      </c>
      <c r="D17" s="16" t="s">
        <v>13</v>
      </c>
      <c r="E17" s="16" t="s">
        <v>31</v>
      </c>
      <c r="F17" s="18">
        <v>12</v>
      </c>
      <c r="G17" s="16">
        <v>6660</v>
      </c>
      <c r="H17" s="18">
        <f>F17*G17</f>
        <v>79920</v>
      </c>
      <c r="I17" s="20">
        <f>Tableau1[[#This Row],[MONTANT]]*10%</f>
        <v>7992</v>
      </c>
    </row>
    <row r="18" spans="1:9">
      <c r="A18" s="16" t="s">
        <v>7</v>
      </c>
      <c r="B18" s="17">
        <v>42237</v>
      </c>
      <c r="C18" s="16" t="s">
        <v>12</v>
      </c>
      <c r="D18" s="16" t="s">
        <v>13</v>
      </c>
      <c r="E18" s="16" t="s">
        <v>18</v>
      </c>
      <c r="F18" s="18">
        <v>3.4</v>
      </c>
      <c r="G18" s="16">
        <v>5641</v>
      </c>
      <c r="H18" s="18">
        <f>F18*G18</f>
        <v>19179.399999999998</v>
      </c>
      <c r="I18" s="20">
        <f>Tableau1[[#This Row],[MONTANT]]*10%</f>
        <v>1917.9399999999998</v>
      </c>
    </row>
    <row r="19" spans="1:9">
      <c r="A19" s="16" t="s">
        <v>23</v>
      </c>
      <c r="B19" s="17">
        <v>42246</v>
      </c>
      <c r="C19" s="16" t="s">
        <v>12</v>
      </c>
      <c r="D19" s="16" t="s">
        <v>13</v>
      </c>
      <c r="E19" s="16" t="s">
        <v>18</v>
      </c>
      <c r="F19" s="18">
        <v>3.4</v>
      </c>
      <c r="G19" s="16">
        <v>9165</v>
      </c>
      <c r="H19" s="18">
        <f>F19*G19</f>
        <v>31161</v>
      </c>
      <c r="I19" s="20">
        <f>Tableau1[[#This Row],[MONTANT]]*10%</f>
        <v>3116.1000000000004</v>
      </c>
    </row>
    <row r="20" spans="1:9">
      <c r="A20" s="16" t="s">
        <v>28</v>
      </c>
      <c r="B20" s="17">
        <v>42322</v>
      </c>
      <c r="C20" s="16" t="s">
        <v>24</v>
      </c>
      <c r="D20" s="16" t="s">
        <v>13</v>
      </c>
      <c r="E20" s="16" t="s">
        <v>22</v>
      </c>
      <c r="F20" s="18">
        <v>6</v>
      </c>
      <c r="G20" s="16">
        <v>8407</v>
      </c>
      <c r="H20" s="18">
        <f>F20*G20</f>
        <v>50442</v>
      </c>
      <c r="I20" s="20">
        <f>Tableau1[[#This Row],[MONTANT]]*10%</f>
        <v>5044.2000000000007</v>
      </c>
    </row>
    <row r="21" spans="1:9">
      <c r="A21" s="16" t="s">
        <v>16</v>
      </c>
      <c r="B21" s="17">
        <v>42330</v>
      </c>
      <c r="C21" s="16" t="s">
        <v>20</v>
      </c>
      <c r="D21" s="16" t="s">
        <v>13</v>
      </c>
      <c r="E21" s="16" t="s">
        <v>22</v>
      </c>
      <c r="F21" s="18">
        <v>6</v>
      </c>
      <c r="G21" s="16">
        <v>7700</v>
      </c>
      <c r="H21" s="18">
        <f>F21*G21</f>
        <v>46200</v>
      </c>
      <c r="I21" s="20">
        <f>Tableau1[[#This Row],[MONTANT]]*10%</f>
        <v>4620</v>
      </c>
    </row>
    <row r="22" spans="1:9">
      <c r="A22" s="16" t="s">
        <v>11</v>
      </c>
      <c r="B22" s="17">
        <v>42372</v>
      </c>
      <c r="C22" s="16" t="s">
        <v>12</v>
      </c>
      <c r="D22" s="16" t="s">
        <v>13</v>
      </c>
      <c r="E22" s="16" t="s">
        <v>10</v>
      </c>
      <c r="F22" s="18">
        <v>1.5</v>
      </c>
      <c r="G22" s="16">
        <v>9224</v>
      </c>
      <c r="H22" s="18">
        <f>F22*G22</f>
        <v>13836</v>
      </c>
      <c r="I22" s="20">
        <f>Tableau1[[#This Row],[MONTANT]]*10%</f>
        <v>1383.6000000000001</v>
      </c>
    </row>
    <row r="23" spans="1:9">
      <c r="A23" s="16" t="s">
        <v>23</v>
      </c>
      <c r="B23" s="17">
        <v>42535</v>
      </c>
      <c r="C23" s="16" t="s">
        <v>20</v>
      </c>
      <c r="D23" s="16" t="s">
        <v>13</v>
      </c>
      <c r="E23" s="16" t="s">
        <v>10</v>
      </c>
      <c r="F23" s="18">
        <v>1.5</v>
      </c>
      <c r="G23" s="16">
        <v>8091</v>
      </c>
      <c r="H23" s="18">
        <f>F23*G23</f>
        <v>12136.5</v>
      </c>
      <c r="I23" s="20">
        <f>Tableau1[[#This Row],[MONTANT]]*10%</f>
        <v>1213.6500000000001</v>
      </c>
    </row>
    <row r="24" spans="1:9">
      <c r="A24" s="16" t="s">
        <v>26</v>
      </c>
      <c r="B24" s="17">
        <v>42540</v>
      </c>
      <c r="C24" s="16" t="s">
        <v>24</v>
      </c>
      <c r="D24" s="16" t="s">
        <v>13</v>
      </c>
      <c r="E24" s="16" t="s">
        <v>31</v>
      </c>
      <c r="F24" s="18">
        <v>12</v>
      </c>
      <c r="G24" s="16">
        <v>9924</v>
      </c>
      <c r="H24" s="18">
        <f>F24*G24</f>
        <v>119088</v>
      </c>
      <c r="I24" s="20">
        <f>Tableau1[[#This Row],[MONTANT]]*10%</f>
        <v>11908.800000000001</v>
      </c>
    </row>
    <row r="25" spans="1:9">
      <c r="A25" s="16" t="s">
        <v>26</v>
      </c>
      <c r="B25" s="17">
        <v>42546</v>
      </c>
      <c r="C25" s="16" t="s">
        <v>8</v>
      </c>
      <c r="D25" s="16" t="s">
        <v>13</v>
      </c>
      <c r="E25" s="16" t="s">
        <v>27</v>
      </c>
      <c r="F25" s="18">
        <v>25</v>
      </c>
      <c r="G25" s="16">
        <v>7329</v>
      </c>
      <c r="H25" s="18">
        <f>F25*G25</f>
        <v>183225</v>
      </c>
      <c r="I25" s="20">
        <f>Tableau1[[#This Row],[MONTANT]]*10%</f>
        <v>18322.5</v>
      </c>
    </row>
    <row r="26" spans="1:9">
      <c r="A26" s="16" t="s">
        <v>28</v>
      </c>
      <c r="B26" s="17">
        <v>42013</v>
      </c>
      <c r="C26" s="16" t="s">
        <v>17</v>
      </c>
      <c r="D26" s="16" t="s">
        <v>15</v>
      </c>
      <c r="E26" s="16" t="s">
        <v>25</v>
      </c>
      <c r="F26" s="18">
        <v>21</v>
      </c>
      <c r="G26" s="16">
        <v>9201</v>
      </c>
      <c r="H26" s="18">
        <f>F26*G26</f>
        <v>193221</v>
      </c>
      <c r="I26" s="20">
        <f>Tableau1[[#This Row],[MONTANT]]*10%</f>
        <v>19322.100000000002</v>
      </c>
    </row>
    <row r="27" spans="1:9">
      <c r="A27" s="16" t="s">
        <v>11</v>
      </c>
      <c r="B27" s="17">
        <v>42062</v>
      </c>
      <c r="C27" s="16" t="s">
        <v>14</v>
      </c>
      <c r="D27" s="16" t="s">
        <v>15</v>
      </c>
      <c r="E27" s="16" t="s">
        <v>25</v>
      </c>
      <c r="F27" s="18">
        <v>21</v>
      </c>
      <c r="G27" s="16">
        <v>5954</v>
      </c>
      <c r="H27" s="18">
        <f>F27*G27</f>
        <v>125034</v>
      </c>
      <c r="I27" s="20">
        <f>Tableau1[[#This Row],[MONTANT]]*10%</f>
        <v>12503.400000000001</v>
      </c>
    </row>
    <row r="28" spans="1:9">
      <c r="A28" s="16" t="s">
        <v>30</v>
      </c>
      <c r="B28" s="17">
        <v>42070</v>
      </c>
      <c r="C28" s="16" t="s">
        <v>14</v>
      </c>
      <c r="D28" s="16" t="s">
        <v>15</v>
      </c>
      <c r="E28" s="16" t="s">
        <v>27</v>
      </c>
      <c r="F28" s="18">
        <v>25</v>
      </c>
      <c r="G28" s="16">
        <v>7346</v>
      </c>
      <c r="H28" s="18">
        <f>F28*G28</f>
        <v>183650</v>
      </c>
      <c r="I28" s="20">
        <f>Tableau1[[#This Row],[MONTANT]]*10%</f>
        <v>18365</v>
      </c>
    </row>
    <row r="29" spans="1:9">
      <c r="A29" s="16" t="s">
        <v>11</v>
      </c>
      <c r="B29" s="17">
        <v>42094</v>
      </c>
      <c r="C29" s="16" t="s">
        <v>20</v>
      </c>
      <c r="D29" s="16" t="s">
        <v>15</v>
      </c>
      <c r="E29" s="16" t="s">
        <v>10</v>
      </c>
      <c r="F29" s="18">
        <v>1.5</v>
      </c>
      <c r="G29" s="16">
        <v>5750</v>
      </c>
      <c r="H29" s="18">
        <f>F29*G29</f>
        <v>8625</v>
      </c>
      <c r="I29" s="20">
        <f>Tableau1[[#This Row],[MONTANT]]*10%</f>
        <v>862.5</v>
      </c>
    </row>
    <row r="30" spans="1:9">
      <c r="A30" s="16" t="s">
        <v>29</v>
      </c>
      <c r="B30" s="17">
        <v>42167</v>
      </c>
      <c r="C30" s="16" t="s">
        <v>17</v>
      </c>
      <c r="D30" s="16" t="s">
        <v>15</v>
      </c>
      <c r="E30" s="16" t="s">
        <v>10</v>
      </c>
      <c r="F30" s="18">
        <v>1.5</v>
      </c>
      <c r="G30" s="16">
        <v>6213</v>
      </c>
      <c r="H30" s="18">
        <f>F30*G30</f>
        <v>9319.5</v>
      </c>
      <c r="I30" s="20">
        <f>Tableau1[[#This Row],[MONTANT]]*10%</f>
        <v>931.95</v>
      </c>
    </row>
    <row r="31" spans="1:9">
      <c r="A31" s="16" t="s">
        <v>16</v>
      </c>
      <c r="B31" s="17">
        <v>42287</v>
      </c>
      <c r="C31" s="16" t="s">
        <v>8</v>
      </c>
      <c r="D31" s="16" t="s">
        <v>15</v>
      </c>
      <c r="E31" s="16" t="s">
        <v>10</v>
      </c>
      <c r="F31" s="18">
        <v>1.5</v>
      </c>
      <c r="G31" s="16">
        <v>5293</v>
      </c>
      <c r="H31" s="18">
        <f>F31*G31</f>
        <v>7939.5</v>
      </c>
      <c r="I31" s="20">
        <f>Tableau1[[#This Row],[MONTANT]]*10%</f>
        <v>793.95</v>
      </c>
    </row>
    <row r="32" spans="1:9">
      <c r="A32" s="16" t="s">
        <v>19</v>
      </c>
      <c r="B32" s="17">
        <v>42307</v>
      </c>
      <c r="C32" s="16" t="s">
        <v>8</v>
      </c>
      <c r="D32" s="16" t="s">
        <v>15</v>
      </c>
      <c r="E32" s="16" t="s">
        <v>31</v>
      </c>
      <c r="F32" s="18">
        <v>12</v>
      </c>
      <c r="G32" s="16">
        <v>5463</v>
      </c>
      <c r="H32" s="18">
        <f>F32*G32</f>
        <v>65556</v>
      </c>
      <c r="I32" s="20">
        <f>Tableau1[[#This Row],[MONTANT]]*10%</f>
        <v>6555.6</v>
      </c>
    </row>
    <row r="33" spans="1:9">
      <c r="A33" s="16" t="s">
        <v>11</v>
      </c>
      <c r="B33" s="17">
        <v>42385</v>
      </c>
      <c r="C33" s="16" t="s">
        <v>20</v>
      </c>
      <c r="D33" s="16" t="s">
        <v>15</v>
      </c>
      <c r="E33" s="16" t="s">
        <v>10</v>
      </c>
      <c r="F33" s="18">
        <v>1.5</v>
      </c>
      <c r="G33" s="16">
        <v>7645</v>
      </c>
      <c r="H33" s="18">
        <f>F33*G33</f>
        <v>11467.5</v>
      </c>
      <c r="I33" s="20">
        <f>Tableau1[[#This Row],[MONTANT]]*10%</f>
        <v>1146.75</v>
      </c>
    </row>
    <row r="34" spans="1:9">
      <c r="A34" s="16" t="s">
        <v>11</v>
      </c>
      <c r="B34" s="17">
        <v>42387</v>
      </c>
      <c r="C34" s="16" t="s">
        <v>20</v>
      </c>
      <c r="D34" s="16" t="s">
        <v>15</v>
      </c>
      <c r="E34" s="16" t="s">
        <v>10</v>
      </c>
      <c r="F34" s="18">
        <v>1.5</v>
      </c>
      <c r="G34" s="16">
        <v>8611</v>
      </c>
      <c r="H34" s="18">
        <f>F34*G34</f>
        <v>12916.5</v>
      </c>
      <c r="I34" s="20">
        <f>Tableau1[[#This Row],[MONTANT]]*10%</f>
        <v>1291.6500000000001</v>
      </c>
    </row>
    <row r="35" spans="1:9">
      <c r="A35" s="16" t="s">
        <v>32</v>
      </c>
      <c r="B35" s="17">
        <v>42391</v>
      </c>
      <c r="C35" s="16" t="s">
        <v>12</v>
      </c>
      <c r="D35" s="16" t="s">
        <v>15</v>
      </c>
      <c r="E35" s="16" t="s">
        <v>22</v>
      </c>
      <c r="F35" s="18">
        <v>6</v>
      </c>
      <c r="G35" s="16">
        <v>6317</v>
      </c>
      <c r="H35" s="18">
        <f>F35*G35</f>
        <v>37902</v>
      </c>
      <c r="I35" s="20">
        <f>Tableau1[[#This Row],[MONTANT]]*10%</f>
        <v>3790.2000000000003</v>
      </c>
    </row>
    <row r="36" spans="1:9">
      <c r="A36" s="16" t="s">
        <v>28</v>
      </c>
      <c r="B36" s="17">
        <v>42394</v>
      </c>
      <c r="C36" s="16" t="s">
        <v>8</v>
      </c>
      <c r="D36" s="16" t="s">
        <v>15</v>
      </c>
      <c r="E36" s="16" t="s">
        <v>18</v>
      </c>
      <c r="F36" s="18">
        <v>3.4</v>
      </c>
      <c r="G36" s="16">
        <v>7819</v>
      </c>
      <c r="H36" s="18">
        <f>F36*G36</f>
        <v>26584.6</v>
      </c>
      <c r="I36" s="20">
        <f>Tableau1[[#This Row],[MONTANT]]*10%</f>
        <v>2658.46</v>
      </c>
    </row>
    <row r="37" spans="1:9">
      <c r="A37" s="16" t="s">
        <v>28</v>
      </c>
      <c r="B37" s="17">
        <v>42430</v>
      </c>
      <c r="C37" s="16" t="s">
        <v>12</v>
      </c>
      <c r="D37" s="16" t="s">
        <v>15</v>
      </c>
      <c r="E37" s="16" t="s">
        <v>27</v>
      </c>
      <c r="F37" s="18">
        <v>25</v>
      </c>
      <c r="G37" s="16">
        <v>6523</v>
      </c>
      <c r="H37" s="18">
        <f>F37*G37</f>
        <v>163075</v>
      </c>
      <c r="I37" s="20">
        <f>Tableau1[[#This Row],[MONTANT]]*10%</f>
        <v>16307.5</v>
      </c>
    </row>
    <row r="38" spans="1:9">
      <c r="A38" s="16" t="s">
        <v>28</v>
      </c>
      <c r="B38" s="17">
        <v>42434</v>
      </c>
      <c r="C38" s="16" t="s">
        <v>20</v>
      </c>
      <c r="D38" s="16" t="s">
        <v>15</v>
      </c>
      <c r="E38" s="16" t="s">
        <v>31</v>
      </c>
      <c r="F38" s="18">
        <v>12</v>
      </c>
      <c r="G38" s="16">
        <v>7017</v>
      </c>
      <c r="H38" s="18">
        <f>F38*G38</f>
        <v>84204</v>
      </c>
      <c r="I38" s="20">
        <f>Tableau1[[#This Row],[MONTANT]]*10%</f>
        <v>8420.4</v>
      </c>
    </row>
    <row r="39" spans="1:9">
      <c r="A39" s="16" t="s">
        <v>29</v>
      </c>
      <c r="B39" s="17">
        <v>42444</v>
      </c>
      <c r="C39" s="16" t="s">
        <v>20</v>
      </c>
      <c r="D39" s="16" t="s">
        <v>15</v>
      </c>
      <c r="E39" s="16" t="s">
        <v>22</v>
      </c>
      <c r="F39" s="18">
        <v>6</v>
      </c>
      <c r="G39" s="16">
        <v>7373</v>
      </c>
      <c r="H39" s="18">
        <f>F39*G39</f>
        <v>44238</v>
      </c>
      <c r="I39" s="20">
        <f>Tableau1[[#This Row],[MONTANT]]*10%</f>
        <v>4423.8</v>
      </c>
    </row>
    <row r="40" spans="1:9">
      <c r="A40" s="16" t="s">
        <v>32</v>
      </c>
      <c r="B40" s="17">
        <v>42482</v>
      </c>
      <c r="C40" s="16" t="s">
        <v>33</v>
      </c>
      <c r="D40" s="16" t="s">
        <v>15</v>
      </c>
      <c r="E40" s="16" t="s">
        <v>27</v>
      </c>
      <c r="F40" s="18">
        <v>25</v>
      </c>
      <c r="G40" s="16">
        <v>6728</v>
      </c>
      <c r="H40" s="18">
        <f>F40*G40</f>
        <v>168200</v>
      </c>
      <c r="I40" s="20">
        <f>Tableau1[[#This Row],[MONTANT]]*10%</f>
        <v>16820</v>
      </c>
    </row>
    <row r="41" spans="1:9">
      <c r="A41" s="16" t="s">
        <v>7</v>
      </c>
      <c r="B41" s="17">
        <v>42514</v>
      </c>
      <c r="C41" s="16" t="s">
        <v>14</v>
      </c>
      <c r="D41" s="16" t="s">
        <v>15</v>
      </c>
      <c r="E41" s="16" t="s">
        <v>31</v>
      </c>
      <c r="F41" s="18">
        <v>12</v>
      </c>
      <c r="G41" s="16">
        <v>7349</v>
      </c>
      <c r="H41" s="18">
        <f>F41*G41</f>
        <v>88188</v>
      </c>
      <c r="I41" s="20">
        <f>Tableau1[[#This Row],[MONTANT]]*10%</f>
        <v>8818.8000000000011</v>
      </c>
    </row>
    <row r="42" spans="1:9">
      <c r="A42" s="16" t="s">
        <v>29</v>
      </c>
      <c r="B42" s="17">
        <v>42517</v>
      </c>
      <c r="C42" s="16" t="s">
        <v>24</v>
      </c>
      <c r="D42" s="16" t="s">
        <v>15</v>
      </c>
      <c r="E42" s="16" t="s">
        <v>10</v>
      </c>
      <c r="F42" s="18">
        <v>1.5</v>
      </c>
      <c r="G42" s="16">
        <v>6852</v>
      </c>
      <c r="H42" s="18">
        <f>F42*G42</f>
        <v>10278</v>
      </c>
      <c r="I42" s="20">
        <f>Tableau1[[#This Row],[MONTANT]]*10%</f>
        <v>1027.8</v>
      </c>
    </row>
    <row r="43" spans="1:9">
      <c r="A43" s="16" t="s">
        <v>7</v>
      </c>
      <c r="B43" s="17">
        <v>42521</v>
      </c>
      <c r="C43" s="16" t="s">
        <v>14</v>
      </c>
      <c r="D43" s="16" t="s">
        <v>15</v>
      </c>
      <c r="E43" s="16" t="s">
        <v>10</v>
      </c>
      <c r="F43" s="18">
        <v>1.5</v>
      </c>
      <c r="G43" s="16">
        <v>9628</v>
      </c>
      <c r="H43" s="18">
        <f>F43*G43</f>
        <v>14442</v>
      </c>
      <c r="I43" s="20">
        <f>Tableau1[[#This Row],[MONTANT]]*10%</f>
        <v>1444.2</v>
      </c>
    </row>
    <row r="44" spans="1:9">
      <c r="A44" s="16" t="s">
        <v>28</v>
      </c>
      <c r="B44" s="17">
        <v>42252</v>
      </c>
      <c r="C44" s="16" t="s">
        <v>12</v>
      </c>
      <c r="D44" s="16" t="s">
        <v>21</v>
      </c>
      <c r="E44" s="16" t="s">
        <v>22</v>
      </c>
      <c r="F44" s="18">
        <v>6</v>
      </c>
      <c r="G44" s="16">
        <v>9929</v>
      </c>
      <c r="H44" s="18">
        <f>F44*G44</f>
        <v>59574</v>
      </c>
      <c r="I44" s="20">
        <f>Tableau1[[#This Row],[MONTANT]]*10%</f>
        <v>5957.4000000000005</v>
      </c>
    </row>
    <row r="45" spans="1:9">
      <c r="A45" s="16" t="s">
        <v>32</v>
      </c>
      <c r="B45" s="17">
        <v>42317</v>
      </c>
      <c r="C45" s="16" t="s">
        <v>17</v>
      </c>
      <c r="D45" s="16" t="s">
        <v>21</v>
      </c>
      <c r="E45" s="16" t="s">
        <v>31</v>
      </c>
      <c r="F45" s="18">
        <v>12</v>
      </c>
      <c r="G45" s="16">
        <v>5136</v>
      </c>
      <c r="H45" s="18">
        <f>F45*G45</f>
        <v>61632</v>
      </c>
      <c r="I45" s="20">
        <f>Tableau1[[#This Row],[MONTANT]]*10%</f>
        <v>6163.2000000000007</v>
      </c>
    </row>
    <row r="46" spans="1:9">
      <c r="A46" s="16" t="s">
        <v>19</v>
      </c>
      <c r="B46" s="17">
        <v>42353</v>
      </c>
      <c r="C46" s="16" t="s">
        <v>20</v>
      </c>
      <c r="D46" s="16" t="s">
        <v>21</v>
      </c>
      <c r="E46" s="16" t="s">
        <v>22</v>
      </c>
      <c r="F46" s="18">
        <v>6</v>
      </c>
      <c r="G46" s="16">
        <v>6550</v>
      </c>
      <c r="H46" s="18">
        <f>F46*G46</f>
        <v>39300</v>
      </c>
      <c r="I46" s="20">
        <f>Tableau1[[#This Row],[MONTANT]]*10%</f>
        <v>3930</v>
      </c>
    </row>
    <row r="47" spans="1:9">
      <c r="A47" s="16" t="s">
        <v>28</v>
      </c>
      <c r="B47" s="17">
        <v>42366</v>
      </c>
      <c r="C47" s="16" t="s">
        <v>20</v>
      </c>
      <c r="D47" s="16" t="s">
        <v>21</v>
      </c>
      <c r="E47" s="16" t="s">
        <v>10</v>
      </c>
      <c r="F47" s="18">
        <v>1.5</v>
      </c>
      <c r="G47" s="16">
        <v>5562</v>
      </c>
      <c r="H47" s="18">
        <f>F47*G47</f>
        <v>8343</v>
      </c>
      <c r="I47" s="20">
        <f>Tableau1[[#This Row],[MONTANT]]*10%</f>
        <v>834.30000000000007</v>
      </c>
    </row>
    <row r="48" spans="1:9">
      <c r="A48" s="16" t="s">
        <v>30</v>
      </c>
      <c r="B48" s="17">
        <v>42393</v>
      </c>
      <c r="C48" s="16" t="s">
        <v>17</v>
      </c>
      <c r="D48" s="16" t="s">
        <v>21</v>
      </c>
      <c r="E48" s="16" t="s">
        <v>18</v>
      </c>
      <c r="F48" s="18">
        <v>3.4</v>
      </c>
      <c r="G48" s="16">
        <v>7212</v>
      </c>
      <c r="H48" s="18">
        <f>F48*G48</f>
        <v>24520.799999999999</v>
      </c>
      <c r="I48" s="20">
        <f>Tableau1[[#This Row],[MONTANT]]*10%</f>
        <v>2452.08</v>
      </c>
    </row>
    <row r="49" spans="1:9">
      <c r="A49" s="16" t="s">
        <v>30</v>
      </c>
      <c r="B49" s="17">
        <v>42398</v>
      </c>
      <c r="C49" s="16" t="s">
        <v>17</v>
      </c>
      <c r="D49" s="16" t="s">
        <v>21</v>
      </c>
      <c r="E49" s="16" t="s">
        <v>27</v>
      </c>
      <c r="F49" s="18">
        <v>25</v>
      </c>
      <c r="G49" s="16">
        <v>6075</v>
      </c>
      <c r="H49" s="18">
        <f>F49*G49</f>
        <v>151875</v>
      </c>
      <c r="I49" s="20">
        <f>Tableau1[[#This Row],[MONTANT]]*10%</f>
        <v>15187.5</v>
      </c>
    </row>
    <row r="50" spans="1:9">
      <c r="A50" s="16" t="s">
        <v>11</v>
      </c>
      <c r="B50" s="17">
        <v>42423</v>
      </c>
      <c r="C50" s="16" t="s">
        <v>14</v>
      </c>
      <c r="D50" s="16" t="s">
        <v>21</v>
      </c>
      <c r="E50" s="16" t="s">
        <v>31</v>
      </c>
      <c r="F50" s="18">
        <v>12</v>
      </c>
      <c r="G50" s="16">
        <v>9886</v>
      </c>
      <c r="H50" s="18">
        <f>F50*G50</f>
        <v>118632</v>
      </c>
      <c r="I50" s="20">
        <f>Tableau1[[#This Row],[MONTANT]]*10%</f>
        <v>11863.2</v>
      </c>
    </row>
    <row r="51" spans="1:9">
      <c r="A51" s="21" t="s">
        <v>61</v>
      </c>
      <c r="B51" s="21"/>
      <c r="C51" s="21"/>
      <c r="D51" s="21"/>
      <c r="E51" s="21"/>
      <c r="F51" s="23">
        <f>SUBTOTAL(103,Tableau1[PRIX])</f>
        <v>49</v>
      </c>
      <c r="G51" s="21"/>
      <c r="H51" s="25">
        <f>SUBTOTAL(109,Tableau1[MONTANT])</f>
        <v>3487531.3</v>
      </c>
      <c r="I51" s="24"/>
    </row>
  </sheetData>
  <sortState ref="A2:H50">
    <sortCondition ref="D2:D50"/>
  </sortState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F3" sqref="F3:G3"/>
    </sheetView>
  </sheetViews>
  <sheetFormatPr baseColWidth="10" defaultColWidth="11.42578125" defaultRowHeight="12.75"/>
  <cols>
    <col min="1" max="1" width="29.28515625" style="2" customWidth="1"/>
    <col min="2" max="2" width="19.140625" style="2" customWidth="1"/>
    <col min="3" max="3" width="29.28515625" style="2" customWidth="1"/>
    <col min="4" max="4" width="45.42578125" style="3" customWidth="1"/>
    <col min="5" max="5" width="11.42578125" style="3"/>
    <col min="6" max="7" width="13.5703125" style="3" customWidth="1"/>
    <col min="8" max="16384" width="11.42578125" style="3"/>
  </cols>
  <sheetData>
    <row r="1" spans="1:7" ht="13.5" thickBot="1">
      <c r="F1" s="11"/>
      <c r="G1" s="11"/>
    </row>
    <row r="2" spans="1:7" ht="16.5" thickBot="1">
      <c r="A2" s="12" t="s">
        <v>34</v>
      </c>
      <c r="B2" s="13"/>
      <c r="C2" s="13"/>
      <c r="D2" s="14"/>
    </row>
    <row r="3" spans="1:7">
      <c r="A3" s="4" t="s">
        <v>35</v>
      </c>
      <c r="B3" s="5" t="s">
        <v>36</v>
      </c>
      <c r="C3" s="5"/>
      <c r="D3" s="6"/>
      <c r="F3" s="11" t="s">
        <v>37</v>
      </c>
      <c r="G3" s="11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.5" thickBot="1">
      <c r="A6" s="8"/>
      <c r="B6" s="9"/>
      <c r="C6" s="9"/>
      <c r="D6" s="10"/>
    </row>
    <row r="7" spans="1:7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.5" thickBot="1">
      <c r="A11" s="8"/>
      <c r="B11" s="9"/>
      <c r="C11" s="9"/>
      <c r="D11" s="10"/>
    </row>
    <row r="12" spans="1:7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.5" thickBot="1">
      <c r="A18" s="8"/>
      <c r="B18" s="9"/>
      <c r="C18" s="9"/>
      <c r="D18" s="10"/>
    </row>
    <row r="19" spans="1:4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.5" thickBot="1">
      <c r="A23" s="8"/>
      <c r="B23" s="9"/>
      <c r="C23" s="9"/>
      <c r="D23" s="10"/>
    </row>
    <row r="24" spans="1:4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.5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TCD Vendeurs</vt:lpstr>
      <vt:lpstr>TCD Secteurs</vt:lpstr>
      <vt:lpstr>TCD Produits</vt:lpstr>
      <vt:lpstr>bdd commandes</vt:lpstr>
      <vt:lpstr>TCD Commandes</vt:lpstr>
      <vt:lpstr>'bdd commandes'!Criteres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Aubert 7</cp:lastModifiedBy>
  <dcterms:created xsi:type="dcterms:W3CDTF">2013-06-20T13:08:56Z</dcterms:created>
  <dcterms:modified xsi:type="dcterms:W3CDTF">2020-12-18T15:10:50Z</dcterms:modified>
</cp:coreProperties>
</file>