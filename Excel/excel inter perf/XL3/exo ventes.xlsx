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 1\Documents\Exo sandrine ordi\XL3\DEBUT EXCEL PERF\"/>
    </mc:Choice>
  </mc:AlternateContent>
  <xr:revisionPtr revIDLastSave="0" documentId="8_{C93CD208-D7D0-43AE-AD31-D8CA43F8E809}" xr6:coauthVersionLast="36" xr6:coauthVersionMax="36" xr10:uidLastSave="{00000000-0000-0000-0000-000000000000}"/>
  <bookViews>
    <workbookView xWindow="0" yWindow="0" windowWidth="24000" windowHeight="9525" xr2:uid="{B0286AB3-0E46-4AD5-947C-4DA547F13E46}"/>
  </bookViews>
  <sheets>
    <sheet name="Vente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3" l="1"/>
  <c r="B24" i="3"/>
  <c r="B20" i="3"/>
  <c r="B19" i="3"/>
  <c r="B18" i="3"/>
  <c r="E16" i="3"/>
  <c r="E15" i="3"/>
  <c r="E14" i="3"/>
  <c r="E13" i="3"/>
  <c r="J9" i="3" s="1"/>
  <c r="J11" i="3"/>
  <c r="I11" i="3"/>
  <c r="H11" i="3"/>
  <c r="F11" i="3"/>
  <c r="D11" i="3"/>
  <c r="G11" i="3" s="1"/>
  <c r="I10" i="3"/>
  <c r="H10" i="3"/>
  <c r="F10" i="3"/>
  <c r="D10" i="3"/>
  <c r="G10" i="3" s="1"/>
  <c r="I9" i="3"/>
  <c r="H9" i="3"/>
  <c r="F9" i="3"/>
  <c r="D9" i="3"/>
  <c r="G9" i="3" s="1"/>
  <c r="I8" i="3"/>
  <c r="H8" i="3"/>
  <c r="F8" i="3"/>
  <c r="D8" i="3"/>
  <c r="G8" i="3" s="1"/>
  <c r="J7" i="3"/>
  <c r="I7" i="3"/>
  <c r="H7" i="3"/>
  <c r="F7" i="3"/>
  <c r="D7" i="3"/>
  <c r="G7" i="3" s="1"/>
  <c r="J6" i="3"/>
  <c r="I6" i="3"/>
  <c r="H6" i="3"/>
  <c r="F6" i="3"/>
  <c r="D6" i="3"/>
  <c r="G6" i="3" s="1"/>
  <c r="I5" i="3"/>
  <c r="H5" i="3"/>
  <c r="F5" i="3"/>
  <c r="D5" i="3"/>
  <c r="J8" i="3" l="1"/>
  <c r="J10" i="3"/>
  <c r="J5" i="3"/>
  <c r="B21" i="3"/>
  <c r="G5" i="3"/>
  <c r="B2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Sandrine</author>
  </authors>
  <commentList>
    <comment ref="G4" authorId="0" shapeId="0" xr:uid="{ED88155C-6B0A-44B0-BE45-12D55A370C82}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Afficher oui pour les pers d'au moins 50 ans  </t>
        </r>
      </text>
    </comment>
    <comment ref="H4" authorId="0" shapeId="0" xr:uid="{899C840B-28E6-42A1-A88E-5547032445E1}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afficher oui si la vente est &gt;= 300000 sinon afficher le restant ou la difference</t>
        </r>
      </text>
    </comment>
  </commentList>
</comments>
</file>

<file path=xl/sharedStrings.xml><?xml version="1.0" encoding="utf-8"?>
<sst xmlns="http://schemas.openxmlformats.org/spreadsheetml/2006/main" count="70" uniqueCount="30">
  <si>
    <t>NOMS</t>
  </si>
  <si>
    <t>SEXE</t>
  </si>
  <si>
    <t>DATE DE 
NAISSANCE</t>
  </si>
  <si>
    <t>AGE</t>
  </si>
  <si>
    <t>VENTES</t>
  </si>
  <si>
    <t>VISITE
MEDICALE</t>
  </si>
  <si>
    <t>PRIME
2%</t>
  </si>
  <si>
    <t>OBJECTIF</t>
  </si>
  <si>
    <t>SMILEYS</t>
  </si>
  <si>
    <t>PART
EN %</t>
  </si>
  <si>
    <t>VENDEUR1</t>
  </si>
  <si>
    <t>VENDEUR2</t>
  </si>
  <si>
    <t>VENDEUR3</t>
  </si>
  <si>
    <t>VENDEUR4</t>
  </si>
  <si>
    <t>VENDEUR5</t>
  </si>
  <si>
    <t>VENDEUR6</t>
  </si>
  <si>
    <t>VENDEUR7</t>
  </si>
  <si>
    <t>H</t>
  </si>
  <si>
    <t>F</t>
  </si>
  <si>
    <t>somme</t>
  </si>
  <si>
    <t>moyenne</t>
  </si>
  <si>
    <t>maxi</t>
  </si>
  <si>
    <t>mini</t>
  </si>
  <si>
    <t>nb vendeurs</t>
  </si>
  <si>
    <t>nb femmes</t>
  </si>
  <si>
    <t>nb hommes</t>
  </si>
  <si>
    <t>nb pers de plus 50 ans</t>
  </si>
  <si>
    <t>nb vide</t>
  </si>
  <si>
    <t>resultat hommes</t>
  </si>
  <si>
    <t>resultat 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</si>
</sst>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theme="5"/>
      </left>
      <right style="dashed">
        <color theme="4"/>
      </right>
      <top style="thick">
        <color theme="5"/>
      </top>
      <bottom/>
      <diagonal/>
    </border>
    <border>
      <left style="dashed">
        <color theme="4"/>
      </left>
      <right style="thick">
        <color theme="5"/>
      </right>
      <top style="thick">
        <color theme="5"/>
      </top>
      <bottom/>
      <diagonal/>
    </border>
    <border>
      <left style="thick">
        <color theme="5"/>
      </left>
      <right style="dashed">
        <color theme="4"/>
      </right>
      <top/>
      <bottom/>
      <diagonal/>
    </border>
    <border>
      <left style="dashed">
        <color theme="4"/>
      </left>
      <right style="dashed">
        <color theme="4"/>
      </right>
      <top/>
      <bottom/>
      <diagonal/>
    </border>
    <border>
      <left style="dashed">
        <color theme="4"/>
      </left>
      <right style="thick">
        <color theme="5"/>
      </right>
      <top/>
      <bottom/>
      <diagonal/>
    </border>
    <border>
      <left style="thick">
        <color theme="5"/>
      </left>
      <right style="dashed">
        <color theme="4"/>
      </right>
      <top/>
      <bottom style="thick">
        <color theme="5"/>
      </bottom>
      <diagonal/>
    </border>
    <border>
      <left style="dashed">
        <color theme="4"/>
      </left>
      <right style="dashed">
        <color theme="4"/>
      </right>
      <top/>
      <bottom style="thick">
        <color theme="5"/>
      </bottom>
      <diagonal/>
    </border>
    <border>
      <left style="dashed">
        <color theme="4"/>
      </left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/>
      <diagonal/>
    </border>
    <border>
      <left style="thick">
        <color theme="5"/>
      </left>
      <right style="thick">
        <color theme="5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 style="dashed">
        <color theme="4"/>
      </right>
      <top style="thick">
        <color theme="5"/>
      </top>
      <bottom style="thick">
        <color rgb="FFFF0000"/>
      </bottom>
      <diagonal/>
    </border>
    <border>
      <left style="dashed">
        <color theme="4"/>
      </left>
      <right style="dashed">
        <color theme="4"/>
      </right>
      <top style="thick">
        <color theme="5"/>
      </top>
      <bottom style="thick">
        <color rgb="FFFF0000"/>
      </bottom>
      <diagonal/>
    </border>
    <border>
      <left style="dashed">
        <color theme="4"/>
      </left>
      <right style="thick">
        <color theme="5"/>
      </right>
      <top style="thick">
        <color theme="5"/>
      </top>
      <bottom style="thick">
        <color rgb="FFFF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10" fontId="0" fillId="0" borderId="0" xfId="1" applyNumberFormat="1" applyFont="1"/>
    <xf numFmtId="9" fontId="0" fillId="0" borderId="0" xfId="0" applyNumberFormat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4" xfId="0" applyNumberFormat="1" applyBorder="1"/>
    <xf numFmtId="0" fontId="4" fillId="0" borderId="4" xfId="0" applyFont="1" applyBorder="1" applyAlignment="1">
      <alignment horizontal="center"/>
    </xf>
    <xf numFmtId="164" fontId="0" fillId="0" borderId="5" xfId="1" applyNumberFormat="1" applyFont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7" xfId="0" applyNumberFormat="1" applyBorder="1"/>
    <xf numFmtId="0" fontId="4" fillId="0" borderId="7" xfId="0" applyFont="1" applyBorder="1" applyAlignment="1">
      <alignment horizontal="center"/>
    </xf>
    <xf numFmtId="164" fontId="0" fillId="0" borderId="8" xfId="1" applyNumberFormat="1" applyFont="1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44" fontId="0" fillId="0" borderId="4" xfId="2" applyFont="1" applyBorder="1"/>
    <xf numFmtId="44" fontId="0" fillId="0" borderId="7" xfId="2" applyFont="1" applyBorder="1"/>
    <xf numFmtId="165" fontId="0" fillId="0" borderId="4" xfId="2" applyNumberFormat="1" applyFont="1" applyBorder="1"/>
    <xf numFmtId="165" fontId="0" fillId="0" borderId="7" xfId="2" applyNumberFormat="1" applyFont="1" applyBorder="1"/>
    <xf numFmtId="165" fontId="0" fillId="0" borderId="0" xfId="2" applyNumberFormat="1" applyFont="1"/>
    <xf numFmtId="165" fontId="0" fillId="0" borderId="10" xfId="2" applyNumberFormat="1" applyFont="1" applyBorder="1"/>
    <xf numFmtId="165" fontId="0" fillId="0" borderId="11" xfId="2" applyNumberFormat="1" applyFont="1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165" fontId="0" fillId="2" borderId="9" xfId="2" applyNumberFormat="1" applyFont="1" applyFill="1" applyBorder="1"/>
    <xf numFmtId="0" fontId="0" fillId="2" borderId="9" xfId="0" applyFill="1" applyBorder="1"/>
    <xf numFmtId="0" fontId="0" fillId="2" borderId="2" xfId="0" applyFill="1" applyBorder="1"/>
    <xf numFmtId="165" fontId="0" fillId="2" borderId="5" xfId="2" applyNumberFormat="1" applyFont="1" applyFill="1" applyBorder="1"/>
    <xf numFmtId="165" fontId="0" fillId="2" borderId="8" xfId="2" applyNumberFormat="1" applyFont="1" applyFill="1" applyBorder="1"/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14" fontId="0" fillId="3" borderId="4" xfId="0" applyNumberFormat="1" applyFill="1" applyBorder="1"/>
    <xf numFmtId="0" fontId="0" fillId="3" borderId="4" xfId="0" applyNumberFormat="1" applyFill="1" applyBorder="1"/>
    <xf numFmtId="44" fontId="0" fillId="3" borderId="4" xfId="2" applyFont="1" applyFill="1" applyBorder="1"/>
    <xf numFmtId="165" fontId="0" fillId="3" borderId="4" xfId="2" applyNumberFormat="1" applyFont="1" applyFill="1" applyBorder="1"/>
    <xf numFmtId="0" fontId="0" fillId="3" borderId="4" xfId="0" applyFill="1" applyBorder="1"/>
    <xf numFmtId="0" fontId="4" fillId="3" borderId="4" xfId="0" applyFont="1" applyFill="1" applyBorder="1" applyAlignment="1">
      <alignment horizontal="center"/>
    </xf>
    <xf numFmtId="164" fontId="0" fillId="3" borderId="5" xfId="1" applyNumberFormat="1" applyFont="1" applyFill="1" applyBorder="1"/>
  </cellXfs>
  <cellStyles count="3">
    <cellStyle name="Monétaire" xfId="2" builtinId="4"/>
    <cellStyle name="Normal" xfId="0" builtinId="0"/>
    <cellStyle name="Pourcentage" xfId="1" builtinId="5"/>
  </cellStyles>
  <dxfs count="3">
    <dxf>
      <fill>
        <patternFill>
          <bgColor theme="7" tint="0.39994506668294322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00FF00"/>
      </font>
    </dxf>
    <dxf>
      <font>
        <b/>
        <i val="0"/>
        <color rgb="FFFF0000"/>
      </font>
      <fill>
        <gradientFill>
          <stop position="0">
            <color theme="2" tint="-0.25098422193060094"/>
          </stop>
          <stop position="0.5">
            <color theme="0"/>
          </stop>
          <stop position="1">
            <color theme="2" tint="-0.25098422193060094"/>
          </stop>
        </gradient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714076</xdr:colOff>
      <xdr:row>0</xdr:row>
      <xdr:rowOff>77837</xdr:rowOff>
    </xdr:from>
    <xdr:ext cx="4628208" cy="28659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24284D-BE13-433C-83C7-31C820FD9717}"/>
            </a:ext>
          </a:extLst>
        </xdr:cNvPr>
        <xdr:cNvSpPr/>
      </xdr:nvSpPr>
      <xdr:spPr>
        <a:xfrm>
          <a:off x="2072424" y="77837"/>
          <a:ext cx="4628208" cy="286597"/>
        </a:xfrm>
        <a:prstGeom prst="rect">
          <a:avLst/>
        </a:prstGeom>
        <a:noFill/>
      </xdr:spPr>
      <xdr:txBody>
        <a:bodyPr wrap="none" lIns="91440" tIns="45720" rIns="91440" bIns="45720">
          <a:prstTxWarp prst="textPlain">
            <a:avLst/>
          </a:prstTxWarp>
          <a:spAutoFit/>
        </a:bodyPr>
        <a:lstStyle/>
        <a:p>
          <a:pPr algn="ctr"/>
          <a:r>
            <a:rPr lang="fr-F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	RESULTAT</a:t>
          </a:r>
          <a:r>
            <a:rPr lang="fr-FR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DES VENTES</a:t>
          </a:r>
          <a:endParaRPr lang="fr-FR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ABA-9955-4428-BA2E-11504E911EFE}">
  <sheetPr>
    <pageSetUpPr fitToPage="1"/>
  </sheetPr>
  <dimension ref="A3:O26"/>
  <sheetViews>
    <sheetView tabSelected="1" zoomScale="115" zoomScaleNormal="115" workbookViewId="0">
      <selection activeCell="H15" sqref="H15"/>
    </sheetView>
  </sheetViews>
  <sheetFormatPr baseColWidth="10" defaultColWidth="12.5703125" defaultRowHeight="15" x14ac:dyDescent="0.25"/>
  <cols>
    <col min="1" max="1" width="20.42578125" bestFit="1" customWidth="1"/>
    <col min="2" max="2" width="12.85546875" bestFit="1" customWidth="1"/>
    <col min="3" max="3" width="16" customWidth="1"/>
    <col min="4" max="4" width="8.5703125" customWidth="1"/>
    <col min="5" max="5" width="15.5703125" bestFit="1" customWidth="1"/>
    <col min="6" max="6" width="12.5703125" customWidth="1"/>
    <col min="7" max="7" width="10.85546875" customWidth="1"/>
    <col min="8" max="8" width="12.5703125" customWidth="1"/>
    <col min="9" max="10" width="10.85546875" customWidth="1"/>
  </cols>
  <sheetData>
    <row r="3" spans="1:15" ht="15.75" thickBot="1" x14ac:dyDescent="0.3"/>
    <row r="4" spans="1:15" s="1" customFormat="1" ht="31.5" thickTop="1" thickBot="1" x14ac:dyDescent="0.3">
      <c r="A4" s="32" t="s">
        <v>0</v>
      </c>
      <c r="B4" s="33" t="s">
        <v>1</v>
      </c>
      <c r="C4" s="33" t="s">
        <v>2</v>
      </c>
      <c r="D4" s="33" t="s">
        <v>3</v>
      </c>
      <c r="E4" s="33" t="s">
        <v>4</v>
      </c>
      <c r="F4" s="33" t="s">
        <v>6</v>
      </c>
      <c r="G4" s="33" t="s">
        <v>5</v>
      </c>
      <c r="H4" s="33" t="s">
        <v>7</v>
      </c>
      <c r="I4" s="33" t="s">
        <v>8</v>
      </c>
      <c r="J4" s="34" t="s">
        <v>9</v>
      </c>
    </row>
    <row r="5" spans="1:15" ht="15.75" thickTop="1" x14ac:dyDescent="0.25">
      <c r="A5" s="6" t="s">
        <v>10</v>
      </c>
      <c r="B5" s="30" t="s">
        <v>17</v>
      </c>
      <c r="C5" s="8">
        <v>32916</v>
      </c>
      <c r="D5" s="9">
        <f t="shared" ref="D5:D11" ca="1" si="0">DATEDIF(C5,TODAY(),"Y")</f>
        <v>30</v>
      </c>
      <c r="E5" s="23">
        <v>125000</v>
      </c>
      <c r="F5" s="25">
        <f t="shared" ref="F5:F11" si="1">IF(E5&gt;=200000,E5*$I$14,0)</f>
        <v>0</v>
      </c>
      <c r="G5" s="7" t="str">
        <f ca="1">IF(D5&gt;=50,"Oui","")</f>
        <v/>
      </c>
      <c r="H5" s="7">
        <f>IF(E5&gt;=300000,"Oui",E5-300000)</f>
        <v>-175000</v>
      </c>
      <c r="I5" s="10" t="str">
        <f>IF(E5&gt;=300000,"J","L")</f>
        <v>L</v>
      </c>
      <c r="J5" s="11">
        <f t="shared" ref="J5:J11" si="2">E5/$E$13</f>
        <v>6.7897881586094513E-2</v>
      </c>
      <c r="N5" s="3"/>
      <c r="O5" s="2"/>
    </row>
    <row r="6" spans="1:15" x14ac:dyDescent="0.25">
      <c r="A6" s="40" t="s">
        <v>11</v>
      </c>
      <c r="B6" s="41" t="s">
        <v>18</v>
      </c>
      <c r="C6" s="42">
        <v>26526</v>
      </c>
      <c r="D6" s="43">
        <f t="shared" ca="1" si="0"/>
        <v>48</v>
      </c>
      <c r="E6" s="44">
        <v>365000</v>
      </c>
      <c r="F6" s="45">
        <f t="shared" si="1"/>
        <v>0</v>
      </c>
      <c r="G6" s="46" t="str">
        <f t="shared" ref="G6:G11" ca="1" si="3">IF(D6&gt;=50,"Oui","")</f>
        <v/>
      </c>
      <c r="H6" s="46" t="str">
        <f t="shared" ref="H6:H11" si="4">IF(E6&gt;=300000,"Oui",E6-300000)</f>
        <v>Oui</v>
      </c>
      <c r="I6" s="47" t="str">
        <f t="shared" ref="I6:I11" si="5">IF(E6&gt;=300000,"J","L")</f>
        <v>J</v>
      </c>
      <c r="J6" s="48">
        <f t="shared" si="2"/>
        <v>0.19826181423139599</v>
      </c>
      <c r="O6" s="3"/>
    </row>
    <row r="7" spans="1:15" x14ac:dyDescent="0.25">
      <c r="A7" s="6" t="s">
        <v>12</v>
      </c>
      <c r="B7" s="30" t="s">
        <v>18</v>
      </c>
      <c r="C7" s="8">
        <v>20576</v>
      </c>
      <c r="D7" s="9">
        <f t="shared" ca="1" si="0"/>
        <v>64</v>
      </c>
      <c r="E7" s="23">
        <v>120000</v>
      </c>
      <c r="F7" s="25">
        <f t="shared" si="1"/>
        <v>0</v>
      </c>
      <c r="G7" s="7" t="str">
        <f t="shared" ca="1" si="3"/>
        <v>Oui</v>
      </c>
      <c r="H7" s="7">
        <f t="shared" si="4"/>
        <v>-180000</v>
      </c>
      <c r="I7" s="10" t="str">
        <f t="shared" si="5"/>
        <v>L</v>
      </c>
      <c r="J7" s="11">
        <f t="shared" si="2"/>
        <v>6.5181966322650733E-2</v>
      </c>
      <c r="O7" s="3"/>
    </row>
    <row r="8" spans="1:15" x14ac:dyDescent="0.25">
      <c r="A8" s="40" t="s">
        <v>13</v>
      </c>
      <c r="B8" s="41" t="s">
        <v>17</v>
      </c>
      <c r="C8" s="42">
        <v>32721</v>
      </c>
      <c r="D8" s="43">
        <f t="shared" ca="1" si="0"/>
        <v>31</v>
      </c>
      <c r="E8" s="44">
        <v>658000</v>
      </c>
      <c r="F8" s="45">
        <f t="shared" si="1"/>
        <v>0</v>
      </c>
      <c r="G8" s="46" t="str">
        <f t="shared" ca="1" si="3"/>
        <v/>
      </c>
      <c r="H8" s="46" t="str">
        <f t="shared" si="4"/>
        <v>Oui</v>
      </c>
      <c r="I8" s="47" t="str">
        <f t="shared" si="5"/>
        <v>J</v>
      </c>
      <c r="J8" s="48">
        <f t="shared" si="2"/>
        <v>0.35741444866920152</v>
      </c>
    </row>
    <row r="9" spans="1:15" x14ac:dyDescent="0.25">
      <c r="A9" s="6" t="s">
        <v>14</v>
      </c>
      <c r="B9" s="30" t="s">
        <v>18</v>
      </c>
      <c r="C9" s="8">
        <v>29983</v>
      </c>
      <c r="D9" s="9">
        <f t="shared" ca="1" si="0"/>
        <v>38</v>
      </c>
      <c r="E9" s="23">
        <v>350000</v>
      </c>
      <c r="F9" s="25">
        <f t="shared" si="1"/>
        <v>0</v>
      </c>
      <c r="G9" s="7" t="str">
        <f t="shared" ca="1" si="3"/>
        <v/>
      </c>
      <c r="H9" s="7" t="str">
        <f t="shared" si="4"/>
        <v>Oui</v>
      </c>
      <c r="I9" s="10" t="str">
        <f t="shared" si="5"/>
        <v>J</v>
      </c>
      <c r="J9" s="11">
        <f t="shared" si="2"/>
        <v>0.19011406844106463</v>
      </c>
    </row>
    <row r="10" spans="1:15" x14ac:dyDescent="0.25">
      <c r="A10" s="40" t="s">
        <v>15</v>
      </c>
      <c r="B10" s="41" t="s">
        <v>17</v>
      </c>
      <c r="C10" s="42">
        <v>29921</v>
      </c>
      <c r="D10" s="43">
        <f t="shared" ca="1" si="0"/>
        <v>38</v>
      </c>
      <c r="E10" s="44">
        <v>63000</v>
      </c>
      <c r="F10" s="45">
        <f t="shared" si="1"/>
        <v>0</v>
      </c>
      <c r="G10" s="46" t="str">
        <f t="shared" ca="1" si="3"/>
        <v/>
      </c>
      <c r="H10" s="46">
        <f t="shared" si="4"/>
        <v>-237000</v>
      </c>
      <c r="I10" s="47" t="str">
        <f t="shared" si="5"/>
        <v>L</v>
      </c>
      <c r="J10" s="48">
        <f t="shared" si="2"/>
        <v>3.4220532319391636E-2</v>
      </c>
    </row>
    <row r="11" spans="1:15" ht="15.75" thickBot="1" x14ac:dyDescent="0.3">
      <c r="A11" s="12" t="s">
        <v>16</v>
      </c>
      <c r="B11" s="31" t="s">
        <v>18</v>
      </c>
      <c r="C11" s="14">
        <v>23164</v>
      </c>
      <c r="D11" s="15">
        <f t="shared" ca="1" si="0"/>
        <v>57</v>
      </c>
      <c r="E11" s="24">
        <v>160000</v>
      </c>
      <c r="F11" s="26">
        <f t="shared" si="1"/>
        <v>0</v>
      </c>
      <c r="G11" s="13" t="str">
        <f t="shared" ca="1" si="3"/>
        <v>Oui</v>
      </c>
      <c r="H11" s="13">
        <f t="shared" si="4"/>
        <v>-140000</v>
      </c>
      <c r="I11" s="16" t="str">
        <f t="shared" si="5"/>
        <v>L</v>
      </c>
      <c r="J11" s="17">
        <f t="shared" si="2"/>
        <v>8.6909288430200973E-2</v>
      </c>
    </row>
    <row r="12" spans="1:15" ht="16.5" thickTop="1" thickBot="1" x14ac:dyDescent="0.3">
      <c r="E12" s="27"/>
      <c r="F12" s="27"/>
    </row>
    <row r="13" spans="1:15" ht="15.75" thickTop="1" x14ac:dyDescent="0.25">
      <c r="A13" s="36" t="s">
        <v>19</v>
      </c>
      <c r="E13" s="35">
        <f>SUM(E5:E11)</f>
        <v>1841000</v>
      </c>
      <c r="F13" s="27"/>
    </row>
    <row r="14" spans="1:15" x14ac:dyDescent="0.25">
      <c r="A14" s="18" t="s">
        <v>20</v>
      </c>
      <c r="E14" s="28">
        <f>AVERAGE(E5:E11)</f>
        <v>263000</v>
      </c>
      <c r="F14" s="27"/>
      <c r="H14" s="1"/>
      <c r="I14" s="4"/>
    </row>
    <row r="15" spans="1:15" x14ac:dyDescent="0.25">
      <c r="A15" s="18" t="s">
        <v>21</v>
      </c>
      <c r="E15" s="28">
        <f>MAX(E5:E11)</f>
        <v>658000</v>
      </c>
      <c r="F15" s="27"/>
    </row>
    <row r="16" spans="1:15" ht="15.75" thickBot="1" x14ac:dyDescent="0.3">
      <c r="A16" s="19" t="s">
        <v>22</v>
      </c>
      <c r="E16" s="29">
        <f>MIN(E5:E11)</f>
        <v>63000</v>
      </c>
      <c r="F16" s="27"/>
    </row>
    <row r="17" spans="1:2" ht="16.5" thickTop="1" thickBot="1" x14ac:dyDescent="0.3"/>
    <row r="18" spans="1:2" ht="15.75" thickTop="1" x14ac:dyDescent="0.25">
      <c r="A18" s="5" t="s">
        <v>23</v>
      </c>
      <c r="B18" s="20">
        <f>COUNTA(A5:A11)</f>
        <v>7</v>
      </c>
    </row>
    <row r="19" spans="1:2" x14ac:dyDescent="0.25">
      <c r="A19" s="6" t="s">
        <v>24</v>
      </c>
      <c r="B19" s="21">
        <f>COUNTIF(B5:B11,"F")</f>
        <v>4</v>
      </c>
    </row>
    <row r="20" spans="1:2" x14ac:dyDescent="0.25">
      <c r="A20" s="6" t="s">
        <v>25</v>
      </c>
      <c r="B20" s="21">
        <f>COUNTIF(B5:B11,"H")</f>
        <v>3</v>
      </c>
    </row>
    <row r="21" spans="1:2" ht="15.75" thickBot="1" x14ac:dyDescent="0.3">
      <c r="A21" s="12" t="s">
        <v>26</v>
      </c>
      <c r="B21" s="22">
        <f ca="1">COUNTIF(D5:D11,"&gt;=50")</f>
        <v>2</v>
      </c>
    </row>
    <row r="22" spans="1:2" ht="16.5" thickTop="1" thickBot="1" x14ac:dyDescent="0.3"/>
    <row r="23" spans="1:2" ht="15.75" thickTop="1" x14ac:dyDescent="0.25">
      <c r="A23" s="5" t="s">
        <v>27</v>
      </c>
      <c r="B23" s="37">
        <f ca="1">COUNTBLANK(A5:J11)</f>
        <v>5</v>
      </c>
    </row>
    <row r="24" spans="1:2" x14ac:dyDescent="0.25">
      <c r="A24" s="6" t="s">
        <v>28</v>
      </c>
      <c r="B24" s="38">
        <f>SUMIF($B$5:$B$11,"F",$E$5:$E$11)</f>
        <v>995000</v>
      </c>
    </row>
    <row r="25" spans="1:2" ht="15.75" thickBot="1" x14ac:dyDescent="0.3">
      <c r="A25" s="12" t="s">
        <v>29</v>
      </c>
      <c r="B25" s="39">
        <f>SUMIF($B$5:$B$11,"H",$E$5:$E$11)</f>
        <v>846000</v>
      </c>
    </row>
    <row r="26" spans="1:2" ht="15.75" thickTop="1" x14ac:dyDescent="0.25"/>
  </sheetData>
  <printOptions horizontalCentered="1" verticalCentered="1"/>
  <pageMargins left="0.51181102362204722" right="0.51181102362204722" top="0.74803149606299213" bottom="0.74803149606299213" header="0.31496062992125984" footer="0.31496062992125984"/>
  <pageSetup paperSize="9" scale="94" orientation="landscape" horizontalDpi="0" verticalDpi="0" r:id="rId1"/>
  <headerFooter>
    <oddHeader>&amp;L&amp;"-,Gras"&amp;20Tableau des ventes &amp;A&amp;R&amp;D-&amp;T</oddHeader>
    <oddFooter>&amp;LSandrine&amp;R&amp;G</oddFoot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cp:lastPrinted>2020-11-09T15:17:56Z</cp:lastPrinted>
  <dcterms:created xsi:type="dcterms:W3CDTF">2020-11-09T08:12:47Z</dcterms:created>
  <dcterms:modified xsi:type="dcterms:W3CDTF">2020-11-19T07:32:45Z</dcterms:modified>
</cp:coreProperties>
</file>