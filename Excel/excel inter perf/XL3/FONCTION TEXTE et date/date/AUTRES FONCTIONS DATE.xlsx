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XL3\date\"/>
    </mc:Choice>
  </mc:AlternateContent>
  <xr:revisionPtr revIDLastSave="0" documentId="8_{63548B27-D018-4A8B-9C46-DCBB40DB2270}" xr6:coauthVersionLast="34" xr6:coauthVersionMax="34" xr10:uidLastSave="{00000000-0000-0000-0000-000000000000}"/>
  <bookViews>
    <workbookView xWindow="0" yWindow="0" windowWidth="28800" windowHeight="12225" xr2:uid="{2FDA1A12-C36E-402E-941D-B369308191BA}"/>
  </bookViews>
  <sheets>
    <sheet name="Rappel DATE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C20" i="1"/>
  <c r="C19" i="1"/>
  <c r="C18" i="1"/>
  <c r="B4" i="1"/>
  <c r="B6" i="1" s="1"/>
  <c r="B14" i="1" l="1"/>
  <c r="B13" i="1"/>
  <c r="B12" i="1"/>
  <c r="B10" i="1"/>
  <c r="B11" i="1" s="1"/>
  <c r="B9" i="1"/>
  <c r="B8" i="1"/>
  <c r="B7" i="1"/>
</calcChain>
</file>

<file path=xl/sharedStrings.xml><?xml version="1.0" encoding="utf-8"?>
<sst xmlns="http://schemas.openxmlformats.org/spreadsheetml/2006/main" count="25" uniqueCount="25">
  <si>
    <t>date aujourdhui</t>
  </si>
  <si>
    <t>Date fixe</t>
  </si>
  <si>
    <t>Jours</t>
  </si>
  <si>
    <t>mois</t>
  </si>
  <si>
    <t>annee</t>
  </si>
  <si>
    <t>numero de semaine</t>
  </si>
  <si>
    <t>Jours semaine</t>
  </si>
  <si>
    <t>Table jours</t>
  </si>
  <si>
    <t>Lundi</t>
  </si>
  <si>
    <t>Mardi</t>
  </si>
  <si>
    <t>Mercredi</t>
  </si>
  <si>
    <t>Jeudi</t>
  </si>
  <si>
    <t>Vendredi</t>
  </si>
  <si>
    <t>Samedi</t>
  </si>
  <si>
    <t>Dimanche</t>
  </si>
  <si>
    <t>Afficher le jour de la semaine</t>
  </si>
  <si>
    <t>fin du mois précédent</t>
  </si>
  <si>
    <t>fin du mois suivant</t>
  </si>
  <si>
    <t>fin du moi en cours</t>
  </si>
  <si>
    <t>Difference entre 2 dates</t>
  </si>
  <si>
    <t>en annee</t>
  </si>
  <si>
    <t>Date de naissance</t>
  </si>
  <si>
    <t>en mois</t>
  </si>
  <si>
    <t>en jours</t>
  </si>
  <si>
    <t>Afficher l'age complet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</si>
</sst>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2C97-462B-4262-9ABF-81DD1DB58C8F}">
  <dimension ref="A3:H22"/>
  <sheetViews>
    <sheetView tabSelected="1" workbookViewId="0">
      <selection activeCell="F22" sqref="F22"/>
    </sheetView>
  </sheetViews>
  <sheetFormatPr baseColWidth="10" defaultRowHeight="18.75" x14ac:dyDescent="0.3"/>
  <cols>
    <col min="1" max="1" width="33.5703125" style="2" bestFit="1" customWidth="1"/>
  </cols>
  <sheetData>
    <row r="3" spans="1:8" x14ac:dyDescent="0.3">
      <c r="A3" s="2" t="s">
        <v>1</v>
      </c>
      <c r="B3" s="1">
        <v>43355</v>
      </c>
      <c r="G3" t="s">
        <v>7</v>
      </c>
    </row>
    <row r="4" spans="1:8" x14ac:dyDescent="0.3">
      <c r="A4" s="2" t="s">
        <v>0</v>
      </c>
      <c r="B4" s="1">
        <f ca="1">TODAY()</f>
        <v>43355</v>
      </c>
      <c r="G4">
        <v>1</v>
      </c>
      <c r="H4" t="s">
        <v>8</v>
      </c>
    </row>
    <row r="5" spans="1:8" x14ac:dyDescent="0.3">
      <c r="G5">
        <v>2</v>
      </c>
      <c r="H5" t="s">
        <v>9</v>
      </c>
    </row>
    <row r="6" spans="1:8" x14ac:dyDescent="0.3">
      <c r="A6" s="2" t="s">
        <v>2</v>
      </c>
      <c r="B6">
        <f ca="1">DAY($B$4)</f>
        <v>12</v>
      </c>
      <c r="G6">
        <v>3</v>
      </c>
      <c r="H6" t="s">
        <v>10</v>
      </c>
    </row>
    <row r="7" spans="1:8" x14ac:dyDescent="0.3">
      <c r="A7" s="2" t="s">
        <v>3</v>
      </c>
      <c r="B7">
        <f ca="1">MONTH($B$4)</f>
        <v>9</v>
      </c>
      <c r="G7">
        <v>4</v>
      </c>
      <c r="H7" t="s">
        <v>11</v>
      </c>
    </row>
    <row r="8" spans="1:8" x14ac:dyDescent="0.3">
      <c r="A8" s="2" t="s">
        <v>4</v>
      </c>
      <c r="B8">
        <f ca="1">YEAR($B$4)</f>
        <v>2018</v>
      </c>
      <c r="G8">
        <v>5</v>
      </c>
      <c r="H8" t="s">
        <v>12</v>
      </c>
    </row>
    <row r="9" spans="1:8" x14ac:dyDescent="0.3">
      <c r="A9" s="2" t="s">
        <v>5</v>
      </c>
      <c r="B9">
        <f ca="1">WEEKNUM(B4)</f>
        <v>37</v>
      </c>
      <c r="G9">
        <v>6</v>
      </c>
      <c r="H9" t="s">
        <v>13</v>
      </c>
    </row>
    <row r="10" spans="1:8" x14ac:dyDescent="0.3">
      <c r="A10" s="2" t="s">
        <v>6</v>
      </c>
      <c r="B10">
        <f ca="1">WEEKDAY(B4,2)</f>
        <v>3</v>
      </c>
      <c r="G10">
        <v>7</v>
      </c>
      <c r="H10" t="s">
        <v>14</v>
      </c>
    </row>
    <row r="11" spans="1:8" x14ac:dyDescent="0.3">
      <c r="A11" s="2" t="s">
        <v>15</v>
      </c>
      <c r="B11" t="str">
        <f ca="1">VLOOKUP(B10,$G$4:$H$10,2)</f>
        <v>Mercredi</v>
      </c>
    </row>
    <row r="12" spans="1:8" x14ac:dyDescent="0.3">
      <c r="A12" s="2" t="s">
        <v>16</v>
      </c>
      <c r="B12" s="1">
        <f ca="1">EOMONTH(B4,-1)</f>
        <v>43343</v>
      </c>
      <c r="C12">
        <v>-1</v>
      </c>
    </row>
    <row r="13" spans="1:8" x14ac:dyDescent="0.3">
      <c r="A13" s="2" t="s">
        <v>17</v>
      </c>
      <c r="B13" s="1">
        <f ca="1">EOMONTH(B4,1)</f>
        <v>43404</v>
      </c>
      <c r="C13">
        <v>1</v>
      </c>
    </row>
    <row r="14" spans="1:8" x14ac:dyDescent="0.3">
      <c r="A14" s="2" t="s">
        <v>18</v>
      </c>
      <c r="B14" s="1">
        <f ca="1">EOMONTH(B4,0)</f>
        <v>43373</v>
      </c>
      <c r="C14">
        <v>0</v>
      </c>
    </row>
    <row r="17" spans="1:3" x14ac:dyDescent="0.3">
      <c r="A17" s="2" t="s">
        <v>21</v>
      </c>
      <c r="B17" s="1">
        <v>26527</v>
      </c>
    </row>
    <row r="18" spans="1:3" x14ac:dyDescent="0.3">
      <c r="A18" s="2" t="s">
        <v>19</v>
      </c>
      <c r="B18" t="s">
        <v>20</v>
      </c>
      <c r="C18">
        <f ca="1">DATEDIF(B17,TODAY(),"Y")</f>
        <v>46</v>
      </c>
    </row>
    <row r="19" spans="1:3" x14ac:dyDescent="0.3">
      <c r="B19" t="s">
        <v>22</v>
      </c>
      <c r="C19">
        <f ca="1">DATEDIF(B17,TODAY(),"M")</f>
        <v>552</v>
      </c>
    </row>
    <row r="20" spans="1:3" x14ac:dyDescent="0.3">
      <c r="B20" t="s">
        <v>23</v>
      </c>
      <c r="C20">
        <f ca="1">DATEDIF(B17,TODAY(),"D")</f>
        <v>16828</v>
      </c>
    </row>
    <row r="22" spans="1:3" x14ac:dyDescent="0.3">
      <c r="A22" s="2" t="s">
        <v>24</v>
      </c>
      <c r="C22" t="str">
        <f ca="1">DATEDIF(B17,TODAY(),"Y")&amp;" ans "&amp;DATEDIF(B17,TODAY(),"YM")&amp;" mois "&amp;DATEDIF(B17,TODAY(),"MD")&amp;" jours"</f>
        <v>46 ans 0 mois 27 jours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1BB4-A267-4726-B1BE-AE538EBDB5A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Rappel DATE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Pyramide7</dc:creator>
  <cp:lastModifiedBy>Pyramide7</cp:lastModifiedBy>
  <dcterms:created xsi:type="dcterms:W3CDTF">2018-09-12T10:03:09Z</dcterms:created>
  <dcterms:modified xsi:type="dcterms:W3CDTF">2018-09-12T10:15:53Z</dcterms:modified>
</cp:coreProperties>
</file>