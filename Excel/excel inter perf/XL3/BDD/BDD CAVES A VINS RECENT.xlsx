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BDD\"/>
    </mc:Choice>
  </mc:AlternateContent>
  <xr:revisionPtr revIDLastSave="0" documentId="8_{81A82565-25ED-4412-B2FF-FFA259E91401}" xr6:coauthVersionLast="36" xr6:coauthVersionMax="36" xr10:uidLastSave="{00000000-0000-0000-0000-000000000000}"/>
  <bookViews>
    <workbookView xWindow="480" yWindow="75" windowWidth="17520" windowHeight="6990" activeTab="1" xr2:uid="{00000000-000D-0000-FFFF-FFFF00000000}"/>
  </bookViews>
  <sheets>
    <sheet name="Resultat" sheetId="2" r:id="rId1"/>
    <sheet name="bdd Cave" sheetId="1" r:id="rId2"/>
  </sheets>
  <externalReferences>
    <externalReference r:id="rId3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91029"/>
  <pivotCaches>
    <pivotCache cacheId="16" r:id="rId4"/>
  </pivotCaches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<sst xmlns="http://schemas.openxmlformats.org/spreadsheetml/2006/main" count="170" uniqueCount="56">
  <si>
    <t>Nom</t>
  </si>
  <si>
    <t>Pays</t>
  </si>
  <si>
    <t>Région</t>
  </si>
  <si>
    <t>Couleur</t>
  </si>
  <si>
    <t>Millésime</t>
  </si>
  <si>
    <t>Stock</t>
  </si>
  <si>
    <t>Stock mini</t>
  </si>
  <si>
    <t>Prix</t>
  </si>
  <si>
    <t>Valeur</t>
  </si>
  <si>
    <t>Ravello</t>
  </si>
  <si>
    <t>Italie</t>
  </si>
  <si>
    <t>Salerno</t>
  </si>
  <si>
    <t>rosé</t>
  </si>
  <si>
    <t>Ortenau</t>
  </si>
  <si>
    <t>Allemagne</t>
  </si>
  <si>
    <t>Baden</t>
  </si>
  <si>
    <t>rouge</t>
  </si>
  <si>
    <t>Médoc</t>
  </si>
  <si>
    <t>France</t>
  </si>
  <si>
    <t>Bordeaux</t>
  </si>
  <si>
    <t>Madiran</t>
  </si>
  <si>
    <t>Beaujolais</t>
  </si>
  <si>
    <t>Bourgogne</t>
  </si>
  <si>
    <t>Freisa</t>
  </si>
  <si>
    <t>Piémont</t>
  </si>
  <si>
    <t>Grignolino</t>
  </si>
  <si>
    <t>Barolo</t>
  </si>
  <si>
    <t>Chianti</t>
  </si>
  <si>
    <t>Toscane</t>
  </si>
  <si>
    <t>Brolio</t>
  </si>
  <si>
    <t>Valpolicella</t>
  </si>
  <si>
    <t>Vérone</t>
  </si>
  <si>
    <t>Riesling</t>
  </si>
  <si>
    <t>Moselle</t>
  </si>
  <si>
    <t>blanc</t>
  </si>
  <si>
    <t>Müller-Turgau</t>
  </si>
  <si>
    <t>Silvaner</t>
  </si>
  <si>
    <t>Rhin</t>
  </si>
  <si>
    <t>Oppenheimer</t>
  </si>
  <si>
    <t>Sauternes</t>
  </si>
  <si>
    <t>Chablis</t>
  </si>
  <si>
    <t>Frascati</t>
  </si>
  <si>
    <t>Rome</t>
  </si>
  <si>
    <t>Soave</t>
  </si>
  <si>
    <t>Total général</t>
  </si>
  <si>
    <t>Somme de Valeur</t>
  </si>
  <si>
    <t>(Tous)</t>
  </si>
  <si>
    <t>Tableau croisé 1</t>
  </si>
  <si>
    <t>Tableau croisé 2</t>
  </si>
  <si>
    <t>Somme de Stock</t>
  </si>
  <si>
    <t>Moyenne de Prix</t>
  </si>
  <si>
    <t>Tableau croisé 3</t>
  </si>
  <si>
    <t>Tableau croisé 4</t>
  </si>
  <si>
    <t>Max. de Prix</t>
  </si>
  <si>
    <t>Min. de Prix2</t>
  </si>
  <si>
    <t>Tableau croisé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</si>
</sst>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-40C]_-;\-* #,##0.00\ [$€-40C]_-;_-* &quot;-&quot;??\ [$€-40C]_-;_-@_-"/>
    <numFmt numFmtId="165" formatCode="_-* #,##0.00\ [$€]_-;\-* #,##0.00\ [$€]_-;_-* &quot;-&quot;??\ [$€]_-;_-@_-"/>
    <numFmt numFmtId="166" formatCode="_-* #,##0.00\ _F_-;\-* #,##0.00\ _F_-;_-* &quot;-&quot;??\ _F_-;_-@_-"/>
    <numFmt numFmtId="167" formatCode="_-* #,##0.00\ &quot;F&quot;_-;\-* #,##0.00\ &quot;F&quot;_-;_-* &quot;-&quot;??\ &quot;F&quot;_-;_-@_-"/>
    <numFmt numFmtId="168" formatCode="_ * #,##0.00_)\ &quot;$&quot;_ ;_ * \(#,##0.00\)\ &quot;$&quot;_ ;_ * &quot;-&quot;??_)\ &quot;$&quot;_ ;_ @_ "/>
    <numFmt numFmtId="169" formatCode="0.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4" fillId="0" borderId="0"/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  <xf numFmtId="0" fontId="10" fillId="7" borderId="1"/>
    <xf numFmtId="41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9" fontId="10" fillId="7" borderId="4">
      <alignment horizontal="center"/>
    </xf>
    <xf numFmtId="0" fontId="12" fillId="8" borderId="5">
      <alignment horizontal="center"/>
    </xf>
    <xf numFmtId="0" fontId="13" fillId="9" borderId="0"/>
    <xf numFmtId="0" fontId="14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13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164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0" fillId="0" borderId="0" xfId="0" pivotButton="1" applyBorder="1"/>
    <xf numFmtId="0" fontId="0" fillId="0" borderId="0" xfId="0" applyBorder="1"/>
    <xf numFmtId="0" fontId="15" fillId="0" borderId="0" xfId="0" applyFont="1" applyBorder="1"/>
    <xf numFmtId="0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" fontId="0" fillId="0" borderId="0" xfId="0" applyNumberFormat="1" applyBorder="1"/>
  </cellXfs>
  <cellStyles count="40">
    <cellStyle name="20 % - Accent1 2" xfId="3" xr:uid="{00000000-0005-0000-0000-000000000000}"/>
    <cellStyle name="Accent1 2" xfId="4" xr:uid="{00000000-0005-0000-0000-000001000000}"/>
    <cellStyle name="Accent2 2" xfId="5" xr:uid="{00000000-0005-0000-0000-000002000000}"/>
    <cellStyle name="Accent3 2" xfId="6" xr:uid="{00000000-0005-0000-0000-000003000000}"/>
    <cellStyle name="Dezimal [0]" xfId="7" xr:uid="{00000000-0005-0000-0000-000004000000}"/>
    <cellStyle name="Dezimal_Tabelle1" xfId="8" xr:uid="{00000000-0005-0000-0000-000005000000}"/>
    <cellStyle name="Euro" xfId="9" xr:uid="{00000000-0005-0000-0000-000006000000}"/>
    <cellStyle name="Euro 2" xfId="10" xr:uid="{00000000-0005-0000-0000-000007000000}"/>
    <cellStyle name="Euro 3" xfId="11" xr:uid="{00000000-0005-0000-0000-000008000000}"/>
    <cellStyle name="Excel Built-in Normal" xfId="12" xr:uid="{00000000-0005-0000-0000-000009000000}"/>
    <cellStyle name="ligne" xfId="13" xr:uid="{00000000-0005-0000-0000-00000B000000}"/>
    <cellStyle name="Milliers [0] 2" xfId="14" xr:uid="{00000000-0005-0000-0000-00000C000000}"/>
    <cellStyle name="Milliers 2" xfId="15" xr:uid="{00000000-0005-0000-0000-00000D000000}"/>
    <cellStyle name="Milliers 3" xfId="16" xr:uid="{00000000-0005-0000-0000-00000E000000}"/>
    <cellStyle name="Milliers 4" xfId="17" xr:uid="{00000000-0005-0000-0000-00000F000000}"/>
    <cellStyle name="Monétaire 2" xfId="18" xr:uid="{00000000-0005-0000-0000-000010000000}"/>
    <cellStyle name="Monétaire 2 2" xfId="19" xr:uid="{00000000-0005-0000-0000-000011000000}"/>
    <cellStyle name="Monétaire 3" xfId="2" xr:uid="{00000000-0005-0000-0000-000012000000}"/>
    <cellStyle name="Monétaire 4" xfId="20" xr:uid="{00000000-0005-0000-0000-000013000000}"/>
    <cellStyle name="Normal" xfId="0" builtinId="0"/>
    <cellStyle name="Normal 2" xfId="1" xr:uid="{00000000-0005-0000-0000-000015000000}"/>
    <cellStyle name="Normal 3" xfId="21" xr:uid="{00000000-0005-0000-0000-000016000000}"/>
    <cellStyle name="Normal 4" xfId="22" xr:uid="{00000000-0005-0000-0000-000017000000}"/>
    <cellStyle name="Normal 5" xfId="23" xr:uid="{00000000-0005-0000-0000-000018000000}"/>
    <cellStyle name="Normal 6" xfId="24" xr:uid="{00000000-0005-0000-0000-000019000000}"/>
    <cellStyle name="Normal 7" xfId="25" xr:uid="{00000000-0005-0000-0000-00001A000000}"/>
    <cellStyle name="Pourcentage 2" xfId="26" xr:uid="{00000000-0005-0000-0000-00001B000000}"/>
    <cellStyle name="Pourcentage 3" xfId="27" xr:uid="{00000000-0005-0000-0000-00001C000000}"/>
    <cellStyle name="Pourcentage 4" xfId="28" xr:uid="{00000000-0005-0000-0000-00001D000000}"/>
    <cellStyle name="Satisfaisant 2" xfId="29" xr:uid="{00000000-0005-0000-0000-00001E000000}"/>
    <cellStyle name="Standard_Tabelle1" xfId="30" xr:uid="{00000000-0005-0000-0000-00001F000000}"/>
    <cellStyle name="Style 1" xfId="31" xr:uid="{00000000-0005-0000-0000-000020000000}"/>
    <cellStyle name="Summen" xfId="32" xr:uid="{00000000-0005-0000-0000-000021000000}"/>
    <cellStyle name="table" xfId="33" xr:uid="{00000000-0005-0000-0000-000022000000}"/>
    <cellStyle name="TITCOL" xfId="34" xr:uid="{00000000-0005-0000-0000-000023000000}"/>
    <cellStyle name="Titel" xfId="35" xr:uid="{00000000-0005-0000-0000-000024000000}"/>
    <cellStyle name="Untertitel" xfId="36" xr:uid="{00000000-0005-0000-0000-000025000000}"/>
    <cellStyle name="Währung [0]" xfId="37" xr:uid="{00000000-0005-0000-0000-000026000000}"/>
    <cellStyle name="Währung_Tabelle1" xfId="38" xr:uid="{00000000-0005-0000-0000-000027000000}"/>
    <cellStyle name="Zwischensummen" xfId="39" xr:uid="{00000000-0005-0000-0000-000028000000}"/>
  </cellStyles>
  <dxfs count="89"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right/>
        <top/>
        <bottom/>
        <vertical/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ine" refreshedDate="44076.404285879631" createdVersion="6" refreshedVersion="6" minRefreshableVersion="3" recordCount="21" xr:uid="{8B09A6CF-66A1-4763-B4DD-CC3025A1BABE}">
  <cacheSource type="worksheet">
    <worksheetSource ref="A1:I22" sheet="bdd Cave"/>
  </cacheSource>
  <cacheFields count="9">
    <cacheField name="Nom" numFmtId="0">
      <sharedItems count="21">
        <s v="Ravello"/>
        <s v="Ortenau"/>
        <s v="Médoc"/>
        <s v="Madiran"/>
        <s v="Beaujolais"/>
        <s v="Freisa"/>
        <s v="Grignolino"/>
        <s v="Barolo"/>
        <s v="Chianti"/>
        <s v="Brolio"/>
        <s v="Valpolicella"/>
        <s v="Riesling"/>
        <s v="Müller-Turgau"/>
        <s v="Silvaner"/>
        <s v="Oppenheimer"/>
        <s v="Sauternes"/>
        <s v="Bordeaux"/>
        <s v="Bourgogne"/>
        <s v="Chablis"/>
        <s v="Frascati"/>
        <s v="Soave"/>
      </sharedItems>
    </cacheField>
    <cacheField name="Pays" numFmtId="0">
      <sharedItems count="3">
        <s v="Italie"/>
        <s v="Allemagne"/>
        <s v="France"/>
      </sharedItems>
    </cacheField>
    <cacheField name="Région" numFmtId="0">
      <sharedItems/>
    </cacheField>
    <cacheField name="Couleur" numFmtId="0">
      <sharedItems count="3">
        <s v="rosé"/>
        <s v="rouge"/>
        <s v="blanc"/>
      </sharedItems>
    </cacheField>
    <cacheField name="Millésime" numFmtId="0">
      <sharedItems containsSemiMixedTypes="0" containsString="0" containsNumber="1" containsInteger="1" minValue="2018" maxValue="2020" count="3">
        <n v="2020"/>
        <n v="2019"/>
        <n v="2018"/>
      </sharedItems>
    </cacheField>
    <cacheField name="Stock" numFmtId="0">
      <sharedItems containsSemiMixedTypes="0" containsString="0" containsNumber="1" containsInteger="1" minValue="120" maxValue="340"/>
    </cacheField>
    <cacheField name="Stock mini" numFmtId="0">
      <sharedItems containsSemiMixedTypes="0" containsString="0" containsNumber="1" containsInteger="1" minValue="100" maxValue="300"/>
    </cacheField>
    <cacheField name="Prix" numFmtId="164">
      <sharedItems containsSemiMixedTypes="0" containsString="0" containsNumber="1" minValue="10.5" maxValue="35"/>
    </cacheField>
    <cacheField name="Valeur" numFmtId="0">
      <sharedItems containsSemiMixedTypes="0" containsString="0" containsNumber="1" minValue="1638" maxValue="8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s v="Salerno"/>
    <x v="0"/>
    <x v="0"/>
    <n v="200"/>
    <n v="150"/>
    <n v="20.65"/>
    <n v="4130"/>
  </r>
  <r>
    <x v="1"/>
    <x v="1"/>
    <s v="Baden"/>
    <x v="1"/>
    <x v="1"/>
    <n v="340"/>
    <n v="300"/>
    <n v="14"/>
    <n v="4760"/>
  </r>
  <r>
    <x v="2"/>
    <x v="2"/>
    <s v="Bordeaux"/>
    <x v="1"/>
    <x v="1"/>
    <n v="300"/>
    <n v="250"/>
    <n v="29"/>
    <n v="8700"/>
  </r>
  <r>
    <x v="3"/>
    <x v="2"/>
    <s v="Madiran"/>
    <x v="1"/>
    <x v="1"/>
    <n v="200"/>
    <n v="250"/>
    <n v="32"/>
    <n v="6400"/>
  </r>
  <r>
    <x v="4"/>
    <x v="2"/>
    <s v="Bourgogne"/>
    <x v="1"/>
    <x v="0"/>
    <n v="200"/>
    <n v="220"/>
    <n v="28"/>
    <n v="5600"/>
  </r>
  <r>
    <x v="5"/>
    <x v="0"/>
    <s v="Piémont"/>
    <x v="1"/>
    <x v="1"/>
    <n v="120"/>
    <n v="100"/>
    <n v="13.65"/>
    <n v="1638"/>
  </r>
  <r>
    <x v="6"/>
    <x v="0"/>
    <s v="Piémont"/>
    <x v="1"/>
    <x v="1"/>
    <n v="230"/>
    <n v="250"/>
    <n v="14.7"/>
    <n v="3381"/>
  </r>
  <r>
    <x v="7"/>
    <x v="0"/>
    <s v="Piémont"/>
    <x v="1"/>
    <x v="2"/>
    <n v="300"/>
    <n v="200"/>
    <n v="13.3"/>
    <n v="3990"/>
  </r>
  <r>
    <x v="8"/>
    <x v="0"/>
    <s v="Toscane"/>
    <x v="1"/>
    <x v="1"/>
    <n v="120"/>
    <n v="100"/>
    <n v="17.5"/>
    <n v="2100"/>
  </r>
  <r>
    <x v="9"/>
    <x v="0"/>
    <s v="Toscane"/>
    <x v="1"/>
    <x v="2"/>
    <n v="230"/>
    <n v="200"/>
    <n v="16.45"/>
    <n v="3783.5"/>
  </r>
  <r>
    <x v="10"/>
    <x v="0"/>
    <s v="Vérone"/>
    <x v="1"/>
    <x v="1"/>
    <n v="300"/>
    <n v="250"/>
    <n v="20.3"/>
    <n v="6090"/>
  </r>
  <r>
    <x v="11"/>
    <x v="1"/>
    <s v="Moselle"/>
    <x v="2"/>
    <x v="1"/>
    <n v="200"/>
    <n v="200"/>
    <n v="19"/>
    <n v="3800"/>
  </r>
  <r>
    <x v="12"/>
    <x v="1"/>
    <s v="Moselle"/>
    <x v="2"/>
    <x v="2"/>
    <n v="340"/>
    <n v="300"/>
    <n v="24"/>
    <n v="8160"/>
  </r>
  <r>
    <x v="13"/>
    <x v="1"/>
    <s v="Rhin"/>
    <x v="2"/>
    <x v="1"/>
    <n v="230"/>
    <n v="200"/>
    <n v="10.5"/>
    <n v="2415"/>
  </r>
  <r>
    <x v="14"/>
    <x v="1"/>
    <s v="Rhin"/>
    <x v="2"/>
    <x v="1"/>
    <n v="300"/>
    <n v="250"/>
    <n v="17.5"/>
    <n v="5250"/>
  </r>
  <r>
    <x v="15"/>
    <x v="2"/>
    <s v="Bordeaux"/>
    <x v="2"/>
    <x v="2"/>
    <n v="170"/>
    <n v="190"/>
    <n v="35"/>
    <n v="5950"/>
  </r>
  <r>
    <x v="16"/>
    <x v="2"/>
    <s v="Bordeaux"/>
    <x v="2"/>
    <x v="1"/>
    <n v="260"/>
    <n v="200"/>
    <n v="16.100000000000001"/>
    <n v="4186"/>
  </r>
  <r>
    <x v="17"/>
    <x v="2"/>
    <s v="Bourgogne"/>
    <x v="2"/>
    <x v="2"/>
    <n v="230"/>
    <n v="170"/>
    <n v="18.55"/>
    <n v="4266.5"/>
  </r>
  <r>
    <x v="18"/>
    <x v="2"/>
    <s v="Bourgogne"/>
    <x v="2"/>
    <x v="2"/>
    <n v="230"/>
    <n v="150"/>
    <n v="23.8"/>
    <n v="5474"/>
  </r>
  <r>
    <x v="19"/>
    <x v="0"/>
    <s v="Rome"/>
    <x v="2"/>
    <x v="1"/>
    <n v="230"/>
    <n v="280"/>
    <n v="13.3"/>
    <n v="3059"/>
  </r>
  <r>
    <x v="20"/>
    <x v="0"/>
    <s v="Vérone"/>
    <x v="2"/>
    <x v="1"/>
    <n v="170"/>
    <n v="200"/>
    <n v="13.65"/>
    <n v="232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83148-41F4-412F-A588-0CA98F35F74E}" name="Tableau croisé dynamique5" cacheId="16" applyNumberFormats="0" applyBorderFormats="0" applyFontFormats="0" applyPatternFormats="0" applyAlignmentFormats="0" applyWidthHeightFormats="1" dataCaption="Valeurs" missingCaption="0" updatedVersion="6" minRefreshableVersion="3" useAutoFormatting="1" itemPrintTitles="1" createdVersion="6" indent="0" compact="0" compactData="0" multipleFieldFilters="0">
  <location ref="A41:H45" firstHeaderRow="1" firstDataRow="2" firstDataCol="1" rowPageCount="2" colPageCount="1"/>
  <pivotFields count="9">
    <pivotField axis="axisCol" compact="0" outline="0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3"/>
  </rowFields>
  <rowItems count="3">
    <i>
      <x/>
    </i>
    <i>
      <x v="2"/>
    </i>
    <i t="grand">
      <x/>
    </i>
  </rowItems>
  <colFields count="1">
    <field x="0"/>
  </colFields>
  <colItems count="7">
    <i>
      <x v="6"/>
    </i>
    <i>
      <x v="7"/>
    </i>
    <i>
      <x v="8"/>
    </i>
    <i>
      <x v="9"/>
    </i>
    <i>
      <x v="19"/>
    </i>
    <i>
      <x v="20"/>
    </i>
    <i t="grand">
      <x/>
    </i>
  </colItems>
  <pageFields count="2">
    <pageField fld="1" item="2" hier="-1"/>
    <pageField fld="4" item="1" hier="-1"/>
  </pageFields>
  <dataFields count="1">
    <dataField name="Somme de Valeur" fld="8" baseField="0" baseItem="0"/>
  </dataFields>
  <formats count="23">
    <format dxfId="55">
      <pivotArea dataOnly="0" labelOnly="1" outline="0" fieldPosition="0">
        <references count="1">
          <reference field="4" count="0"/>
        </references>
      </pivotArea>
    </format>
    <format dxfId="56">
      <pivotArea type="all" dataOnly="0" outline="0" fieldPosition="0"/>
    </format>
    <format dxfId="57">
      <pivotArea field="4" type="button" dataOnly="0" labelOnly="1" outline="0" axis="axisPage" fieldPosition="1"/>
    </format>
    <format dxfId="58">
      <pivotArea dataOnly="0" labelOnly="1" outline="0" fieldPosition="0">
        <references count="1">
          <reference field="4" count="0"/>
        </references>
      </pivotArea>
    </format>
    <format dxfId="54">
      <pivotArea type="topRight" dataOnly="0" labelOnly="1" outline="0" fieldPosition="0"/>
    </format>
    <format dxfId="53">
      <pivotArea type="origin" dataOnly="0" labelOnly="1" outline="0" fieldPosition="0"/>
    </format>
    <format dxfId="52">
      <pivotArea field="0" type="button" dataOnly="0" labelOnly="1" outline="0" axis="axisCol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outline="0" fieldPosition="0">
        <references count="1">
          <reference field="3" count="2">
            <x v="0"/>
            <x v="2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0" count="6">
            <x v="6"/>
            <x v="7"/>
            <x v="8"/>
            <x v="9"/>
            <x v="19"/>
            <x v="20"/>
          </reference>
        </references>
      </pivotArea>
    </format>
    <format dxfId="46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3" type="button" dataOnly="0" labelOnly="1" outline="0" axis="axisRow" fieldPosition="0"/>
    </format>
    <format dxfId="39">
      <pivotArea dataOnly="0" labelOnly="1" outline="0" fieldPosition="0">
        <references count="1">
          <reference field="3" count="2">
            <x v="0"/>
            <x v="2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0" count="6">
            <x v="6"/>
            <x v="7"/>
            <x v="8"/>
            <x v="9"/>
            <x v="19"/>
            <x v="20"/>
          </reference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757E8-B08B-4344-BF60-F3F8D505ADCA}" name="Tableau croisé dynamique4" cacheId="16" applyNumberFormats="0" applyBorderFormats="0" applyFontFormats="0" applyPatternFormats="0" applyAlignmentFormats="0" applyWidthHeightFormats="1" dataCaption="Valeurs" missingCaption="0" updatedVersion="6" minRefreshableVersion="3" useAutoFormatting="1" itemPrintTitles="1" createdVersion="6" indent="0" compact="0" compactData="0" multipleFieldFilters="0">
  <location ref="H24:J28" firstHeaderRow="0" firstDataRow="1" firstDataCol="1" rowPageCount="1" colPageCount="1"/>
  <pivotFields count="9">
    <pivotField compact="0" outline="0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Max. de Prix" fld="7" subtotal="max" baseField="0" baseItem="1"/>
    <dataField name="Min. de Prix2" fld="7" subtotal="min" baseField="0" baseItem="1"/>
  </dataFields>
  <formats count="13">
    <format dxfId="87">
      <pivotArea dataOnly="0" labelOnly="1" outline="0" fieldPosition="0">
        <references count="1">
          <reference field="4" count="0"/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4" type="button" dataOnly="0" labelOnly="1" outline="0" axis="axisRow" fieldPosition="0"/>
    </format>
    <format dxfId="83">
      <pivotArea dataOnly="0" labelOnly="1" outline="0" fieldPosition="0">
        <references count="1">
          <reference field="4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outline="0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BD49B-D6B7-475D-AD09-8CBB6E6E33E2}" name="Tableau croisé dynamique3" cacheId="16" applyNumberFormats="0" applyBorderFormats="0" applyFontFormats="0" applyPatternFormats="0" applyAlignmentFormats="0" applyWidthHeightFormats="1" dataCaption="Valeurs" missingCaption="0" updatedVersion="6" minRefreshableVersion="3" useAutoFormatting="1" itemPrintTitles="1" createdVersion="6" indent="0" compact="0" compactData="0" multipleFieldFilters="0">
  <location ref="A25:D33" firstHeaderRow="1" firstDataRow="2" firstDataCol="1" rowPageCount="2" colPageCount="1"/>
  <pivotFields count="9">
    <pivotField axis="axisRow" compact="0" outline="0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7">
    <i>
      <x v="6"/>
    </i>
    <i>
      <x v="7"/>
    </i>
    <i>
      <x v="8"/>
    </i>
    <i>
      <x v="9"/>
    </i>
    <i>
      <x v="19"/>
    </i>
    <i>
      <x v="20"/>
    </i>
    <i t="grand">
      <x/>
    </i>
  </rowItems>
  <colFields count="1">
    <field x="3"/>
  </colFields>
  <colItems count="3">
    <i>
      <x/>
    </i>
    <i>
      <x v="2"/>
    </i>
    <i t="grand">
      <x/>
    </i>
  </colItems>
  <pageFields count="2">
    <pageField fld="1" item="2" hier="-1"/>
    <pageField fld="4" item="1" hier="-1"/>
  </pageFields>
  <dataFields count="1">
    <dataField name="Moyenne de Prix" fld="7" subtotal="average" baseField="0" baseItem="0" numFmtId="1"/>
  </dataFields>
  <formats count="21">
    <format dxfId="88">
      <pivotArea outline="0" collapsedLevelsAreSubtotals="1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outline="0" fieldPosition="0">
        <references count="1">
          <reference field="0" count="6">
            <x v="6"/>
            <x v="7"/>
            <x v="8"/>
            <x v="9"/>
            <x v="19"/>
            <x v="20"/>
          </reference>
        </references>
      </pivotArea>
    </format>
    <format dxfId="76">
      <pivotArea dataOnly="0" labelOnly="1" grandRow="1" outline="0" fieldPosition="0"/>
    </format>
    <format dxfId="75">
      <pivotArea dataOnly="0" labelOnly="1" outline="0" fieldPosition="0">
        <references count="1">
          <reference field="3" count="2">
            <x v="0"/>
            <x v="2"/>
          </reference>
        </references>
      </pivotArea>
    </format>
    <format dxfId="74">
      <pivotArea dataOnly="0" labelOnly="1" grandCol="1" outline="0" fieldPosition="0"/>
    </format>
    <format dxfId="61">
      <pivotArea type="origin" dataOnly="0" labelOnly="1" outline="0" fieldPosition="0"/>
    </format>
    <format dxfId="60">
      <pivotArea field="3" type="button" dataOnly="0" labelOnly="1" outline="0" axis="axisCol" fieldPosition="0"/>
    </format>
    <format dxfId="59">
      <pivotArea type="topRight" dataOnly="0" labelOnly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3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dataOnly="0" labelOnly="1" outline="0" fieldPosition="0">
        <references count="1">
          <reference field="0" count="6">
            <x v="6"/>
            <x v="7"/>
            <x v="8"/>
            <x v="9"/>
            <x v="19"/>
            <x v="20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3" count="2">
            <x v="0"/>
            <x v="2"/>
          </reference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B44B8-C1FF-4B96-8D9A-F98276427FF2}" name="Tableau croisé dynamique2" cacheId="16" applyNumberFormats="0" applyBorderFormats="0" applyFontFormats="0" applyPatternFormats="0" applyAlignmentFormats="0" applyWidthHeightFormats="1" dataCaption="Valeurs" missingCaption="0" updatedVersion="6" minRefreshableVersion="3" useAutoFormatting="1" itemPrintTitles="1" createdVersion="6" indent="0" compact="0" compactData="0" multipleFieldFilters="0">
  <location ref="H5:L17" firstHeaderRow="1" firstDataRow="2" firstDataCol="1" rowPageCount="1" colPageCount="1"/>
  <pivotFields count="9">
    <pivotField axis="axisRow" compact="0" outline="0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axis="axisPage" compact="0" outline="0" showAll="0">
      <items count="4">
        <item x="2"/>
        <item x="0"/>
        <item x="1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numFmtId="164" outline="0" showAll="0"/>
    <pivotField compact="0" outline="0" showAll="0"/>
  </pivotFields>
  <rowFields count="1">
    <field x="0"/>
  </rowFields>
  <rowItems count="11">
    <i>
      <x/>
    </i>
    <i>
      <x v="1"/>
    </i>
    <i>
      <x v="4"/>
    </i>
    <i>
      <x v="6"/>
    </i>
    <i>
      <x v="8"/>
    </i>
    <i>
      <x v="9"/>
    </i>
    <i>
      <x v="10"/>
    </i>
    <i>
      <x v="11"/>
    </i>
    <i>
      <x v="14"/>
    </i>
    <i>
      <x v="2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item="2" hier="-1"/>
  </pageFields>
  <dataFields count="1">
    <dataField name="Somme de Stock" fld="5" baseField="0" baseItem="0"/>
  </dataFields>
  <formats count="16"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0" count="10">
            <x v="0"/>
            <x v="1"/>
            <x v="4"/>
            <x v="6"/>
            <x v="8"/>
            <x v="9"/>
            <x v="10"/>
            <x v="11"/>
            <x v="14"/>
            <x v="20"/>
          </reference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1" count="0"/>
        </references>
      </pivotArea>
    </format>
    <format dxfId="62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0" count="10">
            <x v="0"/>
            <x v="1"/>
            <x v="4"/>
            <x v="6"/>
            <x v="8"/>
            <x v="9"/>
            <x v="10"/>
            <x v="11"/>
            <x v="14"/>
            <x v="20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637C1-78C9-4C98-9A15-A6021D165EFF}" name="Tableau croisé dynamique1" cacheId="16" applyNumberFormats="0" applyBorderFormats="0" applyFontFormats="0" applyPatternFormats="0" applyAlignmentFormats="0" applyWidthHeightFormats="1" dataCaption="Valeurs" missingCaption="0" updatedVersion="6" minRefreshableVersion="3" useAutoFormatting="1" itemPrintTitles="1" createdVersion="6" indent="0" compact="0" compactData="0" multipleFieldFilters="0">
  <location ref="A5:E14" firstHeaderRow="1" firstDataRow="2" firstDataCol="1" rowPageCount="1" colPageCount="1"/>
  <pivotFields count="9">
    <pivotField axis="axisRow" compact="0" outline="0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0"/>
  </rowFields>
  <rowItems count="8">
    <i>
      <x v="1"/>
    </i>
    <i>
      <x v="2"/>
    </i>
    <i>
      <x v="3"/>
    </i>
    <i>
      <x v="5"/>
    </i>
    <i>
      <x v="10"/>
    </i>
    <i>
      <x v="11"/>
    </i>
    <i>
      <x v="1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" item="1" hier="-1"/>
  </pageFields>
  <dataFields count="1">
    <dataField name="Somme de Valeur" fld="8" baseField="0" baseItem="0"/>
  </dataFields>
  <formats count="16">
    <format dxfId="73">
      <pivotArea outline="0" collapsedLevelsAreSubtotals="1" fieldPosition="0"/>
    </format>
    <format dxfId="72">
      <pivotArea field="0" type="button" dataOnly="0" labelOnly="1" outline="0" axis="axisRow" fieldPosition="0"/>
    </format>
    <format dxfId="71">
      <pivotArea dataOnly="0" labelOnly="1" outline="0" fieldPosition="0">
        <references count="1">
          <reference field="0" count="7">
            <x v="1"/>
            <x v="2"/>
            <x v="3"/>
            <x v="5"/>
            <x v="10"/>
            <x v="11"/>
            <x v="17"/>
          </reference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" count="0"/>
        </references>
      </pivotArea>
    </format>
    <format dxfId="68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0" count="7">
            <x v="1"/>
            <x v="2"/>
            <x v="3"/>
            <x v="5"/>
            <x v="10"/>
            <x v="11"/>
            <x v="1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E522-30DA-4314-A6E1-1927AED3B84C}">
  <sheetPr>
    <pageSetUpPr fitToPage="1"/>
  </sheetPr>
  <dimension ref="A1:OV45"/>
  <sheetViews>
    <sheetView topLeftCell="A10" workbookViewId="0">
      <selection activeCell="C8" sqref="C8"/>
    </sheetView>
  </sheetViews>
  <sheetFormatPr baseColWidth="10" defaultRowHeight="15"/>
  <cols>
    <col min="1" max="1" width="16.85546875" style="7" bestFit="1" customWidth="1"/>
    <col min="2" max="7" width="11.42578125" style="7" bestFit="1" customWidth="1"/>
    <col min="8" max="8" width="12.5703125" style="7" bestFit="1" customWidth="1"/>
    <col min="9" max="22" width="13.7109375" style="7" bestFit="1" customWidth="1"/>
    <col min="23" max="23" width="12.5703125" style="7" bestFit="1" customWidth="1"/>
    <col min="24" max="43" width="13.7109375" style="7" bestFit="1" customWidth="1"/>
    <col min="44" max="44" width="17" style="7" bestFit="1" customWidth="1"/>
    <col min="45" max="45" width="17.7109375" style="7" bestFit="1" customWidth="1"/>
    <col min="46" max="16384" width="11.42578125" style="7"/>
  </cols>
  <sheetData>
    <row r="1" spans="1:12" ht="18.75">
      <c r="A1" s="8" t="s">
        <v>47</v>
      </c>
      <c r="H1" s="8" t="s">
        <v>48</v>
      </c>
    </row>
    <row r="3" spans="1:12">
      <c r="A3" s="6" t="s">
        <v>1</v>
      </c>
      <c r="B3" s="7" t="s">
        <v>18</v>
      </c>
      <c r="H3" s="6" t="s">
        <v>3</v>
      </c>
      <c r="I3" s="7" t="s">
        <v>16</v>
      </c>
    </row>
    <row r="5" spans="1:12">
      <c r="A5" s="6" t="s">
        <v>45</v>
      </c>
      <c r="B5" s="6" t="s">
        <v>4</v>
      </c>
      <c r="H5" s="6" t="s">
        <v>49</v>
      </c>
      <c r="I5" s="6" t="s">
        <v>1</v>
      </c>
    </row>
    <row r="6" spans="1:12">
      <c r="A6" s="6" t="s">
        <v>0</v>
      </c>
      <c r="B6" s="7">
        <v>2018</v>
      </c>
      <c r="C6" s="7">
        <v>2019</v>
      </c>
      <c r="D6" s="7">
        <v>2020</v>
      </c>
      <c r="E6" s="7" t="s">
        <v>44</v>
      </c>
      <c r="H6" s="6" t="s">
        <v>0</v>
      </c>
      <c r="I6" s="7" t="s">
        <v>14</v>
      </c>
      <c r="J6" s="7" t="s">
        <v>18</v>
      </c>
      <c r="K6" s="7" t="s">
        <v>10</v>
      </c>
      <c r="L6" s="7" t="s">
        <v>44</v>
      </c>
    </row>
    <row r="7" spans="1:12">
      <c r="A7" s="7" t="s">
        <v>21</v>
      </c>
      <c r="B7" s="9">
        <v>0</v>
      </c>
      <c r="C7" s="9">
        <v>0</v>
      </c>
      <c r="D7" s="9">
        <v>5600</v>
      </c>
      <c r="E7" s="9">
        <v>5600</v>
      </c>
      <c r="H7" s="7" t="s">
        <v>26</v>
      </c>
      <c r="I7" s="9">
        <v>0</v>
      </c>
      <c r="J7" s="9">
        <v>0</v>
      </c>
      <c r="K7" s="9">
        <v>300</v>
      </c>
      <c r="L7" s="9">
        <v>300</v>
      </c>
    </row>
    <row r="8" spans="1:12">
      <c r="A8" s="7" t="s">
        <v>19</v>
      </c>
      <c r="B8" s="9">
        <v>0</v>
      </c>
      <c r="C8" s="9">
        <v>4186</v>
      </c>
      <c r="D8" s="9">
        <v>0</v>
      </c>
      <c r="E8" s="9">
        <v>4186</v>
      </c>
      <c r="H8" s="7" t="s">
        <v>21</v>
      </c>
      <c r="I8" s="9">
        <v>0</v>
      </c>
      <c r="J8" s="9">
        <v>200</v>
      </c>
      <c r="K8" s="9">
        <v>0</v>
      </c>
      <c r="L8" s="9">
        <v>200</v>
      </c>
    </row>
    <row r="9" spans="1:12">
      <c r="A9" s="7" t="s">
        <v>22</v>
      </c>
      <c r="B9" s="9">
        <v>4266.5</v>
      </c>
      <c r="C9" s="9">
        <v>0</v>
      </c>
      <c r="D9" s="9">
        <v>0</v>
      </c>
      <c r="E9" s="9">
        <v>4266.5</v>
      </c>
      <c r="H9" s="7" t="s">
        <v>29</v>
      </c>
      <c r="I9" s="9">
        <v>0</v>
      </c>
      <c r="J9" s="9">
        <v>0</v>
      </c>
      <c r="K9" s="9">
        <v>230</v>
      </c>
      <c r="L9" s="9">
        <v>230</v>
      </c>
    </row>
    <row r="10" spans="1:12">
      <c r="A10" s="7" t="s">
        <v>40</v>
      </c>
      <c r="B10" s="9">
        <v>5474</v>
      </c>
      <c r="C10" s="9">
        <v>0</v>
      </c>
      <c r="D10" s="9">
        <v>0</v>
      </c>
      <c r="E10" s="9">
        <v>5474</v>
      </c>
      <c r="H10" s="7" t="s">
        <v>27</v>
      </c>
      <c r="I10" s="9">
        <v>0</v>
      </c>
      <c r="J10" s="9">
        <v>0</v>
      </c>
      <c r="K10" s="9">
        <v>120</v>
      </c>
      <c r="L10" s="9">
        <v>120</v>
      </c>
    </row>
    <row r="11" spans="1:12">
      <c r="A11" s="7" t="s">
        <v>20</v>
      </c>
      <c r="B11" s="9">
        <v>0</v>
      </c>
      <c r="C11" s="9">
        <v>6400</v>
      </c>
      <c r="D11" s="9">
        <v>0</v>
      </c>
      <c r="E11" s="9">
        <v>6400</v>
      </c>
      <c r="H11" s="7" t="s">
        <v>23</v>
      </c>
      <c r="I11" s="9">
        <v>0</v>
      </c>
      <c r="J11" s="9">
        <v>0</v>
      </c>
      <c r="K11" s="9">
        <v>120</v>
      </c>
      <c r="L11" s="9">
        <v>120</v>
      </c>
    </row>
    <row r="12" spans="1:12">
      <c r="A12" s="7" t="s">
        <v>17</v>
      </c>
      <c r="B12" s="9">
        <v>0</v>
      </c>
      <c r="C12" s="9">
        <v>8700</v>
      </c>
      <c r="D12" s="9">
        <v>0</v>
      </c>
      <c r="E12" s="9">
        <v>8700</v>
      </c>
      <c r="H12" s="7" t="s">
        <v>25</v>
      </c>
      <c r="I12" s="9">
        <v>0</v>
      </c>
      <c r="J12" s="9">
        <v>0</v>
      </c>
      <c r="K12" s="9">
        <v>230</v>
      </c>
      <c r="L12" s="9">
        <v>230</v>
      </c>
    </row>
    <row r="13" spans="1:12">
      <c r="A13" s="7" t="s">
        <v>39</v>
      </c>
      <c r="B13" s="9">
        <v>5950</v>
      </c>
      <c r="C13" s="9">
        <v>0</v>
      </c>
      <c r="D13" s="9">
        <v>0</v>
      </c>
      <c r="E13" s="9">
        <v>5950</v>
      </c>
      <c r="H13" s="7" t="s">
        <v>20</v>
      </c>
      <c r="I13" s="9">
        <v>0</v>
      </c>
      <c r="J13" s="9">
        <v>200</v>
      </c>
      <c r="K13" s="9">
        <v>0</v>
      </c>
      <c r="L13" s="9">
        <v>200</v>
      </c>
    </row>
    <row r="14" spans="1:12">
      <c r="A14" s="7" t="s">
        <v>44</v>
      </c>
      <c r="B14" s="9">
        <v>15690.5</v>
      </c>
      <c r="C14" s="9">
        <v>19286</v>
      </c>
      <c r="D14" s="9">
        <v>5600</v>
      </c>
      <c r="E14" s="9">
        <v>40576.5</v>
      </c>
      <c r="H14" s="7" t="s">
        <v>17</v>
      </c>
      <c r="I14" s="9">
        <v>0</v>
      </c>
      <c r="J14" s="9">
        <v>300</v>
      </c>
      <c r="K14" s="9">
        <v>0</v>
      </c>
      <c r="L14" s="9">
        <v>300</v>
      </c>
    </row>
    <row r="15" spans="1:12">
      <c r="H15" s="7" t="s">
        <v>13</v>
      </c>
      <c r="I15" s="9">
        <v>340</v>
      </c>
      <c r="J15" s="9">
        <v>0</v>
      </c>
      <c r="K15" s="9">
        <v>0</v>
      </c>
      <c r="L15" s="9">
        <v>340</v>
      </c>
    </row>
    <row r="16" spans="1:12">
      <c r="H16" s="7" t="s">
        <v>30</v>
      </c>
      <c r="I16" s="9">
        <v>0</v>
      </c>
      <c r="J16" s="9">
        <v>0</v>
      </c>
      <c r="K16" s="9">
        <v>300</v>
      </c>
      <c r="L16" s="9">
        <v>300</v>
      </c>
    </row>
    <row r="17" spans="1:412">
      <c r="H17" s="7" t="s">
        <v>44</v>
      </c>
      <c r="I17" s="9">
        <v>340</v>
      </c>
      <c r="J17" s="9">
        <v>700</v>
      </c>
      <c r="K17" s="9">
        <v>1300</v>
      </c>
      <c r="L17" s="9">
        <v>2340</v>
      </c>
    </row>
    <row r="18" spans="1:412">
      <c r="I18" s="9"/>
      <c r="J18" s="9"/>
      <c r="K18" s="9"/>
      <c r="L18" s="9"/>
    </row>
    <row r="20" spans="1:412" ht="18.75">
      <c r="A20" s="8" t="s">
        <v>51</v>
      </c>
      <c r="H20" s="8" t="s">
        <v>52</v>
      </c>
    </row>
    <row r="22" spans="1:412">
      <c r="A22" s="6" t="s">
        <v>1</v>
      </c>
      <c r="B22" s="7" t="s">
        <v>10</v>
      </c>
      <c r="H22" s="6" t="s">
        <v>3</v>
      </c>
      <c r="I22" s="7" t="s">
        <v>46</v>
      </c>
    </row>
    <row r="23" spans="1:412">
      <c r="A23" s="6" t="s">
        <v>4</v>
      </c>
      <c r="B23" s="10">
        <v>2019</v>
      </c>
    </row>
    <row r="24" spans="1:412">
      <c r="H24" s="6" t="s">
        <v>4</v>
      </c>
      <c r="I24" s="7" t="s">
        <v>53</v>
      </c>
      <c r="J24" s="7" t="s">
        <v>54</v>
      </c>
    </row>
    <row r="25" spans="1:412">
      <c r="A25" s="6" t="s">
        <v>50</v>
      </c>
      <c r="B25" s="6" t="s">
        <v>3</v>
      </c>
      <c r="H25" s="11">
        <v>2018</v>
      </c>
      <c r="I25" s="9">
        <v>35</v>
      </c>
      <c r="J25" s="9">
        <v>13.3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</row>
    <row r="26" spans="1:412">
      <c r="A26" s="6" t="s">
        <v>0</v>
      </c>
      <c r="B26" s="7" t="s">
        <v>34</v>
      </c>
      <c r="C26" s="7" t="s">
        <v>16</v>
      </c>
      <c r="D26" s="7" t="s">
        <v>44</v>
      </c>
      <c r="F26" s="6"/>
      <c r="G26" s="6"/>
      <c r="H26" s="11">
        <v>2019</v>
      </c>
      <c r="I26" s="9">
        <v>32</v>
      </c>
      <c r="J26" s="9">
        <v>10.5</v>
      </c>
      <c r="M26" s="6"/>
      <c r="N26" s="6"/>
      <c r="O26" s="6"/>
      <c r="P26" s="6"/>
    </row>
    <row r="27" spans="1:412">
      <c r="A27" s="7" t="s">
        <v>27</v>
      </c>
      <c r="B27" s="12">
        <v>0</v>
      </c>
      <c r="C27" s="12">
        <v>17.5</v>
      </c>
      <c r="D27" s="12">
        <v>17.5</v>
      </c>
      <c r="H27" s="11">
        <v>2020</v>
      </c>
      <c r="I27" s="9">
        <v>28</v>
      </c>
      <c r="J27" s="9">
        <v>20.65</v>
      </c>
    </row>
    <row r="28" spans="1:412">
      <c r="A28" s="7" t="s">
        <v>41</v>
      </c>
      <c r="B28" s="12">
        <v>13.3</v>
      </c>
      <c r="C28" s="12">
        <v>0</v>
      </c>
      <c r="D28" s="12">
        <v>13.3</v>
      </c>
      <c r="H28" s="7" t="s">
        <v>44</v>
      </c>
      <c r="I28" s="9">
        <v>35</v>
      </c>
      <c r="J28" s="9">
        <v>10.5</v>
      </c>
    </row>
    <row r="29" spans="1:412">
      <c r="A29" s="7" t="s">
        <v>23</v>
      </c>
      <c r="B29" s="12">
        <v>0</v>
      </c>
      <c r="C29" s="12">
        <v>13.65</v>
      </c>
      <c r="D29" s="12">
        <v>13.65</v>
      </c>
    </row>
    <row r="30" spans="1:412">
      <c r="A30" s="7" t="s">
        <v>25</v>
      </c>
      <c r="B30" s="12">
        <v>0</v>
      </c>
      <c r="C30" s="12">
        <v>14.7</v>
      </c>
      <c r="D30" s="12">
        <v>14.7</v>
      </c>
    </row>
    <row r="31" spans="1:412">
      <c r="A31" s="7" t="s">
        <v>43</v>
      </c>
      <c r="B31" s="12">
        <v>13.65</v>
      </c>
      <c r="C31" s="12">
        <v>0</v>
      </c>
      <c r="D31" s="12">
        <v>13.65</v>
      </c>
    </row>
    <row r="32" spans="1:412">
      <c r="A32" s="7" t="s">
        <v>30</v>
      </c>
      <c r="B32" s="12">
        <v>0</v>
      </c>
      <c r="C32" s="12">
        <v>20.3</v>
      </c>
      <c r="D32" s="12">
        <v>20.3</v>
      </c>
    </row>
    <row r="33" spans="1:412">
      <c r="A33" s="7" t="s">
        <v>44</v>
      </c>
      <c r="B33" s="12">
        <v>13.475000000000001</v>
      </c>
      <c r="C33" s="12">
        <v>16.537499999999998</v>
      </c>
      <c r="D33" s="12">
        <v>15.516666666666667</v>
      </c>
    </row>
    <row r="37" spans="1:412" ht="18.75">
      <c r="A37" s="8" t="s">
        <v>55</v>
      </c>
      <c r="K37" s="9"/>
      <c r="L37" s="9"/>
    </row>
    <row r="38" spans="1:412">
      <c r="A38" s="6" t="s">
        <v>1</v>
      </c>
      <c r="B38" s="7" t="s">
        <v>10</v>
      </c>
    </row>
    <row r="39" spans="1:412">
      <c r="A39" s="6" t="s">
        <v>4</v>
      </c>
      <c r="B39" s="11">
        <v>2019</v>
      </c>
    </row>
    <row r="41" spans="1:412">
      <c r="A41" s="6" t="s">
        <v>45</v>
      </c>
      <c r="B41" s="6" t="s">
        <v>0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</row>
    <row r="42" spans="1:412">
      <c r="A42" s="6" t="s">
        <v>3</v>
      </c>
      <c r="B42" s="7" t="s">
        <v>27</v>
      </c>
      <c r="C42" s="7" t="s">
        <v>41</v>
      </c>
      <c r="D42" s="7" t="s">
        <v>23</v>
      </c>
      <c r="E42" s="7" t="s">
        <v>25</v>
      </c>
      <c r="F42" s="7" t="s">
        <v>43</v>
      </c>
      <c r="G42" s="7" t="s">
        <v>30</v>
      </c>
      <c r="H42" s="7" t="s">
        <v>44</v>
      </c>
    </row>
    <row r="43" spans="1:412">
      <c r="A43" s="7" t="s">
        <v>34</v>
      </c>
      <c r="B43" s="9">
        <v>0</v>
      </c>
      <c r="C43" s="9">
        <v>3059</v>
      </c>
      <c r="D43" s="9">
        <v>0</v>
      </c>
      <c r="E43" s="9">
        <v>0</v>
      </c>
      <c r="F43" s="9">
        <v>2320.5</v>
      </c>
      <c r="G43" s="9">
        <v>0</v>
      </c>
      <c r="H43" s="9">
        <v>5379.5</v>
      </c>
    </row>
    <row r="44" spans="1:412">
      <c r="A44" s="7" t="s">
        <v>16</v>
      </c>
      <c r="B44" s="9">
        <v>2100</v>
      </c>
      <c r="C44" s="9">
        <v>0</v>
      </c>
      <c r="D44" s="9">
        <v>1638</v>
      </c>
      <c r="E44" s="9">
        <v>3381</v>
      </c>
      <c r="F44" s="9">
        <v>0</v>
      </c>
      <c r="G44" s="9">
        <v>6090</v>
      </c>
      <c r="H44" s="9">
        <v>13209</v>
      </c>
    </row>
    <row r="45" spans="1:412">
      <c r="A45" s="7" t="s">
        <v>44</v>
      </c>
      <c r="B45" s="9">
        <v>2100</v>
      </c>
      <c r="C45" s="9">
        <v>3059</v>
      </c>
      <c r="D45" s="9">
        <v>1638</v>
      </c>
      <c r="E45" s="9">
        <v>3381</v>
      </c>
      <c r="F45" s="9">
        <v>2320.5</v>
      </c>
      <c r="G45" s="9">
        <v>6090</v>
      </c>
      <c r="H45" s="9">
        <v>18588.5</v>
      </c>
    </row>
  </sheetData>
  <pageMargins left="0.70866141732283472" right="0.70866141732283472" top="0.74803149606299213" bottom="0.74803149606299213" header="0.31496062992125984" footer="0.31496062992125984"/>
  <pageSetup paperSize="9" scale="74" orientation="landscape" horizontalDpi="300" verticalDpi="300" r:id="rId6"/>
  <headerFooter>
    <oddHeader>&amp;LExercices TCD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22"/>
  <sheetViews>
    <sheetView tabSelected="1" workbookViewId="0">
      <selection activeCell="A7" sqref="A7"/>
    </sheetView>
  </sheetViews>
  <sheetFormatPr baseColWidth="10" defaultRowHeight="15"/>
  <cols>
    <col min="1" max="1" width="14.85546875" style="3" customWidth="1"/>
    <col min="2" max="2" width="13.42578125" style="3" customWidth="1"/>
    <col min="3" max="3" width="12.28515625" style="3" customWidth="1"/>
    <col min="4" max="4" width="10" style="3" customWidth="1"/>
    <col min="5" max="5" width="11.28515625" style="3" customWidth="1"/>
    <col min="6" max="6" width="7.5703125" style="3" customWidth="1"/>
    <col min="7" max="7" width="12.7109375" style="3" customWidth="1"/>
    <col min="8" max="8" width="10.28515625" style="3" bestFit="1" customWidth="1"/>
    <col min="9" max="9" width="12.140625" style="3" customWidth="1"/>
    <col min="10" max="16384" width="11.42578125" style="3"/>
  </cols>
  <sheetData>
    <row r="1" spans="1:9" s="2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>
      <c r="A2" s="3" t="s">
        <v>9</v>
      </c>
      <c r="B2" s="3" t="s">
        <v>10</v>
      </c>
      <c r="C2" s="3" t="s">
        <v>11</v>
      </c>
      <c r="D2" s="3" t="s">
        <v>12</v>
      </c>
      <c r="E2" s="3">
        <v>2020</v>
      </c>
      <c r="F2" s="3">
        <v>200</v>
      </c>
      <c r="G2" s="3">
        <v>150</v>
      </c>
      <c r="H2" s="4">
        <v>20.65</v>
      </c>
      <c r="I2" s="5">
        <f t="shared" ref="I2:I22" si="0">H2*F2</f>
        <v>4130</v>
      </c>
    </row>
    <row r="3" spans="1:9" ht="20.100000000000001" customHeight="1">
      <c r="A3" s="3" t="s">
        <v>13</v>
      </c>
      <c r="B3" s="3" t="s">
        <v>14</v>
      </c>
      <c r="C3" s="3" t="s">
        <v>15</v>
      </c>
      <c r="D3" s="3" t="s">
        <v>16</v>
      </c>
      <c r="E3" s="3">
        <v>2019</v>
      </c>
      <c r="F3" s="3">
        <v>340</v>
      </c>
      <c r="G3" s="3">
        <v>300</v>
      </c>
      <c r="H3" s="4">
        <v>14</v>
      </c>
      <c r="I3" s="5">
        <f t="shared" si="0"/>
        <v>4760</v>
      </c>
    </row>
    <row r="4" spans="1:9" ht="20.100000000000001" customHeight="1">
      <c r="A4" s="3" t="s">
        <v>17</v>
      </c>
      <c r="B4" s="3" t="s">
        <v>18</v>
      </c>
      <c r="C4" s="3" t="s">
        <v>19</v>
      </c>
      <c r="D4" s="3" t="s">
        <v>16</v>
      </c>
      <c r="E4" s="3">
        <v>2019</v>
      </c>
      <c r="F4" s="3">
        <v>300</v>
      </c>
      <c r="G4" s="3">
        <v>250</v>
      </c>
      <c r="H4" s="4">
        <v>29</v>
      </c>
      <c r="I4" s="5">
        <f t="shared" si="0"/>
        <v>8700</v>
      </c>
    </row>
    <row r="5" spans="1:9" ht="20.100000000000001" customHeight="1">
      <c r="A5" s="3" t="s">
        <v>20</v>
      </c>
      <c r="B5" s="3" t="s">
        <v>18</v>
      </c>
      <c r="C5" s="3" t="s">
        <v>20</v>
      </c>
      <c r="D5" s="3" t="s">
        <v>16</v>
      </c>
      <c r="E5" s="3">
        <v>2019</v>
      </c>
      <c r="F5" s="3">
        <v>200</v>
      </c>
      <c r="G5" s="3">
        <v>250</v>
      </c>
      <c r="H5" s="4">
        <v>32</v>
      </c>
      <c r="I5" s="5">
        <f t="shared" si="0"/>
        <v>6400</v>
      </c>
    </row>
    <row r="6" spans="1:9" ht="20.100000000000001" customHeight="1">
      <c r="A6" s="3" t="s">
        <v>21</v>
      </c>
      <c r="B6" s="3" t="s">
        <v>18</v>
      </c>
      <c r="C6" s="3" t="s">
        <v>22</v>
      </c>
      <c r="D6" s="3" t="s">
        <v>16</v>
      </c>
      <c r="E6" s="3">
        <v>2020</v>
      </c>
      <c r="F6" s="3">
        <v>200</v>
      </c>
      <c r="G6" s="3">
        <v>220</v>
      </c>
      <c r="H6" s="4">
        <v>28</v>
      </c>
      <c r="I6" s="5">
        <f t="shared" si="0"/>
        <v>5600</v>
      </c>
    </row>
    <row r="7" spans="1:9" ht="20.100000000000001" customHeight="1">
      <c r="A7" s="3" t="s">
        <v>23</v>
      </c>
      <c r="B7" s="3" t="s">
        <v>10</v>
      </c>
      <c r="C7" s="3" t="s">
        <v>24</v>
      </c>
      <c r="D7" s="3" t="s">
        <v>16</v>
      </c>
      <c r="E7" s="3">
        <v>2019</v>
      </c>
      <c r="F7" s="3">
        <v>120</v>
      </c>
      <c r="G7" s="3">
        <v>100</v>
      </c>
      <c r="H7" s="4">
        <v>13.65</v>
      </c>
      <c r="I7" s="5">
        <f t="shared" si="0"/>
        <v>1638</v>
      </c>
    </row>
    <row r="8" spans="1:9" ht="20.100000000000001" customHeight="1">
      <c r="A8" s="3" t="s">
        <v>25</v>
      </c>
      <c r="B8" s="3" t="s">
        <v>10</v>
      </c>
      <c r="C8" s="3" t="s">
        <v>24</v>
      </c>
      <c r="D8" s="3" t="s">
        <v>16</v>
      </c>
      <c r="E8" s="3">
        <v>2019</v>
      </c>
      <c r="F8" s="3">
        <v>230</v>
      </c>
      <c r="G8" s="3">
        <v>250</v>
      </c>
      <c r="H8" s="4">
        <v>14.7</v>
      </c>
      <c r="I8" s="5">
        <f t="shared" si="0"/>
        <v>3381</v>
      </c>
    </row>
    <row r="9" spans="1:9" ht="20.100000000000001" customHeight="1">
      <c r="A9" s="3" t="s">
        <v>26</v>
      </c>
      <c r="B9" s="3" t="s">
        <v>10</v>
      </c>
      <c r="C9" s="3" t="s">
        <v>24</v>
      </c>
      <c r="D9" s="3" t="s">
        <v>16</v>
      </c>
      <c r="E9" s="3">
        <v>2018</v>
      </c>
      <c r="F9" s="3">
        <v>300</v>
      </c>
      <c r="G9" s="3">
        <v>200</v>
      </c>
      <c r="H9" s="4">
        <v>13.3</v>
      </c>
      <c r="I9" s="5">
        <f t="shared" si="0"/>
        <v>3990</v>
      </c>
    </row>
    <row r="10" spans="1:9" ht="20.100000000000001" customHeight="1">
      <c r="A10" s="3" t="s">
        <v>27</v>
      </c>
      <c r="B10" s="3" t="s">
        <v>10</v>
      </c>
      <c r="C10" s="3" t="s">
        <v>28</v>
      </c>
      <c r="D10" s="3" t="s">
        <v>16</v>
      </c>
      <c r="E10" s="3">
        <v>2019</v>
      </c>
      <c r="F10" s="3">
        <v>120</v>
      </c>
      <c r="G10" s="3">
        <v>100</v>
      </c>
      <c r="H10" s="4">
        <v>17.5</v>
      </c>
      <c r="I10" s="5">
        <f t="shared" si="0"/>
        <v>2100</v>
      </c>
    </row>
    <row r="11" spans="1:9" ht="20.100000000000001" customHeight="1">
      <c r="A11" s="3" t="s">
        <v>29</v>
      </c>
      <c r="B11" s="3" t="s">
        <v>10</v>
      </c>
      <c r="C11" s="3" t="s">
        <v>28</v>
      </c>
      <c r="D11" s="3" t="s">
        <v>16</v>
      </c>
      <c r="E11" s="3">
        <v>2018</v>
      </c>
      <c r="F11" s="3">
        <v>230</v>
      </c>
      <c r="G11" s="3">
        <v>200</v>
      </c>
      <c r="H11" s="4">
        <v>16.45</v>
      </c>
      <c r="I11" s="5">
        <f t="shared" si="0"/>
        <v>3783.5</v>
      </c>
    </row>
    <row r="12" spans="1:9" ht="20.100000000000001" customHeight="1">
      <c r="A12" s="3" t="s">
        <v>30</v>
      </c>
      <c r="B12" s="3" t="s">
        <v>10</v>
      </c>
      <c r="C12" s="3" t="s">
        <v>31</v>
      </c>
      <c r="D12" s="3" t="s">
        <v>16</v>
      </c>
      <c r="E12" s="3">
        <v>2019</v>
      </c>
      <c r="F12" s="3">
        <v>300</v>
      </c>
      <c r="G12" s="3">
        <v>250</v>
      </c>
      <c r="H12" s="4">
        <v>20.3</v>
      </c>
      <c r="I12" s="5">
        <f t="shared" si="0"/>
        <v>6090</v>
      </c>
    </row>
    <row r="13" spans="1:9" ht="20.100000000000001" customHeight="1">
      <c r="A13" s="3" t="s">
        <v>32</v>
      </c>
      <c r="B13" s="3" t="s">
        <v>14</v>
      </c>
      <c r="C13" s="3" t="s">
        <v>33</v>
      </c>
      <c r="D13" s="3" t="s">
        <v>34</v>
      </c>
      <c r="E13" s="3">
        <v>2019</v>
      </c>
      <c r="F13" s="3">
        <v>200</v>
      </c>
      <c r="G13" s="3">
        <v>200</v>
      </c>
      <c r="H13" s="4">
        <v>19</v>
      </c>
      <c r="I13" s="5">
        <f t="shared" si="0"/>
        <v>3800</v>
      </c>
    </row>
    <row r="14" spans="1:9" ht="20.100000000000001" customHeight="1">
      <c r="A14" s="3" t="s">
        <v>35</v>
      </c>
      <c r="B14" s="3" t="s">
        <v>14</v>
      </c>
      <c r="C14" s="3" t="s">
        <v>33</v>
      </c>
      <c r="D14" s="3" t="s">
        <v>34</v>
      </c>
      <c r="E14" s="3">
        <v>2018</v>
      </c>
      <c r="F14" s="3">
        <v>340</v>
      </c>
      <c r="G14" s="3">
        <v>300</v>
      </c>
      <c r="H14" s="4">
        <v>24</v>
      </c>
      <c r="I14" s="5">
        <f t="shared" si="0"/>
        <v>8160</v>
      </c>
    </row>
    <row r="15" spans="1:9" ht="20.100000000000001" customHeight="1">
      <c r="A15" s="3" t="s">
        <v>36</v>
      </c>
      <c r="B15" s="3" t="s">
        <v>14</v>
      </c>
      <c r="C15" s="3" t="s">
        <v>37</v>
      </c>
      <c r="D15" s="3" t="s">
        <v>34</v>
      </c>
      <c r="E15" s="3">
        <v>2019</v>
      </c>
      <c r="F15" s="3">
        <v>230</v>
      </c>
      <c r="G15" s="3">
        <v>200</v>
      </c>
      <c r="H15" s="4">
        <v>10.5</v>
      </c>
      <c r="I15" s="5">
        <f t="shared" si="0"/>
        <v>2415</v>
      </c>
    </row>
    <row r="16" spans="1:9" ht="20.100000000000001" customHeight="1">
      <c r="A16" s="3" t="s">
        <v>38</v>
      </c>
      <c r="B16" s="3" t="s">
        <v>14</v>
      </c>
      <c r="C16" s="3" t="s">
        <v>37</v>
      </c>
      <c r="D16" s="3" t="s">
        <v>34</v>
      </c>
      <c r="E16" s="3">
        <v>2019</v>
      </c>
      <c r="F16" s="3">
        <v>300</v>
      </c>
      <c r="G16" s="3">
        <v>250</v>
      </c>
      <c r="H16" s="4">
        <v>17.5</v>
      </c>
      <c r="I16" s="5">
        <f t="shared" si="0"/>
        <v>5250</v>
      </c>
    </row>
    <row r="17" spans="1:9" ht="20.100000000000001" customHeight="1">
      <c r="A17" s="3" t="s">
        <v>39</v>
      </c>
      <c r="B17" s="3" t="s">
        <v>18</v>
      </c>
      <c r="C17" s="3" t="s">
        <v>19</v>
      </c>
      <c r="D17" s="3" t="s">
        <v>34</v>
      </c>
      <c r="E17" s="3">
        <v>2018</v>
      </c>
      <c r="F17" s="3">
        <v>170</v>
      </c>
      <c r="G17" s="3">
        <v>190</v>
      </c>
      <c r="H17" s="4">
        <v>35</v>
      </c>
      <c r="I17" s="5">
        <f t="shared" si="0"/>
        <v>5950</v>
      </c>
    </row>
    <row r="18" spans="1:9" ht="20.100000000000001" customHeight="1">
      <c r="A18" s="3" t="s">
        <v>19</v>
      </c>
      <c r="B18" s="3" t="s">
        <v>18</v>
      </c>
      <c r="C18" s="3" t="s">
        <v>19</v>
      </c>
      <c r="D18" s="3" t="s">
        <v>34</v>
      </c>
      <c r="E18" s="3">
        <v>2019</v>
      </c>
      <c r="F18" s="3">
        <v>260</v>
      </c>
      <c r="G18" s="3">
        <v>200</v>
      </c>
      <c r="H18" s="4">
        <v>16.100000000000001</v>
      </c>
      <c r="I18" s="5">
        <f t="shared" si="0"/>
        <v>4186</v>
      </c>
    </row>
    <row r="19" spans="1:9" ht="20.100000000000001" customHeight="1">
      <c r="A19" s="3" t="s">
        <v>22</v>
      </c>
      <c r="B19" s="3" t="s">
        <v>18</v>
      </c>
      <c r="C19" s="3" t="s">
        <v>22</v>
      </c>
      <c r="D19" s="3" t="s">
        <v>34</v>
      </c>
      <c r="E19" s="3">
        <v>2018</v>
      </c>
      <c r="F19" s="3">
        <v>230</v>
      </c>
      <c r="G19" s="3">
        <v>170</v>
      </c>
      <c r="H19" s="4">
        <v>18.55</v>
      </c>
      <c r="I19" s="5">
        <f t="shared" si="0"/>
        <v>4266.5</v>
      </c>
    </row>
    <row r="20" spans="1:9" ht="20.100000000000001" customHeight="1">
      <c r="A20" s="3" t="s">
        <v>40</v>
      </c>
      <c r="B20" s="3" t="s">
        <v>18</v>
      </c>
      <c r="C20" s="3" t="s">
        <v>22</v>
      </c>
      <c r="D20" s="3" t="s">
        <v>34</v>
      </c>
      <c r="E20" s="3">
        <v>2018</v>
      </c>
      <c r="F20" s="3">
        <v>230</v>
      </c>
      <c r="G20" s="3">
        <v>150</v>
      </c>
      <c r="H20" s="4">
        <v>23.8</v>
      </c>
      <c r="I20" s="5">
        <f t="shared" si="0"/>
        <v>5474</v>
      </c>
    </row>
    <row r="21" spans="1:9" ht="20.100000000000001" customHeight="1">
      <c r="A21" s="3" t="s">
        <v>41</v>
      </c>
      <c r="B21" s="3" t="s">
        <v>10</v>
      </c>
      <c r="C21" s="3" t="s">
        <v>42</v>
      </c>
      <c r="D21" s="3" t="s">
        <v>34</v>
      </c>
      <c r="E21" s="3">
        <v>2019</v>
      </c>
      <c r="F21" s="3">
        <v>230</v>
      </c>
      <c r="G21" s="3">
        <v>280</v>
      </c>
      <c r="H21" s="4">
        <v>13.3</v>
      </c>
      <c r="I21" s="5">
        <f t="shared" si="0"/>
        <v>3059</v>
      </c>
    </row>
    <row r="22" spans="1:9" ht="20.100000000000001" customHeight="1">
      <c r="A22" s="3" t="s">
        <v>43</v>
      </c>
      <c r="B22" s="3" t="s">
        <v>10</v>
      </c>
      <c r="C22" s="3" t="s">
        <v>31</v>
      </c>
      <c r="D22" s="3" t="s">
        <v>34</v>
      </c>
      <c r="E22" s="3">
        <v>2019</v>
      </c>
      <c r="F22" s="3">
        <v>170</v>
      </c>
      <c r="G22" s="3">
        <v>200</v>
      </c>
      <c r="H22" s="4">
        <v>13.65</v>
      </c>
      <c r="I22" s="5">
        <f t="shared" si="0"/>
        <v>2320.5</v>
      </c>
    </row>
  </sheetData>
  <printOptions horizontalCentered="1" verticalCentered="1" gridLines="1" gridLinesSet="0"/>
  <pageMargins left="0.78740157480314965" right="0.78740157480314965" top="0.98425196850393704" bottom="0.98425196850393704" header="0.39370078740157483" footer="0.39370078740157483"/>
  <pageSetup paperSize="9" orientation="landscape" horizontalDpi="36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Resultat</vt:lpstr>
      <vt:lpstr>bdd Cave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cp:lastPrinted>2020-09-02T07:56:18Z</cp:lastPrinted>
  <dcterms:created xsi:type="dcterms:W3CDTF">2013-06-20T13:09:28Z</dcterms:created>
  <dcterms:modified xsi:type="dcterms:W3CDTF">2020-09-02T07:57:49Z</dcterms:modified>
</cp:coreProperties>
</file>