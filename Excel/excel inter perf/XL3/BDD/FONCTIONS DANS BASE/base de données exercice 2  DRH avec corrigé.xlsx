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240" windowWidth="14940" windowHeight="8385"/>
  </bookViews>
  <sheets>
    <sheet name="DRH" sheetId="6" r:id="rId1"/>
    <sheet name="critères par service" sheetId="3" r:id="rId2"/>
    <sheet name="Base employés" sheetId="1" r:id="rId3"/>
    <sheet name="critères double" sheetId="4" r:id="rId4"/>
  </sheets>
  <definedNames>
    <definedName name="_xlnm._FilterDatabase" localSheetId="2" hidden="1">'Base employés'!$H$3:$H$25</definedName>
    <definedName name="_xlnm._FilterDatabase" localSheetId="1" hidden="1">'critères par service'!$A$6:$A$7</definedName>
    <definedName name="_xlnm._FilterDatabase" localSheetId="0" hidden="1">DRH!$H$3:$H$25</definedName>
    <definedName name="Z_15AA0979_965B_4148_AE30_C3EDCB499C76_.wvu.FilterData" localSheetId="2" hidden="1">'Base employés'!$A$3:$L$24</definedName>
    <definedName name="Z_15AA0979_965B_4148_AE30_C3EDCB499C76_.wvu.FilterData" localSheetId="0" hidden="1">DRH!$A$3:$L$24</definedName>
  </definedNames>
  <calcPr calcId="145621"/>
  <customWorkbookViews>
    <customWorkbookView name="formation 5 - Affichage personnalisé" guid="{15AA0979-965B-4148-AE30-C3EDCB499C76}" mergeInterval="0" personalView="1" maximized="1" windowWidth="1020" windowHeight="578" activeSheetId="1"/>
  </customWorkbookViews>
</workbook>
</file>

<file path=xl/calcChain.xml><?xml version="1.0" encoding="utf-8"?>
<calcChain xmlns="http://schemas.openxmlformats.org/spreadsheetml/2006/main">
  <c r="M25" i="6" l="1"/>
  <c r="E25" i="6"/>
  <c r="M24" i="6"/>
  <c r="E24" i="6"/>
  <c r="M23" i="6"/>
  <c r="E23" i="6"/>
  <c r="M22" i="6"/>
  <c r="E22" i="6"/>
  <c r="M21" i="6"/>
  <c r="E21" i="6"/>
  <c r="M20" i="6"/>
  <c r="E20" i="6"/>
  <c r="M19" i="6"/>
  <c r="E19" i="6"/>
  <c r="M18" i="6"/>
  <c r="E18" i="6"/>
  <c r="M17" i="6"/>
  <c r="E17" i="6"/>
  <c r="M16" i="6"/>
  <c r="E16" i="6"/>
  <c r="M15" i="6"/>
  <c r="E15" i="6"/>
  <c r="M14" i="6"/>
  <c r="E14" i="6"/>
  <c r="M13" i="6"/>
  <c r="E13" i="6"/>
  <c r="M12" i="6"/>
  <c r="E12" i="6"/>
  <c r="M11" i="6"/>
  <c r="E11" i="6"/>
  <c r="M10" i="6"/>
  <c r="E10" i="6"/>
  <c r="M9" i="6"/>
  <c r="E9" i="6"/>
  <c r="M8" i="6"/>
  <c r="E8" i="6"/>
  <c r="M7" i="6"/>
  <c r="E7" i="6"/>
  <c r="M6" i="6"/>
  <c r="E6" i="6"/>
  <c r="M5" i="6"/>
  <c r="E5" i="6"/>
  <c r="M4" i="6"/>
  <c r="E4" i="6"/>
  <c r="D1" i="6"/>
  <c r="K25" i="6" s="1"/>
  <c r="D1" i="1"/>
  <c r="I25" i="1" s="1"/>
  <c r="M25" i="1"/>
  <c r="E2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K24" i="6"/>
  <c r="I9" i="6"/>
  <c r="K19" i="6"/>
  <c r="I5" i="6"/>
  <c r="K20" i="6"/>
  <c r="I19" i="6"/>
  <c r="I24" i="1"/>
  <c r="K15" i="1"/>
  <c r="K9" i="1"/>
  <c r="K4" i="1"/>
  <c r="I15" i="1"/>
  <c r="K23" i="6"/>
  <c r="I21" i="6"/>
  <c r="K21" i="6"/>
  <c r="I7" i="6"/>
  <c r="K14" i="6"/>
  <c r="K8" i="6"/>
  <c r="K11" i="6"/>
  <c r="K25" i="1"/>
  <c r="I5" i="1"/>
  <c r="I14" i="1"/>
  <c r="K12" i="6"/>
  <c r="I18" i="6"/>
  <c r="K7" i="6"/>
  <c r="I13" i="6"/>
  <c r="K18" i="6"/>
  <c r="I24" i="6"/>
  <c r="I8" i="6"/>
  <c r="I23" i="6"/>
  <c r="I11" i="6"/>
  <c r="K5" i="6"/>
  <c r="K7" i="1"/>
  <c r="K9" i="6"/>
  <c r="I8" i="1"/>
  <c r="I17" i="1"/>
  <c r="K13" i="6"/>
  <c r="K16" i="1"/>
  <c r="I12" i="6"/>
  <c r="K6" i="6"/>
  <c r="K22" i="6"/>
  <c r="I17" i="6"/>
  <c r="I6" i="6"/>
  <c r="I22" i="6"/>
  <c r="K16" i="6"/>
  <c r="K10" i="1"/>
  <c r="K11" i="1" l="1"/>
  <c r="K8" i="1"/>
  <c r="I7" i="1"/>
  <c r="K12" i="1"/>
  <c r="I11" i="1"/>
  <c r="K22" i="1"/>
  <c r="I9" i="1"/>
  <c r="I13" i="1"/>
  <c r="I6" i="1"/>
  <c r="I20" i="1"/>
  <c r="K18" i="1"/>
  <c r="K17" i="1"/>
  <c r="I12" i="1"/>
  <c r="K6" i="1"/>
  <c r="I10" i="1"/>
  <c r="K19" i="1"/>
  <c r="I23" i="1"/>
  <c r="K5" i="1"/>
  <c r="I22" i="1"/>
  <c r="K21" i="1"/>
  <c r="I25" i="6"/>
  <c r="I4" i="6"/>
  <c r="K17" i="6"/>
  <c r="K10" i="6"/>
  <c r="K4" i="6"/>
  <c r="I18" i="1"/>
  <c r="I16" i="1"/>
  <c r="I21" i="1"/>
  <c r="I4" i="1"/>
  <c r="K13" i="1"/>
  <c r="K14" i="1"/>
  <c r="I19" i="1"/>
  <c r="K24" i="1"/>
  <c r="K20" i="1"/>
  <c r="K23" i="1"/>
  <c r="I15" i="6"/>
  <c r="K15" i="6"/>
  <c r="I10" i="6"/>
  <c r="I16" i="6"/>
  <c r="I20" i="6"/>
  <c r="I14" i="6"/>
</calcChain>
</file>

<file path=xl/sharedStrings.xml><?xml version="1.0" encoding="utf-8"?>
<sst xmlns="http://schemas.openxmlformats.org/spreadsheetml/2006/main" count="235" uniqueCount="71">
  <si>
    <t>Matricule</t>
  </si>
  <si>
    <t>Civilité</t>
  </si>
  <si>
    <t>Prénom</t>
  </si>
  <si>
    <t>Nom</t>
  </si>
  <si>
    <t>Sexe</t>
  </si>
  <si>
    <t>Service</t>
  </si>
  <si>
    <t>Brut</t>
  </si>
  <si>
    <t>Embauche</t>
  </si>
  <si>
    <t>Ancienneté</t>
  </si>
  <si>
    <t>Naissance</t>
  </si>
  <si>
    <t>Age</t>
  </si>
  <si>
    <t>Télephone</t>
  </si>
  <si>
    <t>Laurent</t>
  </si>
  <si>
    <t>AUSTIN</t>
  </si>
  <si>
    <t>COM</t>
  </si>
  <si>
    <t>Jacques</t>
  </si>
  <si>
    <t>BOURD</t>
  </si>
  <si>
    <t>TEC</t>
  </si>
  <si>
    <t>CELAIRE</t>
  </si>
  <si>
    <t>ADM</t>
  </si>
  <si>
    <t>Wouha</t>
  </si>
  <si>
    <t>CHINOIS</t>
  </si>
  <si>
    <t>Alain</t>
  </si>
  <si>
    <t>DELON</t>
  </si>
  <si>
    <t>Gerard</t>
  </si>
  <si>
    <t>DEPARD</t>
  </si>
  <si>
    <t>FIN</t>
  </si>
  <si>
    <t>Raymond</t>
  </si>
  <si>
    <t>DIAL</t>
  </si>
  <si>
    <t>Jean</t>
  </si>
  <si>
    <t>NEMAR</t>
  </si>
  <si>
    <t>Claude</t>
  </si>
  <si>
    <t>NOUGARO</t>
  </si>
  <si>
    <t>Henri</t>
  </si>
  <si>
    <t>POURUN</t>
  </si>
  <si>
    <t>Alex</t>
  </si>
  <si>
    <t>TERIEUR</t>
  </si>
  <si>
    <t>TRAINE</t>
  </si>
  <si>
    <t>Yves</t>
  </si>
  <si>
    <t>TUDEIL</t>
  </si>
  <si>
    <t>Roger</t>
  </si>
  <si>
    <t>ZIER</t>
  </si>
  <si>
    <t>Daniel</t>
  </si>
  <si>
    <t>ZOULOU</t>
  </si>
  <si>
    <t>Isabelle</t>
  </si>
  <si>
    <t>ADJANI</t>
  </si>
  <si>
    <t>Josette</t>
  </si>
  <si>
    <t>CHARME</t>
  </si>
  <si>
    <t>Colette</t>
  </si>
  <si>
    <t>DAT</t>
  </si>
  <si>
    <t>Astride</t>
  </si>
  <si>
    <t>DEJEAN</t>
  </si>
  <si>
    <t>Claire</t>
  </si>
  <si>
    <t>DELUNE</t>
  </si>
  <si>
    <t>Christine</t>
  </si>
  <si>
    <t>DERAND</t>
  </si>
  <si>
    <t>Somme des salaires bruts</t>
  </si>
  <si>
    <t>Moyennes des salaires bruts</t>
  </si>
  <si>
    <t>Salaire minimum</t>
  </si>
  <si>
    <t>L'age moyen des salariés</t>
  </si>
  <si>
    <t>Nombre de salariés</t>
  </si>
  <si>
    <t>CALCULS DE DONNEES / CRITERES DOUBLE</t>
  </si>
  <si>
    <t>CALCULS DE DONNEES / CRITERES</t>
  </si>
  <si>
    <t>Monsieur</t>
  </si>
  <si>
    <t>Madame</t>
  </si>
  <si>
    <t>Mademoiselle</t>
  </si>
  <si>
    <t>H</t>
  </si>
  <si>
    <t>age a l'embauche</t>
  </si>
  <si>
    <t xml:space="preserve">Calculer pour le service technique les éléments suivants </t>
  </si>
  <si>
    <t>59 ans</t>
  </si>
  <si>
    <t>Calculer la somme des salaires Brut pour les hommes du service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</si>
</sst>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8" formatCode="#,##0.00\ &quot;€&quot;;[Red]\-#,##0.00\ &quot;€&quot;"/>
    <numFmt numFmtId="170" formatCode="_-* #,##0.00\ &quot;F&quot;_-;\-* #,##0.00\ &quot;F&quot;_-;_-* &quot;-&quot;??\ &quot;F&quot;_-;_-@_-"/>
    <numFmt numFmtId="171" formatCode="_-* #,##0.00\ _F_-;\-* #,##0.00\ _F_-;_-* &quot;-&quot;??\ _F_-;_-@_-"/>
    <numFmt numFmtId="173" formatCode="[=1]&quot;Monsieur&quot;;[=2]&quot;Madame&quot;;&quot;Mademoiselle&quot;"/>
    <numFmt numFmtId="174" formatCode="#,##0.00\ [$€-1]"/>
    <numFmt numFmtId="178" formatCode="0#\.##\.##\.##"/>
    <numFmt numFmtId="187" formatCode="d/m/yy"/>
    <numFmt numFmtId="196" formatCode="_-* #,##0\ _F_-;\-* #,##0\ _F_-;_-* &quot;-&quot;??\ _F_-;_-@_-"/>
    <numFmt numFmtId="199" formatCode="##_\&quot; mois&quot;"/>
    <numFmt numFmtId="200" formatCode="#,##0.00\ &quot;€&quot;"/>
    <numFmt numFmtId="203" formatCode="0&quot; ans&quot;"/>
    <numFmt numFmtId="204" formatCode="[$-F800]dddd\,\ mmmm\ dd\,\ yyyy"/>
  </numFmts>
  <fonts count="11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MS Sans Serif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sz val="15"/>
      <color indexed="9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lightGray">
        <fgColor indexed="9"/>
        <bgColor indexed="47"/>
      </patternFill>
    </fill>
    <fill>
      <patternFill patternType="solid">
        <fgColor indexed="6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 applyFont="0" applyFill="0" applyBorder="0" applyAlignment="0" applyProtection="0"/>
    <xf numFmtId="0" fontId="10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0" fillId="0" borderId="0"/>
    <xf numFmtId="0" fontId="3" fillId="0" borderId="0"/>
  </cellStyleXfs>
  <cellXfs count="37">
    <xf numFmtId="0" fontId="0" fillId="0" borderId="0" xfId="0"/>
    <xf numFmtId="0" fontId="2" fillId="2" borderId="1" xfId="6" applyFont="1" applyFill="1" applyBorder="1" applyAlignment="1">
      <alignment horizontal="center" vertical="center"/>
    </xf>
    <xf numFmtId="173" fontId="2" fillId="3" borderId="1" xfId="6" applyNumberFormat="1" applyFont="1" applyFill="1" applyBorder="1" applyAlignment="1">
      <alignment horizontal="center" vertical="center"/>
    </xf>
    <xf numFmtId="0" fontId="2" fillId="3" borderId="1" xfId="6" applyFont="1" applyFill="1" applyBorder="1" applyAlignment="1">
      <alignment vertical="center"/>
    </xf>
    <xf numFmtId="0" fontId="2" fillId="3" borderId="1" xfId="6" applyFont="1" applyFill="1" applyBorder="1" applyAlignment="1">
      <alignment horizontal="center" vertical="center"/>
    </xf>
    <xf numFmtId="0" fontId="2" fillId="3" borderId="1" xfId="6" applyFont="1" applyFill="1" applyBorder="1" applyAlignment="1">
      <alignment horizontal="left" vertical="center"/>
    </xf>
    <xf numFmtId="174" fontId="4" fillId="0" borderId="1" xfId="1" applyNumberFormat="1" applyFont="1" applyBorder="1" applyAlignment="1">
      <alignment vertical="center"/>
    </xf>
    <xf numFmtId="178" fontId="5" fillId="3" borderId="1" xfId="6" applyNumberFormat="1" applyFont="1" applyFill="1" applyBorder="1" applyAlignment="1">
      <alignment vertical="center"/>
    </xf>
    <xf numFmtId="0" fontId="6" fillId="4" borderId="0" xfId="0" applyFont="1" applyFill="1"/>
    <xf numFmtId="0" fontId="6" fillId="4" borderId="2" xfId="0" applyFont="1" applyFill="1" applyBorder="1"/>
    <xf numFmtId="0" fontId="6" fillId="4" borderId="3" xfId="0" applyFont="1" applyFill="1" applyBorder="1"/>
    <xf numFmtId="0" fontId="0" fillId="0" borderId="0" xfId="0" applyAlignment="1">
      <alignment vertical="center"/>
    </xf>
    <xf numFmtId="0" fontId="0" fillId="0" borderId="0" xfId="1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8" fillId="4" borderId="0" xfId="0" applyFont="1" applyFill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9" fillId="5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3" borderId="1" xfId="6" applyNumberFormat="1" applyFont="1" applyFill="1" applyBorder="1" applyAlignment="1">
      <alignment horizontal="center" vertical="center"/>
    </xf>
    <xf numFmtId="187" fontId="2" fillId="3" borderId="1" xfId="6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/>
    <xf numFmtId="199" fontId="2" fillId="3" borderId="1" xfId="6" applyNumberFormat="1" applyFont="1" applyFill="1" applyBorder="1" applyAlignment="1">
      <alignment vertical="center"/>
    </xf>
    <xf numFmtId="196" fontId="0" fillId="5" borderId="1" xfId="3" applyNumberFormat="1" applyFont="1" applyFill="1" applyBorder="1" applyAlignment="1">
      <alignment horizontal="center" vertical="center"/>
    </xf>
    <xf numFmtId="200" fontId="0" fillId="5" borderId="1" xfId="4" applyNumberFormat="1" applyFont="1" applyFill="1" applyBorder="1" applyAlignment="1">
      <alignment horizontal="center" vertical="center"/>
    </xf>
    <xf numFmtId="203" fontId="0" fillId="5" borderId="1" xfId="1" applyNumberFormat="1" applyFont="1" applyFill="1" applyBorder="1" applyAlignment="1">
      <alignment horizontal="center" vertical="center"/>
    </xf>
    <xf numFmtId="204" fontId="2" fillId="3" borderId="1" xfId="6" applyNumberFormat="1" applyFont="1" applyFill="1" applyBorder="1" applyAlignment="1">
      <alignment vertical="center"/>
    </xf>
    <xf numFmtId="8" fontId="0" fillId="0" borderId="0" xfId="0" applyNumberFormat="1" applyAlignment="1">
      <alignment vertical="center"/>
    </xf>
    <xf numFmtId="0" fontId="10" fillId="0" borderId="0" xfId="5"/>
    <xf numFmtId="14" fontId="10" fillId="0" borderId="0" xfId="5" applyNumberFormat="1"/>
    <xf numFmtId="0" fontId="10" fillId="0" borderId="0" xfId="5" applyAlignment="1">
      <alignment horizontal="center"/>
    </xf>
    <xf numFmtId="174" fontId="2" fillId="0" borderId="1" xfId="2" applyNumberFormat="1" applyFont="1" applyBorder="1" applyAlignment="1">
      <alignment vertical="center"/>
    </xf>
    <xf numFmtId="0" fontId="0" fillId="7" borderId="0" xfId="0" applyFill="1"/>
    <xf numFmtId="0" fontId="7" fillId="6" borderId="0" xfId="0" applyFont="1" applyFill="1" applyAlignment="1">
      <alignment horizontal="center"/>
    </xf>
    <xf numFmtId="0" fontId="9" fillId="5" borderId="0" xfId="0" applyFont="1" applyFill="1" applyAlignment="1">
      <alignment horizontal="left" vertical="center"/>
    </xf>
  </cellXfs>
  <cellStyles count="7">
    <cellStyle name="Euro" xfId="1"/>
    <cellStyle name="Euro 2" xfId="2"/>
    <cellStyle name="Milliers" xfId="3" builtinId="3"/>
    <cellStyle name="Monétaire" xfId="4" builtinId="4"/>
    <cellStyle name="Normal" xfId="0" builtinId="0"/>
    <cellStyle name="Normal 2" xfId="5"/>
    <cellStyle name="Normal_BD du Personnel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</xdr:col>
      <xdr:colOff>1019175</xdr:colOff>
      <xdr:row>18</xdr:row>
      <xdr:rowOff>9525</xdr:rowOff>
    </xdr:to>
    <xdr:pic>
      <xdr:nvPicPr>
        <xdr:cNvPr id="2060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1933575"/>
          <a:ext cx="101917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zoomScale="101" workbookViewId="0">
      <selection activeCell="L36" sqref="L36"/>
    </sheetView>
  </sheetViews>
  <sheetFormatPr baseColWidth="10" defaultRowHeight="12.75" x14ac:dyDescent="0.2"/>
  <cols>
    <col min="1" max="1" width="11.42578125" style="30" customWidth="1"/>
    <col min="2" max="2" width="13.5703125" style="30" customWidth="1"/>
    <col min="3" max="3" width="14" style="30" customWidth="1"/>
    <col min="4" max="5" width="11.42578125" style="30" customWidth="1"/>
    <col min="6" max="6" width="7" style="30" bestFit="1" customWidth="1"/>
    <col min="7" max="7" width="10.28515625" style="30" bestFit="1" customWidth="1"/>
    <col min="8" max="8" width="19.7109375" style="30" bestFit="1" customWidth="1"/>
    <col min="9" max="9" width="10.28515625" style="30" bestFit="1" customWidth="1"/>
    <col min="10" max="10" width="14.28515625" style="30" bestFit="1" customWidth="1"/>
    <col min="11" max="11" width="10.42578125" style="32" bestFit="1" customWidth="1"/>
    <col min="12" max="12" width="12" style="30" bestFit="1" customWidth="1"/>
    <col min="13" max="13" width="14.28515625" style="30" bestFit="1" customWidth="1"/>
    <col min="14" max="14" width="11.42578125" style="30" customWidth="1"/>
    <col min="15" max="16384" width="11.42578125" style="30"/>
  </cols>
  <sheetData>
    <row r="1" spans="1:13" x14ac:dyDescent="0.2">
      <c r="C1" s="31"/>
      <c r="D1" s="31">
        <f ca="1">TODAY()</f>
        <v>42172</v>
      </c>
    </row>
    <row r="3" spans="1:13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67</v>
      </c>
    </row>
    <row r="4" spans="1:13" ht="14.25" x14ac:dyDescent="0.2">
      <c r="A4" s="19">
        <v>19</v>
      </c>
      <c r="B4" s="2" t="s">
        <v>64</v>
      </c>
      <c r="C4" s="3" t="s">
        <v>54</v>
      </c>
      <c r="D4" s="3" t="s">
        <v>55</v>
      </c>
      <c r="E4" s="4" t="str">
        <f>IF(B4="Monsieur","H","F")</f>
        <v>F</v>
      </c>
      <c r="F4" s="5" t="s">
        <v>19</v>
      </c>
      <c r="G4" s="33">
        <v>990.91861204316751</v>
      </c>
      <c r="H4" s="28">
        <v>32979</v>
      </c>
      <c r="I4" s="24">
        <f ca="1">DATEDIF(H4,$D$1,"m")</f>
        <v>302</v>
      </c>
      <c r="J4" s="20">
        <v>25019</v>
      </c>
      <c r="K4" s="19">
        <f ca="1">DATEDIF(J4,$D$1,"y")</f>
        <v>46</v>
      </c>
      <c r="L4" s="7">
        <v>3847898</v>
      </c>
      <c r="M4" s="19">
        <f>DATEDIF(J4,H4,"y")</f>
        <v>21</v>
      </c>
    </row>
    <row r="5" spans="1:13" ht="14.25" x14ac:dyDescent="0.2">
      <c r="A5" s="19">
        <v>3</v>
      </c>
      <c r="B5" s="2" t="s">
        <v>63</v>
      </c>
      <c r="C5" s="3" t="s">
        <v>31</v>
      </c>
      <c r="D5" s="3" t="s">
        <v>32</v>
      </c>
      <c r="E5" s="4" t="str">
        <f t="shared" ref="E5:E24" si="0">IF(B5="Monsieur","H","F")</f>
        <v>H</v>
      </c>
      <c r="F5" s="5" t="s">
        <v>19</v>
      </c>
      <c r="G5" s="33">
        <v>990.91861204316751</v>
      </c>
      <c r="H5" s="28">
        <v>32979</v>
      </c>
      <c r="I5" s="24">
        <f t="shared" ref="I5:I25" ca="1" si="1">DATEDIF(H5,$D$1,"m")</f>
        <v>302</v>
      </c>
      <c r="J5" s="20">
        <v>17938</v>
      </c>
      <c r="K5" s="19">
        <f t="shared" ref="K5:K25" ca="1" si="2">DATEDIF(J5,$D$1,"y")</f>
        <v>66</v>
      </c>
      <c r="L5" s="7">
        <v>3568945</v>
      </c>
      <c r="M5" s="19">
        <f t="shared" ref="M5:M24" si="3">DATEDIF(J5,H5,"y")</f>
        <v>41</v>
      </c>
    </row>
    <row r="6" spans="1:13" ht="14.25" x14ac:dyDescent="0.2">
      <c r="A6" s="19">
        <v>2</v>
      </c>
      <c r="B6" s="2" t="s">
        <v>64</v>
      </c>
      <c r="C6" s="3" t="s">
        <v>44</v>
      </c>
      <c r="D6" s="3" t="s">
        <v>45</v>
      </c>
      <c r="E6" s="4" t="str">
        <f t="shared" si="0"/>
        <v>F</v>
      </c>
      <c r="F6" s="5" t="s">
        <v>19</v>
      </c>
      <c r="G6" s="33">
        <v>1143.3676292805778</v>
      </c>
      <c r="H6" s="28">
        <v>32979</v>
      </c>
      <c r="I6" s="24">
        <f t="shared" ca="1" si="1"/>
        <v>302</v>
      </c>
      <c r="J6" s="20">
        <v>23149</v>
      </c>
      <c r="K6" s="19">
        <f t="shared" ca="1" si="2"/>
        <v>52</v>
      </c>
      <c r="L6" s="7">
        <v>3321364</v>
      </c>
      <c r="M6" s="19">
        <f t="shared" si="3"/>
        <v>26</v>
      </c>
    </row>
    <row r="7" spans="1:13" ht="14.25" x14ac:dyDescent="0.2">
      <c r="A7" s="19">
        <v>26</v>
      </c>
      <c r="B7" s="2" t="s">
        <v>64</v>
      </c>
      <c r="C7" s="3" t="s">
        <v>52</v>
      </c>
      <c r="D7" s="3" t="s">
        <v>53</v>
      </c>
      <c r="E7" s="4" t="str">
        <f t="shared" si="0"/>
        <v>F</v>
      </c>
      <c r="F7" s="5" t="s">
        <v>14</v>
      </c>
      <c r="G7" s="33">
        <v>1143.3676292805778</v>
      </c>
      <c r="H7" s="28">
        <v>32979</v>
      </c>
      <c r="I7" s="24">
        <f t="shared" ca="1" si="1"/>
        <v>302</v>
      </c>
      <c r="J7" s="20">
        <v>20022</v>
      </c>
      <c r="K7" s="19">
        <f t="shared" ca="1" si="2"/>
        <v>60</v>
      </c>
      <c r="L7" s="7">
        <v>3458137</v>
      </c>
      <c r="M7" s="19">
        <f t="shared" si="3"/>
        <v>35</v>
      </c>
    </row>
    <row r="8" spans="1:13" ht="14.25" x14ac:dyDescent="0.2">
      <c r="A8" s="19">
        <v>1</v>
      </c>
      <c r="B8" s="2" t="s">
        <v>63</v>
      </c>
      <c r="C8" s="3" t="s">
        <v>22</v>
      </c>
      <c r="D8" s="3" t="s">
        <v>23</v>
      </c>
      <c r="E8" s="4" t="str">
        <f t="shared" si="0"/>
        <v>H</v>
      </c>
      <c r="F8" s="5" t="s">
        <v>14</v>
      </c>
      <c r="G8" s="33">
        <v>1219.592137899283</v>
      </c>
      <c r="H8" s="28">
        <v>32979</v>
      </c>
      <c r="I8" s="24">
        <f t="shared" ca="1" si="1"/>
        <v>302</v>
      </c>
      <c r="J8" s="20">
        <v>16483</v>
      </c>
      <c r="K8" s="19">
        <f t="shared" ca="1" si="2"/>
        <v>70</v>
      </c>
      <c r="L8" s="7">
        <v>3587412</v>
      </c>
      <c r="M8" s="19">
        <f t="shared" si="3"/>
        <v>45</v>
      </c>
    </row>
    <row r="9" spans="1:13" ht="14.25" x14ac:dyDescent="0.2">
      <c r="A9" s="19">
        <v>20</v>
      </c>
      <c r="B9" s="2" t="s">
        <v>63</v>
      </c>
      <c r="C9" s="3" t="s">
        <v>15</v>
      </c>
      <c r="D9" s="3" t="s">
        <v>16</v>
      </c>
      <c r="E9" s="4" t="str">
        <f t="shared" si="0"/>
        <v>H</v>
      </c>
      <c r="F9" s="5" t="s">
        <v>17</v>
      </c>
      <c r="G9" s="33">
        <v>1219.592137899283</v>
      </c>
      <c r="H9" s="28">
        <v>32979</v>
      </c>
      <c r="I9" s="24">
        <f t="shared" ca="1" si="1"/>
        <v>302</v>
      </c>
      <c r="J9" s="20">
        <v>24022</v>
      </c>
      <c r="K9" s="19">
        <f t="shared" ca="1" si="2"/>
        <v>49</v>
      </c>
      <c r="L9" s="7">
        <v>3258487</v>
      </c>
      <c r="M9" s="19">
        <f t="shared" si="3"/>
        <v>24</v>
      </c>
    </row>
    <row r="10" spans="1:13" ht="14.25" x14ac:dyDescent="0.2">
      <c r="A10" s="19">
        <v>17</v>
      </c>
      <c r="B10" s="2" t="s">
        <v>63</v>
      </c>
      <c r="C10" s="3" t="s">
        <v>38</v>
      </c>
      <c r="D10" s="3" t="s">
        <v>39</v>
      </c>
      <c r="E10" s="4" t="str">
        <f t="shared" si="0"/>
        <v>H</v>
      </c>
      <c r="F10" s="5" t="s">
        <v>14</v>
      </c>
      <c r="G10" s="33">
        <v>1257.7043922086357</v>
      </c>
      <c r="H10" s="28">
        <v>32979</v>
      </c>
      <c r="I10" s="24">
        <f t="shared" ca="1" si="1"/>
        <v>302</v>
      </c>
      <c r="J10" s="20">
        <v>21835</v>
      </c>
      <c r="K10" s="19">
        <f t="shared" ca="1" si="2"/>
        <v>55</v>
      </c>
      <c r="L10" s="7">
        <v>3876521</v>
      </c>
      <c r="M10" s="19">
        <f t="shared" si="3"/>
        <v>30</v>
      </c>
    </row>
    <row r="11" spans="1:13" ht="14.25" x14ac:dyDescent="0.2">
      <c r="A11" s="19">
        <v>45</v>
      </c>
      <c r="B11" s="2" t="s">
        <v>63</v>
      </c>
      <c r="C11" s="3" t="s">
        <v>29</v>
      </c>
      <c r="D11" s="3" t="s">
        <v>37</v>
      </c>
      <c r="E11" s="4" t="str">
        <f t="shared" si="0"/>
        <v>H</v>
      </c>
      <c r="F11" s="5" t="s">
        <v>17</v>
      </c>
      <c r="G11" s="33">
        <v>1326.3064499654704</v>
      </c>
      <c r="H11" s="28">
        <v>32979</v>
      </c>
      <c r="I11" s="24">
        <f t="shared" ca="1" si="1"/>
        <v>302</v>
      </c>
      <c r="J11" s="20">
        <v>18741</v>
      </c>
      <c r="K11" s="19">
        <f t="shared" ca="1" si="2"/>
        <v>64</v>
      </c>
      <c r="L11" s="7">
        <v>3564512</v>
      </c>
      <c r="M11" s="19">
        <f t="shared" si="3"/>
        <v>38</v>
      </c>
    </row>
    <row r="12" spans="1:13" ht="14.25" x14ac:dyDescent="0.2">
      <c r="A12" s="19">
        <v>27</v>
      </c>
      <c r="B12" s="2" t="s">
        <v>63</v>
      </c>
      <c r="C12" s="3" t="s">
        <v>35</v>
      </c>
      <c r="D12" s="3" t="s">
        <v>36</v>
      </c>
      <c r="E12" s="4" t="str">
        <f t="shared" si="0"/>
        <v>H</v>
      </c>
      <c r="F12" s="5" t="s">
        <v>14</v>
      </c>
      <c r="G12" s="33">
        <v>1463.5105654791396</v>
      </c>
      <c r="H12" s="28">
        <v>32979</v>
      </c>
      <c r="I12" s="24">
        <f t="shared" ca="1" si="1"/>
        <v>302</v>
      </c>
      <c r="J12" s="20">
        <v>19484</v>
      </c>
      <c r="K12" s="19">
        <f t="shared" ca="1" si="2"/>
        <v>62</v>
      </c>
      <c r="L12" s="7">
        <v>3947328</v>
      </c>
      <c r="M12" s="19">
        <f t="shared" si="3"/>
        <v>36</v>
      </c>
    </row>
    <row r="13" spans="1:13" ht="14.25" x14ac:dyDescent="0.2">
      <c r="A13" s="19">
        <v>25</v>
      </c>
      <c r="B13" s="2" t="s">
        <v>63</v>
      </c>
      <c r="C13" s="3" t="s">
        <v>15</v>
      </c>
      <c r="D13" s="3" t="s">
        <v>18</v>
      </c>
      <c r="E13" s="4" t="str">
        <f t="shared" si="0"/>
        <v>H</v>
      </c>
      <c r="F13" s="5" t="s">
        <v>19</v>
      </c>
      <c r="G13" s="33">
        <v>1524.4901723741038</v>
      </c>
      <c r="H13" s="28">
        <v>32979</v>
      </c>
      <c r="I13" s="24">
        <f t="shared" ca="1" si="1"/>
        <v>302</v>
      </c>
      <c r="J13" s="20">
        <v>21916</v>
      </c>
      <c r="K13" s="19">
        <f t="shared" ca="1" si="2"/>
        <v>55</v>
      </c>
      <c r="L13" s="7">
        <v>3874521</v>
      </c>
      <c r="M13" s="19">
        <f t="shared" si="3"/>
        <v>30</v>
      </c>
    </row>
    <row r="14" spans="1:13" ht="14.25" x14ac:dyDescent="0.2">
      <c r="A14" s="19">
        <v>14</v>
      </c>
      <c r="B14" s="2" t="s">
        <v>65</v>
      </c>
      <c r="C14" s="3" t="s">
        <v>46</v>
      </c>
      <c r="D14" s="3" t="s">
        <v>47</v>
      </c>
      <c r="E14" s="4" t="str">
        <f t="shared" si="0"/>
        <v>F</v>
      </c>
      <c r="F14" s="5" t="s">
        <v>26</v>
      </c>
      <c r="G14" s="33">
        <v>1524.4901723741038</v>
      </c>
      <c r="H14" s="28">
        <v>32979</v>
      </c>
      <c r="I14" s="24">
        <f t="shared" ca="1" si="1"/>
        <v>302</v>
      </c>
      <c r="J14" s="20">
        <v>24606</v>
      </c>
      <c r="K14" s="19">
        <f t="shared" ca="1" si="2"/>
        <v>48</v>
      </c>
      <c r="L14" s="7">
        <v>3874163</v>
      </c>
      <c r="M14" s="19">
        <f t="shared" si="3"/>
        <v>22</v>
      </c>
    </row>
    <row r="15" spans="1:13" ht="14.25" x14ac:dyDescent="0.2">
      <c r="A15" s="19">
        <v>5</v>
      </c>
      <c r="B15" s="2" t="s">
        <v>63</v>
      </c>
      <c r="C15" s="3" t="s">
        <v>42</v>
      </c>
      <c r="D15" s="3" t="s">
        <v>43</v>
      </c>
      <c r="E15" s="4" t="str">
        <f t="shared" si="0"/>
        <v>H</v>
      </c>
      <c r="F15" s="5" t="s">
        <v>19</v>
      </c>
      <c r="G15" s="33">
        <v>1562.6024266834563</v>
      </c>
      <c r="H15" s="28">
        <v>32979</v>
      </c>
      <c r="I15" s="24">
        <f t="shared" ca="1" si="1"/>
        <v>302</v>
      </c>
      <c r="J15" s="20">
        <v>20386</v>
      </c>
      <c r="K15" s="19">
        <f t="shared" ca="1" si="2"/>
        <v>59</v>
      </c>
      <c r="L15" s="7">
        <v>3875963</v>
      </c>
      <c r="M15" s="19">
        <f t="shared" si="3"/>
        <v>34</v>
      </c>
    </row>
    <row r="16" spans="1:13" ht="14.25" x14ac:dyDescent="0.2">
      <c r="A16" s="19">
        <v>24</v>
      </c>
      <c r="B16" s="2" t="s">
        <v>63</v>
      </c>
      <c r="C16" s="3" t="s">
        <v>33</v>
      </c>
      <c r="D16" s="3" t="s">
        <v>34</v>
      </c>
      <c r="E16" s="4" t="str">
        <f t="shared" si="0"/>
        <v>H</v>
      </c>
      <c r="F16" s="5" t="s">
        <v>14</v>
      </c>
      <c r="G16" s="33">
        <v>1669.3167387496437</v>
      </c>
      <c r="H16" s="28">
        <v>32979</v>
      </c>
      <c r="I16" s="24">
        <f ca="1">DATEDIF(H16,$D$1,"m")</f>
        <v>302</v>
      </c>
      <c r="J16" s="20">
        <v>21344</v>
      </c>
      <c r="K16" s="19">
        <f t="shared" ca="1" si="2"/>
        <v>57</v>
      </c>
      <c r="L16" s="7">
        <v>3234691</v>
      </c>
      <c r="M16" s="19">
        <f t="shared" si="3"/>
        <v>31</v>
      </c>
    </row>
    <row r="17" spans="1:13" ht="14.25" x14ac:dyDescent="0.2">
      <c r="A17" s="19">
        <v>7</v>
      </c>
      <c r="B17" s="2" t="s">
        <v>63</v>
      </c>
      <c r="C17" s="3" t="s">
        <v>20</v>
      </c>
      <c r="D17" s="3" t="s">
        <v>21</v>
      </c>
      <c r="E17" s="4" t="str">
        <f t="shared" si="0"/>
        <v>H</v>
      </c>
      <c r="F17" s="5" t="s">
        <v>14</v>
      </c>
      <c r="G17" s="33">
        <v>1829.3882068489245</v>
      </c>
      <c r="H17" s="28">
        <v>32979</v>
      </c>
      <c r="I17" s="24">
        <f t="shared" ca="1" si="1"/>
        <v>302</v>
      </c>
      <c r="J17" s="20">
        <v>22563</v>
      </c>
      <c r="K17" s="19">
        <f t="shared" ca="1" si="2"/>
        <v>53</v>
      </c>
      <c r="L17" s="7">
        <v>3548798</v>
      </c>
      <c r="M17" s="19">
        <f t="shared" si="3"/>
        <v>28</v>
      </c>
    </row>
    <row r="18" spans="1:13" ht="14.25" x14ac:dyDescent="0.2">
      <c r="A18" s="19">
        <v>16</v>
      </c>
      <c r="B18" s="2" t="s">
        <v>65</v>
      </c>
      <c r="C18" s="3" t="s">
        <v>50</v>
      </c>
      <c r="D18" s="3" t="s">
        <v>51</v>
      </c>
      <c r="E18" s="4" t="str">
        <f t="shared" si="0"/>
        <v>F</v>
      </c>
      <c r="F18" s="5" t="s">
        <v>19</v>
      </c>
      <c r="G18" s="33">
        <v>1905.6127154676299</v>
      </c>
      <c r="H18" s="28">
        <v>32979</v>
      </c>
      <c r="I18" s="24">
        <f t="shared" ca="1" si="1"/>
        <v>302</v>
      </c>
      <c r="J18" s="20">
        <v>23970</v>
      </c>
      <c r="K18" s="19">
        <f t="shared" ca="1" si="2"/>
        <v>49</v>
      </c>
      <c r="L18" s="7">
        <v>3395847</v>
      </c>
      <c r="M18" s="19">
        <f t="shared" si="3"/>
        <v>24</v>
      </c>
    </row>
    <row r="19" spans="1:13" ht="14.25" x14ac:dyDescent="0.2">
      <c r="A19" s="19">
        <v>9</v>
      </c>
      <c r="B19" s="2" t="s">
        <v>63</v>
      </c>
      <c r="C19" s="3" t="s">
        <v>29</v>
      </c>
      <c r="D19" s="3" t="s">
        <v>30</v>
      </c>
      <c r="E19" s="4" t="str">
        <f t="shared" si="0"/>
        <v>H</v>
      </c>
      <c r="F19" s="5" t="s">
        <v>19</v>
      </c>
      <c r="G19" s="33">
        <v>1912.777819277788</v>
      </c>
      <c r="H19" s="28">
        <v>32979</v>
      </c>
      <c r="I19" s="24">
        <f t="shared" ca="1" si="1"/>
        <v>302</v>
      </c>
      <c r="J19" s="20">
        <v>20092</v>
      </c>
      <c r="K19" s="19">
        <f t="shared" ca="1" si="2"/>
        <v>60</v>
      </c>
      <c r="L19" s="7">
        <v>3659812</v>
      </c>
      <c r="M19" s="19">
        <f t="shared" si="3"/>
        <v>35</v>
      </c>
    </row>
    <row r="20" spans="1:13" ht="14.25" x14ac:dyDescent="0.2">
      <c r="A20" s="19">
        <v>15</v>
      </c>
      <c r="B20" s="2" t="s">
        <v>63</v>
      </c>
      <c r="C20" s="3" t="s">
        <v>12</v>
      </c>
      <c r="D20" s="3" t="s">
        <v>13</v>
      </c>
      <c r="E20" s="4" t="str">
        <f t="shared" si="0"/>
        <v>H</v>
      </c>
      <c r="F20" s="5" t="s">
        <v>14</v>
      </c>
      <c r="G20" s="33">
        <v>2134.2862413237453</v>
      </c>
      <c r="H20" s="28">
        <v>32979</v>
      </c>
      <c r="I20" s="24">
        <f t="shared" ca="1" si="1"/>
        <v>302</v>
      </c>
      <c r="J20" s="20">
        <v>25601</v>
      </c>
      <c r="K20" s="19">
        <f t="shared" ca="1" si="2"/>
        <v>45</v>
      </c>
      <c r="L20" s="7">
        <v>3232558</v>
      </c>
      <c r="M20" s="19">
        <f t="shared" si="3"/>
        <v>20</v>
      </c>
    </row>
    <row r="21" spans="1:13" ht="14.25" x14ac:dyDescent="0.2">
      <c r="A21" s="19">
        <v>12</v>
      </c>
      <c r="B21" s="2" t="s">
        <v>63</v>
      </c>
      <c r="C21" s="3" t="s">
        <v>40</v>
      </c>
      <c r="D21" s="3" t="s">
        <v>41</v>
      </c>
      <c r="E21" s="4" t="str">
        <f t="shared" si="0"/>
        <v>H</v>
      </c>
      <c r="F21" s="5" t="s">
        <v>17</v>
      </c>
      <c r="G21" s="33">
        <v>2157.1535939093569</v>
      </c>
      <c r="H21" s="28">
        <v>32979</v>
      </c>
      <c r="I21" s="24">
        <f t="shared" ca="1" si="1"/>
        <v>302</v>
      </c>
      <c r="J21" s="20">
        <v>20686</v>
      </c>
      <c r="K21" s="19">
        <f t="shared" ca="1" si="2"/>
        <v>58</v>
      </c>
      <c r="L21" s="7">
        <v>3568171</v>
      </c>
      <c r="M21" s="19">
        <f t="shared" si="3"/>
        <v>33</v>
      </c>
    </row>
    <row r="22" spans="1:13" ht="14.25" x14ac:dyDescent="0.2">
      <c r="A22" s="19">
        <v>4</v>
      </c>
      <c r="B22" s="2" t="s">
        <v>63</v>
      </c>
      <c r="C22" s="3" t="s">
        <v>24</v>
      </c>
      <c r="D22" s="3" t="s">
        <v>25</v>
      </c>
      <c r="E22" s="4" t="str">
        <f t="shared" si="0"/>
        <v>H</v>
      </c>
      <c r="F22" s="5" t="s">
        <v>26</v>
      </c>
      <c r="G22" s="33">
        <v>2286.7352585611557</v>
      </c>
      <c r="H22" s="28">
        <v>32979</v>
      </c>
      <c r="I22" s="24">
        <f t="shared" ca="1" si="1"/>
        <v>302</v>
      </c>
      <c r="J22" s="20">
        <v>18401</v>
      </c>
      <c r="K22" s="19">
        <f t="shared" ca="1" si="2"/>
        <v>65</v>
      </c>
      <c r="L22" s="7">
        <v>3589657</v>
      </c>
      <c r="M22" s="19">
        <f t="shared" si="3"/>
        <v>39</v>
      </c>
    </row>
    <row r="23" spans="1:13" ht="14.25" x14ac:dyDescent="0.2">
      <c r="A23" s="19">
        <v>6</v>
      </c>
      <c r="B23" s="2" t="s">
        <v>64</v>
      </c>
      <c r="C23" s="3" t="s">
        <v>48</v>
      </c>
      <c r="D23" s="3" t="s">
        <v>49</v>
      </c>
      <c r="E23" s="4" t="str">
        <f t="shared" si="0"/>
        <v>F</v>
      </c>
      <c r="F23" s="5" t="s">
        <v>17</v>
      </c>
      <c r="G23" s="33">
        <v>2286.7352585611557</v>
      </c>
      <c r="H23" s="28">
        <v>32979</v>
      </c>
      <c r="I23" s="24">
        <f t="shared" ca="1" si="1"/>
        <v>302</v>
      </c>
      <c r="J23" s="20">
        <v>19846</v>
      </c>
      <c r="K23" s="19">
        <f t="shared" ca="1" si="2"/>
        <v>61</v>
      </c>
      <c r="L23" s="7">
        <v>3857154</v>
      </c>
      <c r="M23" s="19">
        <f t="shared" si="3"/>
        <v>35</v>
      </c>
    </row>
    <row r="24" spans="1:13" ht="14.25" x14ac:dyDescent="0.2">
      <c r="A24" s="19">
        <v>11</v>
      </c>
      <c r="B24" s="2" t="s">
        <v>63</v>
      </c>
      <c r="C24" s="3" t="s">
        <v>27</v>
      </c>
      <c r="D24" s="3" t="s">
        <v>28</v>
      </c>
      <c r="E24" s="4" t="str">
        <f t="shared" si="0"/>
        <v>H</v>
      </c>
      <c r="F24" s="5" t="s">
        <v>19</v>
      </c>
      <c r="G24" s="33">
        <v>2820.306818892092</v>
      </c>
      <c r="H24" s="28">
        <v>32979</v>
      </c>
      <c r="I24" s="24">
        <f t="shared" ca="1" si="1"/>
        <v>302</v>
      </c>
      <c r="J24" s="20">
        <v>18094</v>
      </c>
      <c r="K24" s="19">
        <f t="shared" ca="1" si="2"/>
        <v>65</v>
      </c>
      <c r="L24" s="7">
        <v>3547821</v>
      </c>
      <c r="M24" s="19">
        <f t="shared" si="3"/>
        <v>40</v>
      </c>
    </row>
    <row r="25" spans="1:13" ht="14.25" x14ac:dyDescent="0.2">
      <c r="A25" s="19">
        <v>24</v>
      </c>
      <c r="B25" s="2" t="s">
        <v>63</v>
      </c>
      <c r="C25" s="3" t="s">
        <v>33</v>
      </c>
      <c r="D25" s="3" t="s">
        <v>34</v>
      </c>
      <c r="E25" s="4" t="str">
        <f>IF(B25="Monsieur","H","F")</f>
        <v>H</v>
      </c>
      <c r="F25" s="5" t="s">
        <v>14</v>
      </c>
      <c r="G25" s="33">
        <v>1669.3167387496437</v>
      </c>
      <c r="H25" s="28">
        <v>32979</v>
      </c>
      <c r="I25" s="24">
        <f t="shared" ca="1" si="1"/>
        <v>302</v>
      </c>
      <c r="J25" s="20">
        <v>21344</v>
      </c>
      <c r="K25" s="19">
        <f t="shared" ca="1" si="2"/>
        <v>57</v>
      </c>
      <c r="L25" s="7">
        <v>3234691</v>
      </c>
      <c r="M25" s="19">
        <f>DATEDIF(J25,H25,"y")</f>
        <v>31</v>
      </c>
    </row>
    <row r="27" spans="1:13" x14ac:dyDescent="0.2">
      <c r="A27"/>
      <c r="B27"/>
      <c r="C27"/>
      <c r="D27"/>
      <c r="E27"/>
      <c r="F27"/>
      <c r="G27"/>
      <c r="H27"/>
      <c r="I27"/>
    </row>
    <row r="28" spans="1:13" x14ac:dyDescent="0.2">
      <c r="A28"/>
      <c r="B28"/>
      <c r="C28"/>
      <c r="D28"/>
      <c r="E28"/>
      <c r="F28"/>
      <c r="G28"/>
      <c r="H28"/>
      <c r="I28"/>
    </row>
    <row r="29" spans="1:13" x14ac:dyDescent="0.2">
      <c r="A29"/>
      <c r="B29"/>
      <c r="C29"/>
      <c r="D29"/>
      <c r="E29"/>
      <c r="F29"/>
      <c r="G29"/>
      <c r="H29"/>
      <c r="I29"/>
      <c r="J29" s="5" t="s">
        <v>19</v>
      </c>
    </row>
    <row r="30" spans="1:13" x14ac:dyDescent="0.2">
      <c r="A30"/>
      <c r="B30"/>
      <c r="C30"/>
      <c r="D30"/>
      <c r="E30"/>
      <c r="F30"/>
      <c r="G30"/>
      <c r="H30"/>
      <c r="I30"/>
      <c r="J30" s="5" t="s">
        <v>14</v>
      </c>
    </row>
    <row r="31" spans="1:13" x14ac:dyDescent="0.2">
      <c r="A31"/>
      <c r="B31"/>
      <c r="C31"/>
      <c r="D31"/>
      <c r="E31"/>
      <c r="F31"/>
      <c r="G31"/>
      <c r="H31"/>
      <c r="I31"/>
      <c r="J31" s="5" t="s">
        <v>17</v>
      </c>
    </row>
    <row r="32" spans="1:13" x14ac:dyDescent="0.2">
      <c r="A32"/>
      <c r="B32"/>
      <c r="C32"/>
      <c r="D32"/>
      <c r="E32"/>
      <c r="F32"/>
      <c r="G32"/>
      <c r="H32"/>
      <c r="I32"/>
      <c r="J32" s="5" t="s">
        <v>26</v>
      </c>
    </row>
    <row r="33" spans="1:9" x14ac:dyDescent="0.2">
      <c r="A33"/>
      <c r="B33"/>
      <c r="C33"/>
      <c r="D33"/>
      <c r="E33"/>
      <c r="F33"/>
      <c r="G33"/>
      <c r="H33"/>
      <c r="I33"/>
    </row>
    <row r="34" spans="1:9" x14ac:dyDescent="0.2">
      <c r="A34"/>
      <c r="B34"/>
      <c r="C34"/>
      <c r="D34"/>
      <c r="E34"/>
      <c r="F34"/>
      <c r="G34"/>
      <c r="H34"/>
      <c r="I34"/>
    </row>
    <row r="35" spans="1:9" x14ac:dyDescent="0.2">
      <c r="A35"/>
      <c r="B35"/>
      <c r="C35"/>
      <c r="D35"/>
      <c r="E35"/>
      <c r="F35"/>
      <c r="G35"/>
      <c r="H35"/>
      <c r="I35"/>
    </row>
    <row r="36" spans="1:9" x14ac:dyDescent="0.2">
      <c r="A36"/>
      <c r="B36"/>
      <c r="C36"/>
      <c r="D36"/>
      <c r="E36"/>
      <c r="F36"/>
      <c r="G36"/>
      <c r="H36"/>
      <c r="I36"/>
    </row>
    <row r="37" spans="1:9" x14ac:dyDescent="0.2">
      <c r="A37"/>
      <c r="B37"/>
      <c r="C37"/>
      <c r="D37"/>
      <c r="E37"/>
      <c r="F37"/>
      <c r="G37"/>
      <c r="H37"/>
      <c r="I37"/>
    </row>
    <row r="38" spans="1:9" x14ac:dyDescent="0.2">
      <c r="A38"/>
      <c r="B38"/>
      <c r="C38"/>
      <c r="D38"/>
      <c r="E38"/>
      <c r="F38"/>
      <c r="G38"/>
      <c r="H38"/>
      <c r="I38"/>
    </row>
    <row r="39" spans="1:9" x14ac:dyDescent="0.2">
      <c r="A39"/>
      <c r="B39"/>
      <c r="C39"/>
      <c r="D39"/>
      <c r="E39"/>
      <c r="F39"/>
      <c r="G39"/>
      <c r="H39"/>
      <c r="I39"/>
    </row>
    <row r="40" spans="1:9" x14ac:dyDescent="0.2">
      <c r="A40"/>
      <c r="B40"/>
      <c r="C40"/>
      <c r="D40"/>
      <c r="E40"/>
      <c r="F40"/>
      <c r="G40"/>
      <c r="H40"/>
      <c r="I40"/>
    </row>
    <row r="41" spans="1:9" x14ac:dyDescent="0.2">
      <c r="A41"/>
      <c r="B41"/>
      <c r="C41"/>
      <c r="D41"/>
      <c r="E41"/>
      <c r="F41"/>
      <c r="G41"/>
      <c r="H41"/>
      <c r="I41"/>
    </row>
    <row r="42" spans="1:9" x14ac:dyDescent="0.2">
      <c r="A42"/>
      <c r="B42"/>
      <c r="C42"/>
      <c r="D42"/>
      <c r="E42"/>
      <c r="F42"/>
      <c r="G42"/>
      <c r="H42"/>
      <c r="I42"/>
    </row>
    <row r="43" spans="1:9" x14ac:dyDescent="0.2">
      <c r="A43"/>
      <c r="B43"/>
      <c r="C43"/>
      <c r="D43"/>
      <c r="E43"/>
      <c r="F43"/>
      <c r="G43"/>
      <c r="H43"/>
      <c r="I43"/>
    </row>
    <row r="44" spans="1:9" x14ac:dyDescent="0.2">
      <c r="A44"/>
      <c r="B44"/>
      <c r="C44"/>
      <c r="D44"/>
      <c r="E44"/>
      <c r="F44"/>
      <c r="G44"/>
      <c r="H44"/>
      <c r="I44"/>
    </row>
    <row r="45" spans="1:9" x14ac:dyDescent="0.2">
      <c r="I45"/>
    </row>
    <row r="46" spans="1:9" x14ac:dyDescent="0.2">
      <c r="I46"/>
    </row>
    <row r="47" spans="1:9" x14ac:dyDescent="0.2">
      <c r="I47"/>
    </row>
    <row r="48" spans="1:9" x14ac:dyDescent="0.2">
      <c r="I48"/>
    </row>
    <row r="49" spans="9:9" x14ac:dyDescent="0.2">
      <c r="I49"/>
    </row>
    <row r="50" spans="9:9" x14ac:dyDescent="0.2">
      <c r="I50"/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A1:D18"/>
  <sheetViews>
    <sheetView zoomScaleNormal="100" workbookViewId="0">
      <selection activeCell="A7" sqref="A7"/>
    </sheetView>
  </sheetViews>
  <sheetFormatPr baseColWidth="10" defaultRowHeight="12.75" x14ac:dyDescent="0.2"/>
  <cols>
    <col min="1" max="1" width="47.7109375" bestFit="1" customWidth="1"/>
    <col min="2" max="2" width="15.140625" style="21" customWidth="1"/>
    <col min="4" max="5" width="25.140625" bestFit="1" customWidth="1"/>
    <col min="7" max="7" width="25.140625" bestFit="1" customWidth="1"/>
    <col min="8" max="8" width="18.42578125" customWidth="1"/>
  </cols>
  <sheetData>
    <row r="1" spans="1:4" ht="18.75" x14ac:dyDescent="0.25">
      <c r="A1" s="35" t="s">
        <v>62</v>
      </c>
      <c r="B1" s="35"/>
      <c r="C1" s="35"/>
      <c r="D1" s="35"/>
    </row>
    <row r="3" spans="1:4" x14ac:dyDescent="0.2">
      <c r="A3" t="s">
        <v>68</v>
      </c>
    </row>
    <row r="6" spans="1:4" ht="15.75" thickBot="1" x14ac:dyDescent="0.25">
      <c r="A6" s="15" t="s">
        <v>5</v>
      </c>
    </row>
    <row r="7" spans="1:4" ht="15.75" thickBot="1" x14ac:dyDescent="0.25">
      <c r="A7" s="16" t="s">
        <v>14</v>
      </c>
    </row>
    <row r="10" spans="1:4" x14ac:dyDescent="0.2">
      <c r="B10" s="22"/>
    </row>
    <row r="11" spans="1:4" x14ac:dyDescent="0.2">
      <c r="B11" s="22"/>
    </row>
    <row r="12" spans="1:4" ht="15" x14ac:dyDescent="0.2">
      <c r="A12" s="17" t="s">
        <v>56</v>
      </c>
      <c r="B12" s="22"/>
      <c r="C12" s="34"/>
    </row>
    <row r="13" spans="1:4" ht="15" x14ac:dyDescent="0.2">
      <c r="A13" s="18"/>
      <c r="B13" s="22"/>
    </row>
    <row r="14" spans="1:4" ht="15" x14ac:dyDescent="0.2">
      <c r="A14" s="17" t="s">
        <v>57</v>
      </c>
      <c r="B14" s="22"/>
      <c r="C14" s="34"/>
    </row>
    <row r="15" spans="1:4" ht="15" x14ac:dyDescent="0.2">
      <c r="A15" s="18"/>
    </row>
    <row r="16" spans="1:4" ht="15" x14ac:dyDescent="0.2">
      <c r="A16" s="17" t="s">
        <v>58</v>
      </c>
      <c r="C16" s="34"/>
    </row>
    <row r="17" spans="1:3" ht="15" x14ac:dyDescent="0.2">
      <c r="A17" s="18"/>
    </row>
    <row r="18" spans="1:3" ht="15" x14ac:dyDescent="0.2">
      <c r="A18" s="17" t="s">
        <v>59</v>
      </c>
      <c r="C18" s="34"/>
    </row>
  </sheetData>
  <customSheetViews>
    <customSheetView guid="{15AA0979-965B-4148-AE30-C3EDCB499C76}" showRuler="0">
      <selection activeCell="B2" sqref="B1:B65536"/>
      <pageMargins left="0.78740157499999996" right="0.78740157499999996" top="0.984251969" bottom="0.984251969" header="0.4921259845" footer="0.4921259845"/>
      <headerFooter alignWithMargins="0"/>
    </customSheetView>
  </customSheetViews>
  <mergeCells count="1">
    <mergeCell ref="A1:D1"/>
  </mergeCells>
  <phoneticPr fontId="0" type="noConversion"/>
  <pageMargins left="0.78740157499999996" right="0.78740157499999996" top="0.984251969" bottom="0.984251969" header="0.4921259845" footer="0.492125984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M32"/>
  <sheetViews>
    <sheetView zoomScale="101" workbookViewId="0">
      <selection activeCell="A3" sqref="A3:M25"/>
    </sheetView>
  </sheetViews>
  <sheetFormatPr baseColWidth="10" defaultRowHeight="12.75" x14ac:dyDescent="0.2"/>
  <cols>
    <col min="1" max="1" width="11.42578125" customWidth="1"/>
    <col min="2" max="2" width="13.5703125" customWidth="1"/>
    <col min="3" max="5" width="11.42578125" customWidth="1"/>
    <col min="6" max="6" width="7" bestFit="1" customWidth="1"/>
    <col min="7" max="7" width="10.28515625" bestFit="1" customWidth="1"/>
    <col min="8" max="8" width="19.7109375" bestFit="1" customWidth="1"/>
    <col min="9" max="9" width="10.28515625" bestFit="1" customWidth="1"/>
    <col min="10" max="10" width="14.28515625" bestFit="1" customWidth="1"/>
    <col min="11" max="11" width="10.42578125" style="21" bestFit="1" customWidth="1"/>
    <col min="12" max="12" width="12" bestFit="1" customWidth="1"/>
    <col min="13" max="13" width="14.28515625" bestFit="1" customWidth="1"/>
    <col min="14" max="14" width="11.42578125" customWidth="1"/>
  </cols>
  <sheetData>
    <row r="1" spans="1:13" x14ac:dyDescent="0.2">
      <c r="C1" s="23"/>
      <c r="D1" s="23">
        <f ca="1">TODAY()</f>
        <v>42172</v>
      </c>
    </row>
    <row r="3" spans="1:13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67</v>
      </c>
    </row>
    <row r="4" spans="1:13" ht="14.25" x14ac:dyDescent="0.2">
      <c r="A4" s="19">
        <v>19</v>
      </c>
      <c r="B4" s="2" t="s">
        <v>64</v>
      </c>
      <c r="C4" s="3" t="s">
        <v>54</v>
      </c>
      <c r="D4" s="3" t="s">
        <v>55</v>
      </c>
      <c r="E4" s="4" t="str">
        <f>IF(B4="Monsieur","H","F")</f>
        <v>F</v>
      </c>
      <c r="F4" s="5" t="s">
        <v>19</v>
      </c>
      <c r="G4" s="6">
        <v>990.91861204316751</v>
      </c>
      <c r="H4" s="28">
        <v>32979</v>
      </c>
      <c r="I4" s="24">
        <f ca="1">DATEDIF(H4,$D$1,"m")</f>
        <v>302</v>
      </c>
      <c r="J4" s="20">
        <v>25019</v>
      </c>
      <c r="K4" s="19">
        <f ca="1">DATEDIF(J4,$D$1,"y")</f>
        <v>46</v>
      </c>
      <c r="L4" s="7">
        <v>3847898</v>
      </c>
      <c r="M4" s="19">
        <f>DATEDIF(J4,H4,"y")</f>
        <v>21</v>
      </c>
    </row>
    <row r="5" spans="1:13" ht="14.25" x14ac:dyDescent="0.2">
      <c r="A5" s="19">
        <v>3</v>
      </c>
      <c r="B5" s="2" t="s">
        <v>63</v>
      </c>
      <c r="C5" s="3" t="s">
        <v>31</v>
      </c>
      <c r="D5" s="3" t="s">
        <v>32</v>
      </c>
      <c r="E5" s="4" t="str">
        <f t="shared" ref="E5:E24" si="0">IF(B5="Monsieur","H","F")</f>
        <v>H</v>
      </c>
      <c r="F5" s="5" t="s">
        <v>19</v>
      </c>
      <c r="G5" s="6">
        <v>990.91861204316751</v>
      </c>
      <c r="H5" s="28">
        <v>32979</v>
      </c>
      <c r="I5" s="24">
        <f t="shared" ref="I5:I25" ca="1" si="1">DATEDIF(H5,$D$1,"m")</f>
        <v>302</v>
      </c>
      <c r="J5" s="20">
        <v>17938</v>
      </c>
      <c r="K5" s="19">
        <f t="shared" ref="K5:K25" ca="1" si="2">DATEDIF(J5,$D$1,"y")</f>
        <v>66</v>
      </c>
      <c r="L5" s="7">
        <v>3568945</v>
      </c>
      <c r="M5" s="19">
        <f t="shared" ref="M5:M24" si="3">DATEDIF(J5,H5,"y")</f>
        <v>41</v>
      </c>
    </row>
    <row r="6" spans="1:13" ht="14.25" x14ac:dyDescent="0.2">
      <c r="A6" s="19">
        <v>2</v>
      </c>
      <c r="B6" s="2" t="s">
        <v>64</v>
      </c>
      <c r="C6" s="3" t="s">
        <v>44</v>
      </c>
      <c r="D6" s="3" t="s">
        <v>45</v>
      </c>
      <c r="E6" s="4" t="str">
        <f t="shared" si="0"/>
        <v>F</v>
      </c>
      <c r="F6" s="5" t="s">
        <v>19</v>
      </c>
      <c r="G6" s="6">
        <v>1143.3676292805778</v>
      </c>
      <c r="H6" s="28">
        <v>32979</v>
      </c>
      <c r="I6" s="24">
        <f t="shared" ca="1" si="1"/>
        <v>302</v>
      </c>
      <c r="J6" s="20">
        <v>23149</v>
      </c>
      <c r="K6" s="19">
        <f t="shared" ca="1" si="2"/>
        <v>52</v>
      </c>
      <c r="L6" s="7">
        <v>3321364</v>
      </c>
      <c r="M6" s="19">
        <f t="shared" si="3"/>
        <v>26</v>
      </c>
    </row>
    <row r="7" spans="1:13" ht="14.25" x14ac:dyDescent="0.2">
      <c r="A7" s="19">
        <v>26</v>
      </c>
      <c r="B7" s="2" t="s">
        <v>64</v>
      </c>
      <c r="C7" s="3" t="s">
        <v>52</v>
      </c>
      <c r="D7" s="3" t="s">
        <v>53</v>
      </c>
      <c r="E7" s="4" t="str">
        <f t="shared" si="0"/>
        <v>F</v>
      </c>
      <c r="F7" s="5" t="s">
        <v>14</v>
      </c>
      <c r="G7" s="6">
        <v>1143.3676292805778</v>
      </c>
      <c r="H7" s="28">
        <v>32979</v>
      </c>
      <c r="I7" s="24">
        <f t="shared" ca="1" si="1"/>
        <v>302</v>
      </c>
      <c r="J7" s="20">
        <v>20022</v>
      </c>
      <c r="K7" s="19">
        <f t="shared" ca="1" si="2"/>
        <v>60</v>
      </c>
      <c r="L7" s="7">
        <v>3458137</v>
      </c>
      <c r="M7" s="19">
        <f t="shared" si="3"/>
        <v>35</v>
      </c>
    </row>
    <row r="8" spans="1:13" ht="14.25" x14ac:dyDescent="0.2">
      <c r="A8" s="19">
        <v>1</v>
      </c>
      <c r="B8" s="2" t="s">
        <v>63</v>
      </c>
      <c r="C8" s="3" t="s">
        <v>22</v>
      </c>
      <c r="D8" s="3" t="s">
        <v>23</v>
      </c>
      <c r="E8" s="4" t="str">
        <f t="shared" si="0"/>
        <v>H</v>
      </c>
      <c r="F8" s="5" t="s">
        <v>14</v>
      </c>
      <c r="G8" s="6">
        <v>1219.592137899283</v>
      </c>
      <c r="H8" s="28">
        <v>32979</v>
      </c>
      <c r="I8" s="24">
        <f t="shared" ca="1" si="1"/>
        <v>302</v>
      </c>
      <c r="J8" s="20">
        <v>16483</v>
      </c>
      <c r="K8" s="19">
        <f t="shared" ca="1" si="2"/>
        <v>70</v>
      </c>
      <c r="L8" s="7">
        <v>3587412</v>
      </c>
      <c r="M8" s="19">
        <f t="shared" si="3"/>
        <v>45</v>
      </c>
    </row>
    <row r="9" spans="1:13" ht="14.25" x14ac:dyDescent="0.2">
      <c r="A9" s="19">
        <v>20</v>
      </c>
      <c r="B9" s="2" t="s">
        <v>63</v>
      </c>
      <c r="C9" s="3" t="s">
        <v>15</v>
      </c>
      <c r="D9" s="3" t="s">
        <v>16</v>
      </c>
      <c r="E9" s="4" t="str">
        <f t="shared" si="0"/>
        <v>H</v>
      </c>
      <c r="F9" s="5" t="s">
        <v>17</v>
      </c>
      <c r="G9" s="6">
        <v>1219.592137899283</v>
      </c>
      <c r="H9" s="28">
        <v>32979</v>
      </c>
      <c r="I9" s="24">
        <f t="shared" ca="1" si="1"/>
        <v>302</v>
      </c>
      <c r="J9" s="20">
        <v>24022</v>
      </c>
      <c r="K9" s="19">
        <f t="shared" ca="1" si="2"/>
        <v>49</v>
      </c>
      <c r="L9" s="7">
        <v>3258487</v>
      </c>
      <c r="M9" s="19">
        <f t="shared" si="3"/>
        <v>24</v>
      </c>
    </row>
    <row r="10" spans="1:13" ht="14.25" x14ac:dyDescent="0.2">
      <c r="A10" s="19">
        <v>17</v>
      </c>
      <c r="B10" s="2" t="s">
        <v>63</v>
      </c>
      <c r="C10" s="3" t="s">
        <v>38</v>
      </c>
      <c r="D10" s="3" t="s">
        <v>39</v>
      </c>
      <c r="E10" s="4" t="str">
        <f t="shared" si="0"/>
        <v>H</v>
      </c>
      <c r="F10" s="5" t="s">
        <v>14</v>
      </c>
      <c r="G10" s="6">
        <v>1257.7043922086357</v>
      </c>
      <c r="H10" s="28">
        <v>32979</v>
      </c>
      <c r="I10" s="24">
        <f t="shared" ca="1" si="1"/>
        <v>302</v>
      </c>
      <c r="J10" s="20">
        <v>21835</v>
      </c>
      <c r="K10" s="19">
        <f t="shared" ca="1" si="2"/>
        <v>55</v>
      </c>
      <c r="L10" s="7">
        <v>3876521</v>
      </c>
      <c r="M10" s="19">
        <f t="shared" si="3"/>
        <v>30</v>
      </c>
    </row>
    <row r="11" spans="1:13" ht="14.25" x14ac:dyDescent="0.2">
      <c r="A11" s="19">
        <v>45</v>
      </c>
      <c r="B11" s="2" t="s">
        <v>63</v>
      </c>
      <c r="C11" s="3" t="s">
        <v>29</v>
      </c>
      <c r="D11" s="3" t="s">
        <v>37</v>
      </c>
      <c r="E11" s="4" t="str">
        <f t="shared" si="0"/>
        <v>H</v>
      </c>
      <c r="F11" s="5" t="s">
        <v>17</v>
      </c>
      <c r="G11" s="6">
        <v>1326.3064499654704</v>
      </c>
      <c r="H11" s="28">
        <v>32979</v>
      </c>
      <c r="I11" s="24">
        <f t="shared" ca="1" si="1"/>
        <v>302</v>
      </c>
      <c r="J11" s="20">
        <v>18741</v>
      </c>
      <c r="K11" s="19">
        <f t="shared" ca="1" si="2"/>
        <v>64</v>
      </c>
      <c r="L11" s="7">
        <v>3564512</v>
      </c>
      <c r="M11" s="19">
        <f t="shared" si="3"/>
        <v>38</v>
      </c>
    </row>
    <row r="12" spans="1:13" ht="14.25" x14ac:dyDescent="0.2">
      <c r="A12" s="19">
        <v>27</v>
      </c>
      <c r="B12" s="2" t="s">
        <v>63</v>
      </c>
      <c r="C12" s="3" t="s">
        <v>35</v>
      </c>
      <c r="D12" s="3" t="s">
        <v>36</v>
      </c>
      <c r="E12" s="4" t="str">
        <f t="shared" si="0"/>
        <v>H</v>
      </c>
      <c r="F12" s="5" t="s">
        <v>14</v>
      </c>
      <c r="G12" s="6">
        <v>1463.5105654791396</v>
      </c>
      <c r="H12" s="28">
        <v>32979</v>
      </c>
      <c r="I12" s="24">
        <f t="shared" ca="1" si="1"/>
        <v>302</v>
      </c>
      <c r="J12" s="20">
        <v>19484</v>
      </c>
      <c r="K12" s="19">
        <f t="shared" ca="1" si="2"/>
        <v>62</v>
      </c>
      <c r="L12" s="7">
        <v>3947328</v>
      </c>
      <c r="M12" s="19">
        <f t="shared" si="3"/>
        <v>36</v>
      </c>
    </row>
    <row r="13" spans="1:13" ht="14.25" x14ac:dyDescent="0.2">
      <c r="A13" s="19">
        <v>25</v>
      </c>
      <c r="B13" s="2" t="s">
        <v>63</v>
      </c>
      <c r="C13" s="3" t="s">
        <v>15</v>
      </c>
      <c r="D13" s="3" t="s">
        <v>18</v>
      </c>
      <c r="E13" s="4" t="str">
        <f t="shared" si="0"/>
        <v>H</v>
      </c>
      <c r="F13" s="5" t="s">
        <v>19</v>
      </c>
      <c r="G13" s="6">
        <v>1524.4901723741038</v>
      </c>
      <c r="H13" s="28">
        <v>32979</v>
      </c>
      <c r="I13" s="24">
        <f t="shared" ca="1" si="1"/>
        <v>302</v>
      </c>
      <c r="J13" s="20">
        <v>21916</v>
      </c>
      <c r="K13" s="19">
        <f t="shared" ca="1" si="2"/>
        <v>55</v>
      </c>
      <c r="L13" s="7">
        <v>3874521</v>
      </c>
      <c r="M13" s="19">
        <f t="shared" si="3"/>
        <v>30</v>
      </c>
    </row>
    <row r="14" spans="1:13" ht="14.25" x14ac:dyDescent="0.2">
      <c r="A14" s="19">
        <v>14</v>
      </c>
      <c r="B14" s="2" t="s">
        <v>65</v>
      </c>
      <c r="C14" s="3" t="s">
        <v>46</v>
      </c>
      <c r="D14" s="3" t="s">
        <v>47</v>
      </c>
      <c r="E14" s="4" t="str">
        <f t="shared" si="0"/>
        <v>F</v>
      </c>
      <c r="F14" s="5" t="s">
        <v>26</v>
      </c>
      <c r="G14" s="6">
        <v>1524.4901723741038</v>
      </c>
      <c r="H14" s="28">
        <v>32979</v>
      </c>
      <c r="I14" s="24">
        <f t="shared" ca="1" si="1"/>
        <v>302</v>
      </c>
      <c r="J14" s="20">
        <v>24606</v>
      </c>
      <c r="K14" s="19">
        <f t="shared" ca="1" si="2"/>
        <v>48</v>
      </c>
      <c r="L14" s="7">
        <v>3874163</v>
      </c>
      <c r="M14" s="19">
        <f t="shared" si="3"/>
        <v>22</v>
      </c>
    </row>
    <row r="15" spans="1:13" ht="14.25" x14ac:dyDescent="0.2">
      <c r="A15" s="19">
        <v>5</v>
      </c>
      <c r="B15" s="2" t="s">
        <v>63</v>
      </c>
      <c r="C15" s="3" t="s">
        <v>42</v>
      </c>
      <c r="D15" s="3" t="s">
        <v>43</v>
      </c>
      <c r="E15" s="4" t="str">
        <f t="shared" si="0"/>
        <v>H</v>
      </c>
      <c r="F15" s="5" t="s">
        <v>19</v>
      </c>
      <c r="G15" s="6">
        <v>1562.6024266834563</v>
      </c>
      <c r="H15" s="28">
        <v>32979</v>
      </c>
      <c r="I15" s="24">
        <f t="shared" ca="1" si="1"/>
        <v>302</v>
      </c>
      <c r="J15" s="20">
        <v>20386</v>
      </c>
      <c r="K15" s="19">
        <f t="shared" ca="1" si="2"/>
        <v>59</v>
      </c>
      <c r="L15" s="7">
        <v>3875963</v>
      </c>
      <c r="M15" s="19">
        <f t="shared" si="3"/>
        <v>34</v>
      </c>
    </row>
    <row r="16" spans="1:13" ht="14.25" x14ac:dyDescent="0.2">
      <c r="A16" s="19">
        <v>24</v>
      </c>
      <c r="B16" s="2" t="s">
        <v>63</v>
      </c>
      <c r="C16" s="3" t="s">
        <v>33</v>
      </c>
      <c r="D16" s="3" t="s">
        <v>34</v>
      </c>
      <c r="E16" s="4" t="str">
        <f t="shared" si="0"/>
        <v>H</v>
      </c>
      <c r="F16" s="5" t="s">
        <v>14</v>
      </c>
      <c r="G16" s="6">
        <v>1669.3167387496437</v>
      </c>
      <c r="H16" s="28">
        <v>32979</v>
      </c>
      <c r="I16" s="24">
        <f ca="1">DATEDIF(H16,$D$1,"m")</f>
        <v>302</v>
      </c>
      <c r="J16" s="20">
        <v>21344</v>
      </c>
      <c r="K16" s="19">
        <f t="shared" ca="1" si="2"/>
        <v>57</v>
      </c>
      <c r="L16" s="7">
        <v>3234691</v>
      </c>
      <c r="M16" s="19">
        <f t="shared" si="3"/>
        <v>31</v>
      </c>
    </row>
    <row r="17" spans="1:13" ht="14.25" x14ac:dyDescent="0.2">
      <c r="A17" s="19">
        <v>7</v>
      </c>
      <c r="B17" s="2" t="s">
        <v>63</v>
      </c>
      <c r="C17" s="3" t="s">
        <v>20</v>
      </c>
      <c r="D17" s="3" t="s">
        <v>21</v>
      </c>
      <c r="E17" s="4" t="str">
        <f t="shared" si="0"/>
        <v>H</v>
      </c>
      <c r="F17" s="5" t="s">
        <v>14</v>
      </c>
      <c r="G17" s="6">
        <v>1829.3882068489245</v>
      </c>
      <c r="H17" s="28">
        <v>32979</v>
      </c>
      <c r="I17" s="24">
        <f t="shared" ca="1" si="1"/>
        <v>302</v>
      </c>
      <c r="J17" s="20">
        <v>22563</v>
      </c>
      <c r="K17" s="19">
        <f t="shared" ca="1" si="2"/>
        <v>53</v>
      </c>
      <c r="L17" s="7">
        <v>3548798</v>
      </c>
      <c r="M17" s="19">
        <f t="shared" si="3"/>
        <v>28</v>
      </c>
    </row>
    <row r="18" spans="1:13" ht="14.25" x14ac:dyDescent="0.2">
      <c r="A18" s="19">
        <v>16</v>
      </c>
      <c r="B18" s="2" t="s">
        <v>65</v>
      </c>
      <c r="C18" s="3" t="s">
        <v>50</v>
      </c>
      <c r="D18" s="3" t="s">
        <v>51</v>
      </c>
      <c r="E18" s="4" t="str">
        <f t="shared" si="0"/>
        <v>F</v>
      </c>
      <c r="F18" s="5" t="s">
        <v>19</v>
      </c>
      <c r="G18" s="6">
        <v>1905.6127154676299</v>
      </c>
      <c r="H18" s="28">
        <v>32979</v>
      </c>
      <c r="I18" s="24">
        <f t="shared" ca="1" si="1"/>
        <v>302</v>
      </c>
      <c r="J18" s="20">
        <v>23970</v>
      </c>
      <c r="K18" s="19">
        <f t="shared" ca="1" si="2"/>
        <v>49</v>
      </c>
      <c r="L18" s="7">
        <v>3395847</v>
      </c>
      <c r="M18" s="19">
        <f t="shared" si="3"/>
        <v>24</v>
      </c>
    </row>
    <row r="19" spans="1:13" ht="14.25" x14ac:dyDescent="0.2">
      <c r="A19" s="19">
        <v>9</v>
      </c>
      <c r="B19" s="2" t="s">
        <v>63</v>
      </c>
      <c r="C19" s="3" t="s">
        <v>29</v>
      </c>
      <c r="D19" s="3" t="s">
        <v>30</v>
      </c>
      <c r="E19" s="4" t="str">
        <f t="shared" si="0"/>
        <v>H</v>
      </c>
      <c r="F19" s="5" t="s">
        <v>19</v>
      </c>
      <c r="G19" s="6">
        <v>1912.777819277788</v>
      </c>
      <c r="H19" s="28">
        <v>32979</v>
      </c>
      <c r="I19" s="24">
        <f t="shared" ca="1" si="1"/>
        <v>302</v>
      </c>
      <c r="J19" s="20">
        <v>20092</v>
      </c>
      <c r="K19" s="19">
        <f t="shared" ca="1" si="2"/>
        <v>60</v>
      </c>
      <c r="L19" s="7">
        <v>3659812</v>
      </c>
      <c r="M19" s="19">
        <f t="shared" si="3"/>
        <v>35</v>
      </c>
    </row>
    <row r="20" spans="1:13" ht="14.25" x14ac:dyDescent="0.2">
      <c r="A20" s="19">
        <v>15</v>
      </c>
      <c r="B20" s="2" t="s">
        <v>63</v>
      </c>
      <c r="C20" s="3" t="s">
        <v>12</v>
      </c>
      <c r="D20" s="3" t="s">
        <v>13</v>
      </c>
      <c r="E20" s="4" t="str">
        <f t="shared" si="0"/>
        <v>H</v>
      </c>
      <c r="F20" s="5" t="s">
        <v>14</v>
      </c>
      <c r="G20" s="6">
        <v>2134.2862413237453</v>
      </c>
      <c r="H20" s="28">
        <v>32979</v>
      </c>
      <c r="I20" s="24">
        <f t="shared" ca="1" si="1"/>
        <v>302</v>
      </c>
      <c r="J20" s="20">
        <v>25601</v>
      </c>
      <c r="K20" s="19">
        <f t="shared" ca="1" si="2"/>
        <v>45</v>
      </c>
      <c r="L20" s="7">
        <v>3232558</v>
      </c>
      <c r="M20" s="19">
        <f t="shared" si="3"/>
        <v>20</v>
      </c>
    </row>
    <row r="21" spans="1:13" ht="14.25" x14ac:dyDescent="0.2">
      <c r="A21" s="19">
        <v>12</v>
      </c>
      <c r="B21" s="2" t="s">
        <v>63</v>
      </c>
      <c r="C21" s="3" t="s">
        <v>40</v>
      </c>
      <c r="D21" s="3" t="s">
        <v>41</v>
      </c>
      <c r="E21" s="4" t="str">
        <f t="shared" si="0"/>
        <v>H</v>
      </c>
      <c r="F21" s="5" t="s">
        <v>17</v>
      </c>
      <c r="G21" s="6">
        <v>2157.1535939093569</v>
      </c>
      <c r="H21" s="28">
        <v>32979</v>
      </c>
      <c r="I21" s="24">
        <f t="shared" ca="1" si="1"/>
        <v>302</v>
      </c>
      <c r="J21" s="20">
        <v>20686</v>
      </c>
      <c r="K21" s="19">
        <f t="shared" ca="1" si="2"/>
        <v>58</v>
      </c>
      <c r="L21" s="7">
        <v>3568171</v>
      </c>
      <c r="M21" s="19">
        <f t="shared" si="3"/>
        <v>33</v>
      </c>
    </row>
    <row r="22" spans="1:13" ht="14.25" x14ac:dyDescent="0.2">
      <c r="A22" s="19">
        <v>4</v>
      </c>
      <c r="B22" s="2" t="s">
        <v>63</v>
      </c>
      <c r="C22" s="3" t="s">
        <v>24</v>
      </c>
      <c r="D22" s="3" t="s">
        <v>25</v>
      </c>
      <c r="E22" s="4" t="str">
        <f t="shared" si="0"/>
        <v>H</v>
      </c>
      <c r="F22" s="5" t="s">
        <v>26</v>
      </c>
      <c r="G22" s="6">
        <v>2286.7352585611557</v>
      </c>
      <c r="H22" s="28">
        <v>32979</v>
      </c>
      <c r="I22" s="24">
        <f t="shared" ca="1" si="1"/>
        <v>302</v>
      </c>
      <c r="J22" s="20">
        <v>18401</v>
      </c>
      <c r="K22" s="19">
        <f t="shared" ca="1" si="2"/>
        <v>65</v>
      </c>
      <c r="L22" s="7">
        <v>3589657</v>
      </c>
      <c r="M22" s="19">
        <f t="shared" si="3"/>
        <v>39</v>
      </c>
    </row>
    <row r="23" spans="1:13" ht="14.25" x14ac:dyDescent="0.2">
      <c r="A23" s="19">
        <v>6</v>
      </c>
      <c r="B23" s="2" t="s">
        <v>64</v>
      </c>
      <c r="C23" s="3" t="s">
        <v>48</v>
      </c>
      <c r="D23" s="3" t="s">
        <v>49</v>
      </c>
      <c r="E23" s="4" t="str">
        <f t="shared" si="0"/>
        <v>F</v>
      </c>
      <c r="F23" s="5" t="s">
        <v>17</v>
      </c>
      <c r="G23" s="6">
        <v>2286.7352585611557</v>
      </c>
      <c r="H23" s="28">
        <v>32979</v>
      </c>
      <c r="I23" s="24">
        <f t="shared" ca="1" si="1"/>
        <v>302</v>
      </c>
      <c r="J23" s="20">
        <v>19846</v>
      </c>
      <c r="K23" s="19">
        <f t="shared" ca="1" si="2"/>
        <v>61</v>
      </c>
      <c r="L23" s="7">
        <v>3857154</v>
      </c>
      <c r="M23" s="19">
        <f t="shared" si="3"/>
        <v>35</v>
      </c>
    </row>
    <row r="24" spans="1:13" ht="14.25" x14ac:dyDescent="0.2">
      <c r="A24" s="19">
        <v>11</v>
      </c>
      <c r="B24" s="2" t="s">
        <v>63</v>
      </c>
      <c r="C24" s="3" t="s">
        <v>27</v>
      </c>
      <c r="D24" s="3" t="s">
        <v>28</v>
      </c>
      <c r="E24" s="4" t="str">
        <f t="shared" si="0"/>
        <v>H</v>
      </c>
      <c r="F24" s="5" t="s">
        <v>19</v>
      </c>
      <c r="G24" s="6">
        <v>2820.306818892092</v>
      </c>
      <c r="H24" s="28">
        <v>32979</v>
      </c>
      <c r="I24" s="24">
        <f t="shared" ca="1" si="1"/>
        <v>302</v>
      </c>
      <c r="J24" s="20">
        <v>18094</v>
      </c>
      <c r="K24" s="19">
        <f t="shared" ca="1" si="2"/>
        <v>65</v>
      </c>
      <c r="L24" s="7">
        <v>3547821</v>
      </c>
      <c r="M24" s="19">
        <f t="shared" si="3"/>
        <v>40</v>
      </c>
    </row>
    <row r="25" spans="1:13" ht="14.25" x14ac:dyDescent="0.2">
      <c r="A25" s="19">
        <v>24</v>
      </c>
      <c r="B25" s="2" t="s">
        <v>63</v>
      </c>
      <c r="C25" s="3" t="s">
        <v>33</v>
      </c>
      <c r="D25" s="3" t="s">
        <v>34</v>
      </c>
      <c r="E25" s="4" t="str">
        <f>IF(B25="Monsieur","H","F")</f>
        <v>H</v>
      </c>
      <c r="F25" s="5" t="s">
        <v>14</v>
      </c>
      <c r="G25" s="6">
        <v>1669.3167387496437</v>
      </c>
      <c r="H25" s="28">
        <v>32979</v>
      </c>
      <c r="I25" s="24">
        <f t="shared" ca="1" si="1"/>
        <v>302</v>
      </c>
      <c r="J25" s="20">
        <v>21344</v>
      </c>
      <c r="K25" s="19">
        <f t="shared" ca="1" si="2"/>
        <v>57</v>
      </c>
      <c r="L25" s="7">
        <v>3234691</v>
      </c>
      <c r="M25" s="19">
        <f>DATEDIF(J25,H25,"y")</f>
        <v>31</v>
      </c>
    </row>
    <row r="29" spans="1:13" x14ac:dyDescent="0.2">
      <c r="D29" s="5" t="s">
        <v>19</v>
      </c>
    </row>
    <row r="30" spans="1:13" x14ac:dyDescent="0.2">
      <c r="D30" s="5" t="s">
        <v>14</v>
      </c>
    </row>
    <row r="31" spans="1:13" x14ac:dyDescent="0.2">
      <c r="D31" s="5" t="s">
        <v>17</v>
      </c>
    </row>
    <row r="32" spans="1:13" x14ac:dyDescent="0.2">
      <c r="D32" s="5" t="s">
        <v>26</v>
      </c>
    </row>
  </sheetData>
  <customSheetViews>
    <customSheetView guid="{15AA0979-965B-4148-AE30-C3EDCB499C76}" scale="101" showRuler="0">
      <pageMargins left="0.78740157499999996" right="0.78740157499999996" top="0.984251969" bottom="0.984251969" header="0.4921259845" footer="0.4921259845"/>
      <headerFooter alignWithMargins="0"/>
    </customSheetView>
  </customSheetViews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H24"/>
  <sheetViews>
    <sheetView workbookViewId="0">
      <selection activeCell="D16" sqref="D16:D17"/>
    </sheetView>
  </sheetViews>
  <sheetFormatPr baseColWidth="10" defaultRowHeight="12.75" x14ac:dyDescent="0.2"/>
  <cols>
    <col min="1" max="1" width="26.7109375" bestFit="1" customWidth="1"/>
    <col min="2" max="2" width="18" customWidth="1"/>
    <col min="3" max="3" width="15.140625" style="21" customWidth="1"/>
  </cols>
  <sheetData>
    <row r="1" spans="1:8" ht="18.75" x14ac:dyDescent="0.25">
      <c r="A1" s="35" t="s">
        <v>61</v>
      </c>
      <c r="B1" s="35"/>
      <c r="C1" s="35"/>
      <c r="D1" s="35"/>
      <c r="E1" s="35"/>
    </row>
    <row r="2" spans="1:8" x14ac:dyDescent="0.2">
      <c r="C2"/>
    </row>
    <row r="3" spans="1:8" x14ac:dyDescent="0.2">
      <c r="A3" t="s">
        <v>70</v>
      </c>
    </row>
    <row r="4" spans="1:8" ht="13.5" thickBot="1" x14ac:dyDescent="0.25">
      <c r="A4" s="8" t="s">
        <v>4</v>
      </c>
      <c r="B4" s="8" t="s">
        <v>5</v>
      </c>
      <c r="C4"/>
    </row>
    <row r="5" spans="1:8" ht="13.5" thickBot="1" x14ac:dyDescent="0.25">
      <c r="A5" s="9" t="s">
        <v>66</v>
      </c>
      <c r="B5" s="10" t="s">
        <v>19</v>
      </c>
      <c r="C5"/>
    </row>
    <row r="6" spans="1:8" x14ac:dyDescent="0.2">
      <c r="C6"/>
    </row>
    <row r="8" spans="1:8" s="11" customFormat="1" ht="22.5" customHeight="1" x14ac:dyDescent="0.2">
      <c r="A8" s="36" t="s">
        <v>56</v>
      </c>
      <c r="B8" s="36"/>
      <c r="C8" s="26"/>
      <c r="F8" s="11" t="s">
        <v>56</v>
      </c>
      <c r="H8" s="29">
        <v>8811.1</v>
      </c>
    </row>
    <row r="9" spans="1:8" s="13" customFormat="1" ht="6.75" customHeight="1" x14ac:dyDescent="0.2">
      <c r="A9" s="18"/>
      <c r="B9" s="12"/>
      <c r="C9" s="21"/>
    </row>
    <row r="10" spans="1:8" s="11" customFormat="1" ht="22.5" customHeight="1" x14ac:dyDescent="0.2">
      <c r="A10" s="36" t="s">
        <v>60</v>
      </c>
      <c r="B10" s="36"/>
      <c r="C10" s="25"/>
      <c r="F10" s="11" t="s">
        <v>60</v>
      </c>
      <c r="H10" s="11">
        <v>5</v>
      </c>
    </row>
    <row r="11" spans="1:8" s="13" customFormat="1" ht="6.75" customHeight="1" x14ac:dyDescent="0.2">
      <c r="A11" s="18"/>
      <c r="B11" s="12"/>
    </row>
    <row r="12" spans="1:8" s="11" customFormat="1" ht="22.5" customHeight="1" x14ac:dyDescent="0.2">
      <c r="A12" s="36" t="s">
        <v>57</v>
      </c>
      <c r="B12" s="36"/>
      <c r="C12" s="26"/>
      <c r="F12" s="11" t="s">
        <v>57</v>
      </c>
      <c r="H12" s="29">
        <v>1762.22</v>
      </c>
    </row>
    <row r="13" spans="1:8" s="13" customFormat="1" ht="6.75" customHeight="1" x14ac:dyDescent="0.2">
      <c r="A13" s="18"/>
      <c r="B13" s="12"/>
    </row>
    <row r="14" spans="1:8" s="13" customFormat="1" ht="6.75" customHeight="1" x14ac:dyDescent="0.2">
      <c r="A14" s="18"/>
      <c r="B14" s="12"/>
    </row>
    <row r="15" spans="1:8" s="11" customFormat="1" ht="22.5" customHeight="1" x14ac:dyDescent="0.2">
      <c r="A15" s="36" t="s">
        <v>58</v>
      </c>
      <c r="B15" s="36"/>
      <c r="C15" s="26"/>
      <c r="F15" s="11" t="s">
        <v>58</v>
      </c>
      <c r="H15" s="29">
        <v>990.92</v>
      </c>
    </row>
    <row r="16" spans="1:8" s="13" customFormat="1" ht="6.75" customHeight="1" x14ac:dyDescent="0.2">
      <c r="A16" s="18"/>
      <c r="B16" s="14"/>
    </row>
    <row r="17" spans="1:8" s="11" customFormat="1" ht="22.5" customHeight="1" x14ac:dyDescent="0.2">
      <c r="A17" s="36" t="s">
        <v>59</v>
      </c>
      <c r="B17" s="36"/>
      <c r="C17" s="27"/>
      <c r="F17" s="11" t="s">
        <v>59</v>
      </c>
      <c r="H17" s="11" t="s">
        <v>69</v>
      </c>
    </row>
    <row r="19" spans="1:8" x14ac:dyDescent="0.2">
      <c r="C19" s="22"/>
    </row>
    <row r="20" spans="1:8" x14ac:dyDescent="0.2">
      <c r="C20" s="22"/>
    </row>
    <row r="21" spans="1:8" x14ac:dyDescent="0.2">
      <c r="C21" s="22"/>
    </row>
    <row r="22" spans="1:8" x14ac:dyDescent="0.2">
      <c r="C22" s="22"/>
    </row>
    <row r="23" spans="1:8" x14ac:dyDescent="0.2">
      <c r="C23" s="22"/>
    </row>
    <row r="24" spans="1:8" x14ac:dyDescent="0.2">
      <c r="C24" s="22"/>
    </row>
  </sheetData>
  <customSheetViews>
    <customSheetView guid="{15AA0979-965B-4148-AE30-C3EDCB499C76}" showRuler="0">
      <selection activeCell="D10" sqref="D10"/>
      <pageMargins left="0.78740157499999996" right="0.78740157499999996" top="0.984251969" bottom="0.984251969" header="0.4921259845" footer="0.4921259845"/>
      <headerFooter alignWithMargins="0"/>
    </customSheetView>
  </customSheetViews>
  <mergeCells count="6">
    <mergeCell ref="A15:B15"/>
    <mergeCell ref="A17:B17"/>
    <mergeCell ref="A1:E1"/>
    <mergeCell ref="A8:B8"/>
    <mergeCell ref="A10:B10"/>
    <mergeCell ref="A12:B12"/>
  </mergeCells>
  <phoneticPr fontId="0" type="noConversion"/>
  <dataValidations count="2">
    <dataValidation type="list" allowBlank="1" showInputMessage="1" showErrorMessage="1" sqref="B5">
      <formula1>service</formula1>
    </dataValidation>
    <dataValidation type="list" allowBlank="1" showInputMessage="1" showErrorMessage="1" sqref="A5">
      <formula1>"H,F"</formula1>
    </dataValidation>
  </dataValidations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DRH</vt:lpstr>
      <vt:lpstr>critères par service</vt:lpstr>
      <vt:lpstr>Base employés</vt:lpstr>
      <vt:lpstr>critères double</vt:lpstr>
    </vt:vector>
  </TitlesOfParts>
  <Company>NOVITEC Compiègne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Agnès DUPLESSIER</dc:creator>
  <cp:lastModifiedBy>Sandrine</cp:lastModifiedBy>
  <cp:lastPrinted>2014-03-16T22:09:39Z</cp:lastPrinted>
  <dcterms:created xsi:type="dcterms:W3CDTF">2003-06-05T15:22:26Z</dcterms:created>
  <dcterms:modified xsi:type="dcterms:W3CDTF">2015-06-17T14:30:30Z</dcterms:modified>
</cp:coreProperties>
</file>