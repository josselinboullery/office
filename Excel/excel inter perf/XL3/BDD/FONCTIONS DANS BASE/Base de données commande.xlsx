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hidePivotFieldList="1" defaultThemeVersion="124226"/>
  <bookViews>
    <workbookView xWindow="240" yWindow="90" windowWidth="9135" windowHeight="6750"/>
  </bookViews>
  <sheets>
    <sheet name="Liste des commandes" sheetId="1" r:id="rId1"/>
    <sheet name="liste des commandes avec calcul" sheetId="2" r:id="rId2"/>
  </sheets>
  <definedNames>
    <definedName name="_xlnm._FilterDatabase" localSheetId="0" hidden="1">'Liste des commandes'!$A$1:$H$50</definedName>
    <definedName name="_xlnm._FilterDatabase" localSheetId="1" hidden="1">'liste des commandes avec calcul'!$A$7:$H$56</definedName>
  </definedNames>
  <calcPr calcId="145621"/>
</workbook>
</file>

<file path=xl/calcChain.xml><?xml version="1.0" encoding="utf-8"?>
<calcChain xmlns="http://schemas.openxmlformats.org/spreadsheetml/2006/main">
  <c r="C5" i="2" l="1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C4" i="2" s="1"/>
  <c r="H9" i="1"/>
  <c r="H39" i="1"/>
  <c r="H35" i="1"/>
  <c r="H47" i="1"/>
  <c r="H41" i="1"/>
  <c r="H48" i="1"/>
  <c r="H21" i="1"/>
  <c r="H6" i="1"/>
  <c r="H38" i="1"/>
  <c r="H23" i="1"/>
  <c r="H15" i="1"/>
  <c r="H3" i="1"/>
  <c r="H32" i="1"/>
  <c r="H2" i="1"/>
  <c r="H5" i="1"/>
  <c r="H14" i="1"/>
  <c r="H13" i="1"/>
  <c r="H25" i="1"/>
  <c r="H46" i="1"/>
  <c r="H11" i="1"/>
  <c r="H22" i="1"/>
  <c r="H34" i="1"/>
  <c r="H45" i="1"/>
  <c r="H10" i="1"/>
  <c r="H50" i="1"/>
  <c r="H12" i="1"/>
  <c r="H44" i="1"/>
  <c r="H20" i="1"/>
  <c r="H8" i="1"/>
  <c r="H28" i="1"/>
  <c r="H40" i="1"/>
  <c r="H4" i="1"/>
  <c r="H26" i="1"/>
  <c r="H43" i="1"/>
  <c r="H36" i="1"/>
  <c r="H27" i="1"/>
  <c r="H33" i="1"/>
  <c r="H7" i="1"/>
  <c r="H42" i="1"/>
  <c r="H19" i="1"/>
  <c r="H17" i="1"/>
  <c r="H49" i="1"/>
  <c r="H31" i="1"/>
  <c r="H18" i="1"/>
  <c r="H30" i="1"/>
  <c r="H24" i="1"/>
  <c r="H29" i="1"/>
  <c r="H16" i="1"/>
  <c r="H37" i="1"/>
  <c r="F5" i="2" l="1"/>
  <c r="F4" i="2"/>
</calcChain>
</file>

<file path=xl/sharedStrings.xml><?xml version="1.0" encoding="utf-8"?>
<sst xmlns="http://schemas.openxmlformats.org/spreadsheetml/2006/main" count="424" uniqueCount="43">
  <si>
    <t>VENDEURS</t>
  </si>
  <si>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</si>
  <si>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</si>
  <si>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</si>
  <si>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</si>
  <si>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</si>
  <si>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</si>
  <si>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</si>
  <si>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</si>
  <si>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</si>
  <si>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</si>
  <si>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</si>
  <si>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</si>
  <si>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</si>
  <si>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</si>
  <si>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</si>
  <si>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</si>
  <si>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</si>
  <si>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</si>
  <si>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</si>
  <si>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</si>
  <si>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</si>
  <si>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</si>
  <si>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</si>
  <si>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</si>
  <si>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</si>
  <si>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</si>
  <si>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</si>
  <si>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</si>
  <si>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</si>
  <si>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</si>
  <si>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</si>
  <si>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</si>
  <si>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</si>
  <si>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somme des ventes</t>
  </si>
  <si>
    <t>nb de ventes</t>
  </si>
  <si>
    <t>centre</t>
  </si>
  <si>
    <t>nord</t>
  </si>
  <si>
    <t>ouest</t>
  </si>
  <si>
    <t>sud</t>
  </si>
  <si>
    <t>est</t>
  </si>
  <si>
    <t>Utilisation de la fonction soustotal</t>
  </si>
  <si>
    <t>résultat a lire lorsque l'on filtre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</si>
</sst>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.00\ [$€]_-;\-* #,##0.00\ [$€]_-;_-* &quot;-&quot;??\ [$€]_-;_-@_-"/>
  </numFmts>
  <fonts count="7" x14ac:knownFonts="1">
    <font>
      <sz val="10"/>
      <name val="Arial"/>
    </font>
    <font>
      <sz val="1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1"/>
      </top>
      <bottom style="thin">
        <color theme="1"/>
      </bottom>
      <diagonal/>
    </border>
    <border>
      <left/>
      <right style="thin">
        <color theme="4"/>
      </right>
      <top style="thin">
        <color theme="1"/>
      </top>
      <bottom style="thin">
        <color theme="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1"/>
      </bottom>
      <diagonal/>
    </border>
    <border>
      <left/>
      <right style="thin">
        <color theme="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/>
    <xf numFmtId="14" fontId="3" fillId="2" borderId="4" xfId="0" applyNumberFormat="1" applyFont="1" applyFill="1" applyBorder="1"/>
    <xf numFmtId="0" fontId="3" fillId="2" borderId="4" xfId="0" applyFont="1" applyFill="1" applyBorder="1"/>
    <xf numFmtId="164" fontId="3" fillId="2" borderId="4" xfId="1" applyNumberFormat="1" applyFont="1" applyFill="1" applyBorder="1"/>
    <xf numFmtId="0" fontId="3" fillId="0" borderId="3" xfId="0" applyFont="1" applyBorder="1"/>
    <xf numFmtId="14" fontId="3" fillId="0" borderId="4" xfId="0" applyNumberFormat="1" applyFont="1" applyBorder="1"/>
    <xf numFmtId="0" fontId="3" fillId="0" borderId="4" xfId="0" applyFont="1" applyBorder="1"/>
    <xf numFmtId="164" fontId="3" fillId="0" borderId="4" xfId="1" applyNumberFormat="1" applyFont="1" applyBorder="1"/>
    <xf numFmtId="0" fontId="3" fillId="2" borderId="5" xfId="0" applyFont="1" applyFill="1" applyBorder="1"/>
    <xf numFmtId="14" fontId="3" fillId="2" borderId="6" xfId="0" applyNumberFormat="1" applyFont="1" applyFill="1" applyBorder="1"/>
    <xf numFmtId="0" fontId="3" fillId="2" borderId="6" xfId="0" applyFont="1" applyFill="1" applyBorder="1"/>
    <xf numFmtId="164" fontId="3" fillId="2" borderId="6" xfId="1" applyNumberFormat="1" applyFont="1" applyFill="1" applyBorder="1"/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43" fontId="4" fillId="0" borderId="9" xfId="2" applyFont="1" applyBorder="1" applyAlignment="1">
      <alignment horizontal="center"/>
    </xf>
    <xf numFmtId="43" fontId="0" fillId="0" borderId="12" xfId="2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0" xfId="0" applyFont="1"/>
  </cellXfs>
  <cellStyles count="3">
    <cellStyle name="Euro" xfId="1"/>
    <cellStyle name="Milliers" xfId="2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workbookViewId="0">
      <selection sqref="A1:XFD6"/>
    </sheetView>
  </sheetViews>
  <sheetFormatPr baseColWidth="10" defaultRowHeight="12.75" x14ac:dyDescent="0.2"/>
  <cols>
    <col min="1" max="1" width="13.140625" customWidth="1"/>
    <col min="2" max="2" width="17.42578125" bestFit="1" customWidth="1"/>
    <col min="3" max="3" width="12.85546875" bestFit="1" customWidth="1"/>
    <col min="4" max="4" width="11.7109375" customWidth="1"/>
    <col min="6" max="6" width="32.140625" bestFit="1" customWidth="1"/>
    <col min="7" max="7" width="12.42578125" customWidth="1"/>
    <col min="8" max="8" width="13" customWidth="1"/>
    <col min="11" max="11" width="16.7109375" bestFit="1" customWidth="1"/>
    <col min="12" max="12" width="14.42578125" bestFit="1" customWidth="1"/>
    <col min="13" max="13" width="11.42578125" customWidth="1"/>
    <col min="14" max="14" width="11.42578125" hidden="1" customWidth="1"/>
    <col min="15" max="15" width="14.42578125" bestFit="1" customWidth="1"/>
  </cols>
  <sheetData>
    <row r="1" spans="1:1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N1" t="s">
        <v>36</v>
      </c>
    </row>
    <row r="2" spans="1:14" x14ac:dyDescent="0.2">
      <c r="A2" s="3" t="s">
        <v>27</v>
      </c>
      <c r="B2" s="4">
        <v>34739</v>
      </c>
      <c r="C2" s="5" t="s">
        <v>25</v>
      </c>
      <c r="D2" s="5" t="s">
        <v>10</v>
      </c>
      <c r="E2" s="5" t="s">
        <v>23</v>
      </c>
      <c r="F2" s="6">
        <v>6</v>
      </c>
      <c r="G2" s="5">
        <v>5764</v>
      </c>
      <c r="H2" s="6">
        <f>F2*G2</f>
        <v>34584</v>
      </c>
      <c r="N2" t="s">
        <v>37</v>
      </c>
    </row>
    <row r="3" spans="1:14" x14ac:dyDescent="0.2">
      <c r="A3" s="7" t="s">
        <v>27</v>
      </c>
      <c r="B3" s="8">
        <v>35235</v>
      </c>
      <c r="C3" s="9" t="s">
        <v>25</v>
      </c>
      <c r="D3" s="9" t="s">
        <v>14</v>
      </c>
      <c r="E3" s="9" t="s">
        <v>32</v>
      </c>
      <c r="F3" s="10">
        <v>12</v>
      </c>
      <c r="G3" s="9">
        <v>9924</v>
      </c>
      <c r="H3" s="10">
        <f>F3*G3</f>
        <v>119088</v>
      </c>
      <c r="N3" t="s">
        <v>38</v>
      </c>
    </row>
    <row r="4" spans="1:14" x14ac:dyDescent="0.2">
      <c r="A4" s="3" t="s">
        <v>27</v>
      </c>
      <c r="B4" s="4">
        <v>35241</v>
      </c>
      <c r="C4" s="5" t="s">
        <v>9</v>
      </c>
      <c r="D4" s="5" t="s">
        <v>14</v>
      </c>
      <c r="E4" s="5" t="s">
        <v>28</v>
      </c>
      <c r="F4" s="6">
        <v>25</v>
      </c>
      <c r="G4" s="5">
        <v>7329</v>
      </c>
      <c r="H4" s="6">
        <f>F4*G4</f>
        <v>183225</v>
      </c>
      <c r="N4" t="s">
        <v>39</v>
      </c>
    </row>
    <row r="5" spans="1:14" x14ac:dyDescent="0.2">
      <c r="A5" s="7" t="s">
        <v>24</v>
      </c>
      <c r="B5" s="8">
        <v>34745</v>
      </c>
      <c r="C5" s="9" t="s">
        <v>25</v>
      </c>
      <c r="D5" s="9" t="s">
        <v>10</v>
      </c>
      <c r="E5" s="9" t="s">
        <v>23</v>
      </c>
      <c r="F5" s="10">
        <v>6</v>
      </c>
      <c r="G5" s="9">
        <v>6987</v>
      </c>
      <c r="H5" s="10">
        <f>F5*G5</f>
        <v>41922</v>
      </c>
      <c r="N5" t="s">
        <v>40</v>
      </c>
    </row>
    <row r="6" spans="1:14" x14ac:dyDescent="0.2">
      <c r="A6" s="3" t="s">
        <v>24</v>
      </c>
      <c r="B6" s="4">
        <v>35172</v>
      </c>
      <c r="C6" s="5" t="s">
        <v>15</v>
      </c>
      <c r="D6" s="5" t="s">
        <v>10</v>
      </c>
      <c r="E6" s="5" t="s">
        <v>28</v>
      </c>
      <c r="F6" s="6">
        <v>25</v>
      </c>
      <c r="G6" s="5">
        <v>6183</v>
      </c>
      <c r="H6" s="6">
        <f>F6*G6</f>
        <v>154575</v>
      </c>
    </row>
    <row r="7" spans="1:14" x14ac:dyDescent="0.2">
      <c r="A7" s="7" t="s">
        <v>24</v>
      </c>
      <c r="B7" s="8">
        <v>34897</v>
      </c>
      <c r="C7" s="9" t="s">
        <v>21</v>
      </c>
      <c r="D7" s="9" t="s">
        <v>14</v>
      </c>
      <c r="E7" s="9" t="s">
        <v>32</v>
      </c>
      <c r="F7" s="10">
        <v>12</v>
      </c>
      <c r="G7" s="9">
        <v>6660</v>
      </c>
      <c r="H7" s="10">
        <f>F7*G7</f>
        <v>79920</v>
      </c>
    </row>
    <row r="8" spans="1:14" x14ac:dyDescent="0.2">
      <c r="A8" s="3" t="s">
        <v>24</v>
      </c>
      <c r="B8" s="4">
        <v>34941</v>
      </c>
      <c r="C8" s="5" t="s">
        <v>13</v>
      </c>
      <c r="D8" s="5" t="s">
        <v>14</v>
      </c>
      <c r="E8" s="5" t="s">
        <v>19</v>
      </c>
      <c r="F8" s="6">
        <v>3.4</v>
      </c>
      <c r="G8" s="5">
        <v>9165</v>
      </c>
      <c r="H8" s="6">
        <f>F8*G8</f>
        <v>31161</v>
      </c>
    </row>
    <row r="9" spans="1:14" x14ac:dyDescent="0.2">
      <c r="A9" s="7" t="s">
        <v>24</v>
      </c>
      <c r="B9" s="8">
        <v>35230</v>
      </c>
      <c r="C9" s="9" t="s">
        <v>21</v>
      </c>
      <c r="D9" s="9" t="s">
        <v>14</v>
      </c>
      <c r="E9" s="9" t="s">
        <v>11</v>
      </c>
      <c r="F9" s="10">
        <v>1.5</v>
      </c>
      <c r="G9" s="9">
        <v>8091</v>
      </c>
      <c r="H9" s="10">
        <f>F9*G9</f>
        <v>12136.5</v>
      </c>
    </row>
    <row r="10" spans="1:14" x14ac:dyDescent="0.2">
      <c r="A10" s="3" t="s">
        <v>12</v>
      </c>
      <c r="B10" s="4">
        <v>35067</v>
      </c>
      <c r="C10" s="5" t="s">
        <v>13</v>
      </c>
      <c r="D10" s="5" t="s">
        <v>14</v>
      </c>
      <c r="E10" s="5" t="s">
        <v>11</v>
      </c>
      <c r="F10" s="6">
        <v>1.5</v>
      </c>
      <c r="G10" s="5">
        <v>9224</v>
      </c>
      <c r="H10" s="6">
        <f t="shared" ref="H10:H15" si="0">F10*G10</f>
        <v>13836</v>
      </c>
    </row>
    <row r="11" spans="1:14" x14ac:dyDescent="0.2">
      <c r="A11" s="7" t="s">
        <v>12</v>
      </c>
      <c r="B11" s="8">
        <v>34757</v>
      </c>
      <c r="C11" s="9" t="s">
        <v>15</v>
      </c>
      <c r="D11" s="9" t="s">
        <v>16</v>
      </c>
      <c r="E11" s="9" t="s">
        <v>26</v>
      </c>
      <c r="F11" s="10">
        <v>21</v>
      </c>
      <c r="G11" s="9">
        <v>5954</v>
      </c>
      <c r="H11" s="10">
        <f t="shared" si="0"/>
        <v>125034</v>
      </c>
    </row>
    <row r="12" spans="1:14" x14ac:dyDescent="0.2">
      <c r="A12" s="3" t="s">
        <v>12</v>
      </c>
      <c r="B12" s="4">
        <v>34789</v>
      </c>
      <c r="C12" s="5" t="s">
        <v>21</v>
      </c>
      <c r="D12" s="5" t="s">
        <v>16</v>
      </c>
      <c r="E12" s="5" t="s">
        <v>11</v>
      </c>
      <c r="F12" s="6">
        <v>1.5</v>
      </c>
      <c r="G12" s="5">
        <v>5750</v>
      </c>
      <c r="H12" s="6">
        <f t="shared" si="0"/>
        <v>8625</v>
      </c>
    </row>
    <row r="13" spans="1:14" x14ac:dyDescent="0.2">
      <c r="A13" s="7" t="s">
        <v>12</v>
      </c>
      <c r="B13" s="8">
        <v>35080</v>
      </c>
      <c r="C13" s="9" t="s">
        <v>21</v>
      </c>
      <c r="D13" s="9" t="s">
        <v>16</v>
      </c>
      <c r="E13" s="9" t="s">
        <v>11</v>
      </c>
      <c r="F13" s="10">
        <v>1.5</v>
      </c>
      <c r="G13" s="9">
        <v>7645</v>
      </c>
      <c r="H13" s="10">
        <f t="shared" si="0"/>
        <v>11467.5</v>
      </c>
    </row>
    <row r="14" spans="1:14" x14ac:dyDescent="0.2">
      <c r="A14" s="3" t="s">
        <v>12</v>
      </c>
      <c r="B14" s="4">
        <v>35082</v>
      </c>
      <c r="C14" s="5" t="s">
        <v>21</v>
      </c>
      <c r="D14" s="5" t="s">
        <v>16</v>
      </c>
      <c r="E14" s="5" t="s">
        <v>11</v>
      </c>
      <c r="F14" s="6">
        <v>1.5</v>
      </c>
      <c r="G14" s="5">
        <v>8611</v>
      </c>
      <c r="H14" s="6">
        <f t="shared" si="0"/>
        <v>12916.5</v>
      </c>
    </row>
    <row r="15" spans="1:14" x14ac:dyDescent="0.2">
      <c r="A15" s="7" t="s">
        <v>12</v>
      </c>
      <c r="B15" s="8">
        <v>35118</v>
      </c>
      <c r="C15" s="9" t="s">
        <v>15</v>
      </c>
      <c r="D15" s="9" t="s">
        <v>22</v>
      </c>
      <c r="E15" s="9" t="s">
        <v>32</v>
      </c>
      <c r="F15" s="10">
        <v>12</v>
      </c>
      <c r="G15" s="9">
        <v>9886</v>
      </c>
      <c r="H15" s="10">
        <f t="shared" si="0"/>
        <v>118632</v>
      </c>
    </row>
    <row r="16" spans="1:14" x14ac:dyDescent="0.2">
      <c r="A16" s="3" t="s">
        <v>17</v>
      </c>
      <c r="B16" s="4">
        <v>34892</v>
      </c>
      <c r="C16" s="5" t="s">
        <v>18</v>
      </c>
      <c r="D16" s="5" t="s">
        <v>10</v>
      </c>
      <c r="E16" s="5" t="s">
        <v>19</v>
      </c>
      <c r="F16" s="6">
        <v>3.4</v>
      </c>
      <c r="G16" s="5">
        <v>8367</v>
      </c>
      <c r="H16" s="6">
        <f>F16*G16</f>
        <v>28447.8</v>
      </c>
    </row>
    <row r="17" spans="1:8" x14ac:dyDescent="0.2">
      <c r="A17" s="7" t="s">
        <v>17</v>
      </c>
      <c r="B17" s="8">
        <v>35093</v>
      </c>
      <c r="C17" s="9" t="s">
        <v>13</v>
      </c>
      <c r="D17" s="9" t="s">
        <v>10</v>
      </c>
      <c r="E17" s="9" t="s">
        <v>11</v>
      </c>
      <c r="F17" s="10">
        <v>1.5</v>
      </c>
      <c r="G17" s="9">
        <v>8804</v>
      </c>
      <c r="H17" s="10">
        <f>F17*G17</f>
        <v>13206</v>
      </c>
    </row>
    <row r="18" spans="1:8" x14ac:dyDescent="0.2">
      <c r="A18" s="3" t="s">
        <v>17</v>
      </c>
      <c r="B18" s="4">
        <v>35025</v>
      </c>
      <c r="C18" s="5" t="s">
        <v>21</v>
      </c>
      <c r="D18" s="5" t="s">
        <v>14</v>
      </c>
      <c r="E18" s="5" t="s">
        <v>23</v>
      </c>
      <c r="F18" s="6">
        <v>6</v>
      </c>
      <c r="G18" s="5">
        <v>7700</v>
      </c>
      <c r="H18" s="6">
        <f>F18*G18</f>
        <v>46200</v>
      </c>
    </row>
    <row r="19" spans="1:8" x14ac:dyDescent="0.2">
      <c r="A19" s="7" t="s">
        <v>17</v>
      </c>
      <c r="B19" s="8">
        <v>34982</v>
      </c>
      <c r="C19" s="9" t="s">
        <v>9</v>
      </c>
      <c r="D19" s="9" t="s">
        <v>16</v>
      </c>
      <c r="E19" s="9" t="s">
        <v>11</v>
      </c>
      <c r="F19" s="10">
        <v>1.5</v>
      </c>
      <c r="G19" s="9">
        <v>5293</v>
      </c>
      <c r="H19" s="10">
        <f>F19*G19</f>
        <v>7939.5</v>
      </c>
    </row>
    <row r="20" spans="1:8" x14ac:dyDescent="0.2">
      <c r="A20" s="3" t="s">
        <v>20</v>
      </c>
      <c r="B20" s="4">
        <v>34985</v>
      </c>
      <c r="C20" s="5" t="s">
        <v>18</v>
      </c>
      <c r="D20" s="5" t="s">
        <v>10</v>
      </c>
      <c r="E20" s="5" t="s">
        <v>19</v>
      </c>
      <c r="F20" s="6">
        <v>3.4</v>
      </c>
      <c r="G20" s="5">
        <v>8227</v>
      </c>
      <c r="H20" s="6">
        <f>F20*G20</f>
        <v>27971.8</v>
      </c>
    </row>
    <row r="21" spans="1:8" x14ac:dyDescent="0.2">
      <c r="A21" s="7" t="s">
        <v>20</v>
      </c>
      <c r="B21" s="8">
        <v>34988</v>
      </c>
      <c r="C21" s="9" t="s">
        <v>18</v>
      </c>
      <c r="D21" s="9" t="s">
        <v>10</v>
      </c>
      <c r="E21" s="9" t="s">
        <v>26</v>
      </c>
      <c r="F21" s="10">
        <v>21</v>
      </c>
      <c r="G21" s="9">
        <v>7464</v>
      </c>
      <c r="H21" s="10">
        <f>F21*G21</f>
        <v>156744</v>
      </c>
    </row>
    <row r="22" spans="1:8" x14ac:dyDescent="0.2">
      <c r="A22" s="3" t="s">
        <v>20</v>
      </c>
      <c r="B22" s="4">
        <v>35002</v>
      </c>
      <c r="C22" s="5" t="s">
        <v>9</v>
      </c>
      <c r="D22" s="5" t="s">
        <v>16</v>
      </c>
      <c r="E22" s="5" t="s">
        <v>32</v>
      </c>
      <c r="F22" s="6">
        <v>12</v>
      </c>
      <c r="G22" s="5">
        <v>5463</v>
      </c>
      <c r="H22" s="6">
        <f>F22*G22</f>
        <v>65556</v>
      </c>
    </row>
    <row r="23" spans="1:8" x14ac:dyDescent="0.2">
      <c r="A23" s="7" t="s">
        <v>20</v>
      </c>
      <c r="B23" s="8">
        <v>35048</v>
      </c>
      <c r="C23" s="9" t="s">
        <v>21</v>
      </c>
      <c r="D23" s="9" t="s">
        <v>22</v>
      </c>
      <c r="E23" s="9" t="s">
        <v>23</v>
      </c>
      <c r="F23" s="10">
        <v>6</v>
      </c>
      <c r="G23" s="9">
        <v>6550</v>
      </c>
      <c r="H23" s="10">
        <f>F23*G23</f>
        <v>39300</v>
      </c>
    </row>
    <row r="24" spans="1:8" x14ac:dyDescent="0.2">
      <c r="A24" s="3" t="s">
        <v>31</v>
      </c>
      <c r="B24" s="4">
        <v>34765</v>
      </c>
      <c r="C24" s="5" t="s">
        <v>15</v>
      </c>
      <c r="D24" s="5" t="s">
        <v>16</v>
      </c>
      <c r="E24" s="5" t="s">
        <v>28</v>
      </c>
      <c r="F24" s="6">
        <v>25</v>
      </c>
      <c r="G24" s="5">
        <v>7346</v>
      </c>
      <c r="H24" s="6">
        <f>F24*G24</f>
        <v>183650</v>
      </c>
    </row>
    <row r="25" spans="1:8" x14ac:dyDescent="0.2">
      <c r="A25" s="7" t="s">
        <v>31</v>
      </c>
      <c r="B25" s="8">
        <v>35088</v>
      </c>
      <c r="C25" s="9" t="s">
        <v>18</v>
      </c>
      <c r="D25" s="9" t="s">
        <v>22</v>
      </c>
      <c r="E25" s="9" t="s">
        <v>19</v>
      </c>
      <c r="F25" s="10">
        <v>3.4</v>
      </c>
      <c r="G25" s="9">
        <v>7212</v>
      </c>
      <c r="H25" s="10">
        <f>F25*G25</f>
        <v>24520.799999999999</v>
      </c>
    </row>
    <row r="26" spans="1:8" x14ac:dyDescent="0.2">
      <c r="A26" s="3" t="s">
        <v>31</v>
      </c>
      <c r="B26" s="4">
        <v>35093</v>
      </c>
      <c r="C26" s="5" t="s">
        <v>18</v>
      </c>
      <c r="D26" s="5" t="s">
        <v>22</v>
      </c>
      <c r="E26" s="5" t="s">
        <v>28</v>
      </c>
      <c r="F26" s="6">
        <v>25</v>
      </c>
      <c r="G26" s="5">
        <v>6075</v>
      </c>
      <c r="H26" s="6">
        <f>F26*G26</f>
        <v>151875</v>
      </c>
    </row>
    <row r="27" spans="1:8" x14ac:dyDescent="0.2">
      <c r="A27" s="7" t="s">
        <v>29</v>
      </c>
      <c r="B27" s="8">
        <v>35046</v>
      </c>
      <c r="C27" s="9" t="s">
        <v>15</v>
      </c>
      <c r="D27" s="9" t="s">
        <v>10</v>
      </c>
      <c r="E27" s="9" t="s">
        <v>26</v>
      </c>
      <c r="F27" s="10">
        <v>21</v>
      </c>
      <c r="G27" s="9">
        <v>8694</v>
      </c>
      <c r="H27" s="10">
        <f t="shared" ref="H27:H35" si="1">F27*G27</f>
        <v>182574</v>
      </c>
    </row>
    <row r="28" spans="1:8" x14ac:dyDescent="0.2">
      <c r="A28" s="3" t="s">
        <v>29</v>
      </c>
      <c r="B28" s="4">
        <v>34747</v>
      </c>
      <c r="C28" s="5" t="s">
        <v>13</v>
      </c>
      <c r="D28" s="5" t="s">
        <v>14</v>
      </c>
      <c r="E28" s="5" t="s">
        <v>26</v>
      </c>
      <c r="F28" s="6">
        <v>21</v>
      </c>
      <c r="G28" s="5">
        <v>9401</v>
      </c>
      <c r="H28" s="6">
        <f t="shared" si="1"/>
        <v>197421</v>
      </c>
    </row>
    <row r="29" spans="1:8" x14ac:dyDescent="0.2">
      <c r="A29" s="7" t="s">
        <v>29</v>
      </c>
      <c r="B29" s="8">
        <v>35017</v>
      </c>
      <c r="C29" s="9" t="s">
        <v>25</v>
      </c>
      <c r="D29" s="9" t="s">
        <v>14</v>
      </c>
      <c r="E29" s="9" t="s">
        <v>23</v>
      </c>
      <c r="F29" s="10">
        <v>6</v>
      </c>
      <c r="G29" s="9">
        <v>8407</v>
      </c>
      <c r="H29" s="10">
        <f t="shared" si="1"/>
        <v>50442</v>
      </c>
    </row>
    <row r="30" spans="1:8" x14ac:dyDescent="0.2">
      <c r="A30" s="3" t="s">
        <v>29</v>
      </c>
      <c r="B30" s="4">
        <v>34708</v>
      </c>
      <c r="C30" s="5" t="s">
        <v>18</v>
      </c>
      <c r="D30" s="5" t="s">
        <v>16</v>
      </c>
      <c r="E30" s="5" t="s">
        <v>26</v>
      </c>
      <c r="F30" s="6">
        <v>21</v>
      </c>
      <c r="G30" s="5">
        <v>9201</v>
      </c>
      <c r="H30" s="6">
        <f t="shared" si="1"/>
        <v>193221</v>
      </c>
    </row>
    <row r="31" spans="1:8" x14ac:dyDescent="0.2">
      <c r="A31" s="7" t="s">
        <v>29</v>
      </c>
      <c r="B31" s="8">
        <v>35089</v>
      </c>
      <c r="C31" s="9" t="s">
        <v>9</v>
      </c>
      <c r="D31" s="9" t="s">
        <v>16</v>
      </c>
      <c r="E31" s="9" t="s">
        <v>19</v>
      </c>
      <c r="F31" s="10">
        <v>3.4</v>
      </c>
      <c r="G31" s="9">
        <v>7819</v>
      </c>
      <c r="H31" s="10">
        <f t="shared" si="1"/>
        <v>26584.6</v>
      </c>
    </row>
    <row r="32" spans="1:8" x14ac:dyDescent="0.2">
      <c r="A32" s="3" t="s">
        <v>29</v>
      </c>
      <c r="B32" s="4">
        <v>35125</v>
      </c>
      <c r="C32" s="5" t="s">
        <v>13</v>
      </c>
      <c r="D32" s="5" t="s">
        <v>16</v>
      </c>
      <c r="E32" s="5" t="s">
        <v>28</v>
      </c>
      <c r="F32" s="6">
        <v>25</v>
      </c>
      <c r="G32" s="5">
        <v>6523</v>
      </c>
      <c r="H32" s="6">
        <f t="shared" si="1"/>
        <v>163075</v>
      </c>
    </row>
    <row r="33" spans="1:8" x14ac:dyDescent="0.2">
      <c r="A33" s="7" t="s">
        <v>29</v>
      </c>
      <c r="B33" s="8">
        <v>35129</v>
      </c>
      <c r="C33" s="9" t="s">
        <v>21</v>
      </c>
      <c r="D33" s="9" t="s">
        <v>16</v>
      </c>
      <c r="E33" s="9" t="s">
        <v>32</v>
      </c>
      <c r="F33" s="10">
        <v>12</v>
      </c>
      <c r="G33" s="9">
        <v>7017</v>
      </c>
      <c r="H33" s="10">
        <f t="shared" si="1"/>
        <v>84204</v>
      </c>
    </row>
    <row r="34" spans="1:8" x14ac:dyDescent="0.2">
      <c r="A34" s="3" t="s">
        <v>29</v>
      </c>
      <c r="B34" s="4">
        <v>34947</v>
      </c>
      <c r="C34" s="5" t="s">
        <v>13</v>
      </c>
      <c r="D34" s="5" t="s">
        <v>22</v>
      </c>
      <c r="E34" s="5" t="s">
        <v>23</v>
      </c>
      <c r="F34" s="6">
        <v>6</v>
      </c>
      <c r="G34" s="5">
        <v>9929</v>
      </c>
      <c r="H34" s="6">
        <f t="shared" si="1"/>
        <v>59574</v>
      </c>
    </row>
    <row r="35" spans="1:8" x14ac:dyDescent="0.2">
      <c r="A35" s="7" t="s">
        <v>29</v>
      </c>
      <c r="B35" s="8">
        <v>35061</v>
      </c>
      <c r="C35" s="9" t="s">
        <v>21</v>
      </c>
      <c r="D35" s="9" t="s">
        <v>22</v>
      </c>
      <c r="E35" s="9" t="s">
        <v>11</v>
      </c>
      <c r="F35" s="10">
        <v>1.5</v>
      </c>
      <c r="G35" s="9">
        <v>5562</v>
      </c>
      <c r="H35" s="10">
        <f t="shared" si="1"/>
        <v>8343</v>
      </c>
    </row>
    <row r="36" spans="1:8" x14ac:dyDescent="0.2">
      <c r="A36" s="3" t="s">
        <v>8</v>
      </c>
      <c r="B36" s="4">
        <v>34850</v>
      </c>
      <c r="C36" s="5" t="s">
        <v>9</v>
      </c>
      <c r="D36" s="5" t="s">
        <v>10</v>
      </c>
      <c r="E36" s="5" t="s">
        <v>11</v>
      </c>
      <c r="F36" s="6">
        <v>1.5</v>
      </c>
      <c r="G36" s="5">
        <v>7695</v>
      </c>
      <c r="H36" s="6">
        <f t="shared" ref="H36:H43" si="2">F36*G36</f>
        <v>11542.5</v>
      </c>
    </row>
    <row r="37" spans="1:8" x14ac:dyDescent="0.2">
      <c r="A37" s="7" t="s">
        <v>8</v>
      </c>
      <c r="B37" s="8">
        <v>34876</v>
      </c>
      <c r="C37" s="9" t="s">
        <v>13</v>
      </c>
      <c r="D37" s="9" t="s">
        <v>10</v>
      </c>
      <c r="E37" s="9" t="s">
        <v>11</v>
      </c>
      <c r="F37" s="10">
        <v>1.5</v>
      </c>
      <c r="G37" s="9">
        <v>8639</v>
      </c>
      <c r="H37" s="10">
        <f t="shared" si="2"/>
        <v>12958.5</v>
      </c>
    </row>
    <row r="38" spans="1:8" x14ac:dyDescent="0.2">
      <c r="A38" s="3" t="s">
        <v>8</v>
      </c>
      <c r="B38" s="4">
        <v>34988</v>
      </c>
      <c r="C38" s="5" t="s">
        <v>25</v>
      </c>
      <c r="D38" s="5" t="s">
        <v>10</v>
      </c>
      <c r="E38" s="5" t="s">
        <v>19</v>
      </c>
      <c r="F38" s="6">
        <v>3.4</v>
      </c>
      <c r="G38" s="5">
        <v>5336</v>
      </c>
      <c r="H38" s="6">
        <f t="shared" si="2"/>
        <v>18142.399999999998</v>
      </c>
    </row>
    <row r="39" spans="1:8" x14ac:dyDescent="0.2">
      <c r="A39" s="7" t="s">
        <v>8</v>
      </c>
      <c r="B39" s="8">
        <v>35074</v>
      </c>
      <c r="C39" s="9" t="s">
        <v>18</v>
      </c>
      <c r="D39" s="9" t="s">
        <v>10</v>
      </c>
      <c r="E39" s="9" t="s">
        <v>26</v>
      </c>
      <c r="F39" s="10">
        <v>21</v>
      </c>
      <c r="G39" s="9">
        <v>8279</v>
      </c>
      <c r="H39" s="10">
        <f t="shared" si="2"/>
        <v>173859</v>
      </c>
    </row>
    <row r="40" spans="1:8" x14ac:dyDescent="0.2">
      <c r="A40" s="3" t="s">
        <v>8</v>
      </c>
      <c r="B40" s="4">
        <v>34883</v>
      </c>
      <c r="C40" s="5" t="s">
        <v>13</v>
      </c>
      <c r="D40" s="5" t="s">
        <v>14</v>
      </c>
      <c r="E40" s="5" t="s">
        <v>32</v>
      </c>
      <c r="F40" s="6">
        <v>12</v>
      </c>
      <c r="G40" s="5">
        <v>9062</v>
      </c>
      <c r="H40" s="6">
        <f t="shared" si="2"/>
        <v>108744</v>
      </c>
    </row>
    <row r="41" spans="1:8" x14ac:dyDescent="0.2">
      <c r="A41" s="7" t="s">
        <v>8</v>
      </c>
      <c r="B41" s="8">
        <v>34932</v>
      </c>
      <c r="C41" s="9" t="s">
        <v>13</v>
      </c>
      <c r="D41" s="9" t="s">
        <v>14</v>
      </c>
      <c r="E41" s="9" t="s">
        <v>19</v>
      </c>
      <c r="F41" s="10">
        <v>3.4</v>
      </c>
      <c r="G41" s="9">
        <v>5641</v>
      </c>
      <c r="H41" s="10">
        <f t="shared" si="2"/>
        <v>19179.399999999998</v>
      </c>
    </row>
    <row r="42" spans="1:8" x14ac:dyDescent="0.2">
      <c r="A42" s="3" t="s">
        <v>8</v>
      </c>
      <c r="B42" s="4">
        <v>35209</v>
      </c>
      <c r="C42" s="5" t="s">
        <v>15</v>
      </c>
      <c r="D42" s="5" t="s">
        <v>16</v>
      </c>
      <c r="E42" s="5" t="s">
        <v>32</v>
      </c>
      <c r="F42" s="6">
        <v>12</v>
      </c>
      <c r="G42" s="5">
        <v>7349</v>
      </c>
      <c r="H42" s="6">
        <f t="shared" si="2"/>
        <v>88188</v>
      </c>
    </row>
    <row r="43" spans="1:8" x14ac:dyDescent="0.2">
      <c r="A43" s="7" t="s">
        <v>8</v>
      </c>
      <c r="B43" s="8">
        <v>35216</v>
      </c>
      <c r="C43" s="9" t="s">
        <v>15</v>
      </c>
      <c r="D43" s="9" t="s">
        <v>16</v>
      </c>
      <c r="E43" s="9" t="s">
        <v>11</v>
      </c>
      <c r="F43" s="10">
        <v>1.5</v>
      </c>
      <c r="G43" s="9">
        <v>9628</v>
      </c>
      <c r="H43" s="10">
        <f t="shared" si="2"/>
        <v>14442</v>
      </c>
    </row>
    <row r="44" spans="1:8" x14ac:dyDescent="0.2">
      <c r="A44" s="3" t="s">
        <v>33</v>
      </c>
      <c r="B44" s="4">
        <v>34793</v>
      </c>
      <c r="C44" s="5" t="s">
        <v>25</v>
      </c>
      <c r="D44" s="5" t="s">
        <v>10</v>
      </c>
      <c r="E44" s="5" t="s">
        <v>23</v>
      </c>
      <c r="F44" s="6">
        <v>6</v>
      </c>
      <c r="G44" s="5">
        <v>8489</v>
      </c>
      <c r="H44" s="6">
        <f>F44*G44</f>
        <v>50934</v>
      </c>
    </row>
    <row r="45" spans="1:8" x14ac:dyDescent="0.2">
      <c r="A45" s="7" t="s">
        <v>33</v>
      </c>
      <c r="B45" s="8">
        <v>35086</v>
      </c>
      <c r="C45" s="9" t="s">
        <v>13</v>
      </c>
      <c r="D45" s="9" t="s">
        <v>16</v>
      </c>
      <c r="E45" s="9" t="s">
        <v>23</v>
      </c>
      <c r="F45" s="10">
        <v>6</v>
      </c>
      <c r="G45" s="9">
        <v>6317</v>
      </c>
      <c r="H45" s="10">
        <f>F45*G45</f>
        <v>37902</v>
      </c>
    </row>
    <row r="46" spans="1:8" x14ac:dyDescent="0.2">
      <c r="A46" s="3" t="s">
        <v>33</v>
      </c>
      <c r="B46" s="4">
        <v>35177</v>
      </c>
      <c r="C46" s="5" t="s">
        <v>18</v>
      </c>
      <c r="D46" s="5" t="s">
        <v>16</v>
      </c>
      <c r="E46" s="5" t="s">
        <v>28</v>
      </c>
      <c r="F46" s="6">
        <v>25</v>
      </c>
      <c r="G46" s="5">
        <v>6728</v>
      </c>
      <c r="H46" s="6">
        <f>F46*G46</f>
        <v>168200</v>
      </c>
    </row>
    <row r="47" spans="1:8" x14ac:dyDescent="0.2">
      <c r="A47" s="7" t="s">
        <v>33</v>
      </c>
      <c r="B47" s="8">
        <v>35012</v>
      </c>
      <c r="C47" s="9" t="s">
        <v>18</v>
      </c>
      <c r="D47" s="9" t="s">
        <v>22</v>
      </c>
      <c r="E47" s="9" t="s">
        <v>32</v>
      </c>
      <c r="F47" s="10">
        <v>12</v>
      </c>
      <c r="G47" s="9">
        <v>5136</v>
      </c>
      <c r="H47" s="10">
        <f>F47*G47</f>
        <v>61632</v>
      </c>
    </row>
    <row r="48" spans="1:8" x14ac:dyDescent="0.2">
      <c r="A48" s="3" t="s">
        <v>30</v>
      </c>
      <c r="B48" s="4">
        <v>34862</v>
      </c>
      <c r="C48" s="5" t="s">
        <v>18</v>
      </c>
      <c r="D48" s="5" t="s">
        <v>16</v>
      </c>
      <c r="E48" s="5" t="s">
        <v>11</v>
      </c>
      <c r="F48" s="6">
        <v>1.5</v>
      </c>
      <c r="G48" s="5">
        <v>6213</v>
      </c>
      <c r="H48" s="6">
        <f>F48*G48</f>
        <v>9319.5</v>
      </c>
    </row>
    <row r="49" spans="1:8" x14ac:dyDescent="0.2">
      <c r="A49" s="7" t="s">
        <v>30</v>
      </c>
      <c r="B49" s="8">
        <v>35139</v>
      </c>
      <c r="C49" s="9" t="s">
        <v>21</v>
      </c>
      <c r="D49" s="9" t="s">
        <v>16</v>
      </c>
      <c r="E49" s="9" t="s">
        <v>23</v>
      </c>
      <c r="F49" s="10">
        <v>6</v>
      </c>
      <c r="G49" s="9">
        <v>7373</v>
      </c>
      <c r="H49" s="10">
        <f>F49*G49</f>
        <v>44238</v>
      </c>
    </row>
    <row r="50" spans="1:8" x14ac:dyDescent="0.2">
      <c r="A50" s="11" t="s">
        <v>30</v>
      </c>
      <c r="B50" s="12">
        <v>35212</v>
      </c>
      <c r="C50" s="13" t="s">
        <v>25</v>
      </c>
      <c r="D50" s="13" t="s">
        <v>16</v>
      </c>
      <c r="E50" s="13" t="s">
        <v>11</v>
      </c>
      <c r="F50" s="14">
        <v>1.5</v>
      </c>
      <c r="G50" s="13">
        <v>6852</v>
      </c>
      <c r="H50" s="14">
        <f>F50*G50</f>
        <v>10278</v>
      </c>
    </row>
  </sheetData>
  <autoFilter ref="A1:H50"/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sqref="A1:XFD6"/>
    </sheetView>
  </sheetViews>
  <sheetFormatPr baseColWidth="10" defaultRowHeight="12.75" x14ac:dyDescent="0.2"/>
  <cols>
    <col min="1" max="1" width="13.140625" customWidth="1"/>
    <col min="2" max="2" width="17.42578125" bestFit="1" customWidth="1"/>
    <col min="3" max="3" width="12.85546875" bestFit="1" customWidth="1"/>
    <col min="4" max="4" width="11.7109375" customWidth="1"/>
    <col min="6" max="6" width="32.140625" bestFit="1" customWidth="1"/>
    <col min="7" max="7" width="12.42578125" customWidth="1"/>
    <col min="8" max="8" width="13" customWidth="1"/>
    <col min="11" max="11" width="16.7109375" bestFit="1" customWidth="1"/>
    <col min="12" max="12" width="14.42578125" bestFit="1" customWidth="1"/>
    <col min="13" max="13" width="11.42578125" customWidth="1"/>
    <col min="14" max="14" width="11.42578125" hidden="1" customWidth="1"/>
    <col min="15" max="15" width="14.42578125" bestFit="1" customWidth="1"/>
  </cols>
  <sheetData>
    <row r="1" spans="1:14" x14ac:dyDescent="0.2">
      <c r="B1" s="15" t="s">
        <v>3</v>
      </c>
      <c r="F1" s="23" t="s">
        <v>41</v>
      </c>
    </row>
    <row r="2" spans="1:14" x14ac:dyDescent="0.2">
      <c r="B2" s="16" t="s">
        <v>36</v>
      </c>
      <c r="F2" s="23" t="s">
        <v>42</v>
      </c>
    </row>
    <row r="3" spans="1:14" ht="13.5" thickBot="1" x14ac:dyDescent="0.25"/>
    <row r="4" spans="1:14" x14ac:dyDescent="0.2">
      <c r="B4" s="18" t="s">
        <v>34</v>
      </c>
      <c r="C4" s="20">
        <f>DSUM($A$7:$H$56,H7,B1:B2)</f>
        <v>907461</v>
      </c>
      <c r="F4" s="21">
        <f>SUBTOTAL(9,H8:H56)</f>
        <v>3487531.3000000003</v>
      </c>
    </row>
    <row r="5" spans="1:14" ht="13.5" thickBot="1" x14ac:dyDescent="0.25">
      <c r="B5" s="19" t="s">
        <v>35</v>
      </c>
      <c r="C5" s="17">
        <f>DCOUNTA($A$7:$H$56,A7,B1:B2)</f>
        <v>13</v>
      </c>
      <c r="F5" s="22">
        <f>SUBTOTAL(3,H8:H56)</f>
        <v>49</v>
      </c>
    </row>
    <row r="7" spans="1:14" x14ac:dyDescent="0.2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N7" t="s">
        <v>36</v>
      </c>
    </row>
    <row r="8" spans="1:14" x14ac:dyDescent="0.2">
      <c r="A8" s="3" t="s">
        <v>27</v>
      </c>
      <c r="B8" s="4">
        <v>34739</v>
      </c>
      <c r="C8" s="5" t="s">
        <v>25</v>
      </c>
      <c r="D8" s="5" t="s">
        <v>10</v>
      </c>
      <c r="E8" s="5" t="s">
        <v>23</v>
      </c>
      <c r="F8" s="6">
        <v>6</v>
      </c>
      <c r="G8" s="5">
        <v>5764</v>
      </c>
      <c r="H8" s="6">
        <f>F8*G8</f>
        <v>34584</v>
      </c>
      <c r="N8" t="s">
        <v>37</v>
      </c>
    </row>
    <row r="9" spans="1:14" x14ac:dyDescent="0.2">
      <c r="A9" s="7" t="s">
        <v>27</v>
      </c>
      <c r="B9" s="8">
        <v>35235</v>
      </c>
      <c r="C9" s="9" t="s">
        <v>25</v>
      </c>
      <c r="D9" s="9" t="s">
        <v>14</v>
      </c>
      <c r="E9" s="9" t="s">
        <v>32</v>
      </c>
      <c r="F9" s="10">
        <v>12</v>
      </c>
      <c r="G9" s="9">
        <v>9924</v>
      </c>
      <c r="H9" s="10">
        <f>F9*G9</f>
        <v>119088</v>
      </c>
      <c r="N9" t="s">
        <v>38</v>
      </c>
    </row>
    <row r="10" spans="1:14" x14ac:dyDescent="0.2">
      <c r="A10" s="3" t="s">
        <v>27</v>
      </c>
      <c r="B10" s="4">
        <v>35241</v>
      </c>
      <c r="C10" s="5" t="s">
        <v>9</v>
      </c>
      <c r="D10" s="5" t="s">
        <v>14</v>
      </c>
      <c r="E10" s="5" t="s">
        <v>28</v>
      </c>
      <c r="F10" s="6">
        <v>25</v>
      </c>
      <c r="G10" s="5">
        <v>7329</v>
      </c>
      <c r="H10" s="6">
        <f>F10*G10</f>
        <v>183225</v>
      </c>
      <c r="N10" t="s">
        <v>39</v>
      </c>
    </row>
    <row r="11" spans="1:14" x14ac:dyDescent="0.2">
      <c r="A11" s="7" t="s">
        <v>24</v>
      </c>
      <c r="B11" s="8">
        <v>34745</v>
      </c>
      <c r="C11" s="9" t="s">
        <v>25</v>
      </c>
      <c r="D11" s="9" t="s">
        <v>10</v>
      </c>
      <c r="E11" s="9" t="s">
        <v>23</v>
      </c>
      <c r="F11" s="10">
        <v>6</v>
      </c>
      <c r="G11" s="9">
        <v>6987</v>
      </c>
      <c r="H11" s="10">
        <f>F11*G11</f>
        <v>41922</v>
      </c>
      <c r="N11" t="s">
        <v>40</v>
      </c>
    </row>
    <row r="12" spans="1:14" x14ac:dyDescent="0.2">
      <c r="A12" s="3" t="s">
        <v>24</v>
      </c>
      <c r="B12" s="4">
        <v>35172</v>
      </c>
      <c r="C12" s="5" t="s">
        <v>15</v>
      </c>
      <c r="D12" s="5" t="s">
        <v>10</v>
      </c>
      <c r="E12" s="5" t="s">
        <v>28</v>
      </c>
      <c r="F12" s="6">
        <v>25</v>
      </c>
      <c r="G12" s="5">
        <v>6183</v>
      </c>
      <c r="H12" s="6">
        <f>F12*G12</f>
        <v>154575</v>
      </c>
    </row>
    <row r="13" spans="1:14" x14ac:dyDescent="0.2">
      <c r="A13" s="7" t="s">
        <v>24</v>
      </c>
      <c r="B13" s="8">
        <v>34897</v>
      </c>
      <c r="C13" s="9" t="s">
        <v>21</v>
      </c>
      <c r="D13" s="9" t="s">
        <v>14</v>
      </c>
      <c r="E13" s="9" t="s">
        <v>32</v>
      </c>
      <c r="F13" s="10">
        <v>12</v>
      </c>
      <c r="G13" s="9">
        <v>6660</v>
      </c>
      <c r="H13" s="10">
        <f>F13*G13</f>
        <v>79920</v>
      </c>
    </row>
    <row r="14" spans="1:14" x14ac:dyDescent="0.2">
      <c r="A14" s="3" t="s">
        <v>24</v>
      </c>
      <c r="B14" s="4">
        <v>34941</v>
      </c>
      <c r="C14" s="5" t="s">
        <v>13</v>
      </c>
      <c r="D14" s="5" t="s">
        <v>14</v>
      </c>
      <c r="E14" s="5" t="s">
        <v>19</v>
      </c>
      <c r="F14" s="6">
        <v>3.4</v>
      </c>
      <c r="G14" s="5">
        <v>9165</v>
      </c>
      <c r="H14" s="6">
        <f>F14*G14</f>
        <v>31161</v>
      </c>
    </row>
    <row r="15" spans="1:14" x14ac:dyDescent="0.2">
      <c r="A15" s="7" t="s">
        <v>24</v>
      </c>
      <c r="B15" s="8">
        <v>35230</v>
      </c>
      <c r="C15" s="9" t="s">
        <v>21</v>
      </c>
      <c r="D15" s="9" t="s">
        <v>14</v>
      </c>
      <c r="E15" s="9" t="s">
        <v>11</v>
      </c>
      <c r="F15" s="10">
        <v>1.5</v>
      </c>
      <c r="G15" s="9">
        <v>8091</v>
      </c>
      <c r="H15" s="10">
        <f>F15*G15</f>
        <v>12136.5</v>
      </c>
    </row>
    <row r="16" spans="1:14" x14ac:dyDescent="0.2">
      <c r="A16" s="3" t="s">
        <v>12</v>
      </c>
      <c r="B16" s="4">
        <v>35067</v>
      </c>
      <c r="C16" s="5" t="s">
        <v>13</v>
      </c>
      <c r="D16" s="5" t="s">
        <v>14</v>
      </c>
      <c r="E16" s="5" t="s">
        <v>11</v>
      </c>
      <c r="F16" s="6">
        <v>1.5</v>
      </c>
      <c r="G16" s="5">
        <v>9224</v>
      </c>
      <c r="H16" s="6">
        <f t="shared" ref="H16:H21" si="0">F16*G16</f>
        <v>13836</v>
      </c>
    </row>
    <row r="17" spans="1:8" x14ac:dyDescent="0.2">
      <c r="A17" s="7" t="s">
        <v>12</v>
      </c>
      <c r="B17" s="8">
        <v>34757</v>
      </c>
      <c r="C17" s="9" t="s">
        <v>15</v>
      </c>
      <c r="D17" s="9" t="s">
        <v>16</v>
      </c>
      <c r="E17" s="9" t="s">
        <v>26</v>
      </c>
      <c r="F17" s="10">
        <v>21</v>
      </c>
      <c r="G17" s="9">
        <v>5954</v>
      </c>
      <c r="H17" s="10">
        <f t="shared" si="0"/>
        <v>125034</v>
      </c>
    </row>
    <row r="18" spans="1:8" x14ac:dyDescent="0.2">
      <c r="A18" s="3" t="s">
        <v>12</v>
      </c>
      <c r="B18" s="4">
        <v>34789</v>
      </c>
      <c r="C18" s="5" t="s">
        <v>21</v>
      </c>
      <c r="D18" s="5" t="s">
        <v>16</v>
      </c>
      <c r="E18" s="5" t="s">
        <v>11</v>
      </c>
      <c r="F18" s="6">
        <v>1.5</v>
      </c>
      <c r="G18" s="5">
        <v>5750</v>
      </c>
      <c r="H18" s="6">
        <f t="shared" si="0"/>
        <v>8625</v>
      </c>
    </row>
    <row r="19" spans="1:8" x14ac:dyDescent="0.2">
      <c r="A19" s="7" t="s">
        <v>12</v>
      </c>
      <c r="B19" s="8">
        <v>35080</v>
      </c>
      <c r="C19" s="9" t="s">
        <v>21</v>
      </c>
      <c r="D19" s="9" t="s">
        <v>16</v>
      </c>
      <c r="E19" s="9" t="s">
        <v>11</v>
      </c>
      <c r="F19" s="10">
        <v>1.5</v>
      </c>
      <c r="G19" s="9">
        <v>7645</v>
      </c>
      <c r="H19" s="10">
        <f t="shared" si="0"/>
        <v>11467.5</v>
      </c>
    </row>
    <row r="20" spans="1:8" x14ac:dyDescent="0.2">
      <c r="A20" s="3" t="s">
        <v>12</v>
      </c>
      <c r="B20" s="4">
        <v>35082</v>
      </c>
      <c r="C20" s="5" t="s">
        <v>21</v>
      </c>
      <c r="D20" s="5" t="s">
        <v>16</v>
      </c>
      <c r="E20" s="5" t="s">
        <v>11</v>
      </c>
      <c r="F20" s="6">
        <v>1.5</v>
      </c>
      <c r="G20" s="5">
        <v>8611</v>
      </c>
      <c r="H20" s="6">
        <f t="shared" si="0"/>
        <v>12916.5</v>
      </c>
    </row>
    <row r="21" spans="1:8" x14ac:dyDescent="0.2">
      <c r="A21" s="7" t="s">
        <v>12</v>
      </c>
      <c r="B21" s="8">
        <v>35118</v>
      </c>
      <c r="C21" s="9" t="s">
        <v>15</v>
      </c>
      <c r="D21" s="9" t="s">
        <v>22</v>
      </c>
      <c r="E21" s="9" t="s">
        <v>32</v>
      </c>
      <c r="F21" s="10">
        <v>12</v>
      </c>
      <c r="G21" s="9">
        <v>9886</v>
      </c>
      <c r="H21" s="10">
        <f t="shared" si="0"/>
        <v>118632</v>
      </c>
    </row>
    <row r="22" spans="1:8" x14ac:dyDescent="0.2">
      <c r="A22" s="3" t="s">
        <v>17</v>
      </c>
      <c r="B22" s="4">
        <v>34892</v>
      </c>
      <c r="C22" s="5" t="s">
        <v>18</v>
      </c>
      <c r="D22" s="5" t="s">
        <v>10</v>
      </c>
      <c r="E22" s="5" t="s">
        <v>19</v>
      </c>
      <c r="F22" s="6">
        <v>3.4</v>
      </c>
      <c r="G22" s="5">
        <v>8367</v>
      </c>
      <c r="H22" s="6">
        <f>F22*G22</f>
        <v>28447.8</v>
      </c>
    </row>
    <row r="23" spans="1:8" x14ac:dyDescent="0.2">
      <c r="A23" s="7" t="s">
        <v>17</v>
      </c>
      <c r="B23" s="8">
        <v>35093</v>
      </c>
      <c r="C23" s="9" t="s">
        <v>13</v>
      </c>
      <c r="D23" s="9" t="s">
        <v>10</v>
      </c>
      <c r="E23" s="9" t="s">
        <v>11</v>
      </c>
      <c r="F23" s="10">
        <v>1.5</v>
      </c>
      <c r="G23" s="9">
        <v>8804</v>
      </c>
      <c r="H23" s="10">
        <f>F23*G23</f>
        <v>13206</v>
      </c>
    </row>
    <row r="24" spans="1:8" x14ac:dyDescent="0.2">
      <c r="A24" s="3" t="s">
        <v>17</v>
      </c>
      <c r="B24" s="4">
        <v>35025</v>
      </c>
      <c r="C24" s="5" t="s">
        <v>21</v>
      </c>
      <c r="D24" s="5" t="s">
        <v>14</v>
      </c>
      <c r="E24" s="5" t="s">
        <v>23</v>
      </c>
      <c r="F24" s="6">
        <v>6</v>
      </c>
      <c r="G24" s="5">
        <v>7700</v>
      </c>
      <c r="H24" s="6">
        <f>F24*G24</f>
        <v>46200</v>
      </c>
    </row>
    <row r="25" spans="1:8" x14ac:dyDescent="0.2">
      <c r="A25" s="7" t="s">
        <v>17</v>
      </c>
      <c r="B25" s="8">
        <v>34982</v>
      </c>
      <c r="C25" s="9" t="s">
        <v>9</v>
      </c>
      <c r="D25" s="9" t="s">
        <v>16</v>
      </c>
      <c r="E25" s="9" t="s">
        <v>11</v>
      </c>
      <c r="F25" s="10">
        <v>1.5</v>
      </c>
      <c r="G25" s="9">
        <v>5293</v>
      </c>
      <c r="H25" s="10">
        <f>F25*G25</f>
        <v>7939.5</v>
      </c>
    </row>
    <row r="26" spans="1:8" x14ac:dyDescent="0.2">
      <c r="A26" s="3" t="s">
        <v>20</v>
      </c>
      <c r="B26" s="4">
        <v>34985</v>
      </c>
      <c r="C26" s="5" t="s">
        <v>18</v>
      </c>
      <c r="D26" s="5" t="s">
        <v>10</v>
      </c>
      <c r="E26" s="5" t="s">
        <v>19</v>
      </c>
      <c r="F26" s="6">
        <v>3.4</v>
      </c>
      <c r="G26" s="5">
        <v>8227</v>
      </c>
      <c r="H26" s="6">
        <f>F26*G26</f>
        <v>27971.8</v>
      </c>
    </row>
    <row r="27" spans="1:8" x14ac:dyDescent="0.2">
      <c r="A27" s="7" t="s">
        <v>20</v>
      </c>
      <c r="B27" s="8">
        <v>34988</v>
      </c>
      <c r="C27" s="9" t="s">
        <v>18</v>
      </c>
      <c r="D27" s="9" t="s">
        <v>10</v>
      </c>
      <c r="E27" s="9" t="s">
        <v>26</v>
      </c>
      <c r="F27" s="10">
        <v>21</v>
      </c>
      <c r="G27" s="9">
        <v>7464</v>
      </c>
      <c r="H27" s="10">
        <f>F27*G27</f>
        <v>156744</v>
      </c>
    </row>
    <row r="28" spans="1:8" x14ac:dyDescent="0.2">
      <c r="A28" s="3" t="s">
        <v>20</v>
      </c>
      <c r="B28" s="4">
        <v>35002</v>
      </c>
      <c r="C28" s="5" t="s">
        <v>9</v>
      </c>
      <c r="D28" s="5" t="s">
        <v>16</v>
      </c>
      <c r="E28" s="5" t="s">
        <v>32</v>
      </c>
      <c r="F28" s="6">
        <v>12</v>
      </c>
      <c r="G28" s="5">
        <v>5463</v>
      </c>
      <c r="H28" s="6">
        <f>F28*G28</f>
        <v>65556</v>
      </c>
    </row>
    <row r="29" spans="1:8" x14ac:dyDescent="0.2">
      <c r="A29" s="7" t="s">
        <v>20</v>
      </c>
      <c r="B29" s="8">
        <v>35048</v>
      </c>
      <c r="C29" s="9" t="s">
        <v>21</v>
      </c>
      <c r="D29" s="9" t="s">
        <v>22</v>
      </c>
      <c r="E29" s="9" t="s">
        <v>23</v>
      </c>
      <c r="F29" s="10">
        <v>6</v>
      </c>
      <c r="G29" s="9">
        <v>6550</v>
      </c>
      <c r="H29" s="10">
        <f>F29*G29</f>
        <v>39300</v>
      </c>
    </row>
    <row r="30" spans="1:8" x14ac:dyDescent="0.2">
      <c r="A30" s="3" t="s">
        <v>31</v>
      </c>
      <c r="B30" s="4">
        <v>34765</v>
      </c>
      <c r="C30" s="5" t="s">
        <v>15</v>
      </c>
      <c r="D30" s="5" t="s">
        <v>16</v>
      </c>
      <c r="E30" s="5" t="s">
        <v>28</v>
      </c>
      <c r="F30" s="6">
        <v>25</v>
      </c>
      <c r="G30" s="5">
        <v>7346</v>
      </c>
      <c r="H30" s="6">
        <f>F30*G30</f>
        <v>183650</v>
      </c>
    </row>
    <row r="31" spans="1:8" x14ac:dyDescent="0.2">
      <c r="A31" s="7" t="s">
        <v>31</v>
      </c>
      <c r="B31" s="8">
        <v>35088</v>
      </c>
      <c r="C31" s="9" t="s">
        <v>18</v>
      </c>
      <c r="D31" s="9" t="s">
        <v>22</v>
      </c>
      <c r="E31" s="9" t="s">
        <v>19</v>
      </c>
      <c r="F31" s="10">
        <v>3.4</v>
      </c>
      <c r="G31" s="9">
        <v>7212</v>
      </c>
      <c r="H31" s="10">
        <f>F31*G31</f>
        <v>24520.799999999999</v>
      </c>
    </row>
    <row r="32" spans="1:8" x14ac:dyDescent="0.2">
      <c r="A32" s="3" t="s">
        <v>31</v>
      </c>
      <c r="B32" s="4">
        <v>35093</v>
      </c>
      <c r="C32" s="5" t="s">
        <v>18</v>
      </c>
      <c r="D32" s="5" t="s">
        <v>22</v>
      </c>
      <c r="E32" s="5" t="s">
        <v>28</v>
      </c>
      <c r="F32" s="6">
        <v>25</v>
      </c>
      <c r="G32" s="5">
        <v>6075</v>
      </c>
      <c r="H32" s="6">
        <f>F32*G32</f>
        <v>151875</v>
      </c>
    </row>
    <row r="33" spans="1:8" x14ac:dyDescent="0.2">
      <c r="A33" s="7" t="s">
        <v>29</v>
      </c>
      <c r="B33" s="8">
        <v>35046</v>
      </c>
      <c r="C33" s="9" t="s">
        <v>15</v>
      </c>
      <c r="D33" s="9" t="s">
        <v>10</v>
      </c>
      <c r="E33" s="9" t="s">
        <v>26</v>
      </c>
      <c r="F33" s="10">
        <v>21</v>
      </c>
      <c r="G33" s="9">
        <v>8694</v>
      </c>
      <c r="H33" s="10">
        <f t="shared" ref="H33:H49" si="1">F33*G33</f>
        <v>182574</v>
      </c>
    </row>
    <row r="34" spans="1:8" x14ac:dyDescent="0.2">
      <c r="A34" s="3" t="s">
        <v>29</v>
      </c>
      <c r="B34" s="4">
        <v>34747</v>
      </c>
      <c r="C34" s="5" t="s">
        <v>13</v>
      </c>
      <c r="D34" s="5" t="s">
        <v>14</v>
      </c>
      <c r="E34" s="5" t="s">
        <v>26</v>
      </c>
      <c r="F34" s="6">
        <v>21</v>
      </c>
      <c r="G34" s="5">
        <v>9401</v>
      </c>
      <c r="H34" s="6">
        <f t="shared" si="1"/>
        <v>197421</v>
      </c>
    </row>
    <row r="35" spans="1:8" x14ac:dyDescent="0.2">
      <c r="A35" s="7" t="s">
        <v>29</v>
      </c>
      <c r="B35" s="8">
        <v>35017</v>
      </c>
      <c r="C35" s="9" t="s">
        <v>25</v>
      </c>
      <c r="D35" s="9" t="s">
        <v>14</v>
      </c>
      <c r="E35" s="9" t="s">
        <v>23</v>
      </c>
      <c r="F35" s="10">
        <v>6</v>
      </c>
      <c r="G35" s="9">
        <v>8407</v>
      </c>
      <c r="H35" s="10">
        <f t="shared" si="1"/>
        <v>50442</v>
      </c>
    </row>
    <row r="36" spans="1:8" x14ac:dyDescent="0.2">
      <c r="A36" s="3" t="s">
        <v>29</v>
      </c>
      <c r="B36" s="4">
        <v>34708</v>
      </c>
      <c r="C36" s="5" t="s">
        <v>18</v>
      </c>
      <c r="D36" s="5" t="s">
        <v>16</v>
      </c>
      <c r="E36" s="5" t="s">
        <v>26</v>
      </c>
      <c r="F36" s="6">
        <v>21</v>
      </c>
      <c r="G36" s="5">
        <v>9201</v>
      </c>
      <c r="H36" s="6">
        <f t="shared" si="1"/>
        <v>193221</v>
      </c>
    </row>
    <row r="37" spans="1:8" x14ac:dyDescent="0.2">
      <c r="A37" s="7" t="s">
        <v>29</v>
      </c>
      <c r="B37" s="8">
        <v>35089</v>
      </c>
      <c r="C37" s="9" t="s">
        <v>9</v>
      </c>
      <c r="D37" s="9" t="s">
        <v>16</v>
      </c>
      <c r="E37" s="9" t="s">
        <v>19</v>
      </c>
      <c r="F37" s="10">
        <v>3.4</v>
      </c>
      <c r="G37" s="9">
        <v>7819</v>
      </c>
      <c r="H37" s="10">
        <f t="shared" si="1"/>
        <v>26584.6</v>
      </c>
    </row>
    <row r="38" spans="1:8" x14ac:dyDescent="0.2">
      <c r="A38" s="3" t="s">
        <v>29</v>
      </c>
      <c r="B38" s="4">
        <v>35125</v>
      </c>
      <c r="C38" s="5" t="s">
        <v>13</v>
      </c>
      <c r="D38" s="5" t="s">
        <v>16</v>
      </c>
      <c r="E38" s="5" t="s">
        <v>28</v>
      </c>
      <c r="F38" s="6">
        <v>25</v>
      </c>
      <c r="G38" s="5">
        <v>6523</v>
      </c>
      <c r="H38" s="6">
        <f t="shared" si="1"/>
        <v>163075</v>
      </c>
    </row>
    <row r="39" spans="1:8" x14ac:dyDescent="0.2">
      <c r="A39" s="7" t="s">
        <v>29</v>
      </c>
      <c r="B39" s="8">
        <v>35129</v>
      </c>
      <c r="C39" s="9" t="s">
        <v>21</v>
      </c>
      <c r="D39" s="9" t="s">
        <v>16</v>
      </c>
      <c r="E39" s="9" t="s">
        <v>32</v>
      </c>
      <c r="F39" s="10">
        <v>12</v>
      </c>
      <c r="G39" s="9">
        <v>7017</v>
      </c>
      <c r="H39" s="10">
        <f t="shared" si="1"/>
        <v>84204</v>
      </c>
    </row>
    <row r="40" spans="1:8" x14ac:dyDescent="0.2">
      <c r="A40" s="3" t="s">
        <v>29</v>
      </c>
      <c r="B40" s="4">
        <v>34947</v>
      </c>
      <c r="C40" s="5" t="s">
        <v>13</v>
      </c>
      <c r="D40" s="5" t="s">
        <v>22</v>
      </c>
      <c r="E40" s="5" t="s">
        <v>23</v>
      </c>
      <c r="F40" s="6">
        <v>6</v>
      </c>
      <c r="G40" s="5">
        <v>9929</v>
      </c>
      <c r="H40" s="6">
        <f t="shared" si="1"/>
        <v>59574</v>
      </c>
    </row>
    <row r="41" spans="1:8" x14ac:dyDescent="0.2">
      <c r="A41" s="7" t="s">
        <v>29</v>
      </c>
      <c r="B41" s="8">
        <v>35061</v>
      </c>
      <c r="C41" s="9" t="s">
        <v>21</v>
      </c>
      <c r="D41" s="9" t="s">
        <v>22</v>
      </c>
      <c r="E41" s="9" t="s">
        <v>11</v>
      </c>
      <c r="F41" s="10">
        <v>1.5</v>
      </c>
      <c r="G41" s="9">
        <v>5562</v>
      </c>
      <c r="H41" s="10">
        <f t="shared" si="1"/>
        <v>8343</v>
      </c>
    </row>
    <row r="42" spans="1:8" x14ac:dyDescent="0.2">
      <c r="A42" s="3" t="s">
        <v>8</v>
      </c>
      <c r="B42" s="4">
        <v>34850</v>
      </c>
      <c r="C42" s="5" t="s">
        <v>9</v>
      </c>
      <c r="D42" s="5" t="s">
        <v>10</v>
      </c>
      <c r="E42" s="5" t="s">
        <v>11</v>
      </c>
      <c r="F42" s="6">
        <v>1.5</v>
      </c>
      <c r="G42" s="5">
        <v>7695</v>
      </c>
      <c r="H42" s="6">
        <f t="shared" si="1"/>
        <v>11542.5</v>
      </c>
    </row>
    <row r="43" spans="1:8" x14ac:dyDescent="0.2">
      <c r="A43" s="7" t="s">
        <v>8</v>
      </c>
      <c r="B43" s="8">
        <v>34876</v>
      </c>
      <c r="C43" s="9" t="s">
        <v>13</v>
      </c>
      <c r="D43" s="9" t="s">
        <v>10</v>
      </c>
      <c r="E43" s="9" t="s">
        <v>11</v>
      </c>
      <c r="F43" s="10">
        <v>1.5</v>
      </c>
      <c r="G43" s="9">
        <v>8639</v>
      </c>
      <c r="H43" s="10">
        <f t="shared" si="1"/>
        <v>12958.5</v>
      </c>
    </row>
    <row r="44" spans="1:8" x14ac:dyDescent="0.2">
      <c r="A44" s="3" t="s">
        <v>8</v>
      </c>
      <c r="B44" s="4">
        <v>34988</v>
      </c>
      <c r="C44" s="5" t="s">
        <v>25</v>
      </c>
      <c r="D44" s="5" t="s">
        <v>10</v>
      </c>
      <c r="E44" s="5" t="s">
        <v>19</v>
      </c>
      <c r="F44" s="6">
        <v>3.4</v>
      </c>
      <c r="G44" s="5">
        <v>5336</v>
      </c>
      <c r="H44" s="6">
        <f t="shared" si="1"/>
        <v>18142.399999999998</v>
      </c>
    </row>
    <row r="45" spans="1:8" x14ac:dyDescent="0.2">
      <c r="A45" s="7" t="s">
        <v>8</v>
      </c>
      <c r="B45" s="8">
        <v>35074</v>
      </c>
      <c r="C45" s="9" t="s">
        <v>18</v>
      </c>
      <c r="D45" s="9" t="s">
        <v>10</v>
      </c>
      <c r="E45" s="9" t="s">
        <v>26</v>
      </c>
      <c r="F45" s="10">
        <v>21</v>
      </c>
      <c r="G45" s="9">
        <v>8279</v>
      </c>
      <c r="H45" s="10">
        <f t="shared" si="1"/>
        <v>173859</v>
      </c>
    </row>
    <row r="46" spans="1:8" x14ac:dyDescent="0.2">
      <c r="A46" s="3" t="s">
        <v>8</v>
      </c>
      <c r="B46" s="4">
        <v>34883</v>
      </c>
      <c r="C46" s="5" t="s">
        <v>13</v>
      </c>
      <c r="D46" s="5" t="s">
        <v>14</v>
      </c>
      <c r="E46" s="5" t="s">
        <v>32</v>
      </c>
      <c r="F46" s="6">
        <v>12</v>
      </c>
      <c r="G46" s="5">
        <v>9062</v>
      </c>
      <c r="H46" s="6">
        <f t="shared" si="1"/>
        <v>108744</v>
      </c>
    </row>
    <row r="47" spans="1:8" x14ac:dyDescent="0.2">
      <c r="A47" s="7" t="s">
        <v>8</v>
      </c>
      <c r="B47" s="8">
        <v>34932</v>
      </c>
      <c r="C47" s="9" t="s">
        <v>13</v>
      </c>
      <c r="D47" s="9" t="s">
        <v>14</v>
      </c>
      <c r="E47" s="9" t="s">
        <v>19</v>
      </c>
      <c r="F47" s="10">
        <v>3.4</v>
      </c>
      <c r="G47" s="9">
        <v>5641</v>
      </c>
      <c r="H47" s="10">
        <f t="shared" si="1"/>
        <v>19179.399999999998</v>
      </c>
    </row>
    <row r="48" spans="1:8" x14ac:dyDescent="0.2">
      <c r="A48" s="3" t="s">
        <v>8</v>
      </c>
      <c r="B48" s="4">
        <v>35209</v>
      </c>
      <c r="C48" s="5" t="s">
        <v>15</v>
      </c>
      <c r="D48" s="5" t="s">
        <v>16</v>
      </c>
      <c r="E48" s="5" t="s">
        <v>32</v>
      </c>
      <c r="F48" s="6">
        <v>12</v>
      </c>
      <c r="G48" s="5">
        <v>7349</v>
      </c>
      <c r="H48" s="6">
        <f t="shared" si="1"/>
        <v>88188</v>
      </c>
    </row>
    <row r="49" spans="1:8" x14ac:dyDescent="0.2">
      <c r="A49" s="7" t="s">
        <v>8</v>
      </c>
      <c r="B49" s="8">
        <v>35216</v>
      </c>
      <c r="C49" s="9" t="s">
        <v>15</v>
      </c>
      <c r="D49" s="9" t="s">
        <v>16</v>
      </c>
      <c r="E49" s="9" t="s">
        <v>11</v>
      </c>
      <c r="F49" s="10">
        <v>1.5</v>
      </c>
      <c r="G49" s="9">
        <v>9628</v>
      </c>
      <c r="H49" s="10">
        <f t="shared" si="1"/>
        <v>14442</v>
      </c>
    </row>
    <row r="50" spans="1:8" x14ac:dyDescent="0.2">
      <c r="A50" s="3" t="s">
        <v>33</v>
      </c>
      <c r="B50" s="4">
        <v>34793</v>
      </c>
      <c r="C50" s="5" t="s">
        <v>25</v>
      </c>
      <c r="D50" s="5" t="s">
        <v>10</v>
      </c>
      <c r="E50" s="5" t="s">
        <v>23</v>
      </c>
      <c r="F50" s="6">
        <v>6</v>
      </c>
      <c r="G50" s="5">
        <v>8489</v>
      </c>
      <c r="H50" s="6">
        <f>F50*G50</f>
        <v>50934</v>
      </c>
    </row>
    <row r="51" spans="1:8" x14ac:dyDescent="0.2">
      <c r="A51" s="7" t="s">
        <v>33</v>
      </c>
      <c r="B51" s="8">
        <v>35086</v>
      </c>
      <c r="C51" s="9" t="s">
        <v>13</v>
      </c>
      <c r="D51" s="9" t="s">
        <v>16</v>
      </c>
      <c r="E51" s="9" t="s">
        <v>23</v>
      </c>
      <c r="F51" s="10">
        <v>6</v>
      </c>
      <c r="G51" s="9">
        <v>6317</v>
      </c>
      <c r="H51" s="10">
        <f>F51*G51</f>
        <v>37902</v>
      </c>
    </row>
    <row r="52" spans="1:8" x14ac:dyDescent="0.2">
      <c r="A52" s="3" t="s">
        <v>33</v>
      </c>
      <c r="B52" s="4">
        <v>35177</v>
      </c>
      <c r="C52" s="5" t="s">
        <v>18</v>
      </c>
      <c r="D52" s="5" t="s">
        <v>16</v>
      </c>
      <c r="E52" s="5" t="s">
        <v>28</v>
      </c>
      <c r="F52" s="6">
        <v>25</v>
      </c>
      <c r="G52" s="5">
        <v>6728</v>
      </c>
      <c r="H52" s="6">
        <f>F52*G52</f>
        <v>168200</v>
      </c>
    </row>
    <row r="53" spans="1:8" x14ac:dyDescent="0.2">
      <c r="A53" s="7" t="s">
        <v>33</v>
      </c>
      <c r="B53" s="8">
        <v>35012</v>
      </c>
      <c r="C53" s="9" t="s">
        <v>18</v>
      </c>
      <c r="D53" s="9" t="s">
        <v>22</v>
      </c>
      <c r="E53" s="9" t="s">
        <v>32</v>
      </c>
      <c r="F53" s="10">
        <v>12</v>
      </c>
      <c r="G53" s="9">
        <v>5136</v>
      </c>
      <c r="H53" s="10">
        <f>F53*G53</f>
        <v>61632</v>
      </c>
    </row>
    <row r="54" spans="1:8" x14ac:dyDescent="0.2">
      <c r="A54" s="3" t="s">
        <v>30</v>
      </c>
      <c r="B54" s="4">
        <v>34862</v>
      </c>
      <c r="C54" s="5" t="s">
        <v>18</v>
      </c>
      <c r="D54" s="5" t="s">
        <v>16</v>
      </c>
      <c r="E54" s="5" t="s">
        <v>11</v>
      </c>
      <c r="F54" s="6">
        <v>1.5</v>
      </c>
      <c r="G54" s="5">
        <v>6213</v>
      </c>
      <c r="H54" s="6">
        <f>F54*G54</f>
        <v>9319.5</v>
      </c>
    </row>
    <row r="55" spans="1:8" x14ac:dyDescent="0.2">
      <c r="A55" s="7" t="s">
        <v>30</v>
      </c>
      <c r="B55" s="8">
        <v>35139</v>
      </c>
      <c r="C55" s="9" t="s">
        <v>21</v>
      </c>
      <c r="D55" s="9" t="s">
        <v>16</v>
      </c>
      <c r="E55" s="9" t="s">
        <v>23</v>
      </c>
      <c r="F55" s="10">
        <v>6</v>
      </c>
      <c r="G55" s="9">
        <v>7373</v>
      </c>
      <c r="H55" s="10">
        <f>F55*G55</f>
        <v>44238</v>
      </c>
    </row>
    <row r="56" spans="1:8" x14ac:dyDescent="0.2">
      <c r="A56" s="11" t="s">
        <v>30</v>
      </c>
      <c r="B56" s="12">
        <v>35212</v>
      </c>
      <c r="C56" s="13" t="s">
        <v>25</v>
      </c>
      <c r="D56" s="13" t="s">
        <v>16</v>
      </c>
      <c r="E56" s="13" t="s">
        <v>11</v>
      </c>
      <c r="F56" s="14">
        <v>1.5</v>
      </c>
      <c r="G56" s="13">
        <v>6852</v>
      </c>
      <c r="H56" s="14">
        <f>F56*G56</f>
        <v>10278</v>
      </c>
    </row>
  </sheetData>
  <autoFilter ref="A7:H56"/>
  <dataValidations count="1">
    <dataValidation type="list" allowBlank="1" showInputMessage="1" showErrorMessage="1" sqref="B2">
      <formula1>$N$7:$N$11</formula1>
    </dataValidation>
  </dataValidations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des commandes</vt:lpstr>
      <vt:lpstr>liste des commandes avec calcul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cadeaux</dc:title>
  <dc:subject>afe5_b1 afe5_b2</dc:subject>
  <dc:creator>s&amp;h</dc:creator>
  <cp:lastModifiedBy>Sandrine</cp:lastModifiedBy>
  <cp:lastPrinted>2009-03-03T10:31:21Z</cp:lastPrinted>
  <dcterms:created xsi:type="dcterms:W3CDTF">2001-04-12T16:07:41Z</dcterms:created>
  <dcterms:modified xsi:type="dcterms:W3CDTF">2015-06-17T14:34:15Z</dcterms:modified>
</cp:coreProperties>
</file>