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XL3\BDD\"/>
    </mc:Choice>
  </mc:AlternateContent>
  <bookViews>
    <workbookView xWindow="480" yWindow="75" windowWidth="17520" windowHeight="6990" tabRatio="714" activeTab="1"/>
  </bookViews>
  <sheets>
    <sheet name="TCD CA" sheetId="3" r:id="rId1"/>
    <sheet name="TCD Graph Segment" sheetId="14" r:id="rId2"/>
    <sheet name="TCD CA SEGMENT" sheetId="13" r:id="rId3"/>
    <sheet name="TCD Groupe auto" sheetId="5" r:id="rId4"/>
    <sheet name="TCD %" sheetId="4" r:id="rId5"/>
    <sheet name="TCD groupe manuel" sheetId="7" r:id="rId6"/>
    <sheet name="Centre" sheetId="11" r:id="rId7"/>
    <sheet name="Nord" sheetId="10" r:id="rId8"/>
    <sheet name="Ouest" sheetId="9" r:id="rId9"/>
    <sheet name="Sud" sheetId="8" r:id="rId10"/>
    <sheet name="bdd commandes" sheetId="1" r:id="rId11"/>
    <sheet name="TCD Commandes" sheetId="2" state="hidden" r:id="rId12"/>
  </sheets>
  <externalReferences>
    <externalReference r:id="rId13"/>
  </externalReferences>
  <definedNames>
    <definedName name="_xlnm._FilterDatabase" localSheetId="10" hidden="1">'bdd commandes'!$A$1:$K$50</definedName>
    <definedName name="ChronologieNative_DATE1">#N/A</definedName>
    <definedName name="CNE">'[1]ID ETUDIANT (2)'!$A$1:$E$5</definedName>
    <definedName name="_xlnm.Criteria" localSheetId="10">'bdd commandes'!$L$16:$L$17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Segment_annee">#N/A</definedName>
    <definedName name="Segment_CLIENT1">#N/A</definedName>
    <definedName name="Segment_Mois_Texte">#N/A</definedName>
  </definedNames>
  <calcPr calcId="162913"/>
  <pivotCaches>
    <pivotCache cacheId="4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8"/>
      </x15:timelineCacheRefs>
    </ext>
  </extLst>
</workbook>
</file>

<file path=xl/calcChain.xml><?xml version="1.0" encoding="utf-8"?>
<calcChain xmlns="http://schemas.openxmlformats.org/spreadsheetml/2006/main">
  <c r="E5" i="1" l="1"/>
  <c r="E8" i="1"/>
  <c r="E10" i="1"/>
  <c r="E13" i="1"/>
  <c r="E16" i="1"/>
  <c r="E18" i="1"/>
  <c r="E21" i="1"/>
  <c r="E24" i="1"/>
  <c r="E26" i="1"/>
  <c r="E29" i="1"/>
  <c r="E32" i="1"/>
  <c r="E34" i="1"/>
  <c r="E37" i="1"/>
  <c r="E40" i="1"/>
  <c r="E42" i="1"/>
  <c r="E45" i="1"/>
  <c r="E48" i="1"/>
  <c r="E50" i="1"/>
  <c r="C3" i="1"/>
  <c r="D3" i="1"/>
  <c r="E3" i="1" s="1"/>
  <c r="C4" i="1"/>
  <c r="D4" i="1"/>
  <c r="E4" i="1" s="1"/>
  <c r="C5" i="1"/>
  <c r="D5" i="1"/>
  <c r="C6" i="1"/>
  <c r="D6" i="1"/>
  <c r="E6" i="1" s="1"/>
  <c r="C7" i="1"/>
  <c r="D7" i="1"/>
  <c r="E7" i="1" s="1"/>
  <c r="C8" i="1"/>
  <c r="D8" i="1"/>
  <c r="C9" i="1"/>
  <c r="D9" i="1"/>
  <c r="E9" i="1" s="1"/>
  <c r="C10" i="1"/>
  <c r="D10" i="1"/>
  <c r="C11" i="1"/>
  <c r="D11" i="1"/>
  <c r="E11" i="1" s="1"/>
  <c r="C12" i="1"/>
  <c r="D12" i="1"/>
  <c r="E12" i="1" s="1"/>
  <c r="C13" i="1"/>
  <c r="D13" i="1"/>
  <c r="C14" i="1"/>
  <c r="D14" i="1"/>
  <c r="E14" i="1" s="1"/>
  <c r="C15" i="1"/>
  <c r="D15" i="1"/>
  <c r="E15" i="1" s="1"/>
  <c r="C16" i="1"/>
  <c r="D16" i="1"/>
  <c r="C17" i="1"/>
  <c r="D17" i="1"/>
  <c r="E17" i="1" s="1"/>
  <c r="C18" i="1"/>
  <c r="D18" i="1"/>
  <c r="C19" i="1"/>
  <c r="D19" i="1"/>
  <c r="E19" i="1" s="1"/>
  <c r="C20" i="1"/>
  <c r="D20" i="1"/>
  <c r="E20" i="1" s="1"/>
  <c r="C21" i="1"/>
  <c r="D21" i="1"/>
  <c r="C22" i="1"/>
  <c r="D22" i="1"/>
  <c r="E22" i="1" s="1"/>
  <c r="C23" i="1"/>
  <c r="D23" i="1"/>
  <c r="E23" i="1" s="1"/>
  <c r="C24" i="1"/>
  <c r="D24" i="1"/>
  <c r="C25" i="1"/>
  <c r="D25" i="1"/>
  <c r="E25" i="1" s="1"/>
  <c r="C26" i="1"/>
  <c r="D26" i="1"/>
  <c r="C27" i="1"/>
  <c r="D27" i="1"/>
  <c r="E27" i="1" s="1"/>
  <c r="C28" i="1"/>
  <c r="D28" i="1"/>
  <c r="E28" i="1" s="1"/>
  <c r="C29" i="1"/>
  <c r="D29" i="1"/>
  <c r="C30" i="1"/>
  <c r="D30" i="1"/>
  <c r="E30" i="1" s="1"/>
  <c r="C31" i="1"/>
  <c r="D31" i="1"/>
  <c r="E31" i="1" s="1"/>
  <c r="C32" i="1"/>
  <c r="D32" i="1"/>
  <c r="C33" i="1"/>
  <c r="D33" i="1"/>
  <c r="E33" i="1" s="1"/>
  <c r="C34" i="1"/>
  <c r="D34" i="1"/>
  <c r="C35" i="1"/>
  <c r="D35" i="1"/>
  <c r="E35" i="1" s="1"/>
  <c r="C36" i="1"/>
  <c r="D36" i="1"/>
  <c r="E36" i="1" s="1"/>
  <c r="C37" i="1"/>
  <c r="D37" i="1"/>
  <c r="C38" i="1"/>
  <c r="D38" i="1"/>
  <c r="E38" i="1" s="1"/>
  <c r="C39" i="1"/>
  <c r="D39" i="1"/>
  <c r="E39" i="1" s="1"/>
  <c r="C40" i="1"/>
  <c r="D40" i="1"/>
  <c r="C41" i="1"/>
  <c r="D41" i="1"/>
  <c r="E41" i="1" s="1"/>
  <c r="C42" i="1"/>
  <c r="D42" i="1"/>
  <c r="C43" i="1"/>
  <c r="D43" i="1"/>
  <c r="E43" i="1" s="1"/>
  <c r="C44" i="1"/>
  <c r="D44" i="1"/>
  <c r="E44" i="1" s="1"/>
  <c r="C45" i="1"/>
  <c r="D45" i="1"/>
  <c r="C46" i="1"/>
  <c r="D46" i="1"/>
  <c r="E46" i="1" s="1"/>
  <c r="C47" i="1"/>
  <c r="D47" i="1"/>
  <c r="E47" i="1" s="1"/>
  <c r="C48" i="1"/>
  <c r="D48" i="1"/>
  <c r="C49" i="1"/>
  <c r="D49" i="1"/>
  <c r="E49" i="1" s="1"/>
  <c r="C50" i="1"/>
  <c r="D50" i="1"/>
  <c r="D2" i="1"/>
  <c r="E2" i="1" s="1"/>
  <c r="C2" i="1"/>
  <c r="K50" i="1" l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<sst xmlns="http://schemas.openxmlformats.org/spreadsheetml/2006/main" count="437" uniqueCount="105">
  <si>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</si>
  <si>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</si>
  <si>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</si>
  <si>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</si>
  <si>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</si>
  <si>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</si>
  <si>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</si>
  <si>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</si>
  <si>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</si>
  <si>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</si>
  <si>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</si>
  <si>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</si>
  <si>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</si>
  <si>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</si>
  <si>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</si>
  <si>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</si>
  <si>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</si>
  <si>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</si>
  <si>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</si>
  <si>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</si>
  <si>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</si>
  <si>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</si>
  <si>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</si>
  <si>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</si>
  <si>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</si>
  <si>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</si>
  <si>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</si>
  <si>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</si>
  <si>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</si>
  <si>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</si>
  <si>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</si>
  <si>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</si>
  <si>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</si>
  <si>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</si>
  <si>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</si>
  <si>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</si>
  <si>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</si>
  <si>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</si>
  <si>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</si>
  <si>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</si>
  <si>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</si>
  <si>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</si>
  <si>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</si>
  <si>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</si>
  <si>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</si>
  <si>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</si>
  <si>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</si>
  <si>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</si>
  <si>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</si>
  <si>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</si>
  <si>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</si>
  <si>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</si>
  <si>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</si>
  <si>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</si>
  <si>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</si>
  <si>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</si>
  <si>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</si>
  <si>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</si>
  <si>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</si>
  <si>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Étiquettes de lignes</t>
  </si>
  <si>
    <t>Total général</t>
  </si>
  <si>
    <t>annee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</si>
  <si>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</si>
  <si>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</si>
  <si>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</si>
  <si>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</si>
  <si>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</si>
  <si>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</si>
  <si>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</si>
  <si>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</si>
  <si>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</si>
  <si>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</si>
  <si>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</si>
  <si>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</si>
  <si>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</si>
  <si>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 Texte</t>
  </si>
  <si>
    <t>CA</t>
  </si>
  <si>
    <t>% du total</t>
  </si>
  <si>
    <t>Total 2015</t>
  </si>
  <si>
    <t>Total 2016</t>
  </si>
  <si>
    <t>% du total Parent</t>
  </si>
  <si>
    <t>2015</t>
  </si>
  <si>
    <t>Trimestre1</t>
  </si>
  <si>
    <t>janv</t>
  </si>
  <si>
    <t>févr</t>
  </si>
  <si>
    <t>mars</t>
  </si>
  <si>
    <t>Trimestre2</t>
  </si>
  <si>
    <t>avr</t>
  </si>
  <si>
    <t>mai</t>
  </si>
  <si>
    <t>juin</t>
  </si>
  <si>
    <t>Trimestre3</t>
  </si>
  <si>
    <t>juil</t>
  </si>
  <si>
    <t>août</t>
  </si>
  <si>
    <t>sept</t>
  </si>
  <si>
    <t>Trimestre4</t>
  </si>
  <si>
    <t>oct</t>
  </si>
  <si>
    <t>nov</t>
  </si>
  <si>
    <t>déc</t>
  </si>
  <si>
    <t>2016</t>
  </si>
  <si>
    <t>Equipe1</t>
  </si>
  <si>
    <t>equipe2</t>
  </si>
  <si>
    <t>Equipe 3</t>
  </si>
  <si>
    <t>(Tous)</t>
  </si>
  <si>
    <t>Moy CA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</si>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</sst>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theme="6"/>
      </patternFill>
    </fill>
  </fills>
  <borders count="18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30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13" borderId="15" xfId="1" applyNumberFormat="1" applyFont="1" applyFill="1" applyBorder="1" applyAlignment="1">
      <alignment horizontal="center"/>
    </xf>
    <xf numFmtId="0" fontId="16" fillId="13" borderId="16" xfId="1" applyNumberFormat="1" applyFont="1" applyFill="1" applyBorder="1" applyAlignment="1">
      <alignment horizontal="center"/>
    </xf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7" fillId="0" borderId="17" xfId="1" applyNumberFormat="1" applyFont="1" applyBorder="1" applyAlignment="1"/>
    <xf numFmtId="164" fontId="17" fillId="0" borderId="17" xfId="3" applyNumberFormat="1" applyFont="1" applyBorder="1"/>
    <xf numFmtId="14" fontId="17" fillId="0" borderId="17" xfId="1" applyNumberFormat="1" applyFont="1" applyBorder="1" applyAlignment="1"/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43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left" indent="2"/>
    </xf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16"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4" formatCode="0.00%"/>
    </dxf>
    <dxf>
      <alignment wrapText="1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 COMMANDE Essai.xlsx]TCD Graph Segment!Tableau croisé dynamique1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Graph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'TCD Graph Segment'!$A$4:$A$26</c:f>
              <c:multiLvlStrCache>
                <c:ptCount val="1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'TCD Graph Segment'!$B$4:$B$26</c:f>
              <c:numCache>
                <c:formatCode>_(* #,##0.00_);_(* \(#,##0.00\);_(* "-"??_);_(@_)</c:formatCode>
                <c:ptCount val="18"/>
                <c:pt idx="0">
                  <c:v>193221</c:v>
                </c:pt>
                <c:pt idx="1">
                  <c:v>398961</c:v>
                </c:pt>
                <c:pt idx="2">
                  <c:v>192275</c:v>
                </c:pt>
                <c:pt idx="3">
                  <c:v>50934</c:v>
                </c:pt>
                <c:pt idx="4">
                  <c:v>11542.5</c:v>
                </c:pt>
                <c:pt idx="5">
                  <c:v>22278</c:v>
                </c:pt>
                <c:pt idx="6">
                  <c:v>217111.8</c:v>
                </c:pt>
                <c:pt idx="7">
                  <c:v>50340.399999999994</c:v>
                </c:pt>
                <c:pt idx="8">
                  <c:v>59574</c:v>
                </c:pt>
                <c:pt idx="9">
                  <c:v>276353.7</c:v>
                </c:pt>
                <c:pt idx="10">
                  <c:v>158274</c:v>
                </c:pt>
                <c:pt idx="11">
                  <c:v>230217</c:v>
                </c:pt>
                <c:pt idx="12">
                  <c:v>466167.39999999997</c:v>
                </c:pt>
                <c:pt idx="13">
                  <c:v>118632</c:v>
                </c:pt>
                <c:pt idx="14">
                  <c:v>291517</c:v>
                </c:pt>
                <c:pt idx="15">
                  <c:v>322775</c:v>
                </c:pt>
                <c:pt idx="16">
                  <c:v>112908</c:v>
                </c:pt>
                <c:pt idx="17">
                  <c:v>314449.5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1-47CB-84AF-7AB06AAFD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756464"/>
        <c:axId val="566868016"/>
      </c:barChart>
      <c:catAx>
        <c:axId val="45575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868016"/>
        <c:crosses val="autoZero"/>
        <c:auto val="1"/>
        <c:lblAlgn val="ctr"/>
        <c:lblOffset val="100"/>
        <c:noMultiLvlLbl val="0"/>
      </c:catAx>
      <c:valAx>
        <c:axId val="5668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575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757237</xdr:colOff>
      <xdr:row>3</xdr:row>
      <xdr:rowOff>147637</xdr:rowOff>
    </xdr:from>
    <xdr:to>
      <xdr:col>11</xdr:col>
      <xdr:colOff>757237</xdr:colOff>
      <xdr:row>20</xdr:row>
      <xdr:rowOff>138112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133350</xdr:colOff>
      <xdr:row>26</xdr:row>
      <xdr:rowOff>19050</xdr:rowOff>
    </xdr:from>
    <xdr:to>
      <xdr:col>8</xdr:col>
      <xdr:colOff>438150</xdr:colOff>
      <xdr:row>40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ne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7775" y="42291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19050</xdr:colOff>
      <xdr:row>26</xdr:row>
      <xdr:rowOff>38100</xdr:rowOff>
    </xdr:from>
    <xdr:to>
      <xdr:col>6</xdr:col>
      <xdr:colOff>95250</xdr:colOff>
      <xdr:row>40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ois Tex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Tex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875" y="42481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</xdr:colOff>
      <xdr:row>2</xdr:row>
      <xdr:rowOff>38100</xdr:rowOff>
    </xdr:from>
    <xdr:to>
      <xdr:col>8</xdr:col>
      <xdr:colOff>733425</xdr:colOff>
      <xdr:row>10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LI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6174" y="361950"/>
              <a:ext cx="3000376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10</xdr:row>
      <xdr:rowOff>152400</xdr:rowOff>
    </xdr:from>
    <xdr:to>
      <xdr:col>18</xdr:col>
      <xdr:colOff>38100</xdr:colOff>
      <xdr:row>20</xdr:row>
      <xdr:rowOff>19050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7125" y="1771650"/>
              <a:ext cx="99441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ou version ultérieure. Ne pas déplacer ni redimensionner.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voli " refreshedDate="43360.725025" createdVersion="6" refreshedVersion="6" minRefreshableVersion="3" recordCount="49">
  <cacheSource type="worksheet">
    <worksheetSource ref="A1:K50" sheet="bdd commandes"/>
  </cacheSource>
  <cacheFields count="15">
    <cacheField name="VENDEURS" numFmtId="0">
      <sharedItems count="10">
        <s v="Martin"/>
        <s v="Dupond"/>
        <s v="Dupuis"/>
        <s v="Leveque"/>
        <s v="Balliard"/>
        <s v="Ball"/>
        <s v="Marrou"/>
        <s v="Tardi"/>
        <s v="Mar"/>
        <s v="Pellieux"/>
      </sharedItems>
      <fieldGroup par="14"/>
    </cacheField>
    <cacheField name="DATE" numFmtId="14">
      <sharedItems containsSemiMixedTypes="0" containsNonDate="0" containsDate="1" containsString="0" minDate="2015-01-09T00:00:00" maxDate="2016-06-26T00:00:00" count="47">
        <d v="2015-05-31T00:00:00"/>
        <d v="2016-01-03T00:00:00"/>
        <d v="2016-05-31T00:00:00"/>
        <d v="2015-07-12T00:00:00"/>
        <d v="2015-12-15T00:00:00"/>
        <d v="2015-02-15T00:00:00"/>
        <d v="2015-02-27T00:00:00"/>
        <d v="2016-06-25T00:00:00"/>
        <d v="2015-10-10T00:00:00"/>
        <d v="2015-12-28T00:00:00"/>
        <d v="2016-05-27T00:00:00"/>
        <d v="2015-08-21T00:00:00"/>
        <d v="2016-01-24T00:00:00"/>
        <d v="2015-02-09T00:00:00"/>
        <d v="2016-02-23T00:00:00"/>
        <d v="2016-04-22T00:00:00"/>
        <d v="2015-12-13T00:00:00"/>
        <d v="2015-03-31T00:00:00"/>
        <d v="2015-06-26T00:00:00"/>
        <d v="2016-01-29T00:00:00"/>
        <d v="2015-11-09T00:00:00"/>
        <d v="2016-03-05T00:00:00"/>
        <d v="2016-01-18T00:00:00"/>
        <d v="2016-06-19T00:00:00"/>
        <d v="2016-01-10T00:00:00"/>
        <d v="2015-03-07T00:00:00"/>
        <d v="2015-06-12T00:00:00"/>
        <d v="2016-01-16T00:00:00"/>
        <d v="2016-06-14T00:00:00"/>
        <d v="2016-01-25T00:00:00"/>
        <d v="2015-10-13T00:00:00"/>
        <d v="2016-01-22T00:00:00"/>
        <d v="2015-02-17T00:00:00"/>
        <d v="2016-03-15T00:00:00"/>
        <d v="2015-07-03T00:00:00"/>
        <d v="2015-10-16T00:00:00"/>
        <d v="2015-08-30T00:00:00"/>
        <d v="2015-11-22T00:00:00"/>
        <d v="2015-11-14T00:00:00"/>
        <d v="2015-04-04T00:00:00"/>
        <d v="2015-09-05T00:00:00"/>
        <d v="2015-10-30T00:00:00"/>
        <d v="2015-07-17T00:00:00"/>
        <d v="2016-05-24T00:00:00"/>
        <d v="2016-04-17T00:00:00"/>
        <d v="2016-03-01T00:00:00"/>
        <d v="2015-01-09T00:00:00"/>
      </sharedItems>
      <fieldGroup par="13" base="1">
        <rangePr groupBy="months" startDate="2015-01-09T00:00:00" endDate="2016-06-26T00:00:00"/>
        <groupItems count="14">
          <s v="&lt;09/01/201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6/06/2016"/>
        </groupItems>
      </fieldGroup>
    </cacheField>
    <cacheField name="annee" numFmtId="0">
      <sharedItems containsSemiMixedTypes="0" containsString="0" containsNumber="1" containsInteger="1" minValue="2015" maxValue="2016" count="2">
        <n v="2015"/>
        <n v="2016"/>
      </sharedItems>
    </cacheField>
    <cacheField name="mois" numFmtId="0">
      <sharedItems containsSemiMixedTypes="0" containsString="0" containsNumber="1" containsInteger="1" minValue="1" maxValue="12" count="12">
        <n v="5"/>
        <n v="1"/>
        <n v="7"/>
        <n v="12"/>
        <n v="2"/>
        <n v="6"/>
        <n v="10"/>
        <n v="8"/>
        <n v="4"/>
        <n v="3"/>
        <n v="11"/>
        <n v="9"/>
      </sharedItems>
    </cacheField>
    <cacheField name="Mois Texte" numFmtId="0">
      <sharedItems count="12">
        <s v="Mai"/>
        <s v="Janvier"/>
        <s v="Juillet"/>
        <s v="Décembre"/>
        <s v="Février"/>
        <s v="Juin"/>
        <s v="Octobre"/>
        <s v="Août"/>
        <s v="Avril"/>
        <s v="Mars"/>
        <s v="Novembre"/>
        <s v="Septembre"/>
      </sharedItems>
      <fieldGroup par="11"/>
    </cacheField>
    <cacheField name="CLIENT" numFmtId="0">
      <sharedItems count="7">
        <s v="Florus"/>
        <s v="Muse SA"/>
        <s v="Ifrane"/>
        <s v="Plein-nord"/>
        <s v="Pubcité"/>
        <s v="Nimbus"/>
        <s v="sieffert"/>
      </sharedItems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/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4">
      <sharedItems containsSemiMixedTypes="0" containsString="0" containsNumber="1" minValue="7939.5" maxValue="197421"/>
    </cacheField>
    <cacheField name="Mois Texte2" numFmtId="0" databaseField="0">
      <fieldGroup base="4">
        <discretePr count="12">
          <x v="1"/>
          <x v="0"/>
          <x v="2"/>
          <x v="3"/>
          <x v="0"/>
          <x v="1"/>
          <x v="3"/>
          <x v="2"/>
          <x v="1"/>
          <x v="0"/>
          <x v="3"/>
          <x v="2"/>
        </discretePr>
        <groupItems count="4">
          <s v="Groupe1"/>
          <s v="Groupe2"/>
          <s v="Groupe3"/>
          <s v="Groupe4"/>
        </groupItems>
      </fieldGroup>
    </cacheField>
    <cacheField name="Trimestres" numFmtId="0" databaseField="0">
      <fieldGroup base="1">
        <rangePr groupBy="quarters" startDate="2015-01-09T00:00:00" endDate="2016-06-26T00:00:00"/>
        <groupItems count="6">
          <s v="&lt;09/01/2015"/>
          <s v="Trimestre1"/>
          <s v="Trimestre2"/>
          <s v="Trimestre3"/>
          <s v="Trimestre4"/>
          <s v="&gt;26/06/2016"/>
        </groupItems>
      </fieldGroup>
    </cacheField>
    <cacheField name="Années" numFmtId="0" databaseField="0">
      <fieldGroup base="1">
        <rangePr groupBy="years" startDate="2015-01-09T00:00:00" endDate="2016-06-26T00:00:00"/>
        <groupItems count="4">
          <s v="&lt;09/01/2015"/>
          <s v="2015"/>
          <s v="2016"/>
          <s v="&gt;26/06/2016"/>
        </groupItems>
      </fieldGroup>
    </cacheField>
    <cacheField name="VENDEURS2" numFmtId="0" databaseField="0">
      <fieldGroup base="0">
        <discretePr count="10">
          <x v="0"/>
          <x v="1"/>
          <x v="1"/>
          <x v="0"/>
          <x v="2"/>
          <x v="1"/>
          <x v="2"/>
          <x v="2"/>
          <x v="0"/>
          <x v="2"/>
        </discretePr>
        <groupItems count="3">
          <s v="Groupe1"/>
          <s v="Groupe2"/>
          <s v="Groupe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x v="0"/>
    <x v="0"/>
    <x v="0"/>
    <x v="0"/>
    <x v="0"/>
    <s v="Stylos"/>
    <n v="1.5"/>
    <n v="7695"/>
    <n v="11542.5"/>
  </r>
  <r>
    <x v="1"/>
    <x v="1"/>
    <x v="1"/>
    <x v="1"/>
    <x v="1"/>
    <x v="1"/>
    <x v="1"/>
    <s v="Stylos"/>
    <n v="1.5"/>
    <n v="9224"/>
    <n v="13836"/>
  </r>
  <r>
    <x v="0"/>
    <x v="2"/>
    <x v="1"/>
    <x v="0"/>
    <x v="0"/>
    <x v="2"/>
    <x v="2"/>
    <s v="Stylos"/>
    <n v="1.5"/>
    <n v="9628"/>
    <n v="14442"/>
  </r>
  <r>
    <x v="2"/>
    <x v="3"/>
    <x v="0"/>
    <x v="2"/>
    <x v="2"/>
    <x v="3"/>
    <x v="0"/>
    <s v="Porte-clés"/>
    <n v="3.4"/>
    <n v="8367"/>
    <n v="28447.8"/>
  </r>
  <r>
    <x v="3"/>
    <x v="4"/>
    <x v="0"/>
    <x v="3"/>
    <x v="3"/>
    <x v="4"/>
    <x v="3"/>
    <s v="Casquettes"/>
    <n v="6"/>
    <n v="6550"/>
    <n v="39300"/>
  </r>
  <r>
    <x v="4"/>
    <x v="5"/>
    <x v="0"/>
    <x v="4"/>
    <x v="4"/>
    <x v="5"/>
    <x v="0"/>
    <s v="Casquettes"/>
    <n v="6"/>
    <n v="6987"/>
    <n v="41922"/>
  </r>
  <r>
    <x v="1"/>
    <x v="6"/>
    <x v="0"/>
    <x v="4"/>
    <x v="4"/>
    <x v="2"/>
    <x v="2"/>
    <s v="Calculatrices"/>
    <n v="21"/>
    <n v="5954"/>
    <n v="125034"/>
  </r>
  <r>
    <x v="5"/>
    <x v="7"/>
    <x v="1"/>
    <x v="5"/>
    <x v="5"/>
    <x v="0"/>
    <x v="1"/>
    <s v="Montres"/>
    <n v="25"/>
    <n v="7329"/>
    <n v="183225"/>
  </r>
  <r>
    <x v="2"/>
    <x v="8"/>
    <x v="0"/>
    <x v="6"/>
    <x v="6"/>
    <x v="0"/>
    <x v="2"/>
    <s v="Stylos"/>
    <n v="1.5"/>
    <n v="5293"/>
    <n v="7939.5"/>
  </r>
  <r>
    <x v="6"/>
    <x v="9"/>
    <x v="0"/>
    <x v="3"/>
    <x v="3"/>
    <x v="4"/>
    <x v="3"/>
    <s v="Stylos"/>
    <n v="1.5"/>
    <n v="5562"/>
    <n v="8343"/>
  </r>
  <r>
    <x v="7"/>
    <x v="10"/>
    <x v="1"/>
    <x v="0"/>
    <x v="0"/>
    <x v="5"/>
    <x v="2"/>
    <s v="Stylos"/>
    <n v="1.5"/>
    <n v="6852"/>
    <n v="10278"/>
  </r>
  <r>
    <x v="0"/>
    <x v="11"/>
    <x v="0"/>
    <x v="7"/>
    <x v="7"/>
    <x v="1"/>
    <x v="1"/>
    <s v="Porte-clés"/>
    <n v="3.4"/>
    <n v="5641"/>
    <n v="19179.399999999998"/>
  </r>
  <r>
    <x v="8"/>
    <x v="12"/>
    <x v="1"/>
    <x v="1"/>
    <x v="1"/>
    <x v="3"/>
    <x v="3"/>
    <s v="Porte-clés"/>
    <n v="3.4"/>
    <n v="7212"/>
    <n v="24520.799999999999"/>
  </r>
  <r>
    <x v="5"/>
    <x v="13"/>
    <x v="0"/>
    <x v="4"/>
    <x v="4"/>
    <x v="5"/>
    <x v="0"/>
    <s v="Casquettes"/>
    <n v="6"/>
    <n v="5764"/>
    <n v="34584"/>
  </r>
  <r>
    <x v="1"/>
    <x v="14"/>
    <x v="1"/>
    <x v="4"/>
    <x v="4"/>
    <x v="2"/>
    <x v="3"/>
    <s v="Calendriers"/>
    <n v="12"/>
    <n v="9886"/>
    <n v="118632"/>
  </r>
  <r>
    <x v="9"/>
    <x v="15"/>
    <x v="1"/>
    <x v="8"/>
    <x v="8"/>
    <x v="6"/>
    <x v="2"/>
    <s v="Montres"/>
    <n v="25"/>
    <n v="6728"/>
    <n v="168200"/>
  </r>
  <r>
    <x v="6"/>
    <x v="16"/>
    <x v="0"/>
    <x v="3"/>
    <x v="3"/>
    <x v="2"/>
    <x v="0"/>
    <s v="Calculatrices"/>
    <n v="21"/>
    <n v="8694"/>
    <n v="182574"/>
  </r>
  <r>
    <x v="1"/>
    <x v="17"/>
    <x v="0"/>
    <x v="9"/>
    <x v="9"/>
    <x v="4"/>
    <x v="2"/>
    <s v="Stylos"/>
    <n v="1.5"/>
    <n v="5750"/>
    <n v="8625"/>
  </r>
  <r>
    <x v="0"/>
    <x v="18"/>
    <x v="0"/>
    <x v="5"/>
    <x v="5"/>
    <x v="1"/>
    <x v="0"/>
    <s v="Stylos"/>
    <n v="1.5"/>
    <n v="8639"/>
    <n v="12958.5"/>
  </r>
  <r>
    <x v="2"/>
    <x v="19"/>
    <x v="1"/>
    <x v="1"/>
    <x v="1"/>
    <x v="1"/>
    <x v="0"/>
    <s v="Stylos"/>
    <n v="1.5"/>
    <n v="8804"/>
    <n v="13206"/>
  </r>
  <r>
    <x v="9"/>
    <x v="20"/>
    <x v="0"/>
    <x v="10"/>
    <x v="10"/>
    <x v="3"/>
    <x v="3"/>
    <s v="Calendriers"/>
    <n v="12"/>
    <n v="5136"/>
    <n v="61632"/>
  </r>
  <r>
    <x v="6"/>
    <x v="21"/>
    <x v="1"/>
    <x v="9"/>
    <x v="9"/>
    <x v="4"/>
    <x v="2"/>
    <s v="Calendriers"/>
    <n v="12"/>
    <n v="7017"/>
    <n v="84204"/>
  </r>
  <r>
    <x v="1"/>
    <x v="22"/>
    <x v="1"/>
    <x v="1"/>
    <x v="1"/>
    <x v="4"/>
    <x v="2"/>
    <s v="Stylos"/>
    <n v="1.5"/>
    <n v="8611"/>
    <n v="12916.5"/>
  </r>
  <r>
    <x v="5"/>
    <x v="23"/>
    <x v="1"/>
    <x v="5"/>
    <x v="5"/>
    <x v="5"/>
    <x v="1"/>
    <s v="Calendriers"/>
    <n v="12"/>
    <n v="9924"/>
    <n v="119088"/>
  </r>
  <r>
    <x v="0"/>
    <x v="24"/>
    <x v="1"/>
    <x v="1"/>
    <x v="1"/>
    <x v="3"/>
    <x v="0"/>
    <s v="Calculatrices"/>
    <n v="21"/>
    <n v="8279"/>
    <n v="173859"/>
  </r>
  <r>
    <x v="8"/>
    <x v="25"/>
    <x v="0"/>
    <x v="9"/>
    <x v="9"/>
    <x v="2"/>
    <x v="2"/>
    <s v="Montres"/>
    <n v="25"/>
    <n v="7346"/>
    <n v="183650"/>
  </r>
  <r>
    <x v="7"/>
    <x v="26"/>
    <x v="0"/>
    <x v="5"/>
    <x v="5"/>
    <x v="3"/>
    <x v="2"/>
    <s v="Stylos"/>
    <n v="1.5"/>
    <n v="6213"/>
    <n v="9319.5"/>
  </r>
  <r>
    <x v="1"/>
    <x v="27"/>
    <x v="1"/>
    <x v="1"/>
    <x v="1"/>
    <x v="4"/>
    <x v="2"/>
    <s v="Stylos"/>
    <n v="1.5"/>
    <n v="7645"/>
    <n v="11467.5"/>
  </r>
  <r>
    <x v="4"/>
    <x v="28"/>
    <x v="1"/>
    <x v="5"/>
    <x v="5"/>
    <x v="4"/>
    <x v="1"/>
    <s v="Stylos"/>
    <n v="1.5"/>
    <n v="8091"/>
    <n v="12136.5"/>
  </r>
  <r>
    <x v="6"/>
    <x v="29"/>
    <x v="1"/>
    <x v="1"/>
    <x v="1"/>
    <x v="0"/>
    <x v="2"/>
    <s v="Porte-clés"/>
    <n v="3.4"/>
    <n v="7819"/>
    <n v="26584.6"/>
  </r>
  <r>
    <x v="3"/>
    <x v="30"/>
    <x v="0"/>
    <x v="6"/>
    <x v="6"/>
    <x v="3"/>
    <x v="0"/>
    <s v="Porte-clés"/>
    <n v="3.4"/>
    <n v="8227"/>
    <n v="27971.8"/>
  </r>
  <r>
    <x v="9"/>
    <x v="31"/>
    <x v="1"/>
    <x v="1"/>
    <x v="1"/>
    <x v="1"/>
    <x v="2"/>
    <s v="Casquettes"/>
    <n v="6"/>
    <n v="6317"/>
    <n v="37902"/>
  </r>
  <r>
    <x v="6"/>
    <x v="32"/>
    <x v="0"/>
    <x v="4"/>
    <x v="4"/>
    <x v="1"/>
    <x v="1"/>
    <s v="Calculatrices"/>
    <n v="21"/>
    <n v="9401"/>
    <n v="197421"/>
  </r>
  <r>
    <x v="7"/>
    <x v="33"/>
    <x v="1"/>
    <x v="9"/>
    <x v="9"/>
    <x v="4"/>
    <x v="2"/>
    <s v="Casquettes"/>
    <n v="6"/>
    <n v="7373"/>
    <n v="44238"/>
  </r>
  <r>
    <x v="0"/>
    <x v="34"/>
    <x v="0"/>
    <x v="2"/>
    <x v="2"/>
    <x v="1"/>
    <x v="1"/>
    <s v="Calendriers"/>
    <n v="12"/>
    <n v="9062"/>
    <n v="108744"/>
  </r>
  <r>
    <x v="0"/>
    <x v="35"/>
    <x v="0"/>
    <x v="6"/>
    <x v="6"/>
    <x v="5"/>
    <x v="0"/>
    <s v="Porte-clés"/>
    <n v="3.4"/>
    <n v="5336"/>
    <n v="18142.399999999998"/>
  </r>
  <r>
    <x v="4"/>
    <x v="36"/>
    <x v="0"/>
    <x v="7"/>
    <x v="7"/>
    <x v="1"/>
    <x v="1"/>
    <s v="Porte-clés"/>
    <n v="3.4"/>
    <n v="9165"/>
    <n v="31161"/>
  </r>
  <r>
    <x v="2"/>
    <x v="37"/>
    <x v="0"/>
    <x v="10"/>
    <x v="10"/>
    <x v="4"/>
    <x v="1"/>
    <s v="Casquettes"/>
    <n v="6"/>
    <n v="7700"/>
    <n v="46200"/>
  </r>
  <r>
    <x v="6"/>
    <x v="38"/>
    <x v="0"/>
    <x v="10"/>
    <x v="10"/>
    <x v="5"/>
    <x v="1"/>
    <s v="Casquettes"/>
    <n v="6"/>
    <n v="8407"/>
    <n v="50442"/>
  </r>
  <r>
    <x v="9"/>
    <x v="39"/>
    <x v="0"/>
    <x v="8"/>
    <x v="8"/>
    <x v="5"/>
    <x v="0"/>
    <s v="Casquettes"/>
    <n v="6"/>
    <n v="8489"/>
    <n v="50934"/>
  </r>
  <r>
    <x v="6"/>
    <x v="40"/>
    <x v="0"/>
    <x v="11"/>
    <x v="11"/>
    <x v="1"/>
    <x v="3"/>
    <s v="Casquettes"/>
    <n v="6"/>
    <n v="9929"/>
    <n v="59574"/>
  </r>
  <r>
    <x v="3"/>
    <x v="41"/>
    <x v="0"/>
    <x v="6"/>
    <x v="6"/>
    <x v="0"/>
    <x v="2"/>
    <s v="Calendriers"/>
    <n v="12"/>
    <n v="5463"/>
    <n v="65556"/>
  </r>
  <r>
    <x v="4"/>
    <x v="42"/>
    <x v="0"/>
    <x v="2"/>
    <x v="2"/>
    <x v="4"/>
    <x v="1"/>
    <s v="Calendriers"/>
    <n v="12"/>
    <n v="6660"/>
    <n v="79920"/>
  </r>
  <r>
    <x v="0"/>
    <x v="43"/>
    <x v="1"/>
    <x v="0"/>
    <x v="0"/>
    <x v="2"/>
    <x v="2"/>
    <s v="Calendriers"/>
    <n v="12"/>
    <n v="7349"/>
    <n v="88188"/>
  </r>
  <r>
    <x v="8"/>
    <x v="19"/>
    <x v="1"/>
    <x v="1"/>
    <x v="1"/>
    <x v="3"/>
    <x v="3"/>
    <s v="Montres"/>
    <n v="25"/>
    <n v="6075"/>
    <n v="151875"/>
  </r>
  <r>
    <x v="4"/>
    <x v="44"/>
    <x v="1"/>
    <x v="8"/>
    <x v="8"/>
    <x v="2"/>
    <x v="0"/>
    <s v="Montres"/>
    <n v="25"/>
    <n v="6183"/>
    <n v="154575"/>
  </r>
  <r>
    <x v="3"/>
    <x v="35"/>
    <x v="0"/>
    <x v="6"/>
    <x v="6"/>
    <x v="3"/>
    <x v="0"/>
    <s v="Calculatrices"/>
    <n v="21"/>
    <n v="7464"/>
    <n v="156744"/>
  </r>
  <r>
    <x v="6"/>
    <x v="45"/>
    <x v="1"/>
    <x v="9"/>
    <x v="9"/>
    <x v="1"/>
    <x v="2"/>
    <s v="Montres"/>
    <n v="25"/>
    <n v="6523"/>
    <n v="163075"/>
  </r>
  <r>
    <x v="6"/>
    <x v="46"/>
    <x v="0"/>
    <x v="1"/>
    <x v="1"/>
    <x v="3"/>
    <x v="2"/>
    <s v="Calculatrices"/>
    <n v="21"/>
    <n v="9201"/>
    <n v="193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D26" firstHeaderRow="0" firstDataRow="1" firstDataCol="1"/>
  <pivotFields count="15">
    <pivotField dataField="1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ubtotalTop="0" showAll="0">
      <items count="3">
        <item x="0"/>
        <item x="1"/>
        <item t="default"/>
      </items>
    </pivotField>
    <pivotField subtotalTop="0" showAll="0"/>
    <pivotField axis="axisRow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>
      <items count="8">
        <item x="0"/>
        <item x="2"/>
        <item x="1"/>
        <item x="5"/>
        <item x="3"/>
        <item x="4"/>
        <item x="6"/>
        <item t="default"/>
      </items>
    </pivotField>
    <pivotField subtotalTop="0" showAll="0"/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showAll="0" defaultSubtotal="0">
      <items count="3">
        <item x="0"/>
        <item x="1"/>
        <item x="2"/>
      </items>
    </pivotField>
  </pivotFields>
  <rowFields count="2">
    <field x="2"/>
    <field x="4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" fld="10" baseField="0" baseItem="0"/>
    <dataField name="Moy CA" fld="10" subtotal="average" baseField="4" baseItem="5"/>
    <dataField name="Nb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B26" firstHeaderRow="1" firstDataRow="1" firstDataCol="1"/>
  <pivotFields count="15">
    <pivotField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ubtotalTop="0" showAll="0">
      <items count="3">
        <item x="0"/>
        <item x="1"/>
        <item t="default"/>
      </items>
    </pivotField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axis="axisRow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>
      <items count="8">
        <item x="0"/>
        <item x="2"/>
        <item x="1"/>
        <item x="5"/>
        <item x="3"/>
        <item x="4"/>
        <item x="6"/>
        <item t="default"/>
      </items>
    </pivotField>
    <pivotField subtotalTop="0" showAll="0"/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showAll="0" defaultSubtotal="0">
      <items count="3">
        <item x="0"/>
        <item x="1"/>
        <item x="2"/>
      </items>
    </pivotField>
  </pivotFields>
  <rowFields count="2">
    <field x="2"/>
    <field x="4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rowItems>
  <colItems count="1">
    <i/>
  </colItems>
  <dataFields count="1">
    <dataField name="CA" fld="10" baseField="0" baseItem="0"/>
  </dataFields>
  <formats count="6">
    <format dxfId="5">
      <pivotArea collapsedLevelsAreSubtotals="1" fieldPosition="0">
        <references count="2">
          <reference field="2" count="1" selected="0">
            <x v="0"/>
          </reference>
          <reference field="4" count="0"/>
        </references>
      </pivotArea>
    </format>
    <format dxfId="4">
      <pivotArea collapsedLevelsAreSubtotals="1" fieldPosition="0">
        <references count="1">
          <reference field="2" count="1" defaultSubtotal="1">
            <x v="0"/>
          </reference>
        </references>
      </pivotArea>
    </format>
    <format dxfId="3">
      <pivotArea collapsedLevelsAreSubtotals="1" fieldPosition="0">
        <references count="1">
          <reference field="2" count="1">
            <x v="1"/>
          </reference>
        </references>
      </pivotArea>
    </format>
    <format dxfId="2">
      <pivotArea collapsedLevelsAreSubtotals="1" fieldPosition="0">
        <references count="2">
          <reference field="2" count="1" selected="0">
            <x v="1"/>
          </reference>
          <reference field="4" count="6">
            <x v="0"/>
            <x v="1"/>
            <x v="2"/>
            <x v="3"/>
            <x v="4"/>
            <x v="5"/>
          </reference>
        </references>
      </pivotArea>
    </format>
    <format dxfId="1">
      <pivotArea collapsedLevelsAreSubtotals="1" fieldPosition="0">
        <references count="1">
          <reference field="2" count="1" defaultSubtotal="1">
            <x v="1"/>
          </reference>
        </references>
      </pivotArea>
    </format>
    <format dxfId="0">
      <pivotArea grandRow="1" outline="0" collapsedLevelsAreSubtotals="1" fieldPosition="0"/>
    </format>
  </format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" cacheId="44" applyNumberFormats="0" applyBorderFormats="0" applyFontFormats="0" applyPatternFormats="0" applyAlignmentFormats="0" applyWidthHeightFormats="1" dataCaption="Valeurs" updatedVersion="6" minRefreshableVersion="5" useAutoFormatting="1" itemPrintTitles="1" createdVersion="6" indent="0" outline="1" outlineData="1" multipleFieldFilters="0">
  <location ref="A3:D14" firstHeaderRow="0" firstDataRow="1" firstDataCol="1"/>
  <pivotFields count="15">
    <pivotField dataField="1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ubtotalTop="0" showAll="0">
      <items count="3">
        <item x="0"/>
        <item x="1"/>
        <item t="default"/>
      </items>
    </pivotField>
    <pivotField subtotalTop="0" showAll="0"/>
    <pivotField axis="axisRow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>
      <items count="8">
        <item h="1" x="0"/>
        <item x="2"/>
        <item h="1" x="1"/>
        <item h="1" x="5"/>
        <item h="1" x="3"/>
        <item h="1" x="4"/>
        <item h="1" x="6"/>
        <item t="default"/>
      </items>
    </pivotField>
    <pivotField subtotalTop="0" showAll="0"/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showAll="0" defaultSubtotal="0">
      <items count="3">
        <item x="0"/>
        <item x="1"/>
        <item x="2"/>
      </items>
    </pivotField>
  </pivotFields>
  <rowFields count="2">
    <field x="2"/>
    <field x="4"/>
  </rowFields>
  <rowItems count="11">
    <i>
      <x/>
    </i>
    <i r="1">
      <x v="1"/>
    </i>
    <i r="1">
      <x v="2"/>
    </i>
    <i r="1">
      <x v="11"/>
    </i>
    <i t="default">
      <x/>
    </i>
    <i>
      <x v="1"/>
    </i>
    <i r="1">
      <x v="1"/>
    </i>
    <i r="1">
      <x v="3"/>
    </i>
    <i r="1">
      <x v="4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" fld="10" baseField="0" baseItem="0"/>
    <dataField name="Moy CA" fld="10" subtotal="average" baseField="4" baseItem="5"/>
    <dataField name="Nb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1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30" firstHeaderRow="1" firstDataRow="1" firstDataCol="1"/>
  <pivotFields count="15">
    <pivotField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Row"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4">
        <item x="0"/>
        <item x="1"/>
        <item x="2"/>
        <item x="3"/>
      </items>
    </pivotField>
    <pivotField showAll="0" defaultSubtotal="0">
      <items count="3">
        <item x="0"/>
        <item x="1"/>
        <item x="2"/>
      </items>
    </pivotField>
  </pivotFields>
  <rowFields count="3">
    <field x="13"/>
    <field x="12"/>
    <field x="1"/>
  </rowFields>
  <rowItems count="27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Items count="1">
    <i/>
  </colItems>
  <dataFields count="1">
    <dataField name="C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1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D26" firstHeaderRow="0" firstDataRow="1" firstDataCol="1"/>
  <pivotFields count="15">
    <pivotField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ubtotalTop="0" showAll="0">
      <items count="3">
        <item x="0"/>
        <item x="1"/>
        <item t="default"/>
      </items>
    </pivotField>
    <pivotField subtotalTop="0" showAll="0"/>
    <pivotField axis="axisRow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showAll="0" defaultSubtotal="0">
      <items count="3">
        <item x="0"/>
        <item x="1"/>
        <item x="2"/>
      </items>
    </pivotField>
  </pivotFields>
  <rowFields count="2">
    <field x="2"/>
    <field x="4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" fld="10" baseField="0" baseItem="0"/>
    <dataField name="% du total" fld="10" showDataAs="percentOfTotal" baseField="2" baseItem="0" numFmtId="10"/>
    <dataField name="% du total Parent" fld="10" baseField="2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10">
    <format dxfId="6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0"/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6">
            <x v="0"/>
            <x v="1"/>
            <x v="2"/>
            <x v="3"/>
            <x v="4"/>
            <x v="5"/>
          </reference>
        </references>
      </pivotArea>
    </format>
    <format dxfId="9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outline="0" fieldPosition="0">
        <references count="1">
          <reference field="4294967294" count="1">
            <x v="2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2">
      <pivotArea field="2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field="2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1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15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/>
    <pivotField axis="axisPage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axis="axisRow" showAll="0" insertBlankRow="1" defaultSubtotal="0">
      <items count="3">
        <item n="Equipe1" x="0"/>
        <item n="equipe2" x="1"/>
        <item n="Equipe 3" x="2"/>
      </items>
    </pivotField>
  </pivotFields>
  <rowFields count="2">
    <field x="14"/>
    <field x="0"/>
  </rowFields>
  <rowItems count="17">
    <i>
      <x/>
    </i>
    <i r="1">
      <x/>
    </i>
    <i r="1">
      <x v="5"/>
    </i>
    <i r="1">
      <x v="7"/>
    </i>
    <i t="blank">
      <x/>
    </i>
    <i>
      <x v="1"/>
    </i>
    <i r="1">
      <x v="1"/>
    </i>
    <i r="1">
      <x v="3"/>
    </i>
    <i r="1">
      <x v="4"/>
    </i>
    <i t="blank">
      <x v="1"/>
    </i>
    <i>
      <x v="2"/>
    </i>
    <i r="1">
      <x v="2"/>
    </i>
    <i r="1">
      <x v="6"/>
    </i>
    <i r="1">
      <x v="8"/>
    </i>
    <i r="1">
      <x v="9"/>
    </i>
    <i t="blank">
      <x v="2"/>
    </i>
    <i t="grand">
      <x/>
    </i>
  </rowItems>
  <colItems count="1">
    <i/>
  </colItems>
  <pageFields count="1">
    <pageField fld="6" hier="-1"/>
  </pageFields>
  <dataFields count="1">
    <dataField name="C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5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15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/>
    <pivotField axis="axisPage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3">
        <item n="Equipe1" x="0"/>
        <item n="equipe2" x="1"/>
        <item n="Equipe 3" x="2"/>
      </items>
    </pivotField>
  </pivotFields>
  <rowFields count="2">
    <field x="14"/>
    <field x="0"/>
  </rowFields>
  <rowItems count="11">
    <i>
      <x/>
    </i>
    <i r="1">
      <x v="5"/>
    </i>
    <i r="1">
      <x v="7"/>
    </i>
    <i>
      <x v="1"/>
    </i>
    <i r="1">
      <x v="1"/>
    </i>
    <i r="1">
      <x v="4"/>
    </i>
    <i>
      <x v="2"/>
    </i>
    <i r="1">
      <x v="2"/>
    </i>
    <i r="1">
      <x v="6"/>
    </i>
    <i r="1">
      <x v="8"/>
    </i>
    <i t="grand">
      <x/>
    </i>
  </rowItems>
  <colItems count="1">
    <i/>
  </colItems>
  <pageFields count="1">
    <pageField fld="6" item="0" hier="-1"/>
  </pageFields>
  <dataFields count="1">
    <dataField name="C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4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3" firstHeaderRow="1" firstDataRow="1" firstDataCol="1" rowPageCount="1" colPageCount="1"/>
  <pivotFields count="15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/>
    <pivotField axis="axisPage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3">
        <item n="Equipe1" x="0"/>
        <item n="equipe2" x="1"/>
        <item n="Equipe 3" x="2"/>
      </items>
    </pivotField>
  </pivotFields>
  <rowFields count="2">
    <field x="14"/>
    <field x="0"/>
  </rowFields>
  <rowItems count="10">
    <i>
      <x/>
    </i>
    <i r="1">
      <x v="7"/>
    </i>
    <i>
      <x v="1"/>
    </i>
    <i r="1">
      <x v="1"/>
    </i>
    <i r="1">
      <x v="3"/>
    </i>
    <i r="1">
      <x v="4"/>
    </i>
    <i>
      <x v="2"/>
    </i>
    <i r="1">
      <x v="2"/>
    </i>
    <i r="1">
      <x v="6"/>
    </i>
    <i t="grand">
      <x/>
    </i>
  </rowItems>
  <colItems count="1">
    <i/>
  </colItems>
  <pageFields count="1">
    <pageField fld="6" item="1" hier="-1"/>
  </pageFields>
  <dataFields count="1">
    <dataField name="C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3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5" firstHeaderRow="1" firstDataRow="1" firstDataCol="1" rowPageCount="1" colPageCount="1"/>
  <pivotFields count="15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/>
    <pivotField axis="axisPage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3">
        <item n="Equipe1" x="0"/>
        <item n="equipe2" x="1"/>
        <item n="Equipe 3" x="2"/>
      </items>
    </pivotField>
  </pivotFields>
  <rowFields count="2">
    <field x="14"/>
    <field x="0"/>
  </rowFields>
  <rowItems count="12">
    <i>
      <x/>
    </i>
    <i r="1">
      <x/>
    </i>
    <i r="1">
      <x v="5"/>
    </i>
    <i r="1">
      <x v="7"/>
    </i>
    <i>
      <x v="1"/>
    </i>
    <i r="1">
      <x v="3"/>
    </i>
    <i r="1">
      <x v="4"/>
    </i>
    <i>
      <x v="2"/>
    </i>
    <i r="1">
      <x v="6"/>
    </i>
    <i r="1">
      <x v="8"/>
    </i>
    <i r="1">
      <x v="9"/>
    </i>
    <i t="grand">
      <x/>
    </i>
  </rowItems>
  <colItems count="1">
    <i/>
  </colItems>
  <pageFields count="1">
    <pageField fld="6" item="2" hier="-1"/>
  </pageFields>
  <dataFields count="1">
    <dataField name="C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eau croisé dynamique2" cacheId="4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2" firstHeaderRow="1" firstDataRow="1" firstDataCol="1" rowPageCount="1" colPageCount="1"/>
  <pivotFields count="15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subtotalTop="0" showAll="0"/>
    <pivotField axis="axisPage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3">
        <item n="Equipe1" x="0"/>
        <item n="equipe2" x="1"/>
        <item n="Equipe 3" x="2"/>
      </items>
    </pivotField>
  </pivotFields>
  <rowFields count="2">
    <field x="14"/>
    <field x="0"/>
  </rowFields>
  <rowItems count="9">
    <i>
      <x/>
    </i>
    <i r="1">
      <x/>
    </i>
    <i r="1">
      <x v="5"/>
    </i>
    <i>
      <x v="1"/>
    </i>
    <i r="1">
      <x v="3"/>
    </i>
    <i>
      <x v="2"/>
    </i>
    <i r="1">
      <x v="6"/>
    </i>
    <i r="1">
      <x v="8"/>
    </i>
    <i t="grand">
      <x/>
    </i>
  </rowItems>
  <colItems count="1">
    <i/>
  </colItems>
  <pageFields count="1">
    <pageField fld="6" item="3" hier="-1"/>
  </pageFields>
  <dataFields count="1">
    <dataField name="C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LIENT1" sourceName="CLIENT">
  <pivotTables>
    <pivotTable tabId="13" name="Tableau croisé dynamique1"/>
  </pivotTables>
  <data>
    <tabular pivotCacheId="1">
      <items count="7">
        <i x="0"/>
        <i x="2" s="1"/>
        <i x="1"/>
        <i x="5"/>
        <i x="3"/>
        <i x="4"/>
        <i x="6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annee" sourceName="annee">
  <pivotTables>
    <pivotTable tabId="14" name="Tableau croisé dynamique1"/>
  </pivotTables>
  <data>
    <tabular pivotCacheId="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Mois_Texte" sourceName="Mois Texte">
  <pivotTables>
    <pivotTable tabId="14" name="Tableau croisé dynamique1"/>
  </pivotTables>
  <data>
    <tabular pivotCacheId="1">
      <items count="12">
        <i x="1" s="1"/>
        <i x="4" s="1"/>
        <i x="9" s="1"/>
        <i x="8" s="1"/>
        <i x="0" s="1"/>
        <i x="5" s="1"/>
        <i x="2" s="1"/>
        <i x="7" s="1"/>
        <i x="11" s="1"/>
        <i x="6" s="1"/>
        <i x="1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nee" cache="Segment_annee" caption="annee" rowHeight="225425"/>
  <slicer name="Mois Texte" cache="Segment_Mois_Texte" caption="Mois Texte" columnCount="2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LIENT 1" cache="Segment_CLIENT1" caption="CLIENT" columnCount="3" rowHeight="225425"/>
</slicers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ChronologieNative_DATE1" sourceName="DATE">
  <pivotTables>
    <pivotTable tabId="13" name="Tableau croisé dynamique1"/>
  </pivotTables>
  <state minimalRefreshVersion="6" lastRefreshVersion="6" pivotCacheId="1" filterType="unknown">
    <bounds startDate="2015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 1" cache="ChronologieNative_DATE1" caption="DATE" level="0" selectionLevel="3" scrollPosition="201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6"/>
  <sheetViews>
    <sheetView workbookViewId="0">
      <selection activeCell="C43" sqref="C43"/>
    </sheetView>
  </sheetViews>
  <sheetFormatPr baseColWidth="10" defaultRowHeight="12.75"/>
  <cols>
    <col min="1" max="1" width="21.140625" bestFit="1" customWidth="1"/>
    <col min="2" max="2" width="10" bestFit="1" customWidth="1"/>
    <col min="3" max="3" width="12" bestFit="1" customWidth="1"/>
    <col min="4" max="4" width="3.42578125" bestFit="1" customWidth="1"/>
  </cols>
  <sheetData>
    <row r="3" spans="1:4">
      <c r="A3" s="17" t="s">
        <v>59</v>
      </c>
      <c r="B3" t="s">
        <v>76</v>
      </c>
      <c r="C3" t="s">
        <v>103</v>
      </c>
      <c r="D3" t="s">
        <v>104</v>
      </c>
    </row>
    <row r="4" spans="1:4">
      <c r="A4" s="18">
        <v>2015</v>
      </c>
      <c r="B4" s="23"/>
      <c r="C4" s="23"/>
      <c r="D4" s="23"/>
    </row>
    <row r="5" spans="1:4">
      <c r="A5" s="22" t="s">
        <v>63</v>
      </c>
      <c r="B5" s="23">
        <v>193221</v>
      </c>
      <c r="C5" s="23">
        <v>193221</v>
      </c>
      <c r="D5" s="23">
        <v>1</v>
      </c>
    </row>
    <row r="6" spans="1:4">
      <c r="A6" s="22" t="s">
        <v>64</v>
      </c>
      <c r="B6" s="23">
        <v>398961</v>
      </c>
      <c r="C6" s="23">
        <v>99740.25</v>
      </c>
      <c r="D6" s="23">
        <v>4</v>
      </c>
    </row>
    <row r="7" spans="1:4">
      <c r="A7" s="22" t="s">
        <v>65</v>
      </c>
      <c r="B7" s="23">
        <v>192275</v>
      </c>
      <c r="C7" s="23">
        <v>96137.5</v>
      </c>
      <c r="D7" s="23">
        <v>2</v>
      </c>
    </row>
    <row r="8" spans="1:4">
      <c r="A8" s="22" t="s">
        <v>66</v>
      </c>
      <c r="B8" s="23">
        <v>50934</v>
      </c>
      <c r="C8" s="23">
        <v>50934</v>
      </c>
      <c r="D8" s="23">
        <v>1</v>
      </c>
    </row>
    <row r="9" spans="1:4">
      <c r="A9" s="22" t="s">
        <v>67</v>
      </c>
      <c r="B9" s="23">
        <v>11542.5</v>
      </c>
      <c r="C9" s="23">
        <v>11542.5</v>
      </c>
      <c r="D9" s="23">
        <v>1</v>
      </c>
    </row>
    <row r="10" spans="1:4">
      <c r="A10" s="22" t="s">
        <v>68</v>
      </c>
      <c r="B10" s="23">
        <v>22278</v>
      </c>
      <c r="C10" s="23">
        <v>11139</v>
      </c>
      <c r="D10" s="23">
        <v>2</v>
      </c>
    </row>
    <row r="11" spans="1:4">
      <c r="A11" s="22" t="s">
        <v>69</v>
      </c>
      <c r="B11" s="23">
        <v>217111.8</v>
      </c>
      <c r="C11" s="23">
        <v>72370.599999999991</v>
      </c>
      <c r="D11" s="23">
        <v>3</v>
      </c>
    </row>
    <row r="12" spans="1:4">
      <c r="A12" s="22" t="s">
        <v>70</v>
      </c>
      <c r="B12" s="23">
        <v>50340.399999999994</v>
      </c>
      <c r="C12" s="23">
        <v>25170.199999999997</v>
      </c>
      <c r="D12" s="23">
        <v>2</v>
      </c>
    </row>
    <row r="13" spans="1:4">
      <c r="A13" s="22" t="s">
        <v>71</v>
      </c>
      <c r="B13" s="23">
        <v>59574</v>
      </c>
      <c r="C13" s="23">
        <v>59574</v>
      </c>
      <c r="D13" s="23">
        <v>1</v>
      </c>
    </row>
    <row r="14" spans="1:4">
      <c r="A14" s="22" t="s">
        <v>72</v>
      </c>
      <c r="B14" s="23">
        <v>276353.7</v>
      </c>
      <c r="C14" s="23">
        <v>55270.740000000005</v>
      </c>
      <c r="D14" s="23">
        <v>5</v>
      </c>
    </row>
    <row r="15" spans="1:4">
      <c r="A15" s="22" t="s">
        <v>73</v>
      </c>
      <c r="B15" s="23">
        <v>158274</v>
      </c>
      <c r="C15" s="23">
        <v>52758</v>
      </c>
      <c r="D15" s="23">
        <v>3</v>
      </c>
    </row>
    <row r="16" spans="1:4">
      <c r="A16" s="22" t="s">
        <v>74</v>
      </c>
      <c r="B16" s="23">
        <v>230217</v>
      </c>
      <c r="C16" s="23">
        <v>76739</v>
      </c>
      <c r="D16" s="23">
        <v>3</v>
      </c>
    </row>
    <row r="17" spans="1:4">
      <c r="A17" s="18" t="s">
        <v>78</v>
      </c>
      <c r="B17" s="23">
        <v>1861082.4</v>
      </c>
      <c r="C17" s="23">
        <v>66467.228571428568</v>
      </c>
      <c r="D17" s="23">
        <v>28</v>
      </c>
    </row>
    <row r="18" spans="1:4">
      <c r="A18" s="18">
        <v>2016</v>
      </c>
      <c r="B18" s="23"/>
      <c r="C18" s="23"/>
      <c r="D18" s="23"/>
    </row>
    <row r="19" spans="1:4">
      <c r="A19" s="22" t="s">
        <v>63</v>
      </c>
      <c r="B19" s="23">
        <v>466167.39999999997</v>
      </c>
      <c r="C19" s="23">
        <v>51796.377777777772</v>
      </c>
      <c r="D19" s="23">
        <v>9</v>
      </c>
    </row>
    <row r="20" spans="1:4">
      <c r="A20" s="22" t="s">
        <v>64</v>
      </c>
      <c r="B20" s="23">
        <v>118632</v>
      </c>
      <c r="C20" s="23">
        <v>118632</v>
      </c>
      <c r="D20" s="23">
        <v>1</v>
      </c>
    </row>
    <row r="21" spans="1:4">
      <c r="A21" s="22" t="s">
        <v>65</v>
      </c>
      <c r="B21" s="23">
        <v>291517</v>
      </c>
      <c r="C21" s="23">
        <v>97172.333333333328</v>
      </c>
      <c r="D21" s="23">
        <v>3</v>
      </c>
    </row>
    <row r="22" spans="1:4">
      <c r="A22" s="22" t="s">
        <v>66</v>
      </c>
      <c r="B22" s="23">
        <v>322775</v>
      </c>
      <c r="C22" s="23">
        <v>161387.5</v>
      </c>
      <c r="D22" s="23">
        <v>2</v>
      </c>
    </row>
    <row r="23" spans="1:4">
      <c r="A23" s="22" t="s">
        <v>67</v>
      </c>
      <c r="B23" s="23">
        <v>112908</v>
      </c>
      <c r="C23" s="23">
        <v>37636</v>
      </c>
      <c r="D23" s="23">
        <v>3</v>
      </c>
    </row>
    <row r="24" spans="1:4">
      <c r="A24" s="22" t="s">
        <v>68</v>
      </c>
      <c r="B24" s="23">
        <v>314449.5</v>
      </c>
      <c r="C24" s="23">
        <v>104816.5</v>
      </c>
      <c r="D24" s="23">
        <v>3</v>
      </c>
    </row>
    <row r="25" spans="1:4">
      <c r="A25" s="18" t="s">
        <v>79</v>
      </c>
      <c r="B25" s="23">
        <v>1626448.9</v>
      </c>
      <c r="C25" s="23">
        <v>77449.947619047613</v>
      </c>
      <c r="D25" s="23">
        <v>21</v>
      </c>
    </row>
    <row r="26" spans="1:4">
      <c r="A26" s="18" t="s">
        <v>60</v>
      </c>
      <c r="B26" s="23">
        <v>3487531.3000000003</v>
      </c>
      <c r="C26" s="23">
        <v>71174.108163265308</v>
      </c>
      <c r="D26" s="23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"/>
  <sheetViews>
    <sheetView tabSelected="1" workbookViewId="0">
      <selection activeCell="E7" sqref="E7"/>
    </sheetView>
  </sheetViews>
  <sheetFormatPr baseColWidth="10" defaultRowHeight="12.75"/>
  <cols>
    <col min="1" max="1" width="21.140625" bestFit="1" customWidth="1"/>
    <col min="2" max="2" width="14.42578125" bestFit="1" customWidth="1"/>
    <col min="3" max="3" width="12" bestFit="1" customWidth="1"/>
    <col min="4" max="4" width="3.42578125" bestFit="1" customWidth="1"/>
  </cols>
  <sheetData>
    <row r="3" spans="1:2">
      <c r="A3" s="17" t="s">
        <v>59</v>
      </c>
      <c r="B3" t="s">
        <v>76</v>
      </c>
    </row>
    <row r="4" spans="1:2">
      <c r="A4" s="18">
        <v>2015</v>
      </c>
      <c r="B4" s="23"/>
    </row>
    <row r="5" spans="1:2">
      <c r="A5" s="22" t="s">
        <v>63</v>
      </c>
      <c r="B5" s="25">
        <v>193221</v>
      </c>
    </row>
    <row r="6" spans="1:2">
      <c r="A6" s="22" t="s">
        <v>64</v>
      </c>
      <c r="B6" s="25">
        <v>398961</v>
      </c>
    </row>
    <row r="7" spans="1:2">
      <c r="A7" s="22" t="s">
        <v>65</v>
      </c>
      <c r="B7" s="25">
        <v>192275</v>
      </c>
    </row>
    <row r="8" spans="1:2">
      <c r="A8" s="22" t="s">
        <v>66</v>
      </c>
      <c r="B8" s="25">
        <v>50934</v>
      </c>
    </row>
    <row r="9" spans="1:2">
      <c r="A9" s="22" t="s">
        <v>67</v>
      </c>
      <c r="B9" s="25">
        <v>11542.5</v>
      </c>
    </row>
    <row r="10" spans="1:2">
      <c r="A10" s="22" t="s">
        <v>68</v>
      </c>
      <c r="B10" s="25">
        <v>22278</v>
      </c>
    </row>
    <row r="11" spans="1:2">
      <c r="A11" s="22" t="s">
        <v>69</v>
      </c>
      <c r="B11" s="25">
        <v>217111.8</v>
      </c>
    </row>
    <row r="12" spans="1:2">
      <c r="A12" s="22" t="s">
        <v>70</v>
      </c>
      <c r="B12" s="25">
        <v>50340.399999999994</v>
      </c>
    </row>
    <row r="13" spans="1:2">
      <c r="A13" s="22" t="s">
        <v>71</v>
      </c>
      <c r="B13" s="25">
        <v>59574</v>
      </c>
    </row>
    <row r="14" spans="1:2">
      <c r="A14" s="22" t="s">
        <v>72</v>
      </c>
      <c r="B14" s="25">
        <v>276353.7</v>
      </c>
    </row>
    <row r="15" spans="1:2">
      <c r="A15" s="22" t="s">
        <v>73</v>
      </c>
      <c r="B15" s="25">
        <v>158274</v>
      </c>
    </row>
    <row r="16" spans="1:2">
      <c r="A16" s="22" t="s">
        <v>74</v>
      </c>
      <c r="B16" s="25">
        <v>230217</v>
      </c>
    </row>
    <row r="17" spans="1:2">
      <c r="A17" s="18" t="s">
        <v>78</v>
      </c>
      <c r="B17" s="25">
        <v>1861082.4</v>
      </c>
    </row>
    <row r="18" spans="1:2">
      <c r="A18" s="18">
        <v>2016</v>
      </c>
      <c r="B18" s="25"/>
    </row>
    <row r="19" spans="1:2">
      <c r="A19" s="22" t="s">
        <v>63</v>
      </c>
      <c r="B19" s="25">
        <v>466167.39999999997</v>
      </c>
    </row>
    <row r="20" spans="1:2">
      <c r="A20" s="22" t="s">
        <v>64</v>
      </c>
      <c r="B20" s="25">
        <v>118632</v>
      </c>
    </row>
    <row r="21" spans="1:2">
      <c r="A21" s="22" t="s">
        <v>65</v>
      </c>
      <c r="B21" s="25">
        <v>291517</v>
      </c>
    </row>
    <row r="22" spans="1:2">
      <c r="A22" s="22" t="s">
        <v>66</v>
      </c>
      <c r="B22" s="25">
        <v>322775</v>
      </c>
    </row>
    <row r="23" spans="1:2">
      <c r="A23" s="22" t="s">
        <v>67</v>
      </c>
      <c r="B23" s="25">
        <v>112908</v>
      </c>
    </row>
    <row r="24" spans="1:2">
      <c r="A24" s="22" t="s">
        <v>68</v>
      </c>
      <c r="B24" s="25">
        <v>314449.5</v>
      </c>
    </row>
    <row r="25" spans="1:2">
      <c r="A25" s="18" t="s">
        <v>79</v>
      </c>
      <c r="B25" s="25">
        <v>1626448.9</v>
      </c>
    </row>
    <row r="26" spans="1:2">
      <c r="A26" s="18" t="s">
        <v>60</v>
      </c>
      <c r="B26" s="25">
        <v>3487531.3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C43" sqref="C43"/>
    </sheetView>
  </sheetViews>
  <sheetFormatPr baseColWidth="10" defaultRowHeight="12.75"/>
  <cols>
    <col min="1" max="1" width="21.140625" bestFit="1" customWidth="1"/>
    <col min="2" max="2" width="7" customWidth="1"/>
    <col min="3" max="3" width="12" bestFit="1" customWidth="1"/>
    <col min="4" max="4" width="3.42578125" bestFit="1" customWidth="1"/>
  </cols>
  <sheetData>
    <row r="3" spans="1:4">
      <c r="A3" s="17" t="s">
        <v>59</v>
      </c>
      <c r="B3" t="s">
        <v>76</v>
      </c>
      <c r="C3" t="s">
        <v>103</v>
      </c>
      <c r="D3" t="s">
        <v>104</v>
      </c>
    </row>
    <row r="4" spans="1:4">
      <c r="A4" s="18">
        <v>2015</v>
      </c>
      <c r="B4" s="23"/>
      <c r="C4" s="23"/>
      <c r="D4" s="23"/>
    </row>
    <row r="5" spans="1:4">
      <c r="A5" s="22" t="s">
        <v>64</v>
      </c>
      <c r="B5" s="23">
        <v>125034</v>
      </c>
      <c r="C5" s="23">
        <v>125034</v>
      </c>
      <c r="D5" s="23">
        <v>1</v>
      </c>
    </row>
    <row r="6" spans="1:4">
      <c r="A6" s="22" t="s">
        <v>65</v>
      </c>
      <c r="B6" s="23">
        <v>183650</v>
      </c>
      <c r="C6" s="23">
        <v>183650</v>
      </c>
      <c r="D6" s="23">
        <v>1</v>
      </c>
    </row>
    <row r="7" spans="1:4">
      <c r="A7" s="22" t="s">
        <v>74</v>
      </c>
      <c r="B7" s="23">
        <v>182574</v>
      </c>
      <c r="C7" s="23">
        <v>182574</v>
      </c>
      <c r="D7" s="23">
        <v>1</v>
      </c>
    </row>
    <row r="8" spans="1:4">
      <c r="A8" s="18" t="s">
        <v>78</v>
      </c>
      <c r="B8" s="23">
        <v>491258</v>
      </c>
      <c r="C8" s="23">
        <v>163752.66666666666</v>
      </c>
      <c r="D8" s="23">
        <v>3</v>
      </c>
    </row>
    <row r="9" spans="1:4">
      <c r="A9" s="18">
        <v>2016</v>
      </c>
      <c r="B9" s="23"/>
      <c r="C9" s="23"/>
      <c r="D9" s="23"/>
    </row>
    <row r="10" spans="1:4">
      <c r="A10" s="22" t="s">
        <v>64</v>
      </c>
      <c r="B10" s="23">
        <v>118632</v>
      </c>
      <c r="C10" s="23">
        <v>118632</v>
      </c>
      <c r="D10" s="23">
        <v>1</v>
      </c>
    </row>
    <row r="11" spans="1:4">
      <c r="A11" s="22" t="s">
        <v>66</v>
      </c>
      <c r="B11" s="23">
        <v>154575</v>
      </c>
      <c r="C11" s="23">
        <v>154575</v>
      </c>
      <c r="D11" s="23">
        <v>1</v>
      </c>
    </row>
    <row r="12" spans="1:4">
      <c r="A12" s="22" t="s">
        <v>67</v>
      </c>
      <c r="B12" s="23">
        <v>102630</v>
      </c>
      <c r="C12" s="23">
        <v>51315</v>
      </c>
      <c r="D12" s="23">
        <v>2</v>
      </c>
    </row>
    <row r="13" spans="1:4">
      <c r="A13" s="18" t="s">
        <v>79</v>
      </c>
      <c r="B13" s="23">
        <v>375837</v>
      </c>
      <c r="C13" s="23">
        <v>93959.25</v>
      </c>
      <c r="D13" s="23">
        <v>4</v>
      </c>
    </row>
    <row r="14" spans="1:4">
      <c r="A14" s="18" t="s">
        <v>60</v>
      </c>
      <c r="B14" s="23">
        <v>867095</v>
      </c>
      <c r="C14" s="23">
        <v>123870.71428571429</v>
      </c>
      <c r="D14" s="23">
        <v>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workbookViewId="0">
      <selection activeCell="D32" sqref="D32"/>
    </sheetView>
  </sheetViews>
  <sheetFormatPr baseColWidth="10" defaultRowHeight="12.75"/>
  <cols>
    <col min="1" max="1" width="21.140625" bestFit="1" customWidth="1"/>
    <col min="2" max="2" width="10" customWidth="1"/>
    <col min="3" max="3" width="7.42578125" customWidth="1"/>
    <col min="4" max="5" width="7" customWidth="1"/>
    <col min="6" max="8" width="9" customWidth="1"/>
    <col min="9" max="9" width="8" customWidth="1"/>
    <col min="10" max="10" width="11" customWidth="1"/>
    <col min="11" max="11" width="9" customWidth="1"/>
    <col min="12" max="13" width="10.28515625" customWidth="1"/>
    <col min="14" max="14" width="13.140625" bestFit="1" customWidth="1"/>
  </cols>
  <sheetData>
    <row r="3" spans="1:2">
      <c r="A3" s="17" t="s">
        <v>59</v>
      </c>
      <c r="B3" t="s">
        <v>76</v>
      </c>
    </row>
    <row r="4" spans="1:2">
      <c r="A4" s="18" t="s">
        <v>81</v>
      </c>
      <c r="B4" s="23"/>
    </row>
    <row r="5" spans="1:2">
      <c r="A5" s="22" t="s">
        <v>82</v>
      </c>
      <c r="B5" s="23"/>
    </row>
    <row r="6" spans="1:2">
      <c r="A6" s="29" t="s">
        <v>83</v>
      </c>
      <c r="B6" s="23">
        <v>193221</v>
      </c>
    </row>
    <row r="7" spans="1:2">
      <c r="A7" s="29" t="s">
        <v>84</v>
      </c>
      <c r="B7" s="23">
        <v>398961</v>
      </c>
    </row>
    <row r="8" spans="1:2">
      <c r="A8" s="29" t="s">
        <v>85</v>
      </c>
      <c r="B8" s="23">
        <v>192275</v>
      </c>
    </row>
    <row r="9" spans="1:2">
      <c r="A9" s="22" t="s">
        <v>86</v>
      </c>
      <c r="B9" s="23"/>
    </row>
    <row r="10" spans="1:2">
      <c r="A10" s="29" t="s">
        <v>87</v>
      </c>
      <c r="B10" s="23">
        <v>50934</v>
      </c>
    </row>
    <row r="11" spans="1:2">
      <c r="A11" s="29" t="s">
        <v>88</v>
      </c>
      <c r="B11" s="23">
        <v>11542.5</v>
      </c>
    </row>
    <row r="12" spans="1:2">
      <c r="A12" s="29" t="s">
        <v>89</v>
      </c>
      <c r="B12" s="23">
        <v>22278</v>
      </c>
    </row>
    <row r="13" spans="1:2">
      <c r="A13" s="22" t="s">
        <v>90</v>
      </c>
      <c r="B13" s="23"/>
    </row>
    <row r="14" spans="1:2">
      <c r="A14" s="29" t="s">
        <v>91</v>
      </c>
      <c r="B14" s="23">
        <v>217111.8</v>
      </c>
    </row>
    <row r="15" spans="1:2">
      <c r="A15" s="29" t="s">
        <v>92</v>
      </c>
      <c r="B15" s="23">
        <v>50340.399999999994</v>
      </c>
    </row>
    <row r="16" spans="1:2">
      <c r="A16" s="29" t="s">
        <v>93</v>
      </c>
      <c r="B16" s="23">
        <v>59574</v>
      </c>
    </row>
    <row r="17" spans="1:2">
      <c r="A17" s="22" t="s">
        <v>94</v>
      </c>
      <c r="B17" s="23"/>
    </row>
    <row r="18" spans="1:2">
      <c r="A18" s="29" t="s">
        <v>95</v>
      </c>
      <c r="B18" s="23">
        <v>276353.7</v>
      </c>
    </row>
    <row r="19" spans="1:2">
      <c r="A19" s="29" t="s">
        <v>96</v>
      </c>
      <c r="B19" s="23">
        <v>158274</v>
      </c>
    </row>
    <row r="20" spans="1:2">
      <c r="A20" s="29" t="s">
        <v>97</v>
      </c>
      <c r="B20" s="23">
        <v>230217</v>
      </c>
    </row>
    <row r="21" spans="1:2">
      <c r="A21" s="18" t="s">
        <v>98</v>
      </c>
      <c r="B21" s="23"/>
    </row>
    <row r="22" spans="1:2">
      <c r="A22" s="22" t="s">
        <v>82</v>
      </c>
      <c r="B22" s="23"/>
    </row>
    <row r="23" spans="1:2">
      <c r="A23" s="29" t="s">
        <v>83</v>
      </c>
      <c r="B23" s="23">
        <v>466167.39999999997</v>
      </c>
    </row>
    <row r="24" spans="1:2">
      <c r="A24" s="29" t="s">
        <v>84</v>
      </c>
      <c r="B24" s="23">
        <v>118632</v>
      </c>
    </row>
    <row r="25" spans="1:2">
      <c r="A25" s="29" t="s">
        <v>85</v>
      </c>
      <c r="B25" s="23">
        <v>291517</v>
      </c>
    </row>
    <row r="26" spans="1:2">
      <c r="A26" s="22" t="s">
        <v>86</v>
      </c>
      <c r="B26" s="23"/>
    </row>
    <row r="27" spans="1:2">
      <c r="A27" s="29" t="s">
        <v>87</v>
      </c>
      <c r="B27" s="23">
        <v>322775</v>
      </c>
    </row>
    <row r="28" spans="1:2">
      <c r="A28" s="29" t="s">
        <v>88</v>
      </c>
      <c r="B28" s="23">
        <v>112908</v>
      </c>
    </row>
    <row r="29" spans="1:2">
      <c r="A29" s="29" t="s">
        <v>89</v>
      </c>
      <c r="B29" s="23">
        <v>314449.5</v>
      </c>
    </row>
    <row r="30" spans="1:2">
      <c r="A30" s="18" t="s">
        <v>60</v>
      </c>
      <c r="B30" s="23">
        <v>3487531.3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6"/>
  <sheetViews>
    <sheetView topLeftCell="A4" workbookViewId="0">
      <selection activeCell="A5" sqref="A5"/>
    </sheetView>
  </sheetViews>
  <sheetFormatPr baseColWidth="10" defaultRowHeight="12.75"/>
  <cols>
    <col min="1" max="1" width="23.42578125" bestFit="1" customWidth="1"/>
    <col min="2" max="2" width="14.42578125" bestFit="1" customWidth="1"/>
    <col min="3" max="4" width="9.85546875" bestFit="1" customWidth="1"/>
    <col min="5" max="5" width="20.7109375" bestFit="1" customWidth="1"/>
  </cols>
  <sheetData>
    <row r="3" spans="1:4" s="27" customFormat="1" ht="39.75" customHeight="1">
      <c r="A3" s="26" t="s">
        <v>59</v>
      </c>
      <c r="B3" s="27" t="s">
        <v>76</v>
      </c>
      <c r="C3" s="28" t="s">
        <v>77</v>
      </c>
      <c r="D3" s="28" t="s">
        <v>80</v>
      </c>
    </row>
    <row r="4" spans="1:4">
      <c r="A4" s="18">
        <v>2015</v>
      </c>
      <c r="B4" s="23"/>
      <c r="C4" s="24"/>
      <c r="D4" s="24"/>
    </row>
    <row r="5" spans="1:4">
      <c r="A5" s="22" t="s">
        <v>63</v>
      </c>
      <c r="B5" s="25">
        <v>193221</v>
      </c>
      <c r="C5" s="24">
        <v>5.5403373727427194E-2</v>
      </c>
      <c r="D5" s="24">
        <v>0.10382184045155658</v>
      </c>
    </row>
    <row r="6" spans="1:4">
      <c r="A6" s="22" t="s">
        <v>64</v>
      </c>
      <c r="B6" s="25">
        <v>398961</v>
      </c>
      <c r="C6" s="24">
        <v>0.11439639265746519</v>
      </c>
      <c r="D6" s="24">
        <v>0.21437041154115477</v>
      </c>
    </row>
    <row r="7" spans="1:4">
      <c r="A7" s="22" t="s">
        <v>65</v>
      </c>
      <c r="B7" s="25">
        <v>192275</v>
      </c>
      <c r="C7" s="24">
        <v>5.5132121681603259E-2</v>
      </c>
      <c r="D7" s="24">
        <v>0.10331353410252013</v>
      </c>
    </row>
    <row r="8" spans="1:4">
      <c r="A8" s="22" t="s">
        <v>66</v>
      </c>
      <c r="B8" s="25">
        <v>50934</v>
      </c>
      <c r="C8" s="24">
        <v>1.4604600107818388E-2</v>
      </c>
      <c r="D8" s="24">
        <v>2.7367944589664597E-2</v>
      </c>
    </row>
    <row r="9" spans="1:4">
      <c r="A9" s="22" t="s">
        <v>67</v>
      </c>
      <c r="B9" s="25">
        <v>11542.5</v>
      </c>
      <c r="C9" s="24">
        <v>3.3096477155631549E-3</v>
      </c>
      <c r="D9" s="24">
        <v>6.2020359764833628E-3</v>
      </c>
    </row>
    <row r="10" spans="1:4">
      <c r="A10" s="22" t="s">
        <v>68</v>
      </c>
      <c r="B10" s="25">
        <v>22278</v>
      </c>
      <c r="C10" s="24">
        <v>6.3878996584202704E-3</v>
      </c>
      <c r="D10" s="24">
        <v>1.1970453323291866E-2</v>
      </c>
    </row>
    <row r="11" spans="1:4">
      <c r="A11" s="22" t="s">
        <v>69</v>
      </c>
      <c r="B11" s="25">
        <v>217111.8</v>
      </c>
      <c r="C11" s="24">
        <v>6.2253720848326151E-2</v>
      </c>
      <c r="D11" s="24">
        <v>0.11665888624813173</v>
      </c>
    </row>
    <row r="12" spans="1:4">
      <c r="A12" s="22" t="s">
        <v>70</v>
      </c>
      <c r="B12" s="25">
        <v>50340.399999999994</v>
      </c>
      <c r="C12" s="24">
        <v>1.4434393750100536E-2</v>
      </c>
      <c r="D12" s="24">
        <v>2.7048990415470049E-2</v>
      </c>
    </row>
    <row r="13" spans="1:4">
      <c r="A13" s="22" t="s">
        <v>71</v>
      </c>
      <c r="B13" s="25">
        <v>59574</v>
      </c>
      <c r="C13" s="24">
        <v>1.7081997228239932E-2</v>
      </c>
      <c r="D13" s="24">
        <v>3.2010404267967932E-2</v>
      </c>
    </row>
    <row r="14" spans="1:4">
      <c r="A14" s="22" t="s">
        <v>72</v>
      </c>
      <c r="B14" s="25">
        <v>276353.7</v>
      </c>
      <c r="C14" s="24">
        <v>7.9240493124749886E-2</v>
      </c>
      <c r="D14" s="24">
        <v>0.1484908459722149</v>
      </c>
    </row>
    <row r="15" spans="1:4">
      <c r="A15" s="22" t="s">
        <v>73</v>
      </c>
      <c r="B15" s="25">
        <v>158274</v>
      </c>
      <c r="C15" s="24">
        <v>4.5382818499722144E-2</v>
      </c>
      <c r="D15" s="24">
        <v>8.504405823191924E-2</v>
      </c>
    </row>
    <row r="16" spans="1:4">
      <c r="A16" s="22" t="s">
        <v>74</v>
      </c>
      <c r="B16" s="25">
        <v>230217</v>
      </c>
      <c r="C16" s="24">
        <v>6.6011450563898885E-2</v>
      </c>
      <c r="D16" s="24">
        <v>0.1237005948796249</v>
      </c>
    </row>
    <row r="17" spans="1:4">
      <c r="A17" s="18" t="s">
        <v>78</v>
      </c>
      <c r="B17" s="23">
        <v>1861082.4</v>
      </c>
      <c r="C17" s="24">
        <v>0.53363890956333493</v>
      </c>
      <c r="D17" s="24">
        <v>1</v>
      </c>
    </row>
    <row r="18" spans="1:4">
      <c r="A18" s="18">
        <v>2016</v>
      </c>
      <c r="B18" s="23"/>
      <c r="C18" s="24"/>
      <c r="D18" s="24"/>
    </row>
    <row r="19" spans="1:4">
      <c r="A19" s="22" t="s">
        <v>63</v>
      </c>
      <c r="B19" s="25">
        <v>466167.39999999997</v>
      </c>
      <c r="C19" s="24">
        <v>0.13366687203638861</v>
      </c>
      <c r="D19" s="24">
        <v>0.28661668989416145</v>
      </c>
    </row>
    <row r="20" spans="1:4">
      <c r="A20" s="22" t="s">
        <v>64</v>
      </c>
      <c r="B20" s="25">
        <v>118632</v>
      </c>
      <c r="C20" s="24">
        <v>3.4016038795121356E-2</v>
      </c>
      <c r="D20" s="24">
        <v>7.2939272792400672E-2</v>
      </c>
    </row>
    <row r="21" spans="1:4">
      <c r="A21" s="22" t="s">
        <v>65</v>
      </c>
      <c r="B21" s="25">
        <v>291517</v>
      </c>
      <c r="C21" s="24">
        <v>8.3588353744667471E-2</v>
      </c>
      <c r="D21" s="24">
        <v>0.17923526524565267</v>
      </c>
    </row>
    <row r="22" spans="1:4">
      <c r="A22" s="22" t="s">
        <v>66</v>
      </c>
      <c r="B22" s="25">
        <v>322775</v>
      </c>
      <c r="C22" s="24">
        <v>9.2551140687970324E-2</v>
      </c>
      <c r="D22" s="24">
        <v>0.19845382169707271</v>
      </c>
    </row>
    <row r="23" spans="1:4">
      <c r="A23" s="22" t="s">
        <v>67</v>
      </c>
      <c r="B23" s="25">
        <v>112908</v>
      </c>
      <c r="C23" s="24">
        <v>3.2374763202842084E-2</v>
      </c>
      <c r="D23" s="24">
        <v>6.9419949191148897E-2</v>
      </c>
    </row>
    <row r="24" spans="1:4">
      <c r="A24" s="22" t="s">
        <v>68</v>
      </c>
      <c r="B24" s="25">
        <v>314449.5</v>
      </c>
      <c r="C24" s="24">
        <v>9.0163921969675237E-2</v>
      </c>
      <c r="D24" s="24">
        <v>0.19333500117956365</v>
      </c>
    </row>
    <row r="25" spans="1:4">
      <c r="A25" s="18" t="s">
        <v>79</v>
      </c>
      <c r="B25" s="25">
        <v>1626448.9</v>
      </c>
      <c r="C25" s="24">
        <v>0.46636109043666502</v>
      </c>
      <c r="D25" s="24">
        <v>1</v>
      </c>
    </row>
    <row r="26" spans="1:4">
      <c r="A26" s="18" t="s">
        <v>60</v>
      </c>
      <c r="B26" s="25">
        <v>3487531.3</v>
      </c>
      <c r="C26" s="24">
        <v>1</v>
      </c>
      <c r="D26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5" sqref="B5"/>
    </sheetView>
  </sheetViews>
  <sheetFormatPr baseColWidth="10" defaultRowHeight="12.75"/>
  <cols>
    <col min="1" max="1" width="21.140625" customWidth="1"/>
    <col min="2" max="2" width="10" customWidth="1"/>
  </cols>
  <sheetData>
    <row r="1" spans="1:2">
      <c r="A1" s="17" t="s">
        <v>2</v>
      </c>
      <c r="B1" t="s">
        <v>102</v>
      </c>
    </row>
    <row r="3" spans="1:2">
      <c r="A3" s="17" t="s">
        <v>59</v>
      </c>
      <c r="B3" t="s">
        <v>76</v>
      </c>
    </row>
    <row r="4" spans="1:2">
      <c r="A4" s="18" t="s">
        <v>99</v>
      </c>
      <c r="B4" s="23"/>
    </row>
    <row r="5" spans="1:2">
      <c r="A5" s="22" t="s">
        <v>30</v>
      </c>
      <c r="B5" s="23">
        <v>360045.8</v>
      </c>
    </row>
    <row r="6" spans="1:2">
      <c r="A6" s="22" t="s">
        <v>19</v>
      </c>
      <c r="B6" s="23">
        <v>289571.8</v>
      </c>
    </row>
    <row r="7" spans="1:2">
      <c r="A7" s="22" t="s">
        <v>7</v>
      </c>
      <c r="B7" s="23">
        <v>447055.80000000005</v>
      </c>
    </row>
    <row r="8" spans="1:2">
      <c r="A8" s="18"/>
      <c r="B8" s="23"/>
    </row>
    <row r="9" spans="1:2">
      <c r="A9" s="18" t="s">
        <v>100</v>
      </c>
      <c r="B9" s="23"/>
    </row>
    <row r="10" spans="1:2">
      <c r="A10" s="22" t="s">
        <v>26</v>
      </c>
      <c r="B10" s="23">
        <v>336897</v>
      </c>
    </row>
    <row r="11" spans="1:2">
      <c r="A11" s="22" t="s">
        <v>11</v>
      </c>
      <c r="B11" s="23">
        <v>290511</v>
      </c>
    </row>
    <row r="12" spans="1:2">
      <c r="A12" s="22" t="s">
        <v>16</v>
      </c>
      <c r="B12" s="23">
        <v>95793.3</v>
      </c>
    </row>
    <row r="13" spans="1:2">
      <c r="A13" s="18"/>
      <c r="B13" s="23"/>
    </row>
    <row r="14" spans="1:2">
      <c r="A14" s="18" t="s">
        <v>101</v>
      </c>
      <c r="B14" s="23"/>
    </row>
    <row r="15" spans="1:2">
      <c r="A15" s="22" t="s">
        <v>23</v>
      </c>
      <c r="B15" s="23">
        <v>319714.5</v>
      </c>
    </row>
    <row r="16" spans="1:2">
      <c r="A16" s="22" t="s">
        <v>28</v>
      </c>
      <c r="B16" s="23">
        <v>965438.6</v>
      </c>
    </row>
    <row r="17" spans="1:2">
      <c r="A17" s="22" t="s">
        <v>32</v>
      </c>
      <c r="B17" s="23">
        <v>318668</v>
      </c>
    </row>
    <row r="18" spans="1:2">
      <c r="A18" s="22" t="s">
        <v>29</v>
      </c>
      <c r="B18" s="23">
        <v>63835.5</v>
      </c>
    </row>
    <row r="19" spans="1:2">
      <c r="A19" s="18"/>
      <c r="B19" s="23"/>
    </row>
    <row r="20" spans="1:2">
      <c r="A20" s="18" t="s">
        <v>60</v>
      </c>
      <c r="B20" s="23">
        <v>3487531.3000000003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RowHeight="12.75"/>
  <cols>
    <col min="1" max="1" width="21.140625" bestFit="1" customWidth="1"/>
    <col min="2" max="2" width="9" bestFit="1" customWidth="1"/>
  </cols>
  <sheetData>
    <row r="1" spans="1:2">
      <c r="A1" s="17" t="s">
        <v>2</v>
      </c>
      <c r="B1" t="s">
        <v>9</v>
      </c>
    </row>
    <row r="3" spans="1:2">
      <c r="A3" s="17" t="s">
        <v>59</v>
      </c>
      <c r="B3" t="s">
        <v>76</v>
      </c>
    </row>
    <row r="4" spans="1:2">
      <c r="A4" s="18" t="s">
        <v>99</v>
      </c>
      <c r="B4" s="23"/>
    </row>
    <row r="5" spans="1:2">
      <c r="A5" s="22" t="s">
        <v>19</v>
      </c>
      <c r="B5" s="23">
        <v>184715.8</v>
      </c>
    </row>
    <row r="6" spans="1:2">
      <c r="A6" s="22" t="s">
        <v>7</v>
      </c>
      <c r="B6" s="23">
        <v>216502.39999999999</v>
      </c>
    </row>
    <row r="7" spans="1:2">
      <c r="A7" s="18" t="s">
        <v>100</v>
      </c>
      <c r="B7" s="23"/>
    </row>
    <row r="8" spans="1:2">
      <c r="A8" s="22" t="s">
        <v>26</v>
      </c>
      <c r="B8" s="23">
        <v>34584</v>
      </c>
    </row>
    <row r="9" spans="1:2">
      <c r="A9" s="22" t="s">
        <v>16</v>
      </c>
      <c r="B9" s="23">
        <v>41653.800000000003</v>
      </c>
    </row>
    <row r="10" spans="1:2">
      <c r="A10" s="18" t="s">
        <v>101</v>
      </c>
      <c r="B10" s="23"/>
    </row>
    <row r="11" spans="1:2">
      <c r="A11" s="22" t="s">
        <v>23</v>
      </c>
      <c r="B11" s="23">
        <v>196497</v>
      </c>
    </row>
    <row r="12" spans="1:2">
      <c r="A12" s="22" t="s">
        <v>28</v>
      </c>
      <c r="B12" s="23">
        <v>182574</v>
      </c>
    </row>
    <row r="13" spans="1:2">
      <c r="A13" s="22" t="s">
        <v>32</v>
      </c>
      <c r="B13" s="23">
        <v>50934</v>
      </c>
    </row>
    <row r="14" spans="1:2">
      <c r="A14" s="18" t="s">
        <v>60</v>
      </c>
      <c r="B14" s="23">
        <v>907461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baseColWidth="10" defaultRowHeight="12.75"/>
  <cols>
    <col min="1" max="1" width="21.140625" bestFit="1" customWidth="1"/>
    <col min="2" max="2" width="9" bestFit="1" customWidth="1"/>
  </cols>
  <sheetData>
    <row r="1" spans="1:2">
      <c r="A1" s="17" t="s">
        <v>2</v>
      </c>
      <c r="B1" t="s">
        <v>13</v>
      </c>
    </row>
    <row r="3" spans="1:2">
      <c r="A3" s="17" t="s">
        <v>59</v>
      </c>
      <c r="B3" t="s">
        <v>76</v>
      </c>
    </row>
    <row r="4" spans="1:2">
      <c r="A4" s="18" t="s">
        <v>99</v>
      </c>
      <c r="B4" s="23"/>
    </row>
    <row r="5" spans="1:2">
      <c r="A5" s="22" t="s">
        <v>7</v>
      </c>
      <c r="B5" s="23">
        <v>127923.4</v>
      </c>
    </row>
    <row r="6" spans="1:2">
      <c r="A6" s="18" t="s">
        <v>100</v>
      </c>
      <c r="B6" s="23"/>
    </row>
    <row r="7" spans="1:2">
      <c r="A7" s="22" t="s">
        <v>26</v>
      </c>
      <c r="B7" s="23">
        <v>302313</v>
      </c>
    </row>
    <row r="8" spans="1:2">
      <c r="A8" s="22" t="s">
        <v>11</v>
      </c>
      <c r="B8" s="23">
        <v>13836</v>
      </c>
    </row>
    <row r="9" spans="1:2">
      <c r="A9" s="22" t="s">
        <v>16</v>
      </c>
      <c r="B9" s="23">
        <v>46200</v>
      </c>
    </row>
    <row r="10" spans="1:2">
      <c r="A10" s="18" t="s">
        <v>101</v>
      </c>
      <c r="B10" s="23"/>
    </row>
    <row r="11" spans="1:2">
      <c r="A11" s="22" t="s">
        <v>23</v>
      </c>
      <c r="B11" s="23">
        <v>123217.5</v>
      </c>
    </row>
    <row r="12" spans="1:2">
      <c r="A12" s="22" t="s">
        <v>28</v>
      </c>
      <c r="B12" s="23">
        <v>247863</v>
      </c>
    </row>
    <row r="13" spans="1:2">
      <c r="A13" s="18" t="s">
        <v>60</v>
      </c>
      <c r="B13" s="23">
        <v>861352.9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baseColWidth="10" defaultRowHeight="12.75"/>
  <cols>
    <col min="1" max="1" width="21.140625" bestFit="1" customWidth="1"/>
    <col min="2" max="2" width="10" bestFit="1" customWidth="1"/>
  </cols>
  <sheetData>
    <row r="1" spans="1:2">
      <c r="A1" s="17" t="s">
        <v>2</v>
      </c>
      <c r="B1" t="s">
        <v>15</v>
      </c>
    </row>
    <row r="3" spans="1:2">
      <c r="A3" s="17" t="s">
        <v>59</v>
      </c>
      <c r="B3" t="s">
        <v>76</v>
      </c>
    </row>
    <row r="4" spans="1:2">
      <c r="A4" s="18" t="s">
        <v>99</v>
      </c>
      <c r="B4" s="23"/>
    </row>
    <row r="5" spans="1:2">
      <c r="A5" s="22" t="s">
        <v>30</v>
      </c>
      <c r="B5" s="23">
        <v>183650</v>
      </c>
    </row>
    <row r="6" spans="1:2">
      <c r="A6" s="22" t="s">
        <v>19</v>
      </c>
      <c r="B6" s="23">
        <v>65556</v>
      </c>
    </row>
    <row r="7" spans="1:2">
      <c r="A7" s="22" t="s">
        <v>7</v>
      </c>
      <c r="B7" s="23">
        <v>102630</v>
      </c>
    </row>
    <row r="8" spans="1:2">
      <c r="A8" s="18" t="s">
        <v>100</v>
      </c>
      <c r="B8" s="23"/>
    </row>
    <row r="9" spans="1:2">
      <c r="A9" s="22" t="s">
        <v>11</v>
      </c>
      <c r="B9" s="23">
        <v>158043</v>
      </c>
    </row>
    <row r="10" spans="1:2">
      <c r="A10" s="22" t="s">
        <v>16</v>
      </c>
      <c r="B10" s="23">
        <v>7939.5</v>
      </c>
    </row>
    <row r="11" spans="1:2">
      <c r="A11" s="18" t="s">
        <v>101</v>
      </c>
      <c r="B11" s="23"/>
    </row>
    <row r="12" spans="1:2">
      <c r="A12" s="22" t="s">
        <v>28</v>
      </c>
      <c r="B12" s="23">
        <v>467084.6</v>
      </c>
    </row>
    <row r="13" spans="1:2">
      <c r="A13" s="22" t="s">
        <v>32</v>
      </c>
      <c r="B13" s="23">
        <v>206102</v>
      </c>
    </row>
    <row r="14" spans="1:2">
      <c r="A14" s="22" t="s">
        <v>29</v>
      </c>
      <c r="B14" s="23">
        <v>63835.5</v>
      </c>
    </row>
    <row r="15" spans="1:2">
      <c r="A15" s="18" t="s">
        <v>60</v>
      </c>
      <c r="B15" s="23">
        <v>1254840.6000000001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baseColWidth="10" defaultRowHeight="12.75"/>
  <cols>
    <col min="1" max="1" width="21.140625" bestFit="1" customWidth="1"/>
    <col min="2" max="2" width="9" bestFit="1" customWidth="1"/>
  </cols>
  <sheetData>
    <row r="1" spans="1:2">
      <c r="A1" s="17" t="s">
        <v>2</v>
      </c>
      <c r="B1" t="s">
        <v>21</v>
      </c>
    </row>
    <row r="3" spans="1:2">
      <c r="A3" s="17" t="s">
        <v>59</v>
      </c>
      <c r="B3" t="s">
        <v>76</v>
      </c>
    </row>
    <row r="4" spans="1:2">
      <c r="A4" s="18" t="s">
        <v>99</v>
      </c>
      <c r="B4" s="23"/>
    </row>
    <row r="5" spans="1:2">
      <c r="A5" s="22" t="s">
        <v>30</v>
      </c>
      <c r="B5" s="23">
        <v>176395.8</v>
      </c>
    </row>
    <row r="6" spans="1:2">
      <c r="A6" s="22" t="s">
        <v>19</v>
      </c>
      <c r="B6" s="23">
        <v>39300</v>
      </c>
    </row>
    <row r="7" spans="1:2">
      <c r="A7" s="18" t="s">
        <v>100</v>
      </c>
      <c r="B7" s="23"/>
    </row>
    <row r="8" spans="1:2">
      <c r="A8" s="22" t="s">
        <v>11</v>
      </c>
      <c r="B8" s="23">
        <v>118632</v>
      </c>
    </row>
    <row r="9" spans="1:2">
      <c r="A9" s="18" t="s">
        <v>101</v>
      </c>
      <c r="B9" s="23"/>
    </row>
    <row r="10" spans="1:2">
      <c r="A10" s="22" t="s">
        <v>28</v>
      </c>
      <c r="B10" s="23">
        <v>67917</v>
      </c>
    </row>
    <row r="11" spans="1:2">
      <c r="A11" s="22" t="s">
        <v>32</v>
      </c>
      <c r="B11" s="23">
        <v>61632</v>
      </c>
    </row>
    <row r="12" spans="1:2">
      <c r="A12" s="18" t="s">
        <v>60</v>
      </c>
      <c r="B12" s="23">
        <v>463876.8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50"/>
  <sheetViews>
    <sheetView zoomScale="85" zoomScaleNormal="85" workbookViewId="0">
      <selection activeCell="B5" sqref="B5"/>
    </sheetView>
  </sheetViews>
  <sheetFormatPr baseColWidth="10" defaultColWidth="11.42578125" defaultRowHeight="12.75"/>
  <cols>
    <col min="1" max="3" width="14.140625" style="1" customWidth="1"/>
    <col min="4" max="4" width="8.5703125" style="1" bestFit="1" customWidth="1"/>
    <col min="5" max="5" width="14.28515625" style="1" customWidth="1"/>
    <col min="6" max="11" width="14.140625" style="1" customWidth="1"/>
    <col min="12" max="16384" width="11.42578125" style="1"/>
  </cols>
  <sheetData>
    <row r="1" spans="1:16">
      <c r="A1" s="11" t="s">
        <v>58</v>
      </c>
      <c r="B1" s="11" t="s">
        <v>0</v>
      </c>
      <c r="C1" s="11" t="s">
        <v>61</v>
      </c>
      <c r="D1" s="11" t="s">
        <v>62</v>
      </c>
      <c r="E1" s="11" t="s">
        <v>75</v>
      </c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12" t="s">
        <v>6</v>
      </c>
    </row>
    <row r="2" spans="1:16">
      <c r="A2" s="19" t="s">
        <v>7</v>
      </c>
      <c r="B2" s="21">
        <v>42155</v>
      </c>
      <c r="C2" s="19">
        <f>YEAR(B2)</f>
        <v>2015</v>
      </c>
      <c r="D2" s="19">
        <f>MONTH(B2)</f>
        <v>5</v>
      </c>
      <c r="E2" s="19" t="str">
        <f>VLOOKUP(D2,$O$4:$P$15,2)</f>
        <v>Mai</v>
      </c>
      <c r="F2" s="19" t="s">
        <v>8</v>
      </c>
      <c r="G2" s="19" t="s">
        <v>9</v>
      </c>
      <c r="H2" s="19" t="s">
        <v>10</v>
      </c>
      <c r="I2" s="20">
        <v>1.5</v>
      </c>
      <c r="J2" s="19">
        <v>7695</v>
      </c>
      <c r="K2" s="20">
        <f>I2*J2</f>
        <v>11542.5</v>
      </c>
    </row>
    <row r="3" spans="1:16">
      <c r="A3" s="19" t="s">
        <v>11</v>
      </c>
      <c r="B3" s="21">
        <v>42372</v>
      </c>
      <c r="C3" s="19">
        <f t="shared" ref="C3:C50" si="0">YEAR(B3)</f>
        <v>2016</v>
      </c>
      <c r="D3" s="19">
        <f t="shared" ref="D3:D50" si="1">MONTH(B3)</f>
        <v>1</v>
      </c>
      <c r="E3" s="19" t="str">
        <f t="shared" ref="E3:E50" si="2">VLOOKUP(D3,$O$4:$P$15,2)</f>
        <v>Janvier</v>
      </c>
      <c r="F3" s="19" t="s">
        <v>12</v>
      </c>
      <c r="G3" s="19" t="s">
        <v>13</v>
      </c>
      <c r="H3" s="19" t="s">
        <v>10</v>
      </c>
      <c r="I3" s="20">
        <v>1.5</v>
      </c>
      <c r="J3" s="19">
        <v>9224</v>
      </c>
      <c r="K3" s="20">
        <f>I3*J3</f>
        <v>13836</v>
      </c>
    </row>
    <row r="4" spans="1:16">
      <c r="A4" s="19" t="s">
        <v>7</v>
      </c>
      <c r="B4" s="21">
        <v>42521</v>
      </c>
      <c r="C4" s="19">
        <f t="shared" si="0"/>
        <v>2016</v>
      </c>
      <c r="D4" s="19">
        <f t="shared" si="1"/>
        <v>5</v>
      </c>
      <c r="E4" s="19" t="str">
        <f t="shared" si="2"/>
        <v>Mai</v>
      </c>
      <c r="F4" s="19" t="s">
        <v>14</v>
      </c>
      <c r="G4" s="19" t="s">
        <v>15</v>
      </c>
      <c r="H4" s="19" t="s">
        <v>10</v>
      </c>
      <c r="I4" s="20">
        <v>1.5</v>
      </c>
      <c r="J4" s="19">
        <v>9628</v>
      </c>
      <c r="K4" s="20">
        <f>I4*J4</f>
        <v>14442</v>
      </c>
      <c r="O4" s="1">
        <v>1</v>
      </c>
      <c r="P4" s="1" t="s">
        <v>63</v>
      </c>
    </row>
    <row r="5" spans="1:16">
      <c r="A5" s="19" t="s">
        <v>16</v>
      </c>
      <c r="B5" s="21">
        <v>42197</v>
      </c>
      <c r="C5" s="19">
        <f t="shared" si="0"/>
        <v>2015</v>
      </c>
      <c r="D5" s="19">
        <f t="shared" si="1"/>
        <v>7</v>
      </c>
      <c r="E5" s="19" t="str">
        <f t="shared" si="2"/>
        <v>Juillet</v>
      </c>
      <c r="F5" s="19" t="s">
        <v>17</v>
      </c>
      <c r="G5" s="19" t="s">
        <v>9</v>
      </c>
      <c r="H5" s="19" t="s">
        <v>18</v>
      </c>
      <c r="I5" s="20">
        <v>3.4</v>
      </c>
      <c r="J5" s="19">
        <v>8367</v>
      </c>
      <c r="K5" s="20">
        <f>I5*J5</f>
        <v>28447.8</v>
      </c>
      <c r="O5" s="1">
        <v>2</v>
      </c>
      <c r="P5" s="1" t="s">
        <v>64</v>
      </c>
    </row>
    <row r="6" spans="1:16">
      <c r="A6" s="19" t="s">
        <v>19</v>
      </c>
      <c r="B6" s="21">
        <v>42353</v>
      </c>
      <c r="C6" s="19">
        <f t="shared" si="0"/>
        <v>2015</v>
      </c>
      <c r="D6" s="19">
        <f t="shared" si="1"/>
        <v>12</v>
      </c>
      <c r="E6" s="19" t="str">
        <f t="shared" si="2"/>
        <v>Décembre</v>
      </c>
      <c r="F6" s="19" t="s">
        <v>20</v>
      </c>
      <c r="G6" s="19" t="s">
        <v>21</v>
      </c>
      <c r="H6" s="19" t="s">
        <v>22</v>
      </c>
      <c r="I6" s="20">
        <v>6</v>
      </c>
      <c r="J6" s="19">
        <v>6550</v>
      </c>
      <c r="K6" s="20">
        <f t="shared" ref="K6:K30" si="3">I6*J6</f>
        <v>39300</v>
      </c>
      <c r="O6" s="1">
        <v>3</v>
      </c>
      <c r="P6" s="1" t="s">
        <v>65</v>
      </c>
    </row>
    <row r="7" spans="1:16">
      <c r="A7" s="19" t="s">
        <v>23</v>
      </c>
      <c r="B7" s="21">
        <v>42050</v>
      </c>
      <c r="C7" s="19">
        <f t="shared" si="0"/>
        <v>2015</v>
      </c>
      <c r="D7" s="19">
        <f t="shared" si="1"/>
        <v>2</v>
      </c>
      <c r="E7" s="19" t="str">
        <f t="shared" si="2"/>
        <v>Février</v>
      </c>
      <c r="F7" s="19" t="s">
        <v>24</v>
      </c>
      <c r="G7" s="19" t="s">
        <v>9</v>
      </c>
      <c r="H7" s="19" t="s">
        <v>22</v>
      </c>
      <c r="I7" s="20">
        <v>6</v>
      </c>
      <c r="J7" s="19">
        <v>6987</v>
      </c>
      <c r="K7" s="20">
        <f t="shared" si="3"/>
        <v>41922</v>
      </c>
      <c r="O7" s="1">
        <v>4</v>
      </c>
      <c r="P7" s="1" t="s">
        <v>66</v>
      </c>
    </row>
    <row r="8" spans="1:16">
      <c r="A8" s="19" t="s">
        <v>11</v>
      </c>
      <c r="B8" s="21">
        <v>42062</v>
      </c>
      <c r="C8" s="19">
        <f t="shared" si="0"/>
        <v>2015</v>
      </c>
      <c r="D8" s="19">
        <f t="shared" si="1"/>
        <v>2</v>
      </c>
      <c r="E8" s="19" t="str">
        <f t="shared" si="2"/>
        <v>Février</v>
      </c>
      <c r="F8" s="19" t="s">
        <v>14</v>
      </c>
      <c r="G8" s="19" t="s">
        <v>15</v>
      </c>
      <c r="H8" s="19" t="s">
        <v>25</v>
      </c>
      <c r="I8" s="20">
        <v>21</v>
      </c>
      <c r="J8" s="19">
        <v>5954</v>
      </c>
      <c r="K8" s="20">
        <f>I8*J8</f>
        <v>125034</v>
      </c>
      <c r="O8" s="1">
        <v>5</v>
      </c>
      <c r="P8" s="1" t="s">
        <v>67</v>
      </c>
    </row>
    <row r="9" spans="1:16">
      <c r="A9" s="19" t="s">
        <v>26</v>
      </c>
      <c r="B9" s="21">
        <v>42546</v>
      </c>
      <c r="C9" s="19">
        <f t="shared" si="0"/>
        <v>2016</v>
      </c>
      <c r="D9" s="19">
        <f t="shared" si="1"/>
        <v>6</v>
      </c>
      <c r="E9" s="19" t="str">
        <f t="shared" si="2"/>
        <v>Juin</v>
      </c>
      <c r="F9" s="19" t="s">
        <v>8</v>
      </c>
      <c r="G9" s="19" t="s">
        <v>13</v>
      </c>
      <c r="H9" s="19" t="s">
        <v>27</v>
      </c>
      <c r="I9" s="20">
        <v>25</v>
      </c>
      <c r="J9" s="19">
        <v>7329</v>
      </c>
      <c r="K9" s="20">
        <f>I9*J9</f>
        <v>183225</v>
      </c>
      <c r="O9" s="1">
        <v>6</v>
      </c>
      <c r="P9" s="1" t="s">
        <v>68</v>
      </c>
    </row>
    <row r="10" spans="1:16">
      <c r="A10" s="19" t="s">
        <v>16</v>
      </c>
      <c r="B10" s="21">
        <v>42287</v>
      </c>
      <c r="C10" s="19">
        <f t="shared" si="0"/>
        <v>2015</v>
      </c>
      <c r="D10" s="19">
        <f t="shared" si="1"/>
        <v>10</v>
      </c>
      <c r="E10" s="19" t="str">
        <f t="shared" si="2"/>
        <v>Octobre</v>
      </c>
      <c r="F10" s="19" t="s">
        <v>8</v>
      </c>
      <c r="G10" s="19" t="s">
        <v>15</v>
      </c>
      <c r="H10" s="19" t="s">
        <v>10</v>
      </c>
      <c r="I10" s="20">
        <v>1.5</v>
      </c>
      <c r="J10" s="19">
        <v>5293</v>
      </c>
      <c r="K10" s="20">
        <f>I10*J10</f>
        <v>7939.5</v>
      </c>
      <c r="O10" s="1">
        <v>7</v>
      </c>
      <c r="P10" s="1" t="s">
        <v>69</v>
      </c>
    </row>
    <row r="11" spans="1:16">
      <c r="A11" s="19" t="s">
        <v>28</v>
      </c>
      <c r="B11" s="21">
        <v>42366</v>
      </c>
      <c r="C11" s="19">
        <f t="shared" si="0"/>
        <v>2015</v>
      </c>
      <c r="D11" s="19">
        <f t="shared" si="1"/>
        <v>12</v>
      </c>
      <c r="E11" s="19" t="str">
        <f t="shared" si="2"/>
        <v>Décembre</v>
      </c>
      <c r="F11" s="19" t="s">
        <v>20</v>
      </c>
      <c r="G11" s="19" t="s">
        <v>21</v>
      </c>
      <c r="H11" s="19" t="s">
        <v>10</v>
      </c>
      <c r="I11" s="20">
        <v>1.5</v>
      </c>
      <c r="J11" s="19">
        <v>5562</v>
      </c>
      <c r="K11" s="20">
        <f t="shared" si="3"/>
        <v>8343</v>
      </c>
      <c r="O11" s="1">
        <v>8</v>
      </c>
      <c r="P11" s="1" t="s">
        <v>70</v>
      </c>
    </row>
    <row r="12" spans="1:16">
      <c r="A12" s="19" t="s">
        <v>29</v>
      </c>
      <c r="B12" s="21">
        <v>42517</v>
      </c>
      <c r="C12" s="19">
        <f t="shared" si="0"/>
        <v>2016</v>
      </c>
      <c r="D12" s="19">
        <f t="shared" si="1"/>
        <v>5</v>
      </c>
      <c r="E12" s="19" t="str">
        <f t="shared" si="2"/>
        <v>Mai</v>
      </c>
      <c r="F12" s="19" t="s">
        <v>24</v>
      </c>
      <c r="G12" s="19" t="s">
        <v>15</v>
      </c>
      <c r="H12" s="19" t="s">
        <v>10</v>
      </c>
      <c r="I12" s="20">
        <v>1.5</v>
      </c>
      <c r="J12" s="19">
        <v>6852</v>
      </c>
      <c r="K12" s="20">
        <f>I12*J12</f>
        <v>10278</v>
      </c>
      <c r="O12" s="1">
        <v>9</v>
      </c>
      <c r="P12" s="1" t="s">
        <v>71</v>
      </c>
    </row>
    <row r="13" spans="1:16">
      <c r="A13" s="19" t="s">
        <v>7</v>
      </c>
      <c r="B13" s="21">
        <v>42237</v>
      </c>
      <c r="C13" s="19">
        <f t="shared" si="0"/>
        <v>2015</v>
      </c>
      <c r="D13" s="19">
        <f t="shared" si="1"/>
        <v>8</v>
      </c>
      <c r="E13" s="19" t="str">
        <f t="shared" si="2"/>
        <v>Août</v>
      </c>
      <c r="F13" s="19" t="s">
        <v>12</v>
      </c>
      <c r="G13" s="19" t="s">
        <v>13</v>
      </c>
      <c r="H13" s="19" t="s">
        <v>18</v>
      </c>
      <c r="I13" s="20">
        <v>3.4</v>
      </c>
      <c r="J13" s="19">
        <v>5641</v>
      </c>
      <c r="K13" s="20">
        <f t="shared" si="3"/>
        <v>19179.399999999998</v>
      </c>
      <c r="O13" s="1">
        <v>10</v>
      </c>
      <c r="P13" s="1" t="s">
        <v>72</v>
      </c>
    </row>
    <row r="14" spans="1:16">
      <c r="A14" s="19" t="s">
        <v>30</v>
      </c>
      <c r="B14" s="21">
        <v>42393</v>
      </c>
      <c r="C14" s="19">
        <f t="shared" si="0"/>
        <v>2016</v>
      </c>
      <c r="D14" s="19">
        <f t="shared" si="1"/>
        <v>1</v>
      </c>
      <c r="E14" s="19" t="str">
        <f t="shared" si="2"/>
        <v>Janvier</v>
      </c>
      <c r="F14" s="19" t="s">
        <v>17</v>
      </c>
      <c r="G14" s="19" t="s">
        <v>21</v>
      </c>
      <c r="H14" s="19" t="s">
        <v>18</v>
      </c>
      <c r="I14" s="20">
        <v>3.4</v>
      </c>
      <c r="J14" s="19">
        <v>7212</v>
      </c>
      <c r="K14" s="20">
        <f>I14*J14</f>
        <v>24520.799999999999</v>
      </c>
      <c r="L14"/>
      <c r="O14" s="1">
        <v>11</v>
      </c>
      <c r="P14" s="1" t="s">
        <v>73</v>
      </c>
    </row>
    <row r="15" spans="1:16">
      <c r="A15" s="19" t="s">
        <v>26</v>
      </c>
      <c r="B15" s="21">
        <v>42044</v>
      </c>
      <c r="C15" s="19">
        <f t="shared" si="0"/>
        <v>2015</v>
      </c>
      <c r="D15" s="19">
        <f t="shared" si="1"/>
        <v>2</v>
      </c>
      <c r="E15" s="19" t="str">
        <f t="shared" si="2"/>
        <v>Février</v>
      </c>
      <c r="F15" s="19" t="s">
        <v>24</v>
      </c>
      <c r="G15" s="19" t="s">
        <v>9</v>
      </c>
      <c r="H15" s="19" t="s">
        <v>22</v>
      </c>
      <c r="I15" s="20">
        <v>6</v>
      </c>
      <c r="J15" s="19">
        <v>5764</v>
      </c>
      <c r="K15" s="20">
        <f t="shared" si="3"/>
        <v>34584</v>
      </c>
      <c r="L15"/>
      <c r="O15" s="1">
        <v>12</v>
      </c>
      <c r="P15" s="1" t="s">
        <v>74</v>
      </c>
    </row>
    <row r="16" spans="1:16">
      <c r="A16" s="19" t="s">
        <v>11</v>
      </c>
      <c r="B16" s="21">
        <v>42423</v>
      </c>
      <c r="C16" s="19">
        <f t="shared" si="0"/>
        <v>2016</v>
      </c>
      <c r="D16" s="19">
        <f t="shared" si="1"/>
        <v>2</v>
      </c>
      <c r="E16" s="19" t="str">
        <f t="shared" si="2"/>
        <v>Février</v>
      </c>
      <c r="F16" s="19" t="s">
        <v>14</v>
      </c>
      <c r="G16" s="19" t="s">
        <v>21</v>
      </c>
      <c r="H16" s="19" t="s">
        <v>31</v>
      </c>
      <c r="I16" s="20">
        <v>12</v>
      </c>
      <c r="J16" s="19">
        <v>9886</v>
      </c>
      <c r="K16" s="20">
        <f t="shared" si="3"/>
        <v>118632</v>
      </c>
      <c r="L16"/>
    </row>
    <row r="17" spans="1:12">
      <c r="A17" s="19" t="s">
        <v>32</v>
      </c>
      <c r="B17" s="21">
        <v>42482</v>
      </c>
      <c r="C17" s="19">
        <f t="shared" si="0"/>
        <v>2016</v>
      </c>
      <c r="D17" s="19">
        <f t="shared" si="1"/>
        <v>4</v>
      </c>
      <c r="E17" s="19" t="str">
        <f t="shared" si="2"/>
        <v>Avril</v>
      </c>
      <c r="F17" s="19" t="s">
        <v>33</v>
      </c>
      <c r="G17" s="19" t="s">
        <v>15</v>
      </c>
      <c r="H17" s="19" t="s">
        <v>27</v>
      </c>
      <c r="I17" s="20">
        <v>25</v>
      </c>
      <c r="J17" s="19">
        <v>6728</v>
      </c>
      <c r="K17" s="20">
        <f>I17*J17</f>
        <v>168200</v>
      </c>
      <c r="L17"/>
    </row>
    <row r="18" spans="1:12">
      <c r="A18" s="19" t="s">
        <v>28</v>
      </c>
      <c r="B18" s="21">
        <v>42351</v>
      </c>
      <c r="C18" s="19">
        <f t="shared" si="0"/>
        <v>2015</v>
      </c>
      <c r="D18" s="19">
        <f t="shared" si="1"/>
        <v>12</v>
      </c>
      <c r="E18" s="19" t="str">
        <f t="shared" si="2"/>
        <v>Décembre</v>
      </c>
      <c r="F18" s="19" t="s">
        <v>14</v>
      </c>
      <c r="G18" s="19" t="s">
        <v>9</v>
      </c>
      <c r="H18" s="19" t="s">
        <v>25</v>
      </c>
      <c r="I18" s="20">
        <v>21</v>
      </c>
      <c r="J18" s="19">
        <v>8694</v>
      </c>
      <c r="K18" s="20">
        <f>I18*J18</f>
        <v>182574</v>
      </c>
      <c r="L18"/>
    </row>
    <row r="19" spans="1:12">
      <c r="A19" s="19" t="s">
        <v>11</v>
      </c>
      <c r="B19" s="21">
        <v>42094</v>
      </c>
      <c r="C19" s="19">
        <f t="shared" si="0"/>
        <v>2015</v>
      </c>
      <c r="D19" s="19">
        <f t="shared" si="1"/>
        <v>3</v>
      </c>
      <c r="E19" s="19" t="str">
        <f t="shared" si="2"/>
        <v>Mars</v>
      </c>
      <c r="F19" s="19" t="s">
        <v>20</v>
      </c>
      <c r="G19" s="19" t="s">
        <v>15</v>
      </c>
      <c r="H19" s="19" t="s">
        <v>10</v>
      </c>
      <c r="I19" s="20">
        <v>1.5</v>
      </c>
      <c r="J19" s="19">
        <v>5750</v>
      </c>
      <c r="K19" s="20">
        <f>I19*J19</f>
        <v>8625</v>
      </c>
      <c r="L19"/>
    </row>
    <row r="20" spans="1:12">
      <c r="A20" s="19" t="s">
        <v>7</v>
      </c>
      <c r="B20" s="21">
        <v>42181</v>
      </c>
      <c r="C20" s="19">
        <f t="shared" si="0"/>
        <v>2015</v>
      </c>
      <c r="D20" s="19">
        <f t="shared" si="1"/>
        <v>6</v>
      </c>
      <c r="E20" s="19" t="str">
        <f t="shared" si="2"/>
        <v>Juin</v>
      </c>
      <c r="F20" s="19" t="s">
        <v>12</v>
      </c>
      <c r="G20" s="19" t="s">
        <v>9</v>
      </c>
      <c r="H20" s="19" t="s">
        <v>10</v>
      </c>
      <c r="I20" s="20">
        <v>1.5</v>
      </c>
      <c r="J20" s="19">
        <v>8639</v>
      </c>
      <c r="K20" s="20">
        <f>I20*J20</f>
        <v>12958.5</v>
      </c>
    </row>
    <row r="21" spans="1:12">
      <c r="A21" s="19" t="s">
        <v>16</v>
      </c>
      <c r="B21" s="21">
        <v>42398</v>
      </c>
      <c r="C21" s="19">
        <f t="shared" si="0"/>
        <v>2016</v>
      </c>
      <c r="D21" s="19">
        <f t="shared" si="1"/>
        <v>1</v>
      </c>
      <c r="E21" s="19" t="str">
        <f t="shared" si="2"/>
        <v>Janvier</v>
      </c>
      <c r="F21" s="19" t="s">
        <v>12</v>
      </c>
      <c r="G21" s="19" t="s">
        <v>9</v>
      </c>
      <c r="H21" s="19" t="s">
        <v>10</v>
      </c>
      <c r="I21" s="20">
        <v>1.5</v>
      </c>
      <c r="J21" s="19">
        <v>8804</v>
      </c>
      <c r="K21" s="20">
        <f>I21*J21</f>
        <v>13206</v>
      </c>
    </row>
    <row r="22" spans="1:12">
      <c r="A22" s="19" t="s">
        <v>32</v>
      </c>
      <c r="B22" s="21">
        <v>42317</v>
      </c>
      <c r="C22" s="19">
        <f t="shared" si="0"/>
        <v>2015</v>
      </c>
      <c r="D22" s="19">
        <f t="shared" si="1"/>
        <v>11</v>
      </c>
      <c r="E22" s="19" t="str">
        <f t="shared" si="2"/>
        <v>Novembre</v>
      </c>
      <c r="F22" s="19" t="s">
        <v>17</v>
      </c>
      <c r="G22" s="19" t="s">
        <v>21</v>
      </c>
      <c r="H22" s="19" t="s">
        <v>31</v>
      </c>
      <c r="I22" s="20">
        <v>12</v>
      </c>
      <c r="J22" s="19">
        <v>5136</v>
      </c>
      <c r="K22" s="20">
        <f t="shared" si="3"/>
        <v>61632</v>
      </c>
    </row>
    <row r="23" spans="1:12">
      <c r="A23" s="19" t="s">
        <v>28</v>
      </c>
      <c r="B23" s="21">
        <v>42434</v>
      </c>
      <c r="C23" s="19">
        <f t="shared" si="0"/>
        <v>2016</v>
      </c>
      <c r="D23" s="19">
        <f t="shared" si="1"/>
        <v>3</v>
      </c>
      <c r="E23" s="19" t="str">
        <f t="shared" si="2"/>
        <v>Mars</v>
      </c>
      <c r="F23" s="19" t="s">
        <v>20</v>
      </c>
      <c r="G23" s="19" t="s">
        <v>15</v>
      </c>
      <c r="H23" s="19" t="s">
        <v>31</v>
      </c>
      <c r="I23" s="20">
        <v>12</v>
      </c>
      <c r="J23" s="19">
        <v>7017</v>
      </c>
      <c r="K23" s="20">
        <f>I23*J23</f>
        <v>84204</v>
      </c>
    </row>
    <row r="24" spans="1:12">
      <c r="A24" s="19" t="s">
        <v>11</v>
      </c>
      <c r="B24" s="21">
        <v>42387</v>
      </c>
      <c r="C24" s="19">
        <f t="shared" si="0"/>
        <v>2016</v>
      </c>
      <c r="D24" s="19">
        <f t="shared" si="1"/>
        <v>1</v>
      </c>
      <c r="E24" s="19" t="str">
        <f t="shared" si="2"/>
        <v>Janvier</v>
      </c>
      <c r="F24" s="19" t="s">
        <v>20</v>
      </c>
      <c r="G24" s="19" t="s">
        <v>15</v>
      </c>
      <c r="H24" s="19" t="s">
        <v>10</v>
      </c>
      <c r="I24" s="20">
        <v>1.5</v>
      </c>
      <c r="J24" s="19">
        <v>8611</v>
      </c>
      <c r="K24" s="20">
        <f t="shared" si="3"/>
        <v>12916.5</v>
      </c>
    </row>
    <row r="25" spans="1:12">
      <c r="A25" s="19" t="s">
        <v>26</v>
      </c>
      <c r="B25" s="21">
        <v>42540</v>
      </c>
      <c r="C25" s="19">
        <f t="shared" si="0"/>
        <v>2016</v>
      </c>
      <c r="D25" s="19">
        <f t="shared" si="1"/>
        <v>6</v>
      </c>
      <c r="E25" s="19" t="str">
        <f t="shared" si="2"/>
        <v>Juin</v>
      </c>
      <c r="F25" s="19" t="s">
        <v>24</v>
      </c>
      <c r="G25" s="19" t="s">
        <v>13</v>
      </c>
      <c r="H25" s="19" t="s">
        <v>31</v>
      </c>
      <c r="I25" s="20">
        <v>12</v>
      </c>
      <c r="J25" s="19">
        <v>9924</v>
      </c>
      <c r="K25" s="20">
        <f t="shared" si="3"/>
        <v>119088</v>
      </c>
    </row>
    <row r="26" spans="1:12">
      <c r="A26" s="19" t="s">
        <v>7</v>
      </c>
      <c r="B26" s="21">
        <v>42379</v>
      </c>
      <c r="C26" s="19">
        <f t="shared" si="0"/>
        <v>2016</v>
      </c>
      <c r="D26" s="19">
        <f t="shared" si="1"/>
        <v>1</v>
      </c>
      <c r="E26" s="19" t="str">
        <f t="shared" si="2"/>
        <v>Janvier</v>
      </c>
      <c r="F26" s="19" t="s">
        <v>17</v>
      </c>
      <c r="G26" s="19" t="s">
        <v>9</v>
      </c>
      <c r="H26" s="19" t="s">
        <v>25</v>
      </c>
      <c r="I26" s="20">
        <v>21</v>
      </c>
      <c r="J26" s="19">
        <v>8279</v>
      </c>
      <c r="K26" s="20">
        <f t="shared" si="3"/>
        <v>173859</v>
      </c>
    </row>
    <row r="27" spans="1:12">
      <c r="A27" s="19" t="s">
        <v>30</v>
      </c>
      <c r="B27" s="21">
        <v>42070</v>
      </c>
      <c r="C27" s="19">
        <f t="shared" si="0"/>
        <v>2015</v>
      </c>
      <c r="D27" s="19">
        <f t="shared" si="1"/>
        <v>3</v>
      </c>
      <c r="E27" s="19" t="str">
        <f t="shared" si="2"/>
        <v>Mars</v>
      </c>
      <c r="F27" s="19" t="s">
        <v>14</v>
      </c>
      <c r="G27" s="19" t="s">
        <v>15</v>
      </c>
      <c r="H27" s="19" t="s">
        <v>27</v>
      </c>
      <c r="I27" s="20">
        <v>25</v>
      </c>
      <c r="J27" s="19">
        <v>7346</v>
      </c>
      <c r="K27" s="20">
        <f>I27*J27</f>
        <v>183650</v>
      </c>
    </row>
    <row r="28" spans="1:12">
      <c r="A28" s="19" t="s">
        <v>29</v>
      </c>
      <c r="B28" s="21">
        <v>42167</v>
      </c>
      <c r="C28" s="19">
        <f t="shared" si="0"/>
        <v>2015</v>
      </c>
      <c r="D28" s="19">
        <f t="shared" si="1"/>
        <v>6</v>
      </c>
      <c r="E28" s="19" t="str">
        <f t="shared" si="2"/>
        <v>Juin</v>
      </c>
      <c r="F28" s="19" t="s">
        <v>17</v>
      </c>
      <c r="G28" s="19" t="s">
        <v>15</v>
      </c>
      <c r="H28" s="19" t="s">
        <v>10</v>
      </c>
      <c r="I28" s="20">
        <v>1.5</v>
      </c>
      <c r="J28" s="19">
        <v>6213</v>
      </c>
      <c r="K28" s="20">
        <f t="shared" si="3"/>
        <v>9319.5</v>
      </c>
    </row>
    <row r="29" spans="1:12">
      <c r="A29" s="19" t="s">
        <v>11</v>
      </c>
      <c r="B29" s="21">
        <v>42385</v>
      </c>
      <c r="C29" s="19">
        <f t="shared" si="0"/>
        <v>2016</v>
      </c>
      <c r="D29" s="19">
        <f t="shared" si="1"/>
        <v>1</v>
      </c>
      <c r="E29" s="19" t="str">
        <f t="shared" si="2"/>
        <v>Janvier</v>
      </c>
      <c r="F29" s="19" t="s">
        <v>20</v>
      </c>
      <c r="G29" s="19" t="s">
        <v>15</v>
      </c>
      <c r="H29" s="19" t="s">
        <v>10</v>
      </c>
      <c r="I29" s="20">
        <v>1.5</v>
      </c>
      <c r="J29" s="19">
        <v>7645</v>
      </c>
      <c r="K29" s="20">
        <f>I29*J29</f>
        <v>11467.5</v>
      </c>
    </row>
    <row r="30" spans="1:12">
      <c r="A30" s="19" t="s">
        <v>23</v>
      </c>
      <c r="B30" s="21">
        <v>42535</v>
      </c>
      <c r="C30" s="19">
        <f t="shared" si="0"/>
        <v>2016</v>
      </c>
      <c r="D30" s="19">
        <f t="shared" si="1"/>
        <v>6</v>
      </c>
      <c r="E30" s="19" t="str">
        <f t="shared" si="2"/>
        <v>Juin</v>
      </c>
      <c r="F30" s="19" t="s">
        <v>20</v>
      </c>
      <c r="G30" s="19" t="s">
        <v>13</v>
      </c>
      <c r="H30" s="19" t="s">
        <v>10</v>
      </c>
      <c r="I30" s="20">
        <v>1.5</v>
      </c>
      <c r="J30" s="19">
        <v>8091</v>
      </c>
      <c r="K30" s="20">
        <f t="shared" si="3"/>
        <v>12136.5</v>
      </c>
    </row>
    <row r="31" spans="1:12">
      <c r="A31" s="19" t="s">
        <v>28</v>
      </c>
      <c r="B31" s="21">
        <v>42394</v>
      </c>
      <c r="C31" s="19">
        <f t="shared" si="0"/>
        <v>2016</v>
      </c>
      <c r="D31" s="19">
        <f t="shared" si="1"/>
        <v>1</v>
      </c>
      <c r="E31" s="19" t="str">
        <f t="shared" si="2"/>
        <v>Janvier</v>
      </c>
      <c r="F31" s="19" t="s">
        <v>8</v>
      </c>
      <c r="G31" s="19" t="s">
        <v>15</v>
      </c>
      <c r="H31" s="19" t="s">
        <v>18</v>
      </c>
      <c r="I31" s="20">
        <v>3.4</v>
      </c>
      <c r="J31" s="19">
        <v>7819</v>
      </c>
      <c r="K31" s="20">
        <f>I31*J31</f>
        <v>26584.6</v>
      </c>
    </row>
    <row r="32" spans="1:12">
      <c r="A32" s="19" t="s">
        <v>19</v>
      </c>
      <c r="B32" s="21">
        <v>42290</v>
      </c>
      <c r="C32" s="19">
        <f t="shared" si="0"/>
        <v>2015</v>
      </c>
      <c r="D32" s="19">
        <f t="shared" si="1"/>
        <v>10</v>
      </c>
      <c r="E32" s="19" t="str">
        <f t="shared" si="2"/>
        <v>Octobre</v>
      </c>
      <c r="F32" s="19" t="s">
        <v>17</v>
      </c>
      <c r="G32" s="19" t="s">
        <v>9</v>
      </c>
      <c r="H32" s="19" t="s">
        <v>18</v>
      </c>
      <c r="I32" s="20">
        <v>3.4</v>
      </c>
      <c r="J32" s="19">
        <v>8227</v>
      </c>
      <c r="K32" s="20">
        <f t="shared" ref="K32:K50" si="4">I32*J32</f>
        <v>27971.8</v>
      </c>
    </row>
    <row r="33" spans="1:11">
      <c r="A33" s="19" t="s">
        <v>32</v>
      </c>
      <c r="B33" s="21">
        <v>42391</v>
      </c>
      <c r="C33" s="19">
        <f t="shared" si="0"/>
        <v>2016</v>
      </c>
      <c r="D33" s="19">
        <f t="shared" si="1"/>
        <v>1</v>
      </c>
      <c r="E33" s="19" t="str">
        <f t="shared" si="2"/>
        <v>Janvier</v>
      </c>
      <c r="F33" s="19" t="s">
        <v>12</v>
      </c>
      <c r="G33" s="19" t="s">
        <v>15</v>
      </c>
      <c r="H33" s="19" t="s">
        <v>22</v>
      </c>
      <c r="I33" s="20">
        <v>6</v>
      </c>
      <c r="J33" s="19">
        <v>6317</v>
      </c>
      <c r="K33" s="20">
        <f t="shared" si="4"/>
        <v>37902</v>
      </c>
    </row>
    <row r="34" spans="1:11">
      <c r="A34" s="19" t="s">
        <v>28</v>
      </c>
      <c r="B34" s="21">
        <v>42052</v>
      </c>
      <c r="C34" s="19">
        <f t="shared" si="0"/>
        <v>2015</v>
      </c>
      <c r="D34" s="19">
        <f t="shared" si="1"/>
        <v>2</v>
      </c>
      <c r="E34" s="19" t="str">
        <f t="shared" si="2"/>
        <v>Février</v>
      </c>
      <c r="F34" s="19" t="s">
        <v>12</v>
      </c>
      <c r="G34" s="19" t="s">
        <v>13</v>
      </c>
      <c r="H34" s="19" t="s">
        <v>25</v>
      </c>
      <c r="I34" s="20">
        <v>21</v>
      </c>
      <c r="J34" s="19">
        <v>9401</v>
      </c>
      <c r="K34" s="20">
        <f>I34*J34</f>
        <v>197421</v>
      </c>
    </row>
    <row r="35" spans="1:11">
      <c r="A35" s="19" t="s">
        <v>29</v>
      </c>
      <c r="B35" s="21">
        <v>42444</v>
      </c>
      <c r="C35" s="19">
        <f t="shared" si="0"/>
        <v>2016</v>
      </c>
      <c r="D35" s="19">
        <f t="shared" si="1"/>
        <v>3</v>
      </c>
      <c r="E35" s="19" t="str">
        <f t="shared" si="2"/>
        <v>Mars</v>
      </c>
      <c r="F35" s="19" t="s">
        <v>20</v>
      </c>
      <c r="G35" s="19" t="s">
        <v>15</v>
      </c>
      <c r="H35" s="19" t="s">
        <v>22</v>
      </c>
      <c r="I35" s="20">
        <v>6</v>
      </c>
      <c r="J35" s="19">
        <v>7373</v>
      </c>
      <c r="K35" s="20">
        <f>I35*J35</f>
        <v>44238</v>
      </c>
    </row>
    <row r="36" spans="1:11">
      <c r="A36" s="19" t="s">
        <v>7</v>
      </c>
      <c r="B36" s="21">
        <v>42188</v>
      </c>
      <c r="C36" s="19">
        <f t="shared" si="0"/>
        <v>2015</v>
      </c>
      <c r="D36" s="19">
        <f t="shared" si="1"/>
        <v>7</v>
      </c>
      <c r="E36" s="19" t="str">
        <f t="shared" si="2"/>
        <v>Juillet</v>
      </c>
      <c r="F36" s="19" t="s">
        <v>12</v>
      </c>
      <c r="G36" s="19" t="s">
        <v>13</v>
      </c>
      <c r="H36" s="19" t="s">
        <v>31</v>
      </c>
      <c r="I36" s="20">
        <v>12</v>
      </c>
      <c r="J36" s="19">
        <v>9062</v>
      </c>
      <c r="K36" s="20">
        <f t="shared" si="4"/>
        <v>108744</v>
      </c>
    </row>
    <row r="37" spans="1:11">
      <c r="A37" s="19" t="s">
        <v>7</v>
      </c>
      <c r="B37" s="21">
        <v>42293</v>
      </c>
      <c r="C37" s="19">
        <f t="shared" si="0"/>
        <v>2015</v>
      </c>
      <c r="D37" s="19">
        <f t="shared" si="1"/>
        <v>10</v>
      </c>
      <c r="E37" s="19" t="str">
        <f t="shared" si="2"/>
        <v>Octobre</v>
      </c>
      <c r="F37" s="19" t="s">
        <v>24</v>
      </c>
      <c r="G37" s="19" t="s">
        <v>9</v>
      </c>
      <c r="H37" s="19" t="s">
        <v>18</v>
      </c>
      <c r="I37" s="20">
        <v>3.4</v>
      </c>
      <c r="J37" s="19">
        <v>5336</v>
      </c>
      <c r="K37" s="20">
        <f>I37*J37</f>
        <v>18142.399999999998</v>
      </c>
    </row>
    <row r="38" spans="1:11">
      <c r="A38" s="19" t="s">
        <v>23</v>
      </c>
      <c r="B38" s="21">
        <v>42246</v>
      </c>
      <c r="C38" s="19">
        <f t="shared" si="0"/>
        <v>2015</v>
      </c>
      <c r="D38" s="19">
        <f t="shared" si="1"/>
        <v>8</v>
      </c>
      <c r="E38" s="19" t="str">
        <f t="shared" si="2"/>
        <v>Août</v>
      </c>
      <c r="F38" s="19" t="s">
        <v>12</v>
      </c>
      <c r="G38" s="19" t="s">
        <v>13</v>
      </c>
      <c r="H38" s="19" t="s">
        <v>18</v>
      </c>
      <c r="I38" s="20">
        <v>3.4</v>
      </c>
      <c r="J38" s="19">
        <v>9165</v>
      </c>
      <c r="K38" s="20">
        <f t="shared" si="4"/>
        <v>31161</v>
      </c>
    </row>
    <row r="39" spans="1:11">
      <c r="A39" s="19" t="s">
        <v>16</v>
      </c>
      <c r="B39" s="21">
        <v>42330</v>
      </c>
      <c r="C39" s="19">
        <f t="shared" si="0"/>
        <v>2015</v>
      </c>
      <c r="D39" s="19">
        <f t="shared" si="1"/>
        <v>11</v>
      </c>
      <c r="E39" s="19" t="str">
        <f t="shared" si="2"/>
        <v>Novembre</v>
      </c>
      <c r="F39" s="19" t="s">
        <v>20</v>
      </c>
      <c r="G39" s="19" t="s">
        <v>13</v>
      </c>
      <c r="H39" s="19" t="s">
        <v>22</v>
      </c>
      <c r="I39" s="20">
        <v>6</v>
      </c>
      <c r="J39" s="19">
        <v>7700</v>
      </c>
      <c r="K39" s="20">
        <f>I39*J39</f>
        <v>46200</v>
      </c>
    </row>
    <row r="40" spans="1:11">
      <c r="A40" s="19" t="s">
        <v>28</v>
      </c>
      <c r="B40" s="21">
        <v>42322</v>
      </c>
      <c r="C40" s="19">
        <f t="shared" si="0"/>
        <v>2015</v>
      </c>
      <c r="D40" s="19">
        <f t="shared" si="1"/>
        <v>11</v>
      </c>
      <c r="E40" s="19" t="str">
        <f t="shared" si="2"/>
        <v>Novembre</v>
      </c>
      <c r="F40" s="19" t="s">
        <v>24</v>
      </c>
      <c r="G40" s="19" t="s">
        <v>13</v>
      </c>
      <c r="H40" s="19" t="s">
        <v>22</v>
      </c>
      <c r="I40" s="20">
        <v>6</v>
      </c>
      <c r="J40" s="19">
        <v>8407</v>
      </c>
      <c r="K40" s="20">
        <f>I40*J40</f>
        <v>50442</v>
      </c>
    </row>
    <row r="41" spans="1:11">
      <c r="A41" s="19" t="s">
        <v>32</v>
      </c>
      <c r="B41" s="21">
        <v>42098</v>
      </c>
      <c r="C41" s="19">
        <f t="shared" si="0"/>
        <v>2015</v>
      </c>
      <c r="D41" s="19">
        <f t="shared" si="1"/>
        <v>4</v>
      </c>
      <c r="E41" s="19" t="str">
        <f t="shared" si="2"/>
        <v>Avril</v>
      </c>
      <c r="F41" s="19" t="s">
        <v>24</v>
      </c>
      <c r="G41" s="19" t="s">
        <v>9</v>
      </c>
      <c r="H41" s="19" t="s">
        <v>22</v>
      </c>
      <c r="I41" s="20">
        <v>6</v>
      </c>
      <c r="J41" s="19">
        <v>8489</v>
      </c>
      <c r="K41" s="20">
        <f t="shared" si="4"/>
        <v>50934</v>
      </c>
    </row>
    <row r="42" spans="1:11">
      <c r="A42" s="19" t="s">
        <v>28</v>
      </c>
      <c r="B42" s="21">
        <v>42252</v>
      </c>
      <c r="C42" s="19">
        <f t="shared" si="0"/>
        <v>2015</v>
      </c>
      <c r="D42" s="19">
        <f t="shared" si="1"/>
        <v>9</v>
      </c>
      <c r="E42" s="19" t="str">
        <f t="shared" si="2"/>
        <v>Septembre</v>
      </c>
      <c r="F42" s="19" t="s">
        <v>12</v>
      </c>
      <c r="G42" s="19" t="s">
        <v>21</v>
      </c>
      <c r="H42" s="19" t="s">
        <v>22</v>
      </c>
      <c r="I42" s="20">
        <v>6</v>
      </c>
      <c r="J42" s="19">
        <v>9929</v>
      </c>
      <c r="K42" s="20">
        <f t="shared" si="4"/>
        <v>59574</v>
      </c>
    </row>
    <row r="43" spans="1:11">
      <c r="A43" s="19" t="s">
        <v>19</v>
      </c>
      <c r="B43" s="21">
        <v>42307</v>
      </c>
      <c r="C43" s="19">
        <f t="shared" si="0"/>
        <v>2015</v>
      </c>
      <c r="D43" s="19">
        <f t="shared" si="1"/>
        <v>10</v>
      </c>
      <c r="E43" s="19" t="str">
        <f t="shared" si="2"/>
        <v>Octobre</v>
      </c>
      <c r="F43" s="19" t="s">
        <v>8</v>
      </c>
      <c r="G43" s="19" t="s">
        <v>15</v>
      </c>
      <c r="H43" s="19" t="s">
        <v>31</v>
      </c>
      <c r="I43" s="20">
        <v>12</v>
      </c>
      <c r="J43" s="19">
        <v>5463</v>
      </c>
      <c r="K43" s="20">
        <f t="shared" si="4"/>
        <v>65556</v>
      </c>
    </row>
    <row r="44" spans="1:11">
      <c r="A44" s="19" t="s">
        <v>23</v>
      </c>
      <c r="B44" s="21">
        <v>42202</v>
      </c>
      <c r="C44" s="19">
        <f t="shared" si="0"/>
        <v>2015</v>
      </c>
      <c r="D44" s="19">
        <f t="shared" si="1"/>
        <v>7</v>
      </c>
      <c r="E44" s="19" t="str">
        <f t="shared" si="2"/>
        <v>Juillet</v>
      </c>
      <c r="F44" s="19" t="s">
        <v>20</v>
      </c>
      <c r="G44" s="19" t="s">
        <v>13</v>
      </c>
      <c r="H44" s="19" t="s">
        <v>31</v>
      </c>
      <c r="I44" s="20">
        <v>12</v>
      </c>
      <c r="J44" s="19">
        <v>6660</v>
      </c>
      <c r="K44" s="20">
        <f t="shared" si="4"/>
        <v>79920</v>
      </c>
    </row>
    <row r="45" spans="1:11">
      <c r="A45" s="19" t="s">
        <v>7</v>
      </c>
      <c r="B45" s="21">
        <v>42514</v>
      </c>
      <c r="C45" s="19">
        <f t="shared" si="0"/>
        <v>2016</v>
      </c>
      <c r="D45" s="19">
        <f t="shared" si="1"/>
        <v>5</v>
      </c>
      <c r="E45" s="19" t="str">
        <f t="shared" si="2"/>
        <v>Mai</v>
      </c>
      <c r="F45" s="19" t="s">
        <v>14</v>
      </c>
      <c r="G45" s="19" t="s">
        <v>15</v>
      </c>
      <c r="H45" s="19" t="s">
        <v>31</v>
      </c>
      <c r="I45" s="20">
        <v>12</v>
      </c>
      <c r="J45" s="19">
        <v>7349</v>
      </c>
      <c r="K45" s="20">
        <f t="shared" si="4"/>
        <v>88188</v>
      </c>
    </row>
    <row r="46" spans="1:11">
      <c r="A46" s="19" t="s">
        <v>30</v>
      </c>
      <c r="B46" s="21">
        <v>42398</v>
      </c>
      <c r="C46" s="19">
        <f t="shared" si="0"/>
        <v>2016</v>
      </c>
      <c r="D46" s="19">
        <f t="shared" si="1"/>
        <v>1</v>
      </c>
      <c r="E46" s="19" t="str">
        <f t="shared" si="2"/>
        <v>Janvier</v>
      </c>
      <c r="F46" s="19" t="s">
        <v>17</v>
      </c>
      <c r="G46" s="19" t="s">
        <v>21</v>
      </c>
      <c r="H46" s="19" t="s">
        <v>27</v>
      </c>
      <c r="I46" s="20">
        <v>25</v>
      </c>
      <c r="J46" s="19">
        <v>6075</v>
      </c>
      <c r="K46" s="20">
        <f t="shared" si="4"/>
        <v>151875</v>
      </c>
    </row>
    <row r="47" spans="1:11">
      <c r="A47" s="19" t="s">
        <v>23</v>
      </c>
      <c r="B47" s="21">
        <v>42477</v>
      </c>
      <c r="C47" s="19">
        <f t="shared" si="0"/>
        <v>2016</v>
      </c>
      <c r="D47" s="19">
        <f t="shared" si="1"/>
        <v>4</v>
      </c>
      <c r="E47" s="19" t="str">
        <f t="shared" si="2"/>
        <v>Avril</v>
      </c>
      <c r="F47" s="19" t="s">
        <v>14</v>
      </c>
      <c r="G47" s="19" t="s">
        <v>9</v>
      </c>
      <c r="H47" s="19" t="s">
        <v>27</v>
      </c>
      <c r="I47" s="20">
        <v>25</v>
      </c>
      <c r="J47" s="19">
        <v>6183</v>
      </c>
      <c r="K47" s="20">
        <f t="shared" si="4"/>
        <v>154575</v>
      </c>
    </row>
    <row r="48" spans="1:11">
      <c r="A48" s="19" t="s">
        <v>19</v>
      </c>
      <c r="B48" s="21">
        <v>42293</v>
      </c>
      <c r="C48" s="19">
        <f t="shared" si="0"/>
        <v>2015</v>
      </c>
      <c r="D48" s="19">
        <f t="shared" si="1"/>
        <v>10</v>
      </c>
      <c r="E48" s="19" t="str">
        <f t="shared" si="2"/>
        <v>Octobre</v>
      </c>
      <c r="F48" s="19" t="s">
        <v>17</v>
      </c>
      <c r="G48" s="19" t="s">
        <v>9</v>
      </c>
      <c r="H48" s="19" t="s">
        <v>25</v>
      </c>
      <c r="I48" s="20">
        <v>21</v>
      </c>
      <c r="J48" s="19">
        <v>7464</v>
      </c>
      <c r="K48" s="20">
        <f t="shared" si="4"/>
        <v>156744</v>
      </c>
    </row>
    <row r="49" spans="1:11">
      <c r="A49" s="19" t="s">
        <v>28</v>
      </c>
      <c r="B49" s="21">
        <v>42430</v>
      </c>
      <c r="C49" s="19">
        <f t="shared" si="0"/>
        <v>2016</v>
      </c>
      <c r="D49" s="19">
        <f t="shared" si="1"/>
        <v>3</v>
      </c>
      <c r="E49" s="19" t="str">
        <f t="shared" si="2"/>
        <v>Mars</v>
      </c>
      <c r="F49" s="19" t="s">
        <v>12</v>
      </c>
      <c r="G49" s="19" t="s">
        <v>15</v>
      </c>
      <c r="H49" s="19" t="s">
        <v>27</v>
      </c>
      <c r="I49" s="20">
        <v>25</v>
      </c>
      <c r="J49" s="19">
        <v>6523</v>
      </c>
      <c r="K49" s="20">
        <f t="shared" si="4"/>
        <v>163075</v>
      </c>
    </row>
    <row r="50" spans="1:11">
      <c r="A50" s="19" t="s">
        <v>28</v>
      </c>
      <c r="B50" s="21">
        <v>42013</v>
      </c>
      <c r="C50" s="19">
        <f t="shared" si="0"/>
        <v>2015</v>
      </c>
      <c r="D50" s="19">
        <f t="shared" si="1"/>
        <v>1</v>
      </c>
      <c r="E50" s="19" t="str">
        <f t="shared" si="2"/>
        <v>Janvier</v>
      </c>
      <c r="F50" s="19" t="s">
        <v>17</v>
      </c>
      <c r="G50" s="19" t="s">
        <v>15</v>
      </c>
      <c r="H50" s="19" t="s">
        <v>25</v>
      </c>
      <c r="I50" s="20">
        <v>21</v>
      </c>
      <c r="J50" s="19">
        <v>9201</v>
      </c>
      <c r="K50" s="20">
        <f t="shared" si="4"/>
        <v>193221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ColWidth="11.42578125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13"/>
      <c r="G1" s="13"/>
    </row>
    <row r="2" spans="1:7" ht="16.5" thickBot="1">
      <c r="A2" s="14" t="s">
        <v>34</v>
      </c>
      <c r="B2" s="15"/>
      <c r="C2" s="15"/>
      <c r="D2" s="16"/>
    </row>
    <row r="3" spans="1:7">
      <c r="A3" s="4" t="s">
        <v>35</v>
      </c>
      <c r="B3" s="5" t="s">
        <v>36</v>
      </c>
      <c r="C3" s="5"/>
      <c r="D3" s="6"/>
      <c r="F3" s="13" t="s">
        <v>37</v>
      </c>
      <c r="G3" s="13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TCD CA</vt:lpstr>
      <vt:lpstr>TCD Graph Segment</vt:lpstr>
      <vt:lpstr>TCD CA SEGMENT</vt:lpstr>
      <vt:lpstr>TCD Groupe auto</vt:lpstr>
      <vt:lpstr>TCD %</vt:lpstr>
      <vt:lpstr>TCD groupe manuel</vt:lpstr>
      <vt:lpstr>Centre</vt:lpstr>
      <vt:lpstr>Nord</vt:lpstr>
      <vt:lpstr>Ouest</vt:lpstr>
      <vt:lpstr>Sud</vt:lpstr>
      <vt:lpstr>bdd commandes</vt:lpstr>
      <vt:lpstr>TCD Commandes</vt:lpstr>
      <vt:lpstr>'bdd commandes'!Criteres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Rivoli </cp:lastModifiedBy>
  <cp:lastPrinted>2018-09-17T15:27:01Z</cp:lastPrinted>
  <dcterms:created xsi:type="dcterms:W3CDTF">2013-06-20T13:08:56Z</dcterms:created>
  <dcterms:modified xsi:type="dcterms:W3CDTF">2018-09-17T15:33:16Z</dcterms:modified>
</cp:coreProperties>
</file>