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7520" windowHeight="6990"/>
  </bookViews>
  <sheets>
    <sheet name="bdd Cave" sheetId="1" r:id="rId1"/>
  </sheets>
  <externalReferences>
    <externalReference r:id="rId2"/>
  </externalReferences>
  <definedNames>
    <definedName name="CNE">'[1]ID ETUDIANT (2)'!$A$1:$E$5</definedName>
    <definedName name="cursource" hidden="1">#N/A</definedName>
    <definedName name="DATA">[1]BDLIRE!$A$3:$C$8</definedName>
    <definedName name="int_ext_sel" hidden="1">1</definedName>
    <definedName name="NOTE">'[1]NOTES (2)'!$A$1:$H$5</definedName>
  </definedNames>
  <calcPr calcId="124519"/>
</workbook>
</file>

<file path=xl/calcChain.xml><?xml version="1.0" encoding="utf-8"?>
<calcChain xmlns="http://schemas.openxmlformats.org/spreadsheetml/2006/main">
  <c r="I22" i="1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</calcChain>
</file>

<file path=xl/sharedStrings.xml><?xml version="1.0" encoding="utf-8"?>
<sst xmlns="http://schemas.openxmlformats.org/spreadsheetml/2006/main" count="94" uniqueCount="45">
  <si>
    <t>Nom</t>
  </si>
  <si>
    <t>Pays</t>
  </si>
  <si>
    <t>Région</t>
  </si>
  <si>
    <t>Couleur</t>
  </si>
  <si>
    <t>Millésime</t>
  </si>
  <si>
    <t>Stock</t>
  </si>
  <si>
    <t>Stock mini</t>
  </si>
  <si>
    <t>Prix</t>
  </si>
  <si>
    <t>Valeur</t>
  </si>
  <si>
    <t>RETOUR MENU</t>
  </si>
  <si>
    <t>Ravello</t>
  </si>
  <si>
    <t>Italie</t>
  </si>
  <si>
    <t>Salerno</t>
  </si>
  <si>
    <t>rosé</t>
  </si>
  <si>
    <t>Ortenau</t>
  </si>
  <si>
    <t>Allemagne</t>
  </si>
  <si>
    <t>Baden</t>
  </si>
  <si>
    <t>rouge</t>
  </si>
  <si>
    <t>Médoc</t>
  </si>
  <si>
    <t>France</t>
  </si>
  <si>
    <t>Bordeaux</t>
  </si>
  <si>
    <t>Madiran</t>
  </si>
  <si>
    <t>Beaujolais</t>
  </si>
  <si>
    <t>Bourgogne</t>
  </si>
  <si>
    <t>Freisa</t>
  </si>
  <si>
    <t>Piémont</t>
  </si>
  <si>
    <t>Grignolino</t>
  </si>
  <si>
    <t>Barolo</t>
  </si>
  <si>
    <t>Chianti</t>
  </si>
  <si>
    <t>Toscane</t>
  </si>
  <si>
    <t>Brolio</t>
  </si>
  <si>
    <t>Valpolicella</t>
  </si>
  <si>
    <t>Vérone</t>
  </si>
  <si>
    <t>Riesling</t>
  </si>
  <si>
    <t>Moselle</t>
  </si>
  <si>
    <t>blanc</t>
  </si>
  <si>
    <t>Müller-Turgau</t>
  </si>
  <si>
    <t>Silvaner</t>
  </si>
  <si>
    <t>Rhin</t>
  </si>
  <si>
    <t>Oppenheimer</t>
  </si>
  <si>
    <t>Sauternes</t>
  </si>
  <si>
    <t>Chablis</t>
  </si>
  <si>
    <t>Frascati</t>
  </si>
  <si>
    <t>Rome</t>
  </si>
  <si>
    <t>Soave</t>
  </si>
</sst>
</file>

<file path=xl/styles.xml><?xml version="1.0" encoding="utf-8"?>
<styleSheet xmlns="http://schemas.openxmlformats.org/spreadsheetml/2006/main">
  <numFmts count="9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-40C]_-;\-* #,##0.00\ [$€-40C]_-;_-* &quot;-&quot;??\ [$€-40C]_-;_-@_-"/>
    <numFmt numFmtId="165" formatCode="_-* #,##0.00\ [$€]_-;\-* #,##0.00\ [$€]_-;_-* &quot;-&quot;??\ [$€]_-;_-@_-"/>
    <numFmt numFmtId="166" formatCode="_-* #,##0.00\ _F_-;\-* #,##0.00\ _F_-;_-* &quot;-&quot;??\ _F_-;_-@_-"/>
    <numFmt numFmtId="167" formatCode="_-* #,##0.00\ &quot;F&quot;_-;\-* #,##0.00\ &quot;F&quot;_-;_-* &quot;-&quot;??\ &quot;F&quot;_-;_-@_-"/>
    <numFmt numFmtId="168" formatCode="_ * #,##0.00_)\ &quot;$&quot;_ ;_ * \(#,##0.00\)\ &quot;$&quot;_ ;_ * &quot;-&quot;??_)\ &quot;$&quot;_ ;_ @_ "/>
    <numFmt numFmtId="169" formatCode="0.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sz val="10"/>
      <name val="Arial"/>
    </font>
    <font>
      <sz val="11"/>
      <color indexed="8"/>
      <name val="Calibri"/>
      <family val="2"/>
    </font>
    <font>
      <b/>
      <sz val="11"/>
      <color indexed="18"/>
      <name val="Vagabond"/>
    </font>
    <font>
      <sz val="10"/>
      <color indexed="8"/>
      <name val="Arial"/>
      <family val="2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1">
    <xf numFmtId="0" fontId="0" fillId="0" borderId="0"/>
    <xf numFmtId="0" fontId="4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 applyFont="0" applyFill="0" applyBorder="0" applyAlignment="0" applyProtection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8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/>
    <xf numFmtId="0" fontId="11" fillId="8" borderId="1"/>
    <xf numFmtId="41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2" borderId="0" applyNumberFormat="0" applyBorder="0" applyAlignment="0" applyProtection="0"/>
    <xf numFmtId="0" fontId="4" fillId="0" borderId="0"/>
    <xf numFmtId="0" fontId="2" fillId="0" borderId="2"/>
    <xf numFmtId="0" fontId="4" fillId="0" borderId="3"/>
    <xf numFmtId="169" fontId="11" fillId="8" borderId="4">
      <alignment horizontal="center"/>
    </xf>
    <xf numFmtId="0" fontId="14" fillId="9" borderId="5">
      <alignment horizontal="center"/>
    </xf>
    <xf numFmtId="0" fontId="15" fillId="10" borderId="0"/>
    <xf numFmtId="0" fontId="16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6"/>
  </cellStyleXfs>
  <cellXfs count="7">
    <xf numFmtId="0" fontId="0" fillId="0" borderId="0" xfId="0"/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7" borderId="0" xfId="2" applyFill="1" applyAlignment="1" applyProtection="1">
      <alignment horizontal="center"/>
    </xf>
    <xf numFmtId="0" fontId="6" fillId="0" borderId="0" xfId="1" applyFont="1" applyAlignment="1">
      <alignment vertical="center"/>
    </xf>
    <xf numFmtId="164" fontId="6" fillId="0" borderId="0" xfId="3" applyNumberFormat="1" applyFont="1" applyAlignment="1">
      <alignment vertical="center"/>
    </xf>
    <xf numFmtId="0" fontId="6" fillId="0" borderId="0" xfId="3" applyFont="1" applyAlignment="1">
      <alignment vertical="center"/>
    </xf>
  </cellXfs>
  <cellStyles count="41">
    <cellStyle name="20 % - Accent1 2" xfId="4"/>
    <cellStyle name="Accent1 2" xfId="5"/>
    <cellStyle name="Accent2 2" xfId="6"/>
    <cellStyle name="Accent3 2" xfId="7"/>
    <cellStyle name="Dezimal [0]" xfId="8"/>
    <cellStyle name="Dezimal_Tabelle1" xfId="9"/>
    <cellStyle name="Euro" xfId="10"/>
    <cellStyle name="Euro 2" xfId="11"/>
    <cellStyle name="Euro 3" xfId="12"/>
    <cellStyle name="Excel Built-in Normal" xfId="13"/>
    <cellStyle name="Lien hypertexte" xfId="2" builtinId="8"/>
    <cellStyle name="ligne" xfId="14"/>
    <cellStyle name="Milliers [0] 2" xfId="15"/>
    <cellStyle name="Milliers 2" xfId="16"/>
    <cellStyle name="Milliers 3" xfId="17"/>
    <cellStyle name="Milliers 4" xfId="18"/>
    <cellStyle name="Monétaire 2" xfId="19"/>
    <cellStyle name="Monétaire 2 2" xfId="20"/>
    <cellStyle name="Monétaire 3" xfId="3"/>
    <cellStyle name="Monétaire 4" xfId="21"/>
    <cellStyle name="Normal" xfId="0" builtinId="0"/>
    <cellStyle name="Normal 2" xfId="1"/>
    <cellStyle name="Normal 3" xfId="22"/>
    <cellStyle name="Normal 4" xfId="23"/>
    <cellStyle name="Normal 5" xfId="24"/>
    <cellStyle name="Normal 6" xfId="25"/>
    <cellStyle name="Normal 7" xfId="26"/>
    <cellStyle name="Pourcentage 2" xfId="27"/>
    <cellStyle name="Pourcentage 3" xfId="28"/>
    <cellStyle name="Pourcentage 4" xfId="29"/>
    <cellStyle name="Satisfaisant 2" xfId="30"/>
    <cellStyle name="Standard_Tabelle1" xfId="31"/>
    <cellStyle name="Style 1" xfId="32"/>
    <cellStyle name="Summen" xfId="33"/>
    <cellStyle name="table" xfId="34"/>
    <cellStyle name="TITCOL" xfId="35"/>
    <cellStyle name="Titel" xfId="36"/>
    <cellStyle name="Untertitel" xfId="37"/>
    <cellStyle name="Währung [0]" xfId="38"/>
    <cellStyle name="Währung_Tabelle1" xfId="39"/>
    <cellStyle name="Zwischensummen" xfId="4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O%20DOLFI%20AVANC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O22"/>
  <sheetViews>
    <sheetView tabSelected="1" workbookViewId="0">
      <selection activeCell="N1" sqref="N1:O1"/>
    </sheetView>
  </sheetViews>
  <sheetFormatPr baseColWidth="10" defaultRowHeight="15"/>
  <cols>
    <col min="1" max="1" width="14.85546875" style="4" customWidth="1"/>
    <col min="2" max="2" width="11.85546875" style="4" customWidth="1"/>
    <col min="3" max="3" width="12.28515625" style="4" customWidth="1"/>
    <col min="4" max="4" width="10" style="4" customWidth="1"/>
    <col min="5" max="5" width="11.28515625" style="4" customWidth="1"/>
    <col min="6" max="6" width="7.5703125" style="4" customWidth="1"/>
    <col min="7" max="7" width="12.7109375" style="4" customWidth="1"/>
    <col min="8" max="8" width="10.28515625" style="4" bestFit="1" customWidth="1"/>
    <col min="9" max="9" width="12.140625" style="4" customWidth="1"/>
    <col min="10" max="16384" width="11.42578125" style="4"/>
  </cols>
  <sheetData>
    <row r="1" spans="1:15" s="2" customFormat="1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N1" s="3" t="s">
        <v>9</v>
      </c>
      <c r="O1" s="3"/>
    </row>
    <row r="2" spans="1:15" ht="20.100000000000001" customHeight="1">
      <c r="A2" s="4" t="s">
        <v>10</v>
      </c>
      <c r="B2" s="4" t="s">
        <v>11</v>
      </c>
      <c r="C2" s="4" t="s">
        <v>12</v>
      </c>
      <c r="D2" s="4" t="s">
        <v>13</v>
      </c>
      <c r="E2" s="4">
        <v>1992</v>
      </c>
      <c r="F2" s="4">
        <v>200</v>
      </c>
      <c r="G2" s="4">
        <v>150</v>
      </c>
      <c r="H2" s="5">
        <v>20.65</v>
      </c>
      <c r="I2" s="6">
        <f t="shared" ref="I2:I22" si="0">H2*F2</f>
        <v>4130</v>
      </c>
    </row>
    <row r="3" spans="1:15" ht="20.100000000000001" customHeight="1">
      <c r="A3" s="4" t="s">
        <v>14</v>
      </c>
      <c r="B3" s="4" t="s">
        <v>15</v>
      </c>
      <c r="C3" s="4" t="s">
        <v>16</v>
      </c>
      <c r="D3" s="4" t="s">
        <v>17</v>
      </c>
      <c r="E3" s="4">
        <v>1993</v>
      </c>
      <c r="F3" s="4">
        <v>340</v>
      </c>
      <c r="G3" s="4">
        <v>300</v>
      </c>
      <c r="H3" s="5">
        <v>14</v>
      </c>
      <c r="I3" s="6">
        <f t="shared" si="0"/>
        <v>4760</v>
      </c>
    </row>
    <row r="4" spans="1:15" ht="20.100000000000001" customHeight="1">
      <c r="A4" s="4" t="s">
        <v>18</v>
      </c>
      <c r="B4" s="4" t="s">
        <v>19</v>
      </c>
      <c r="C4" s="4" t="s">
        <v>20</v>
      </c>
      <c r="D4" s="4" t="s">
        <v>17</v>
      </c>
      <c r="E4" s="4">
        <v>1993</v>
      </c>
      <c r="F4" s="4">
        <v>300</v>
      </c>
      <c r="G4" s="4">
        <v>250</v>
      </c>
      <c r="H4" s="5">
        <v>29</v>
      </c>
      <c r="I4" s="6">
        <f t="shared" si="0"/>
        <v>8700</v>
      </c>
    </row>
    <row r="5" spans="1:15" ht="20.100000000000001" customHeight="1">
      <c r="A5" s="4" t="s">
        <v>21</v>
      </c>
      <c r="B5" s="4" t="s">
        <v>19</v>
      </c>
      <c r="C5" s="4" t="s">
        <v>21</v>
      </c>
      <c r="D5" s="4" t="s">
        <v>17</v>
      </c>
      <c r="E5" s="4">
        <v>1991</v>
      </c>
      <c r="F5" s="4">
        <v>200</v>
      </c>
      <c r="G5" s="4">
        <v>250</v>
      </c>
      <c r="H5" s="5">
        <v>32</v>
      </c>
      <c r="I5" s="6">
        <f t="shared" si="0"/>
        <v>6400</v>
      </c>
    </row>
    <row r="6" spans="1:15" ht="20.100000000000001" customHeight="1">
      <c r="A6" s="4" t="s">
        <v>22</v>
      </c>
      <c r="B6" s="4" t="s">
        <v>19</v>
      </c>
      <c r="C6" s="4" t="s">
        <v>23</v>
      </c>
      <c r="D6" s="4" t="s">
        <v>17</v>
      </c>
      <c r="E6" s="4">
        <v>1992</v>
      </c>
      <c r="F6" s="4">
        <v>200</v>
      </c>
      <c r="G6" s="4">
        <v>220</v>
      </c>
      <c r="H6" s="5">
        <v>28</v>
      </c>
      <c r="I6" s="6">
        <f t="shared" si="0"/>
        <v>5600</v>
      </c>
    </row>
    <row r="7" spans="1:15" ht="20.100000000000001" customHeight="1">
      <c r="A7" s="4" t="s">
        <v>24</v>
      </c>
      <c r="B7" s="4" t="s">
        <v>11</v>
      </c>
      <c r="C7" s="4" t="s">
        <v>25</v>
      </c>
      <c r="D7" s="4" t="s">
        <v>17</v>
      </c>
      <c r="E7" s="4">
        <v>1993</v>
      </c>
      <c r="F7" s="4">
        <v>120</v>
      </c>
      <c r="G7" s="4">
        <v>100</v>
      </c>
      <c r="H7" s="5">
        <v>13.65</v>
      </c>
      <c r="I7" s="6">
        <f t="shared" si="0"/>
        <v>1638</v>
      </c>
    </row>
    <row r="8" spans="1:15" ht="20.100000000000001" customHeight="1">
      <c r="A8" s="4" t="s">
        <v>26</v>
      </c>
      <c r="B8" s="4" t="s">
        <v>11</v>
      </c>
      <c r="C8" s="4" t="s">
        <v>25</v>
      </c>
      <c r="D8" s="4" t="s">
        <v>17</v>
      </c>
      <c r="E8" s="4">
        <v>1993</v>
      </c>
      <c r="F8" s="4">
        <v>230</v>
      </c>
      <c r="G8" s="4">
        <v>250</v>
      </c>
      <c r="H8" s="5">
        <v>14.7</v>
      </c>
      <c r="I8" s="6">
        <f t="shared" si="0"/>
        <v>3381</v>
      </c>
    </row>
    <row r="9" spans="1:15" ht="20.100000000000001" customHeight="1">
      <c r="A9" s="4" t="s">
        <v>27</v>
      </c>
      <c r="B9" s="4" t="s">
        <v>11</v>
      </c>
      <c r="C9" s="4" t="s">
        <v>25</v>
      </c>
      <c r="D9" s="4" t="s">
        <v>17</v>
      </c>
      <c r="E9" s="4">
        <v>1991</v>
      </c>
      <c r="F9" s="4">
        <v>300</v>
      </c>
      <c r="G9" s="4">
        <v>200</v>
      </c>
      <c r="H9" s="5">
        <v>13.3</v>
      </c>
      <c r="I9" s="6">
        <f t="shared" si="0"/>
        <v>3990</v>
      </c>
    </row>
    <row r="10" spans="1:15" ht="20.100000000000001" customHeight="1">
      <c r="A10" s="4" t="s">
        <v>28</v>
      </c>
      <c r="B10" s="4" t="s">
        <v>11</v>
      </c>
      <c r="C10" s="4" t="s">
        <v>29</v>
      </c>
      <c r="D10" s="4" t="s">
        <v>17</v>
      </c>
      <c r="E10" s="4">
        <v>1993</v>
      </c>
      <c r="F10" s="4">
        <v>120</v>
      </c>
      <c r="G10" s="4">
        <v>100</v>
      </c>
      <c r="H10" s="5">
        <v>17.5</v>
      </c>
      <c r="I10" s="6">
        <f t="shared" si="0"/>
        <v>2100</v>
      </c>
    </row>
    <row r="11" spans="1:15" ht="20.100000000000001" customHeight="1">
      <c r="A11" s="4" t="s">
        <v>30</v>
      </c>
      <c r="B11" s="4" t="s">
        <v>11</v>
      </c>
      <c r="C11" s="4" t="s">
        <v>29</v>
      </c>
      <c r="D11" s="4" t="s">
        <v>17</v>
      </c>
      <c r="E11" s="4">
        <v>1991</v>
      </c>
      <c r="F11" s="4">
        <v>230</v>
      </c>
      <c r="G11" s="4">
        <v>200</v>
      </c>
      <c r="H11" s="5">
        <v>16.45</v>
      </c>
      <c r="I11" s="6">
        <f t="shared" si="0"/>
        <v>3783.5</v>
      </c>
    </row>
    <row r="12" spans="1:15" ht="20.100000000000001" customHeight="1">
      <c r="A12" s="4" t="s">
        <v>31</v>
      </c>
      <c r="B12" s="4" t="s">
        <v>11</v>
      </c>
      <c r="C12" s="4" t="s">
        <v>32</v>
      </c>
      <c r="D12" s="4" t="s">
        <v>17</v>
      </c>
      <c r="E12" s="4">
        <v>1993</v>
      </c>
      <c r="F12" s="4">
        <v>300</v>
      </c>
      <c r="G12" s="4">
        <v>250</v>
      </c>
      <c r="H12" s="5">
        <v>20.3</v>
      </c>
      <c r="I12" s="6">
        <f t="shared" si="0"/>
        <v>6090</v>
      </c>
    </row>
    <row r="13" spans="1:15" ht="20.100000000000001" customHeight="1">
      <c r="A13" s="4" t="s">
        <v>33</v>
      </c>
      <c r="B13" s="4" t="s">
        <v>15</v>
      </c>
      <c r="C13" s="4" t="s">
        <v>34</v>
      </c>
      <c r="D13" s="4" t="s">
        <v>35</v>
      </c>
      <c r="E13" s="4">
        <v>1993</v>
      </c>
      <c r="F13" s="4">
        <v>200</v>
      </c>
      <c r="G13" s="4">
        <v>200</v>
      </c>
      <c r="H13" s="5">
        <v>19</v>
      </c>
      <c r="I13" s="6">
        <f t="shared" si="0"/>
        <v>3800</v>
      </c>
    </row>
    <row r="14" spans="1:15" ht="20.100000000000001" customHeight="1">
      <c r="A14" s="4" t="s">
        <v>36</v>
      </c>
      <c r="B14" s="4" t="s">
        <v>15</v>
      </c>
      <c r="C14" s="4" t="s">
        <v>34</v>
      </c>
      <c r="D14" s="4" t="s">
        <v>35</v>
      </c>
      <c r="E14" s="4">
        <v>1991</v>
      </c>
      <c r="F14" s="4">
        <v>340</v>
      </c>
      <c r="G14" s="4">
        <v>300</v>
      </c>
      <c r="H14" s="5">
        <v>24</v>
      </c>
      <c r="I14" s="6">
        <f t="shared" si="0"/>
        <v>8160</v>
      </c>
    </row>
    <row r="15" spans="1:15" ht="20.100000000000001" customHeight="1">
      <c r="A15" s="4" t="s">
        <v>37</v>
      </c>
      <c r="B15" s="4" t="s">
        <v>15</v>
      </c>
      <c r="C15" s="4" t="s">
        <v>38</v>
      </c>
      <c r="D15" s="4" t="s">
        <v>35</v>
      </c>
      <c r="E15" s="4">
        <v>1993</v>
      </c>
      <c r="F15" s="4">
        <v>230</v>
      </c>
      <c r="G15" s="4">
        <v>200</v>
      </c>
      <c r="H15" s="5">
        <v>10.5</v>
      </c>
      <c r="I15" s="6">
        <f t="shared" si="0"/>
        <v>2415</v>
      </c>
    </row>
    <row r="16" spans="1:15" ht="20.100000000000001" customHeight="1">
      <c r="A16" s="4" t="s">
        <v>39</v>
      </c>
      <c r="B16" s="4" t="s">
        <v>15</v>
      </c>
      <c r="C16" s="4" t="s">
        <v>38</v>
      </c>
      <c r="D16" s="4" t="s">
        <v>35</v>
      </c>
      <c r="E16" s="4">
        <v>1993</v>
      </c>
      <c r="F16" s="4">
        <v>300</v>
      </c>
      <c r="G16" s="4">
        <v>250</v>
      </c>
      <c r="H16" s="5">
        <v>17.5</v>
      </c>
      <c r="I16" s="6">
        <f t="shared" si="0"/>
        <v>5250</v>
      </c>
    </row>
    <row r="17" spans="1:9" ht="20.100000000000001" customHeight="1">
      <c r="A17" s="4" t="s">
        <v>40</v>
      </c>
      <c r="B17" s="4" t="s">
        <v>19</v>
      </c>
      <c r="C17" s="4" t="s">
        <v>20</v>
      </c>
      <c r="D17" s="4" t="s">
        <v>35</v>
      </c>
      <c r="E17" s="4">
        <v>1991</v>
      </c>
      <c r="F17" s="4">
        <v>170</v>
      </c>
      <c r="G17" s="4">
        <v>190</v>
      </c>
      <c r="H17" s="5">
        <v>35</v>
      </c>
      <c r="I17" s="6">
        <f t="shared" si="0"/>
        <v>5950</v>
      </c>
    </row>
    <row r="18" spans="1:9" ht="20.100000000000001" customHeight="1">
      <c r="A18" s="4" t="s">
        <v>20</v>
      </c>
      <c r="B18" s="4" t="s">
        <v>19</v>
      </c>
      <c r="C18" s="4" t="s">
        <v>20</v>
      </c>
      <c r="D18" s="4" t="s">
        <v>35</v>
      </c>
      <c r="E18" s="4">
        <v>1993</v>
      </c>
      <c r="F18" s="4">
        <v>260</v>
      </c>
      <c r="G18" s="4">
        <v>200</v>
      </c>
      <c r="H18" s="5">
        <v>16.100000000000001</v>
      </c>
      <c r="I18" s="6">
        <f t="shared" si="0"/>
        <v>4186</v>
      </c>
    </row>
    <row r="19" spans="1:9" ht="20.100000000000001" customHeight="1">
      <c r="A19" s="4" t="s">
        <v>23</v>
      </c>
      <c r="B19" s="4" t="s">
        <v>19</v>
      </c>
      <c r="C19" s="4" t="s">
        <v>23</v>
      </c>
      <c r="D19" s="4" t="s">
        <v>35</v>
      </c>
      <c r="E19" s="4">
        <v>1993</v>
      </c>
      <c r="F19" s="4">
        <v>230</v>
      </c>
      <c r="G19" s="4">
        <v>170</v>
      </c>
      <c r="H19" s="5">
        <v>18.55</v>
      </c>
      <c r="I19" s="6">
        <f t="shared" si="0"/>
        <v>4266.5</v>
      </c>
    </row>
    <row r="20" spans="1:9" ht="20.100000000000001" customHeight="1">
      <c r="A20" s="4" t="s">
        <v>41</v>
      </c>
      <c r="B20" s="4" t="s">
        <v>19</v>
      </c>
      <c r="C20" s="4" t="s">
        <v>23</v>
      </c>
      <c r="D20" s="4" t="s">
        <v>35</v>
      </c>
      <c r="E20" s="4">
        <v>1992</v>
      </c>
      <c r="F20" s="4">
        <v>230</v>
      </c>
      <c r="G20" s="4">
        <v>150</v>
      </c>
      <c r="H20" s="5">
        <v>23.8</v>
      </c>
      <c r="I20" s="6">
        <f t="shared" si="0"/>
        <v>5474</v>
      </c>
    </row>
    <row r="21" spans="1:9" ht="20.100000000000001" customHeight="1">
      <c r="A21" s="4" t="s">
        <v>42</v>
      </c>
      <c r="B21" s="4" t="s">
        <v>11</v>
      </c>
      <c r="C21" s="4" t="s">
        <v>43</v>
      </c>
      <c r="D21" s="4" t="s">
        <v>35</v>
      </c>
      <c r="E21" s="4">
        <v>1993</v>
      </c>
      <c r="F21" s="4">
        <v>230</v>
      </c>
      <c r="G21" s="4">
        <v>280</v>
      </c>
      <c r="H21" s="5">
        <v>13.3</v>
      </c>
      <c r="I21" s="6">
        <f t="shared" si="0"/>
        <v>3059</v>
      </c>
    </row>
    <row r="22" spans="1:9" ht="20.100000000000001" customHeight="1">
      <c r="A22" s="4" t="s">
        <v>44</v>
      </c>
      <c r="B22" s="4" t="s">
        <v>11</v>
      </c>
      <c r="C22" s="4" t="s">
        <v>32</v>
      </c>
      <c r="D22" s="4" t="s">
        <v>35</v>
      </c>
      <c r="E22" s="4">
        <v>1993</v>
      </c>
      <c r="F22" s="4">
        <v>170</v>
      </c>
      <c r="G22" s="4">
        <v>200</v>
      </c>
      <c r="H22" s="5">
        <v>13.65</v>
      </c>
      <c r="I22" s="6">
        <f t="shared" si="0"/>
        <v>2320.5</v>
      </c>
    </row>
  </sheetData>
  <mergeCells count="1">
    <mergeCell ref="N1:O1"/>
  </mergeCells>
  <hyperlinks>
    <hyperlink ref="N1:O1" location="MENU!A1" display="RETOUR MENU"/>
  </hyperlinks>
  <printOptions horizontalCentered="1" verticalCentered="1" gridLines="1" gridLinesSet="0"/>
  <pageMargins left="0.78740157480314965" right="0.78740157480314965" top="0.98425196850393704" bottom="0.98425196850393704" header="0.39370078740157483" footer="0.39370078740157483"/>
  <pageSetup paperSize="9" orientation="landscape" horizontalDpi="36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bdd Cave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Sieffert sandrine</cp:lastModifiedBy>
  <dcterms:created xsi:type="dcterms:W3CDTF">2013-06-20T13:09:28Z</dcterms:created>
  <dcterms:modified xsi:type="dcterms:W3CDTF">2013-06-20T13:09:39Z</dcterms:modified>
</cp:coreProperties>
</file>