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imelineCaches/timelineCache2.xml" ContentType="application/vnd.ms-excel.timelineCache+xml"/>
  <Override PartName="/xl/timelineCaches/timelineCache3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1.xml" ContentType="application/vnd.openxmlformats-officedocument.spreadsheetml.comments+xml"/>
  <Override PartName="/xl/pivotTables/pivotTable4.xml" ContentType="application/vnd.openxmlformats-officedocument.spreadsheetml.pivotTable+xml"/>
  <Override PartName="/xl/comments2.xml" ContentType="application/vnd.openxmlformats-officedocument.spreadsheetml.comments+xml"/>
  <Override PartName="/xl/pivotTables/pivotTable5.xml" ContentType="application/vnd.openxmlformats-officedocument.spreadsheetml.pivotTable+xml"/>
  <Override PartName="/xl/comments3.xml" ContentType="application/vnd.openxmlformats-officedocument.spreadsheetml.comments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omments4.xml" ContentType="application/vnd.openxmlformats-officedocument.spreadsheetml.comments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timelines/timeline1.xml" ContentType="application/vnd.ms-excel.timelin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timelines/timeline2.xml" ContentType="application/vnd.ms-excel.timelin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timelines/timeline3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XL3\BDD\"/>
    </mc:Choice>
  </mc:AlternateContent>
  <bookViews>
    <workbookView xWindow="480" yWindow="75" windowWidth="17520" windowHeight="6990" tabRatio="911" activeTab="10"/>
  </bookViews>
  <sheets>
    <sheet name="bdd commandes" sheetId="1" r:id="rId1"/>
    <sheet name="TCD1" sheetId="4" r:id="rId2"/>
    <sheet name="TCD2" sheetId="3" r:id="rId3"/>
    <sheet name="TCD3" sheetId="5" r:id="rId4"/>
    <sheet name="TCD4" sheetId="6" r:id="rId5"/>
    <sheet name="TCD5" sheetId="7" r:id="rId6"/>
    <sheet name="TCD6" sheetId="8" r:id="rId7"/>
    <sheet name="TCD7" sheetId="10" r:id="rId8"/>
    <sheet name="TCD8" sheetId="11" r:id="rId9"/>
    <sheet name="TCD9" sheetId="12" r:id="rId10"/>
    <sheet name="TCD 10" sheetId="13" r:id="rId11"/>
    <sheet name="TCD Commandes" sheetId="2" state="hidden" r:id="rId12"/>
  </sheets>
  <externalReferences>
    <externalReference r:id="rId13"/>
  </externalReferences>
  <definedNames>
    <definedName name="_xlnm._FilterDatabase" localSheetId="0" hidden="1">'bdd commandes'!$A$1:$H$50</definedName>
    <definedName name="ChronologieNative_DATE">#N/A</definedName>
    <definedName name="ChronologieNative_DATE1">#N/A</definedName>
    <definedName name="ChronologieNative_DATE2">#N/A</definedName>
    <definedName name="CNE">'[1]ID ETUDIANT (2)'!$A$1:$E$5</definedName>
    <definedName name="_xlnm.Criteria" localSheetId="0">'bdd commandes'!$K$16:$P$17</definedName>
    <definedName name="cursource" hidden="1">#N/A</definedName>
    <definedName name="DATA">[1]BDLIRE!$A$3:$C$8</definedName>
    <definedName name="int_ext_sel" hidden="1">1</definedName>
    <definedName name="NOTE">'[1]NOTES (2)'!$A$1:$H$5</definedName>
    <definedName name="Segment_annee">#N/A</definedName>
    <definedName name="Segment_PRODUIT">#N/A</definedName>
    <definedName name="Segment_VENDEURS">#N/A</definedName>
  </definedNames>
  <calcPr calcId="152511"/>
  <pivotCaches>
    <pivotCache cacheId="0" r:id="rId14"/>
    <pivotCache cacheId="1" r:id="rId15"/>
  </pivotCaches>
  <extLst>
    <ext xmlns:x14="http://schemas.microsoft.com/office/spreadsheetml/2009/9/main" uri="{BBE1A952-AA13-448e-AADC-164F8A28A991}">
      <x14:slicerCaches>
        <x14:slicerCache r:id="rId16"/>
        <x14:slicerCache r:id="rId17"/>
        <x14:slicerCache r:id="rId1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9"/>
        <x15:timelineCacheRef r:id="rId20"/>
        <x15:timelineCacheRef r:id="rId21"/>
      </x15:timelineCacheRef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2" i="1"/>
  <c r="H50" i="1" l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comments1.xml><?xml version="1.0" encoding="utf-8"?>
<comments xmlns="http://schemas.openxmlformats.org/spreadsheetml/2006/main">
  <authors>
    <author>Sandrine</author>
  </authors>
  <commentList>
    <comment ref="D2" authorId="0" shapeId="0">
      <text>
        <r>
          <rPr>
            <b/>
            <sz val="9"/>
            <color indexed="81"/>
            <rFont val="Tahoma"/>
            <charset val="1"/>
          </rPr>
          <t>Sandrine:</t>
        </r>
        <r>
          <rPr>
            <sz val="9"/>
            <color indexed="81"/>
            <rFont val="Tahoma"/>
            <charset val="1"/>
          </rPr>
          <t xml:space="preserve">
% que represente le vendeur dans son secteur</t>
        </r>
      </text>
    </comment>
  </commentList>
</comments>
</file>

<file path=xl/comments2.xml><?xml version="1.0" encoding="utf-8"?>
<comments xmlns="http://schemas.openxmlformats.org/spreadsheetml/2006/main">
  <authors>
    <author>Sandrine</author>
  </authors>
  <commentList>
    <comment ref="C2" authorId="0" shapeId="0">
      <text>
        <r>
          <rPr>
            <b/>
            <sz val="9"/>
            <color indexed="81"/>
            <rFont val="Tahoma"/>
            <charset val="1"/>
          </rPr>
          <t>Sandrine:</t>
        </r>
        <r>
          <rPr>
            <sz val="9"/>
            <color indexed="81"/>
            <rFont val="Tahoma"/>
            <charset val="1"/>
          </rPr>
          <t xml:space="preserve">
% du vendeurs sur lensemble des secteur</t>
        </r>
      </text>
    </comment>
  </commentList>
</comments>
</file>

<file path=xl/comments3.xml><?xml version="1.0" encoding="utf-8"?>
<comments xmlns="http://schemas.openxmlformats.org/spreadsheetml/2006/main">
  <authors>
    <author>Sandrine</author>
  </authors>
  <commentList>
    <comment ref="C2" authorId="0" shapeId="0">
      <text>
        <r>
          <rPr>
            <b/>
            <sz val="9"/>
            <color indexed="81"/>
            <rFont val="Tahoma"/>
            <charset val="1"/>
          </rPr>
          <t>Sandrine:</t>
        </r>
        <r>
          <rPr>
            <sz val="9"/>
            <color indexed="81"/>
            <rFont val="Tahoma"/>
            <charset val="1"/>
          </rPr>
          <t xml:space="preserve">
% du vendeurs/Secteur par année</t>
        </r>
      </text>
    </comment>
  </commentList>
</comments>
</file>

<file path=xl/comments4.xml><?xml version="1.0" encoding="utf-8"?>
<comments xmlns="http://schemas.openxmlformats.org/spreadsheetml/2006/main">
  <authors>
    <author>Sandrine</author>
  </authors>
  <commentList>
    <comment ref="C2" authorId="0" shapeId="0">
      <text>
        <r>
          <rPr>
            <b/>
            <sz val="9"/>
            <color indexed="81"/>
            <rFont val="Tahoma"/>
            <charset val="1"/>
          </rPr>
          <t>Sandrine:</t>
        </r>
        <r>
          <rPr>
            <sz val="9"/>
            <color indexed="81"/>
            <rFont val="Tahoma"/>
            <charset val="1"/>
          </rPr>
          <t xml:space="preserve">
% du vendeurs/Secteur par année</t>
        </r>
      </text>
    </comment>
  </commentList>
</comments>
</file>

<file path=xl/sharedStrings.xml><?xml version="1.0" encoding="utf-8"?>
<sst xmlns="http://schemas.openxmlformats.org/spreadsheetml/2006/main" count="535" uniqueCount="121">
  <si>
    <t>DATE</t>
  </si>
  <si>
    <t>CLIENT</t>
  </si>
  <si>
    <t>SECTEUR</t>
  </si>
  <si>
    <t>PRODUIT</t>
  </si>
  <si>
    <t>PRIX</t>
  </si>
  <si>
    <t>QUANTITE</t>
  </si>
  <si>
    <t>MONTANT</t>
  </si>
  <si>
    <t>Martin</t>
  </si>
  <si>
    <t>Florus</t>
  </si>
  <si>
    <t>Centre</t>
  </si>
  <si>
    <t>Stylos</t>
  </si>
  <si>
    <t>Dupond</t>
  </si>
  <si>
    <t>Muse SA</t>
  </si>
  <si>
    <t>Nord</t>
  </si>
  <si>
    <t>Ifrane</t>
  </si>
  <si>
    <t>Ouest</t>
  </si>
  <si>
    <t>Dupuis</t>
  </si>
  <si>
    <t>Plein-nord</t>
  </si>
  <si>
    <t>Porte-clés</t>
  </si>
  <si>
    <t>Leveque</t>
  </si>
  <si>
    <t>Pubcité</t>
  </si>
  <si>
    <t>Sud</t>
  </si>
  <si>
    <t>Casquettes</t>
  </si>
  <si>
    <t>Balliard</t>
  </si>
  <si>
    <t>Nimbus</t>
  </si>
  <si>
    <t>Calculatrices</t>
  </si>
  <si>
    <t>Ball</t>
  </si>
  <si>
    <t>Montres</t>
  </si>
  <si>
    <t>Marrou</t>
  </si>
  <si>
    <t>Tardi</t>
  </si>
  <si>
    <t>Mar</t>
  </si>
  <si>
    <t>Calendriers</t>
  </si>
  <si>
    <t>Pellieux</t>
  </si>
  <si>
    <t>sieffert</t>
  </si>
  <si>
    <t>TCD A REALISER</t>
  </si>
  <si>
    <t>TCD 1</t>
  </si>
  <si>
    <t>PAR VENDEURS</t>
  </si>
  <si>
    <t>RETOUR BBD COMMANDE</t>
  </si>
  <si>
    <t>Somme des montants</t>
  </si>
  <si>
    <t>Nb de ventes</t>
  </si>
  <si>
    <t>TCD 2</t>
  </si>
  <si>
    <t>PAR SECTEUR</t>
  </si>
  <si>
    <t>Moyenne des ventes</t>
  </si>
  <si>
    <t>Quantité MAXI</t>
  </si>
  <si>
    <t>TCD 3</t>
  </si>
  <si>
    <t>PAR PRODUIT</t>
  </si>
  <si>
    <t>Somme des montant</t>
  </si>
  <si>
    <t>Montant Maxi</t>
  </si>
  <si>
    <t>Montant Mini</t>
  </si>
  <si>
    <t>Part du total en %</t>
  </si>
  <si>
    <t>TCD 4</t>
  </si>
  <si>
    <t>PAR ANNEE ET PAR MOIS</t>
  </si>
  <si>
    <t>Mettre l'année en Filtre</t>
  </si>
  <si>
    <t>Somme des ventes</t>
  </si>
  <si>
    <t>TCD 6</t>
  </si>
  <si>
    <t>PAR CLIENT ET PRODUITS</t>
  </si>
  <si>
    <t>Afficher la marge de 20% des ventes (utiliser le champ calculé)</t>
  </si>
  <si>
    <t>par vendeur Calculer leur prime (2% des ventes par mois) (utiliser le champ calculer)</t>
  </si>
  <si>
    <t>VENDEURS</t>
  </si>
  <si>
    <t>Étiquettes de lignes</t>
  </si>
  <si>
    <t>Total général</t>
  </si>
  <si>
    <t>Étiquettes de colonnes</t>
  </si>
  <si>
    <t>2015</t>
  </si>
  <si>
    <t>2016</t>
  </si>
  <si>
    <t>Total Centre</t>
  </si>
  <si>
    <t>Total Nord</t>
  </si>
  <si>
    <t>Total Ouest</t>
  </si>
  <si>
    <t>Total Sud</t>
  </si>
  <si>
    <t>Somme de MONTANT</t>
  </si>
  <si>
    <t>CA</t>
  </si>
  <si>
    <t>Total CA</t>
  </si>
  <si>
    <t>NB</t>
  </si>
  <si>
    <t>Total NB</t>
  </si>
  <si>
    <t>Dif ca N-</t>
  </si>
  <si>
    <t>Total Dif ca N-</t>
  </si>
  <si>
    <t>Dif Ca en %</t>
  </si>
  <si>
    <t>Total Dif Ca en %</t>
  </si>
  <si>
    <t>Total Rang</t>
  </si>
  <si>
    <t>Rang</t>
  </si>
  <si>
    <t>Total % Colonne</t>
  </si>
  <si>
    <t>% Colonne</t>
  </si>
  <si>
    <t>Total % ligne parente</t>
  </si>
  <si>
    <t>% ligne parente</t>
  </si>
  <si>
    <t>Total % Ligne</t>
  </si>
  <si>
    <t>% Ligne</t>
  </si>
  <si>
    <t>mois</t>
  </si>
  <si>
    <t>annee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</si>
  <si>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</si>
  <si>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</si>
  <si>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</si>
  <si>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</si>
  <si>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</si>
  <si>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</si>
  <si>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</si>
  <si>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</si>
  <si>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</si>
  <si>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</si>
  <si>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</si>
  <si>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</si>
  <si>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Mois lettre</t>
  </si>
  <si>
    <t>Total Dupuis</t>
  </si>
  <si>
    <t>Total Leveque</t>
  </si>
  <si>
    <t>Total Marrou</t>
  </si>
  <si>
    <t>Total Martin</t>
  </si>
  <si>
    <t>Total Pellieux</t>
  </si>
  <si>
    <t>CA MOIS</t>
  </si>
  <si>
    <t>CA CUMULE</t>
  </si>
  <si>
    <t>% du total</t>
  </si>
  <si>
    <t>somme total</t>
  </si>
  <si>
    <t>Résultat cumulé</t>
  </si>
  <si>
    <t>Total</t>
  </si>
  <si>
    <t>Moyenne</t>
  </si>
  <si>
    <t>Nb</t>
  </si>
  <si>
    <t>Equipe 1</t>
  </si>
  <si>
    <t>Equipe 2</t>
  </si>
  <si>
    <t>Total Ca</t>
  </si>
  <si>
    <t>VENDEURS2</t>
  </si>
  <si>
    <t>Total Equipe 1</t>
  </si>
  <si>
    <t>Total Equipe 2</t>
  </si>
  <si>
    <t>Prime</t>
  </si>
  <si>
    <t>Valeurs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</si>
</sst>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[$€]_-;\-* #,##0.00\ [$€]_-;_-* &quot;-&quot;??\ [$€]_-;_-@_-"/>
    <numFmt numFmtId="165" formatCode="_-* #,##0.00\ _F_-;\-* #,##0.00\ _F_-;_-* &quot;-&quot;??\ _F_-;_-@_-"/>
    <numFmt numFmtId="166" formatCode="_-* #,##0.00\ &quot;F&quot;_-;\-* #,##0.00\ &quot;F&quot;_-;_-* &quot;-&quot;??\ &quot;F&quot;_-;_-@_-"/>
    <numFmt numFmtId="167" formatCode="_ * #,##0.00_)\ &quot;$&quot;_ ;_ * \(#,##0.00\)\ &quot;$&quot;_ ;_ * &quot;-&quot;??_)\ &quot;$&quot;_ ;_ @_ "/>
    <numFmt numFmtId="168" formatCode="0.0%"/>
    <numFmt numFmtId="169" formatCode="_-* #,##0\ _€_-;\-* #,##0\ _€_-;_-* &quot;-&quot;??\ _€_-;_-@_-"/>
  </numFmts>
  <fonts count="21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b/>
      <sz val="11"/>
      <color indexed="18"/>
      <name val="Vagabond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14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indexed="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/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41">
    <xf numFmtId="0" fontId="0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 applyFont="0" applyFill="0" applyBorder="0" applyAlignment="0" applyProtection="0"/>
    <xf numFmtId="0" fontId="1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8" fillId="0" borderId="0"/>
    <xf numFmtId="0" fontId="9" fillId="8" borderId="1"/>
    <xf numFmtId="41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2" borderId="0" applyNumberFormat="0" applyBorder="0" applyAlignment="0" applyProtection="0"/>
    <xf numFmtId="0" fontId="4" fillId="0" borderId="0"/>
    <xf numFmtId="0" fontId="2" fillId="0" borderId="2"/>
    <xf numFmtId="0" fontId="4" fillId="0" borderId="3"/>
    <xf numFmtId="168" fontId="9" fillId="8" borderId="4">
      <alignment horizontal="center"/>
    </xf>
    <xf numFmtId="0" fontId="11" fillId="9" borderId="5">
      <alignment horizontal="center"/>
    </xf>
    <xf numFmtId="0" fontId="12" fillId="10" borderId="0"/>
    <xf numFmtId="0" fontId="13" fillId="0" borderId="0">
      <alignment horizont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6"/>
  </cellStyleXfs>
  <cellXfs count="41">
    <xf numFmtId="0" fontId="0" fillId="0" borderId="0" xfId="0"/>
    <xf numFmtId="0" fontId="4" fillId="0" borderId="0" xfId="1"/>
    <xf numFmtId="0" fontId="4" fillId="11" borderId="0" xfId="1" applyFill="1"/>
    <xf numFmtId="0" fontId="0" fillId="11" borderId="0" xfId="0" applyFill="1"/>
    <xf numFmtId="0" fontId="15" fillId="11" borderId="10" xfId="1" applyFont="1" applyFill="1" applyBorder="1" applyAlignment="1">
      <alignment horizontal="right"/>
    </xf>
    <xf numFmtId="0" fontId="4" fillId="11" borderId="0" xfId="1" applyFill="1" applyBorder="1"/>
    <xf numFmtId="0" fontId="0" fillId="11" borderId="11" xfId="0" applyFill="1" applyBorder="1"/>
    <xf numFmtId="0" fontId="4" fillId="11" borderId="10" xfId="1" applyFill="1" applyBorder="1" applyAlignment="1">
      <alignment horizontal="right"/>
    </xf>
    <xf numFmtId="0" fontId="4" fillId="11" borderId="12" xfId="1" applyFill="1" applyBorder="1" applyAlignment="1">
      <alignment horizontal="right"/>
    </xf>
    <xf numFmtId="0" fontId="4" fillId="11" borderId="13" xfId="1" applyFill="1" applyBorder="1"/>
    <xf numFmtId="0" fontId="0" fillId="11" borderId="14" xfId="0" applyFill="1" applyBorder="1"/>
    <xf numFmtId="0" fontId="16" fillId="0" borderId="15" xfId="1" applyFont="1" applyFill="1" applyBorder="1" applyAlignment="1">
      <alignment horizontal="center"/>
    </xf>
    <xf numFmtId="0" fontId="16" fillId="0" borderId="16" xfId="1" applyFont="1" applyFill="1" applyBorder="1" applyAlignment="1">
      <alignment horizontal="center"/>
    </xf>
    <xf numFmtId="0" fontId="17" fillId="0" borderId="17" xfId="1" applyFont="1" applyFill="1" applyBorder="1"/>
    <xf numFmtId="14" fontId="17" fillId="0" borderId="18" xfId="1" applyNumberFormat="1" applyFont="1" applyFill="1" applyBorder="1"/>
    <xf numFmtId="0" fontId="17" fillId="0" borderId="18" xfId="1" applyFont="1" applyFill="1" applyBorder="1"/>
    <xf numFmtId="164" fontId="17" fillId="0" borderId="18" xfId="3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43" fontId="0" fillId="0" borderId="0" xfId="0" applyNumberFormat="1" applyAlignment="1">
      <alignment wrapText="1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43" fontId="0" fillId="0" borderId="0" xfId="0" applyNumberFormat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169" fontId="0" fillId="0" borderId="0" xfId="0" applyNumberFormat="1"/>
    <xf numFmtId="164" fontId="0" fillId="0" borderId="0" xfId="0" applyNumberFormat="1"/>
    <xf numFmtId="0" fontId="5" fillId="7" borderId="0" xfId="2" applyFill="1" applyAlignment="1" applyProtection="1">
      <alignment horizontal="center"/>
    </xf>
    <xf numFmtId="0" fontId="14" fillId="12" borderId="7" xfId="1" applyFont="1" applyFill="1" applyBorder="1" applyAlignment="1">
      <alignment horizontal="center"/>
    </xf>
    <xf numFmtId="0" fontId="14" fillId="12" borderId="8" xfId="1" applyFont="1" applyFill="1" applyBorder="1" applyAlignment="1">
      <alignment horizontal="center"/>
    </xf>
    <xf numFmtId="0" fontId="14" fillId="12" borderId="9" xfId="1" applyFont="1" applyFill="1" applyBorder="1" applyAlignment="1">
      <alignment horizontal="center"/>
    </xf>
  </cellXfs>
  <cellStyles count="41">
    <cellStyle name="20 % - Accent1 2" xfId="4"/>
    <cellStyle name="Accent1 2" xfId="5"/>
    <cellStyle name="Accent2 2" xfId="6"/>
    <cellStyle name="Accent3 2" xfId="7"/>
    <cellStyle name="Dezimal [0]" xfId="8"/>
    <cellStyle name="Dezimal_Tabelle1" xfId="9"/>
    <cellStyle name="Euro" xfId="10"/>
    <cellStyle name="Euro 2" xfId="3"/>
    <cellStyle name="Euro 3" xfId="11"/>
    <cellStyle name="Excel Built-in Normal" xfId="12"/>
    <cellStyle name="Lien hypertexte" xfId="2" builtinId="8"/>
    <cellStyle name="ligne" xfId="13"/>
    <cellStyle name="Milliers [0] 2" xfId="14"/>
    <cellStyle name="Milliers 2" xfId="15"/>
    <cellStyle name="Milliers 3" xfId="16"/>
    <cellStyle name="Milliers 4" xfId="17"/>
    <cellStyle name="Monétaire 2" xfId="18"/>
    <cellStyle name="Monétaire 2 2" xfId="19"/>
    <cellStyle name="Monétaire 3" xfId="20"/>
    <cellStyle name="Monétaire 4" xfId="21"/>
    <cellStyle name="Normal" xfId="0" builtinId="0"/>
    <cellStyle name="Normal 2" xfId="1"/>
    <cellStyle name="Normal 3" xfId="22"/>
    <cellStyle name="Normal 4" xfId="23"/>
    <cellStyle name="Normal 5" xfId="24"/>
    <cellStyle name="Normal 6" xfId="25"/>
    <cellStyle name="Normal 7" xfId="26"/>
    <cellStyle name="Pourcentage 2" xfId="27"/>
    <cellStyle name="Pourcentage 3" xfId="28"/>
    <cellStyle name="Pourcentage 4" xfId="29"/>
    <cellStyle name="Satisfaisant 2" xfId="30"/>
    <cellStyle name="Standard_Tabelle1" xfId="31"/>
    <cellStyle name="Style 1" xfId="32"/>
    <cellStyle name="Summen" xfId="33"/>
    <cellStyle name="table" xfId="34"/>
    <cellStyle name="TITCOL" xfId="35"/>
    <cellStyle name="Titel" xfId="36"/>
    <cellStyle name="Untertitel" xfId="37"/>
    <cellStyle name="Währung [0]" xfId="38"/>
    <cellStyle name="Währung_Tabelle1" xfId="39"/>
    <cellStyle name="Zwischensummen" xfId="40"/>
  </cellStyles>
  <dxfs count="84">
    <dxf>
      <numFmt numFmtId="35" formatCode="_-* #,##0.00\ _€_-;\-* #,##0.00\ _€_-;_-* &quot;-&quot;??\ _€_-;_-@_-"/>
    </dxf>
    <dxf>
      <numFmt numFmtId="169" formatCode="_-* #,##0\ _€_-;\-* #,##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14" formatCode="0.00%"/>
    </dxf>
    <dxf>
      <numFmt numFmtId="35" formatCode="_-* #,##0.00\ _€_-;\-* #,##0.00\ _€_-;_-* &quot;-&quot;??\ _€_-;_-@_-"/>
    </dxf>
    <dxf>
      <numFmt numFmtId="0" formatCode="General"/>
    </dxf>
    <dxf>
      <alignment vertical="center" readingOrder="0"/>
    </dxf>
    <dxf>
      <alignment horizontal="center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35" formatCode="_-* #,##0.00\ _€_-;\-* #,##0.00\ _€_-;_-* &quot;-&quot;??\ _€_-;_-@_-"/>
    </dxf>
    <dxf>
      <numFmt numFmtId="14" formatCode="0.00%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35" formatCode="_-* #,##0.00\ _€_-;\-* #,##0.00\ _€_-;_-* &quot;-&quot;??\ _€_-;_-@_-"/>
    </dxf>
    <dxf>
      <numFmt numFmtId="14" formatCode="0.00%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4" formatCode="0.00%"/>
    </dxf>
    <dxf>
      <alignment wrapText="1" readingOrder="0"/>
    </dxf>
    <dxf>
      <alignment wrapText="1" readingOrder="0"/>
    </dxf>
    <dxf>
      <alignment wrapText="1" readingOrder="0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microsoft.com/office/2007/relationships/slicerCache" Target="slicerCaches/slicerCache3.xml"/><Relationship Id="rId3" Type="http://schemas.openxmlformats.org/officeDocument/2006/relationships/worksheet" Target="worksheets/sheet3.xml"/><Relationship Id="rId21" Type="http://schemas.microsoft.com/office/2011/relationships/timelineCache" Target="timelineCaches/timelineCache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2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.xml"/><Relationship Id="rId20" Type="http://schemas.microsoft.com/office/2011/relationships/timelineCache" Target="timelineCaches/timelineCache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11/relationships/timelineCache" Target="timelineCaches/timelineCach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[BDD COMMANDE avec TCD.xlsx]TCD 10!Tableau croisé dynamique2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'TCD 10'!$B$3:$B$4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'TCD 10'!$A$5:$A$15</c:f>
              <c:strCache>
                <c:ptCount val="10"/>
                <c:pt idx="0">
                  <c:v>Mar</c:v>
                </c:pt>
                <c:pt idx="1">
                  <c:v>Ball</c:v>
                </c:pt>
                <c:pt idx="2">
                  <c:v>Balliard</c:v>
                </c:pt>
                <c:pt idx="3">
                  <c:v>Dupond</c:v>
                </c:pt>
                <c:pt idx="4">
                  <c:v>Dupuis</c:v>
                </c:pt>
                <c:pt idx="5">
                  <c:v>Leveque</c:v>
                </c:pt>
                <c:pt idx="6">
                  <c:v>Marrou</c:v>
                </c:pt>
                <c:pt idx="7">
                  <c:v>Martin</c:v>
                </c:pt>
                <c:pt idx="8">
                  <c:v>Pellieux</c:v>
                </c:pt>
                <c:pt idx="9">
                  <c:v>Tardi</c:v>
                </c:pt>
              </c:strCache>
            </c:strRef>
          </c:cat>
          <c:val>
            <c:numRef>
              <c:f>'TCD 10'!$B$5:$B$15</c:f>
              <c:numCache>
                <c:formatCode>_(* #,##0.00_);_(* \(#,##0.00\);_(* "-"??_);_(@_)</c:formatCode>
                <c:ptCount val="10"/>
                <c:pt idx="0">
                  <c:v>183650</c:v>
                </c:pt>
                <c:pt idx="1">
                  <c:v>34584</c:v>
                </c:pt>
                <c:pt idx="2">
                  <c:v>153003</c:v>
                </c:pt>
                <c:pt idx="3">
                  <c:v>133659</c:v>
                </c:pt>
                <c:pt idx="4">
                  <c:v>82587.3</c:v>
                </c:pt>
                <c:pt idx="5">
                  <c:v>289571.8</c:v>
                </c:pt>
                <c:pt idx="6">
                  <c:v>691575</c:v>
                </c:pt>
                <c:pt idx="7">
                  <c:v>170566.8</c:v>
                </c:pt>
                <c:pt idx="8">
                  <c:v>112566</c:v>
                </c:pt>
                <c:pt idx="9">
                  <c:v>9319.5</c:v>
                </c:pt>
              </c:numCache>
            </c:numRef>
          </c:val>
        </c:ser>
        <c:ser>
          <c:idx val="1"/>
          <c:order val="1"/>
          <c:tx>
            <c:strRef>
              <c:f>'TCD 10'!$C$3:$C$4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'TCD 10'!$A$5:$A$15</c:f>
              <c:strCache>
                <c:ptCount val="10"/>
                <c:pt idx="0">
                  <c:v>Mar</c:v>
                </c:pt>
                <c:pt idx="1">
                  <c:v>Ball</c:v>
                </c:pt>
                <c:pt idx="2">
                  <c:v>Balliard</c:v>
                </c:pt>
                <c:pt idx="3">
                  <c:v>Dupond</c:v>
                </c:pt>
                <c:pt idx="4">
                  <c:v>Dupuis</c:v>
                </c:pt>
                <c:pt idx="5">
                  <c:v>Leveque</c:v>
                </c:pt>
                <c:pt idx="6">
                  <c:v>Marrou</c:v>
                </c:pt>
                <c:pt idx="7">
                  <c:v>Martin</c:v>
                </c:pt>
                <c:pt idx="8">
                  <c:v>Pellieux</c:v>
                </c:pt>
                <c:pt idx="9">
                  <c:v>Tardi</c:v>
                </c:pt>
              </c:strCache>
            </c:strRef>
          </c:cat>
          <c:val>
            <c:numRef>
              <c:f>'TCD 10'!$C$5:$C$15</c:f>
              <c:numCache>
                <c:formatCode>_(* #,##0.00_);_(* \(#,##0.00\);_(* "-"??_);_(@_)</c:formatCode>
                <c:ptCount val="10"/>
                <c:pt idx="0">
                  <c:v>176395.8</c:v>
                </c:pt>
                <c:pt idx="1">
                  <c:v>302313</c:v>
                </c:pt>
                <c:pt idx="2">
                  <c:v>166711.5</c:v>
                </c:pt>
                <c:pt idx="3">
                  <c:v>156852</c:v>
                </c:pt>
                <c:pt idx="4">
                  <c:v>13206</c:v>
                </c:pt>
                <c:pt idx="6">
                  <c:v>273863.59999999998</c:v>
                </c:pt>
                <c:pt idx="7">
                  <c:v>276489</c:v>
                </c:pt>
                <c:pt idx="8">
                  <c:v>206102</c:v>
                </c:pt>
                <c:pt idx="9">
                  <c:v>54516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699840"/>
        <c:axId val="176699448"/>
      </c:barChart>
      <c:catAx>
        <c:axId val="17669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699448"/>
        <c:crosses val="autoZero"/>
        <c:auto val="1"/>
        <c:lblAlgn val="ctr"/>
        <c:lblOffset val="100"/>
        <c:noMultiLvlLbl val="0"/>
      </c:catAx>
      <c:valAx>
        <c:axId val="176699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69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0</xdr:row>
      <xdr:rowOff>57150</xdr:rowOff>
    </xdr:from>
    <xdr:to>
      <xdr:col>13</xdr:col>
      <xdr:colOff>666750</xdr:colOff>
      <xdr:row>2</xdr:row>
      <xdr:rowOff>209550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nne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e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38550" y="57150"/>
              <a:ext cx="1828800" cy="638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114299</xdr:colOff>
      <xdr:row>3</xdr:row>
      <xdr:rowOff>28575</xdr:rowOff>
    </xdr:from>
    <xdr:to>
      <xdr:col>13</xdr:col>
      <xdr:colOff>704849</xdr:colOff>
      <xdr:row>9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ODUI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I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48074" y="752475"/>
              <a:ext cx="1857375" cy="1095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114298</xdr:colOff>
      <xdr:row>12</xdr:row>
      <xdr:rowOff>19049</xdr:rowOff>
    </xdr:from>
    <xdr:to>
      <xdr:col>3</xdr:col>
      <xdr:colOff>219075</xdr:colOff>
      <xdr:row>21</xdr:row>
      <xdr:rowOff>38099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VENDEUR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UR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298" y="2200274"/>
              <a:ext cx="2571752" cy="1476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342900</xdr:colOff>
      <xdr:row>0</xdr:row>
      <xdr:rowOff>38099</xdr:rowOff>
    </xdr:from>
    <xdr:to>
      <xdr:col>8</xdr:col>
      <xdr:colOff>228600</xdr:colOff>
      <xdr:row>9</xdr:row>
      <xdr:rowOff>19049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" name="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14775" y="38099"/>
              <a:ext cx="4953000" cy="1438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ni redimensionner.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247650</xdr:colOff>
      <xdr:row>2</xdr:row>
      <xdr:rowOff>19050</xdr:rowOff>
    </xdr:from>
    <xdr:to>
      <xdr:col>7</xdr:col>
      <xdr:colOff>276225</xdr:colOff>
      <xdr:row>10</xdr:row>
      <xdr:rowOff>95250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AT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67200" y="34290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ni redimensionner.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123824</xdr:rowOff>
    </xdr:from>
    <xdr:to>
      <xdr:col>4</xdr:col>
      <xdr:colOff>19050</xdr:colOff>
      <xdr:row>24</xdr:row>
      <xdr:rowOff>104774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DATE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552699"/>
              <a:ext cx="4953000" cy="1438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ni redimensionner.</a:t>
              </a:r>
            </a:p>
          </xdr:txBody>
        </xdr:sp>
      </mc:Fallback>
    </mc:AlternateContent>
    <xdr:clientData/>
  </xdr:twoCellAnchor>
  <xdr:twoCellAnchor>
    <xdr:from>
      <xdr:col>4</xdr:col>
      <xdr:colOff>257175</xdr:colOff>
      <xdr:row>1</xdr:row>
      <xdr:rowOff>33337</xdr:rowOff>
    </xdr:from>
    <xdr:to>
      <xdr:col>10</xdr:col>
      <xdr:colOff>152400</xdr:colOff>
      <xdr:row>18</xdr:row>
      <xdr:rowOff>23812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XO%20DOLFI%20AV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YENNE MAX MIN RANG"/>
      <sheetName val="Liste Adhérents"/>
      <sheetName val="SOUS TOTAUX"/>
      <sheetName val="SI ET OU"/>
      <sheetName val="si - nb - nb val"/>
      <sheetName val="DOUBLONS"/>
      <sheetName val="CALCUL AVEC DATE"/>
      <sheetName val="consolider"/>
      <sheetName val="tcd"/>
      <sheetName val="tcd1"/>
      <sheetName val="TCD2"/>
      <sheetName val="tcd logiciels"/>
      <sheetName val="SI NBVAL"/>
      <sheetName val="nbvide"/>
      <sheetName val="SOMME SI"/>
      <sheetName val="FRAIS SOMME SI"/>
      <sheetName val="NBSI"/>
      <sheetName val="NB SI ENS ET SOMME SI ENS"/>
      <sheetName val="CONCATENER"/>
      <sheetName val="CONCATENER STXT"/>
      <sheetName val="GAUCHE ET NOM PROPRE"/>
      <sheetName val="liste déroulante"/>
      <sheetName val="recherche v"/>
      <sheetName val="RECHERCHEV OU H (2)"/>
      <sheetName val="FORMULAIRE (2)"/>
      <sheetName val="ID ETUDIANT (2)"/>
      <sheetName val="NOTES (2)"/>
      <sheetName val="les plans"/>
      <sheetName val="V CIBLE PRIX VENTE"/>
      <sheetName val="valeur cible SALAIRE"/>
      <sheetName val="POURCENTAGE JOURS PLUIE"/>
      <sheetName val="BDLIRE"/>
      <sheetName val="MAILLOTS DOLLAR"/>
      <sheetName val="dispach de montant"/>
      <sheetName val="planning vacances"/>
      <sheetName val="Fonction Date"/>
      <sheetName val="EST"/>
      <sheetName val="NORD"/>
      <sheetName val="SUD"/>
      <sheetName val="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CNE</v>
          </cell>
          <cell r="B1" t="str">
            <v>N°</v>
          </cell>
          <cell r="C1" t="str">
            <v>NOM/PRENOM</v>
          </cell>
          <cell r="D1" t="str">
            <v>DATE NAISSANCE</v>
          </cell>
          <cell r="E1" t="str">
            <v>VILLE</v>
          </cell>
        </row>
        <row r="2">
          <cell r="A2">
            <v>421001</v>
          </cell>
          <cell r="B2">
            <v>1</v>
          </cell>
          <cell r="C2" t="str">
            <v>SARKOSY Nicolas</v>
          </cell>
          <cell r="D2">
            <v>35348</v>
          </cell>
          <cell r="E2" t="str">
            <v>PARIS</v>
          </cell>
        </row>
        <row r="3">
          <cell r="A3">
            <v>421102</v>
          </cell>
          <cell r="B3">
            <v>2</v>
          </cell>
          <cell r="C3" t="str">
            <v>POTTER Harry</v>
          </cell>
          <cell r="D3">
            <v>35232</v>
          </cell>
          <cell r="E3" t="str">
            <v>LONDRES</v>
          </cell>
        </row>
        <row r="4">
          <cell r="A4">
            <v>421503</v>
          </cell>
          <cell r="B4">
            <v>3</v>
          </cell>
          <cell r="C4" t="str">
            <v>JACKSON Michael</v>
          </cell>
          <cell r="D4">
            <v>34897</v>
          </cell>
          <cell r="E4" t="str">
            <v>NEW YORK</v>
          </cell>
        </row>
        <row r="5">
          <cell r="A5">
            <v>421507</v>
          </cell>
          <cell r="B5">
            <v>4</v>
          </cell>
          <cell r="C5" t="str">
            <v>SUMMER Donna</v>
          </cell>
          <cell r="D5">
            <v>34843</v>
          </cell>
          <cell r="E5" t="str">
            <v>LOS ANGELES</v>
          </cell>
        </row>
      </sheetData>
      <sheetData sheetId="26">
        <row r="1">
          <cell r="A1" t="str">
            <v>CNE</v>
          </cell>
          <cell r="B1" t="str">
            <v>NOM/PRENOM</v>
          </cell>
          <cell r="C1" t="str">
            <v>MATH</v>
          </cell>
          <cell r="D1" t="str">
            <v>Français</v>
          </cell>
          <cell r="E1" t="str">
            <v>GEO</v>
          </cell>
          <cell r="F1" t="str">
            <v>ANGLAIS</v>
          </cell>
          <cell r="G1" t="str">
            <v>EPS</v>
          </cell>
          <cell r="H1" t="str">
            <v>BONUS</v>
          </cell>
        </row>
        <row r="2">
          <cell r="A2">
            <v>421001</v>
          </cell>
          <cell r="B2" t="str">
            <v>SARKOSY Nicolas</v>
          </cell>
          <cell r="C2">
            <v>20</v>
          </cell>
          <cell r="D2">
            <v>2</v>
          </cell>
          <cell r="E2">
            <v>14</v>
          </cell>
          <cell r="F2">
            <v>10</v>
          </cell>
          <cell r="G2">
            <v>12</v>
          </cell>
          <cell r="H2">
            <v>2</v>
          </cell>
        </row>
        <row r="3">
          <cell r="A3">
            <v>421102</v>
          </cell>
          <cell r="B3" t="str">
            <v>POTTER Harry</v>
          </cell>
          <cell r="C3">
            <v>10</v>
          </cell>
          <cell r="D3">
            <v>9</v>
          </cell>
          <cell r="E3">
            <v>5</v>
          </cell>
          <cell r="F3">
            <v>8</v>
          </cell>
          <cell r="G3">
            <v>14</v>
          </cell>
          <cell r="H3">
            <v>3</v>
          </cell>
        </row>
        <row r="4">
          <cell r="A4">
            <v>421503</v>
          </cell>
          <cell r="B4" t="str">
            <v>JACKSON Michael</v>
          </cell>
          <cell r="C4">
            <v>5</v>
          </cell>
          <cell r="D4">
            <v>10</v>
          </cell>
          <cell r="E4">
            <v>11</v>
          </cell>
          <cell r="F4">
            <v>12</v>
          </cell>
          <cell r="G4">
            <v>13</v>
          </cell>
          <cell r="H4">
            <v>2</v>
          </cell>
        </row>
        <row r="5">
          <cell r="A5">
            <v>421507</v>
          </cell>
          <cell r="B5" t="str">
            <v>SUMMER Donna</v>
          </cell>
          <cell r="C5">
            <v>11</v>
          </cell>
          <cell r="D5">
            <v>9</v>
          </cell>
          <cell r="E5">
            <v>8</v>
          </cell>
          <cell r="F5">
            <v>14</v>
          </cell>
          <cell r="G5">
            <v>15</v>
          </cell>
          <cell r="H5">
            <v>3</v>
          </cell>
        </row>
      </sheetData>
      <sheetData sheetId="27"/>
      <sheetData sheetId="28"/>
      <sheetData sheetId="29"/>
      <sheetData sheetId="30"/>
      <sheetData sheetId="31">
        <row r="3">
          <cell r="A3" t="str">
            <v>NOM</v>
          </cell>
          <cell r="B3" t="str">
            <v>PRENOM</v>
          </cell>
          <cell r="C3" t="str">
            <v>VILLE</v>
          </cell>
        </row>
        <row r="4">
          <cell r="A4" t="str">
            <v>JACKSON</v>
          </cell>
          <cell r="B4" t="str">
            <v>MICHAEL</v>
          </cell>
          <cell r="C4" t="str">
            <v>NEW YORK</v>
          </cell>
        </row>
        <row r="5">
          <cell r="A5" t="str">
            <v>SARKOSI</v>
          </cell>
          <cell r="B5" t="str">
            <v>NICOLAS</v>
          </cell>
          <cell r="C5" t="str">
            <v>PARIS</v>
          </cell>
        </row>
        <row r="6">
          <cell r="A6" t="str">
            <v>DUPONT</v>
          </cell>
          <cell r="B6" t="str">
            <v>JEAN</v>
          </cell>
          <cell r="C6" t="str">
            <v>LYON</v>
          </cell>
        </row>
        <row r="7">
          <cell r="A7" t="str">
            <v>HILTON</v>
          </cell>
          <cell r="B7" t="str">
            <v>PARIS</v>
          </cell>
          <cell r="C7" t="str">
            <v>MEXICO</v>
          </cell>
        </row>
        <row r="8">
          <cell r="A8" t="str">
            <v>BARBE</v>
          </cell>
          <cell r="B8" t="str">
            <v>GISELE</v>
          </cell>
          <cell r="C8" t="str">
            <v>PARIS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ndrine" refreshedDate="42843.481678240743" createdVersion="5" refreshedVersion="5" minRefreshableVersion="3" recordCount="49">
  <cacheSource type="worksheet">
    <worksheetSource ref="A1:H50" sheet="bdd commandes"/>
  </cacheSource>
  <cacheFields count="10">
    <cacheField name="VENDEURS" numFmtId="0">
      <sharedItems count="10">
        <s v="Martin"/>
        <s v="Dupond"/>
        <s v="Dupuis"/>
        <s v="Leveque"/>
        <s v="Balliard"/>
        <s v="Ball"/>
        <s v="Marrou"/>
        <s v="Tardi"/>
        <s v="Mar"/>
        <s v="Pellieux"/>
      </sharedItems>
      <fieldGroup par="8"/>
    </cacheField>
    <cacheField name="DATE" numFmtId="14">
      <sharedItems containsSemiMixedTypes="0" containsNonDate="0" containsDate="1" containsString="0" minDate="2015-01-09T00:00:00" maxDate="2016-06-26T00:00:00" count="47">
        <d v="2015-05-31T00:00:00"/>
        <d v="2016-01-03T00:00:00"/>
        <d v="2016-05-31T00:00:00"/>
        <d v="2015-07-12T00:00:00"/>
        <d v="2015-12-15T00:00:00"/>
        <d v="2015-02-15T00:00:00"/>
        <d v="2015-02-27T00:00:00"/>
        <d v="2016-06-25T00:00:00"/>
        <d v="2015-10-10T00:00:00"/>
        <d v="2015-12-28T00:00:00"/>
        <d v="2016-05-27T00:00:00"/>
        <d v="2015-08-21T00:00:00"/>
        <d v="2016-01-24T00:00:00"/>
        <d v="2015-02-09T00:00:00"/>
        <d v="2016-02-23T00:00:00"/>
        <d v="2016-04-22T00:00:00"/>
        <d v="2015-12-13T00:00:00"/>
        <d v="2015-03-31T00:00:00"/>
        <d v="2015-06-26T00:00:00"/>
        <d v="2016-01-29T00:00:00"/>
        <d v="2015-11-09T00:00:00"/>
        <d v="2016-03-05T00:00:00"/>
        <d v="2016-01-18T00:00:00"/>
        <d v="2016-06-19T00:00:00"/>
        <d v="2016-01-10T00:00:00"/>
        <d v="2015-03-07T00:00:00"/>
        <d v="2015-06-12T00:00:00"/>
        <d v="2016-01-16T00:00:00"/>
        <d v="2016-06-14T00:00:00"/>
        <d v="2016-01-25T00:00:00"/>
        <d v="2015-10-13T00:00:00"/>
        <d v="2016-01-22T00:00:00"/>
        <d v="2015-02-17T00:00:00"/>
        <d v="2016-03-15T00:00:00"/>
        <d v="2015-07-03T00:00:00"/>
        <d v="2015-10-16T00:00:00"/>
        <d v="2015-08-30T00:00:00"/>
        <d v="2015-11-22T00:00:00"/>
        <d v="2015-11-14T00:00:00"/>
        <d v="2015-04-04T00:00:00"/>
        <d v="2015-09-05T00:00:00"/>
        <d v="2015-10-30T00:00:00"/>
        <d v="2015-07-17T00:00:00"/>
        <d v="2016-05-24T00:00:00"/>
        <d v="2016-04-17T00:00:00"/>
        <d v="2016-03-01T00:00:00"/>
        <d v="2015-01-09T00:00:00"/>
      </sharedItems>
      <fieldGroup base="1">
        <rangePr groupBy="years" startDate="2015-01-09T00:00:00" endDate="2016-06-26T00:00:00"/>
        <groupItems count="4">
          <s v="&lt;09/01/2015"/>
          <s v="2015"/>
          <s v="2016"/>
          <s v="&gt;26/06/2016"/>
        </groupItems>
      </fieldGroup>
    </cacheField>
    <cacheField name="CLIENT" numFmtId="0">
      <sharedItems/>
    </cacheField>
    <cacheField name="SECTEUR" numFmtId="0">
      <sharedItems count="4">
        <s v="Centre"/>
        <s v="Nord"/>
        <s v="Ouest"/>
        <s v="Sud"/>
      </sharedItems>
    </cacheField>
    <cacheField name="PRODUIT" numFmtId="0">
      <sharedItems/>
    </cacheField>
    <cacheField name="PRIX" numFmtId="164">
      <sharedItems containsSemiMixedTypes="0" containsString="0" containsNumber="1" minValue="1.5" maxValue="25"/>
    </cacheField>
    <cacheField name="QUANTITE" numFmtId="0">
      <sharedItems containsSemiMixedTypes="0" containsString="0" containsNumber="1" containsInteger="1" minValue="5136" maxValue="9929"/>
    </cacheField>
    <cacheField name="MONTANT" numFmtId="164">
      <sharedItems containsSemiMixedTypes="0" containsString="0" containsNumber="1" minValue="7939.5" maxValue="197421"/>
    </cacheField>
    <cacheField name="VENDEURS2" numFmtId="0" databaseField="0">
      <fieldGroup base="0">
        <discretePr count="10">
          <x v="1"/>
          <x v="1"/>
          <x v="0"/>
          <x v="0"/>
          <x v="0"/>
          <x v="1"/>
          <x v="1"/>
          <x v="1"/>
          <x v="0"/>
          <x v="1"/>
        </discretePr>
        <groupItems count="2">
          <s v="Groupe1"/>
          <s v="Groupe2"/>
        </groupItems>
      </fieldGroup>
    </cacheField>
    <cacheField name="Prime résultat" numFmtId="0" formula="IF(MONTANT&gt;=100000,QUANTITE*0.01,0)" databaseField="0"/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andrine" refreshedDate="42843.615267245368" createdVersion="5" refreshedVersion="5" minRefreshableVersion="3" recordCount="49">
  <cacheSource type="worksheet">
    <worksheetSource ref="A1:K50" sheet="bdd commandes"/>
  </cacheSource>
  <cacheFields count="13">
    <cacheField name="VENDEURS" numFmtId="0">
      <sharedItems count="10">
        <s v="Martin"/>
        <s v="Dupond"/>
        <s v="Dupuis"/>
        <s v="Leveque"/>
        <s v="Balliard"/>
        <s v="Ball"/>
        <s v="Marrou"/>
        <s v="Tardi"/>
        <s v="Mar"/>
        <s v="Pellieux"/>
      </sharedItems>
    </cacheField>
    <cacheField name="DATE" numFmtId="14">
      <sharedItems containsSemiMixedTypes="0" containsNonDate="0" containsDate="1" containsString="0" minDate="2015-01-09T00:00:00" maxDate="2016-06-26T00:00:00" count="47">
        <d v="2015-05-31T00:00:00"/>
        <d v="2016-01-03T00:00:00"/>
        <d v="2016-05-31T00:00:00"/>
        <d v="2015-07-12T00:00:00"/>
        <d v="2015-12-15T00:00:00"/>
        <d v="2015-02-15T00:00:00"/>
        <d v="2015-02-27T00:00:00"/>
        <d v="2016-06-25T00:00:00"/>
        <d v="2015-10-10T00:00:00"/>
        <d v="2015-12-28T00:00:00"/>
        <d v="2016-05-27T00:00:00"/>
        <d v="2015-08-21T00:00:00"/>
        <d v="2016-01-24T00:00:00"/>
        <d v="2015-02-09T00:00:00"/>
        <d v="2016-02-23T00:00:00"/>
        <d v="2016-04-22T00:00:00"/>
        <d v="2015-12-13T00:00:00"/>
        <d v="2015-03-31T00:00:00"/>
        <d v="2015-06-26T00:00:00"/>
        <d v="2016-01-29T00:00:00"/>
        <d v="2015-11-09T00:00:00"/>
        <d v="2016-03-05T00:00:00"/>
        <d v="2016-01-18T00:00:00"/>
        <d v="2016-06-19T00:00:00"/>
        <d v="2016-01-10T00:00:00"/>
        <d v="2015-03-07T00:00:00"/>
        <d v="2015-06-12T00:00:00"/>
        <d v="2016-01-16T00:00:00"/>
        <d v="2016-06-14T00:00:00"/>
        <d v="2016-01-25T00:00:00"/>
        <d v="2015-10-13T00:00:00"/>
        <d v="2016-01-22T00:00:00"/>
        <d v="2015-02-17T00:00:00"/>
        <d v="2016-03-15T00:00:00"/>
        <d v="2015-07-03T00:00:00"/>
        <d v="2015-10-16T00:00:00"/>
        <d v="2015-08-30T00:00:00"/>
        <d v="2015-11-22T00:00:00"/>
        <d v="2015-11-14T00:00:00"/>
        <d v="2015-04-04T00:00:00"/>
        <d v="2015-09-05T00:00:00"/>
        <d v="2015-10-30T00:00:00"/>
        <d v="2015-07-17T00:00:00"/>
        <d v="2016-05-24T00:00:00"/>
        <d v="2016-04-17T00:00:00"/>
        <d v="2016-03-01T00:00:00"/>
        <d v="2015-01-09T00:00:00"/>
      </sharedItems>
      <fieldGroup par="12" base="1">
        <rangePr groupBy="months" startDate="2015-01-09T00:00:00" endDate="2016-06-26T00:00:00"/>
        <groupItems count="14">
          <s v="&lt;09/01/2015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26/06/2016"/>
        </groupItems>
      </fieldGroup>
    </cacheField>
    <cacheField name="CLIENT" numFmtId="0">
      <sharedItems/>
    </cacheField>
    <cacheField name="SECTEUR" numFmtId="0">
      <sharedItems count="4">
        <s v="Centre"/>
        <s v="Nord"/>
        <s v="Ouest"/>
        <s v="Sud"/>
      </sharedItems>
    </cacheField>
    <cacheField name="PRODUIT" numFmtId="0">
      <sharedItems count="6">
        <s v="Stylos"/>
        <s v="Porte-clés"/>
        <s v="Casquettes"/>
        <s v="Calculatrices"/>
        <s v="Montres"/>
        <s v="Calendriers"/>
      </sharedItems>
    </cacheField>
    <cacheField name="PRIX" numFmtId="164">
      <sharedItems containsSemiMixedTypes="0" containsString="0" containsNumber="1" minValue="1.5" maxValue="25"/>
    </cacheField>
    <cacheField name="QUANTITE" numFmtId="0">
      <sharedItems containsSemiMixedTypes="0" containsString="0" containsNumber="1" containsInteger="1" minValue="5136" maxValue="9929"/>
    </cacheField>
    <cacheField name="MONTANT" numFmtId="164">
      <sharedItems containsSemiMixedTypes="0" containsString="0" containsNumber="1" minValue="7939.5" maxValue="197421"/>
    </cacheField>
    <cacheField name="mois" numFmtId="0">
      <sharedItems containsSemiMixedTypes="0" containsString="0" containsNumber="1" containsInteger="1" minValue="1" maxValue="12" count="12">
        <n v="5"/>
        <n v="1"/>
        <n v="7"/>
        <n v="12"/>
        <n v="2"/>
        <n v="6"/>
        <n v="10"/>
        <n v="8"/>
        <n v="4"/>
        <n v="3"/>
        <n v="11"/>
        <n v="9"/>
      </sharedItems>
    </cacheField>
    <cacheField name="annee" numFmtId="0">
      <sharedItems containsSemiMixedTypes="0" containsString="0" containsNumber="1" containsInteger="1" minValue="2015" maxValue="2016" count="2">
        <n v="2015"/>
        <n v="2016"/>
      </sharedItems>
    </cacheField>
    <cacheField name="Mois lettre" numFmtId="0">
      <sharedItems count="12">
        <s v="Mai"/>
        <s v="Janvier"/>
        <s v="Juillet"/>
        <s v="Décembre"/>
        <s v="Février"/>
        <s v="Juin"/>
        <s v="Octobre"/>
        <s v="Août"/>
        <s v="Avril"/>
        <s v="Mars"/>
        <s v="Novembre"/>
        <s v="Septembre"/>
      </sharedItems>
    </cacheField>
    <cacheField name="Trimestres" numFmtId="0" databaseField="0">
      <fieldGroup base="1">
        <rangePr groupBy="quarters" startDate="2015-01-09T00:00:00" endDate="2016-06-26T00:00:00"/>
        <groupItems count="6">
          <s v="&lt;09/01/2015"/>
          <s v="Trimestre1"/>
          <s v="Trimestre2"/>
          <s v="Trimestre3"/>
          <s v="Trimestre4"/>
          <s v="&gt;26/06/2016"/>
        </groupItems>
      </fieldGroup>
    </cacheField>
    <cacheField name="Années" numFmtId="0" databaseField="0">
      <fieldGroup base="1">
        <rangePr groupBy="years" startDate="2015-01-09T00:00:00" endDate="2016-06-26T00:00:00"/>
        <groupItems count="4">
          <s v="&lt;09/01/2015"/>
          <s v="2015"/>
          <s v="2016"/>
          <s v="&gt;26/06/2016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">
  <r>
    <x v="0"/>
    <x v="0"/>
    <s v="Florus"/>
    <x v="0"/>
    <s v="Stylos"/>
    <n v="1.5"/>
    <n v="7695"/>
    <n v="11542.5"/>
  </r>
  <r>
    <x v="1"/>
    <x v="1"/>
    <s v="Muse SA"/>
    <x v="1"/>
    <s v="Stylos"/>
    <n v="1.5"/>
    <n v="9224"/>
    <n v="13836"/>
  </r>
  <r>
    <x v="0"/>
    <x v="2"/>
    <s v="Ifrane"/>
    <x v="2"/>
    <s v="Stylos"/>
    <n v="1.5"/>
    <n v="9628"/>
    <n v="14442"/>
  </r>
  <r>
    <x v="2"/>
    <x v="3"/>
    <s v="Plein-nord"/>
    <x v="0"/>
    <s v="Porte-clés"/>
    <n v="3.4"/>
    <n v="8367"/>
    <n v="28447.8"/>
  </r>
  <r>
    <x v="3"/>
    <x v="4"/>
    <s v="Pubcité"/>
    <x v="3"/>
    <s v="Casquettes"/>
    <n v="6"/>
    <n v="6550"/>
    <n v="39300"/>
  </r>
  <r>
    <x v="4"/>
    <x v="5"/>
    <s v="Nimbus"/>
    <x v="0"/>
    <s v="Casquettes"/>
    <n v="6"/>
    <n v="6987"/>
    <n v="41922"/>
  </r>
  <r>
    <x v="1"/>
    <x v="6"/>
    <s v="Ifrane"/>
    <x v="2"/>
    <s v="Calculatrices"/>
    <n v="21"/>
    <n v="5954"/>
    <n v="125034"/>
  </r>
  <r>
    <x v="5"/>
    <x v="7"/>
    <s v="Florus"/>
    <x v="1"/>
    <s v="Montres"/>
    <n v="25"/>
    <n v="7329"/>
    <n v="183225"/>
  </r>
  <r>
    <x v="2"/>
    <x v="8"/>
    <s v="Florus"/>
    <x v="2"/>
    <s v="Stylos"/>
    <n v="1.5"/>
    <n v="5293"/>
    <n v="7939.5"/>
  </r>
  <r>
    <x v="6"/>
    <x v="9"/>
    <s v="Pubcité"/>
    <x v="3"/>
    <s v="Stylos"/>
    <n v="1.5"/>
    <n v="5562"/>
    <n v="8343"/>
  </r>
  <r>
    <x v="7"/>
    <x v="10"/>
    <s v="Nimbus"/>
    <x v="2"/>
    <s v="Stylos"/>
    <n v="1.5"/>
    <n v="6852"/>
    <n v="10278"/>
  </r>
  <r>
    <x v="0"/>
    <x v="11"/>
    <s v="Muse SA"/>
    <x v="1"/>
    <s v="Porte-clés"/>
    <n v="3.4"/>
    <n v="5641"/>
    <n v="19179.399999999998"/>
  </r>
  <r>
    <x v="8"/>
    <x v="12"/>
    <s v="Plein-nord"/>
    <x v="3"/>
    <s v="Porte-clés"/>
    <n v="3.4"/>
    <n v="7212"/>
    <n v="24520.799999999999"/>
  </r>
  <r>
    <x v="5"/>
    <x v="13"/>
    <s v="Nimbus"/>
    <x v="0"/>
    <s v="Casquettes"/>
    <n v="6"/>
    <n v="5764"/>
    <n v="34584"/>
  </r>
  <r>
    <x v="1"/>
    <x v="14"/>
    <s v="Ifrane"/>
    <x v="3"/>
    <s v="Calendriers"/>
    <n v="12"/>
    <n v="9886"/>
    <n v="118632"/>
  </r>
  <r>
    <x v="9"/>
    <x v="15"/>
    <s v="sieffert"/>
    <x v="2"/>
    <s v="Montres"/>
    <n v="25"/>
    <n v="6728"/>
    <n v="168200"/>
  </r>
  <r>
    <x v="6"/>
    <x v="16"/>
    <s v="Ifrane"/>
    <x v="0"/>
    <s v="Calculatrices"/>
    <n v="21"/>
    <n v="8694"/>
    <n v="182574"/>
  </r>
  <r>
    <x v="1"/>
    <x v="17"/>
    <s v="Pubcité"/>
    <x v="2"/>
    <s v="Stylos"/>
    <n v="1.5"/>
    <n v="5750"/>
    <n v="8625"/>
  </r>
  <r>
    <x v="0"/>
    <x v="18"/>
    <s v="Muse SA"/>
    <x v="0"/>
    <s v="Stylos"/>
    <n v="1.5"/>
    <n v="8639"/>
    <n v="12958.5"/>
  </r>
  <r>
    <x v="2"/>
    <x v="19"/>
    <s v="Muse SA"/>
    <x v="0"/>
    <s v="Stylos"/>
    <n v="1.5"/>
    <n v="8804"/>
    <n v="13206"/>
  </r>
  <r>
    <x v="9"/>
    <x v="20"/>
    <s v="Plein-nord"/>
    <x v="3"/>
    <s v="Calendriers"/>
    <n v="12"/>
    <n v="5136"/>
    <n v="61632"/>
  </r>
  <r>
    <x v="6"/>
    <x v="21"/>
    <s v="Pubcité"/>
    <x v="2"/>
    <s v="Calendriers"/>
    <n v="12"/>
    <n v="7017"/>
    <n v="84204"/>
  </r>
  <r>
    <x v="1"/>
    <x v="22"/>
    <s v="Pubcité"/>
    <x v="2"/>
    <s v="Stylos"/>
    <n v="1.5"/>
    <n v="8611"/>
    <n v="12916.5"/>
  </r>
  <r>
    <x v="5"/>
    <x v="23"/>
    <s v="Nimbus"/>
    <x v="1"/>
    <s v="Calendriers"/>
    <n v="12"/>
    <n v="9924"/>
    <n v="119088"/>
  </r>
  <r>
    <x v="0"/>
    <x v="24"/>
    <s v="Plein-nord"/>
    <x v="0"/>
    <s v="Calculatrices"/>
    <n v="21"/>
    <n v="8279"/>
    <n v="173859"/>
  </r>
  <r>
    <x v="8"/>
    <x v="25"/>
    <s v="Ifrane"/>
    <x v="2"/>
    <s v="Montres"/>
    <n v="25"/>
    <n v="7346"/>
    <n v="183650"/>
  </r>
  <r>
    <x v="7"/>
    <x v="26"/>
    <s v="Plein-nord"/>
    <x v="2"/>
    <s v="Stylos"/>
    <n v="1.5"/>
    <n v="6213"/>
    <n v="9319.5"/>
  </r>
  <r>
    <x v="1"/>
    <x v="27"/>
    <s v="Pubcité"/>
    <x v="2"/>
    <s v="Stylos"/>
    <n v="1.5"/>
    <n v="7645"/>
    <n v="11467.5"/>
  </r>
  <r>
    <x v="4"/>
    <x v="28"/>
    <s v="Pubcité"/>
    <x v="1"/>
    <s v="Stylos"/>
    <n v="1.5"/>
    <n v="8091"/>
    <n v="12136.5"/>
  </r>
  <r>
    <x v="6"/>
    <x v="29"/>
    <s v="Florus"/>
    <x v="2"/>
    <s v="Porte-clés"/>
    <n v="3.4"/>
    <n v="7819"/>
    <n v="26584.6"/>
  </r>
  <r>
    <x v="3"/>
    <x v="30"/>
    <s v="Plein-nord"/>
    <x v="0"/>
    <s v="Porte-clés"/>
    <n v="3.4"/>
    <n v="8227"/>
    <n v="27971.8"/>
  </r>
  <r>
    <x v="9"/>
    <x v="31"/>
    <s v="Muse SA"/>
    <x v="2"/>
    <s v="Casquettes"/>
    <n v="6"/>
    <n v="6317"/>
    <n v="37902"/>
  </r>
  <r>
    <x v="6"/>
    <x v="32"/>
    <s v="Muse SA"/>
    <x v="1"/>
    <s v="Calculatrices"/>
    <n v="21"/>
    <n v="9401"/>
    <n v="197421"/>
  </r>
  <r>
    <x v="7"/>
    <x v="33"/>
    <s v="Pubcité"/>
    <x v="2"/>
    <s v="Casquettes"/>
    <n v="6"/>
    <n v="7373"/>
    <n v="44238"/>
  </r>
  <r>
    <x v="0"/>
    <x v="34"/>
    <s v="Muse SA"/>
    <x v="1"/>
    <s v="Calendriers"/>
    <n v="12"/>
    <n v="9062"/>
    <n v="108744"/>
  </r>
  <r>
    <x v="0"/>
    <x v="35"/>
    <s v="Nimbus"/>
    <x v="0"/>
    <s v="Porte-clés"/>
    <n v="3.4"/>
    <n v="5336"/>
    <n v="18142.399999999998"/>
  </r>
  <r>
    <x v="4"/>
    <x v="36"/>
    <s v="Muse SA"/>
    <x v="1"/>
    <s v="Porte-clés"/>
    <n v="3.4"/>
    <n v="9165"/>
    <n v="31161"/>
  </r>
  <r>
    <x v="2"/>
    <x v="37"/>
    <s v="Pubcité"/>
    <x v="1"/>
    <s v="Casquettes"/>
    <n v="6"/>
    <n v="7700"/>
    <n v="46200"/>
  </r>
  <r>
    <x v="6"/>
    <x v="38"/>
    <s v="Nimbus"/>
    <x v="1"/>
    <s v="Casquettes"/>
    <n v="6"/>
    <n v="8407"/>
    <n v="50442"/>
  </r>
  <r>
    <x v="9"/>
    <x v="39"/>
    <s v="Nimbus"/>
    <x v="0"/>
    <s v="Casquettes"/>
    <n v="6"/>
    <n v="8489"/>
    <n v="50934"/>
  </r>
  <r>
    <x v="6"/>
    <x v="40"/>
    <s v="Muse SA"/>
    <x v="3"/>
    <s v="Casquettes"/>
    <n v="6"/>
    <n v="9929"/>
    <n v="59574"/>
  </r>
  <r>
    <x v="3"/>
    <x v="41"/>
    <s v="Florus"/>
    <x v="2"/>
    <s v="Calendriers"/>
    <n v="12"/>
    <n v="5463"/>
    <n v="65556"/>
  </r>
  <r>
    <x v="4"/>
    <x v="42"/>
    <s v="Pubcité"/>
    <x v="1"/>
    <s v="Calendriers"/>
    <n v="12"/>
    <n v="6660"/>
    <n v="79920"/>
  </r>
  <r>
    <x v="0"/>
    <x v="43"/>
    <s v="Ifrane"/>
    <x v="2"/>
    <s v="Calendriers"/>
    <n v="12"/>
    <n v="7349"/>
    <n v="88188"/>
  </r>
  <r>
    <x v="8"/>
    <x v="19"/>
    <s v="Plein-nord"/>
    <x v="3"/>
    <s v="Montres"/>
    <n v="25"/>
    <n v="6075"/>
    <n v="151875"/>
  </r>
  <r>
    <x v="4"/>
    <x v="44"/>
    <s v="Ifrane"/>
    <x v="0"/>
    <s v="Montres"/>
    <n v="25"/>
    <n v="6183"/>
    <n v="154575"/>
  </r>
  <r>
    <x v="3"/>
    <x v="35"/>
    <s v="Plein-nord"/>
    <x v="0"/>
    <s v="Calculatrices"/>
    <n v="21"/>
    <n v="7464"/>
    <n v="156744"/>
  </r>
  <r>
    <x v="6"/>
    <x v="45"/>
    <s v="Muse SA"/>
    <x v="2"/>
    <s v="Montres"/>
    <n v="25"/>
    <n v="6523"/>
    <n v="163075"/>
  </r>
  <r>
    <x v="6"/>
    <x v="46"/>
    <s v="Plein-nord"/>
    <x v="2"/>
    <s v="Calculatrices"/>
    <n v="21"/>
    <n v="9201"/>
    <n v="19322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9">
  <r>
    <x v="0"/>
    <x v="0"/>
    <s v="Florus"/>
    <x v="0"/>
    <x v="0"/>
    <n v="1.5"/>
    <n v="7695"/>
    <n v="11542.5"/>
    <x v="0"/>
    <x v="0"/>
    <x v="0"/>
  </r>
  <r>
    <x v="1"/>
    <x v="1"/>
    <s v="Muse SA"/>
    <x v="1"/>
    <x v="0"/>
    <n v="1.5"/>
    <n v="9224"/>
    <n v="13836"/>
    <x v="1"/>
    <x v="1"/>
    <x v="1"/>
  </r>
  <r>
    <x v="0"/>
    <x v="2"/>
    <s v="Ifrane"/>
    <x v="2"/>
    <x v="0"/>
    <n v="1.5"/>
    <n v="9628"/>
    <n v="14442"/>
    <x v="0"/>
    <x v="1"/>
    <x v="0"/>
  </r>
  <r>
    <x v="2"/>
    <x v="3"/>
    <s v="Plein-nord"/>
    <x v="0"/>
    <x v="1"/>
    <n v="3.4"/>
    <n v="8367"/>
    <n v="28447.8"/>
    <x v="2"/>
    <x v="0"/>
    <x v="2"/>
  </r>
  <r>
    <x v="3"/>
    <x v="4"/>
    <s v="Pubcité"/>
    <x v="3"/>
    <x v="2"/>
    <n v="6"/>
    <n v="6550"/>
    <n v="39300"/>
    <x v="3"/>
    <x v="0"/>
    <x v="3"/>
  </r>
  <r>
    <x v="4"/>
    <x v="5"/>
    <s v="Nimbus"/>
    <x v="0"/>
    <x v="2"/>
    <n v="6"/>
    <n v="6987"/>
    <n v="41922"/>
    <x v="4"/>
    <x v="0"/>
    <x v="4"/>
  </r>
  <r>
    <x v="1"/>
    <x v="6"/>
    <s v="Ifrane"/>
    <x v="2"/>
    <x v="3"/>
    <n v="21"/>
    <n v="5954"/>
    <n v="125034"/>
    <x v="4"/>
    <x v="0"/>
    <x v="4"/>
  </r>
  <r>
    <x v="5"/>
    <x v="7"/>
    <s v="Florus"/>
    <x v="1"/>
    <x v="4"/>
    <n v="25"/>
    <n v="7329"/>
    <n v="183225"/>
    <x v="5"/>
    <x v="1"/>
    <x v="5"/>
  </r>
  <r>
    <x v="2"/>
    <x v="8"/>
    <s v="Florus"/>
    <x v="2"/>
    <x v="0"/>
    <n v="1.5"/>
    <n v="5293"/>
    <n v="7939.5"/>
    <x v="6"/>
    <x v="0"/>
    <x v="6"/>
  </r>
  <r>
    <x v="6"/>
    <x v="9"/>
    <s v="Pubcité"/>
    <x v="3"/>
    <x v="0"/>
    <n v="1.5"/>
    <n v="5562"/>
    <n v="8343"/>
    <x v="3"/>
    <x v="0"/>
    <x v="3"/>
  </r>
  <r>
    <x v="7"/>
    <x v="10"/>
    <s v="Nimbus"/>
    <x v="2"/>
    <x v="0"/>
    <n v="1.5"/>
    <n v="6852"/>
    <n v="10278"/>
    <x v="0"/>
    <x v="1"/>
    <x v="0"/>
  </r>
  <r>
    <x v="0"/>
    <x v="11"/>
    <s v="Muse SA"/>
    <x v="1"/>
    <x v="1"/>
    <n v="3.4"/>
    <n v="5641"/>
    <n v="19179.399999999998"/>
    <x v="7"/>
    <x v="0"/>
    <x v="7"/>
  </r>
  <r>
    <x v="8"/>
    <x v="12"/>
    <s v="Plein-nord"/>
    <x v="3"/>
    <x v="1"/>
    <n v="3.4"/>
    <n v="7212"/>
    <n v="24520.799999999999"/>
    <x v="1"/>
    <x v="1"/>
    <x v="1"/>
  </r>
  <r>
    <x v="5"/>
    <x v="13"/>
    <s v="Nimbus"/>
    <x v="0"/>
    <x v="2"/>
    <n v="6"/>
    <n v="5764"/>
    <n v="34584"/>
    <x v="4"/>
    <x v="0"/>
    <x v="4"/>
  </r>
  <r>
    <x v="1"/>
    <x v="14"/>
    <s v="Ifrane"/>
    <x v="3"/>
    <x v="5"/>
    <n v="12"/>
    <n v="9886"/>
    <n v="118632"/>
    <x v="4"/>
    <x v="1"/>
    <x v="4"/>
  </r>
  <r>
    <x v="9"/>
    <x v="15"/>
    <s v="sieffert"/>
    <x v="2"/>
    <x v="4"/>
    <n v="25"/>
    <n v="6728"/>
    <n v="168200"/>
    <x v="8"/>
    <x v="1"/>
    <x v="8"/>
  </r>
  <r>
    <x v="6"/>
    <x v="16"/>
    <s v="Ifrane"/>
    <x v="0"/>
    <x v="3"/>
    <n v="21"/>
    <n v="8694"/>
    <n v="182574"/>
    <x v="3"/>
    <x v="0"/>
    <x v="3"/>
  </r>
  <r>
    <x v="1"/>
    <x v="17"/>
    <s v="Pubcité"/>
    <x v="2"/>
    <x v="0"/>
    <n v="1.5"/>
    <n v="5750"/>
    <n v="8625"/>
    <x v="9"/>
    <x v="0"/>
    <x v="9"/>
  </r>
  <r>
    <x v="0"/>
    <x v="18"/>
    <s v="Muse SA"/>
    <x v="0"/>
    <x v="0"/>
    <n v="1.5"/>
    <n v="8639"/>
    <n v="12958.5"/>
    <x v="5"/>
    <x v="0"/>
    <x v="5"/>
  </r>
  <r>
    <x v="2"/>
    <x v="19"/>
    <s v="Muse SA"/>
    <x v="0"/>
    <x v="0"/>
    <n v="1.5"/>
    <n v="8804"/>
    <n v="13206"/>
    <x v="1"/>
    <x v="1"/>
    <x v="1"/>
  </r>
  <r>
    <x v="9"/>
    <x v="20"/>
    <s v="Plein-nord"/>
    <x v="3"/>
    <x v="5"/>
    <n v="12"/>
    <n v="5136"/>
    <n v="61632"/>
    <x v="10"/>
    <x v="0"/>
    <x v="10"/>
  </r>
  <r>
    <x v="6"/>
    <x v="21"/>
    <s v="Pubcité"/>
    <x v="2"/>
    <x v="5"/>
    <n v="12"/>
    <n v="7017"/>
    <n v="84204"/>
    <x v="9"/>
    <x v="1"/>
    <x v="9"/>
  </r>
  <r>
    <x v="1"/>
    <x v="22"/>
    <s v="Pubcité"/>
    <x v="2"/>
    <x v="0"/>
    <n v="1.5"/>
    <n v="8611"/>
    <n v="12916.5"/>
    <x v="1"/>
    <x v="1"/>
    <x v="1"/>
  </r>
  <r>
    <x v="5"/>
    <x v="23"/>
    <s v="Nimbus"/>
    <x v="1"/>
    <x v="5"/>
    <n v="12"/>
    <n v="9924"/>
    <n v="119088"/>
    <x v="5"/>
    <x v="1"/>
    <x v="5"/>
  </r>
  <r>
    <x v="0"/>
    <x v="24"/>
    <s v="Plein-nord"/>
    <x v="0"/>
    <x v="3"/>
    <n v="21"/>
    <n v="8279"/>
    <n v="173859"/>
    <x v="1"/>
    <x v="1"/>
    <x v="1"/>
  </r>
  <r>
    <x v="8"/>
    <x v="25"/>
    <s v="Ifrane"/>
    <x v="2"/>
    <x v="4"/>
    <n v="25"/>
    <n v="7346"/>
    <n v="183650"/>
    <x v="9"/>
    <x v="0"/>
    <x v="9"/>
  </r>
  <r>
    <x v="7"/>
    <x v="26"/>
    <s v="Plein-nord"/>
    <x v="2"/>
    <x v="0"/>
    <n v="1.5"/>
    <n v="6213"/>
    <n v="9319.5"/>
    <x v="5"/>
    <x v="0"/>
    <x v="5"/>
  </r>
  <r>
    <x v="1"/>
    <x v="27"/>
    <s v="Pubcité"/>
    <x v="2"/>
    <x v="0"/>
    <n v="1.5"/>
    <n v="7645"/>
    <n v="11467.5"/>
    <x v="1"/>
    <x v="1"/>
    <x v="1"/>
  </r>
  <r>
    <x v="4"/>
    <x v="28"/>
    <s v="Pubcité"/>
    <x v="1"/>
    <x v="0"/>
    <n v="1.5"/>
    <n v="8091"/>
    <n v="12136.5"/>
    <x v="5"/>
    <x v="1"/>
    <x v="5"/>
  </r>
  <r>
    <x v="6"/>
    <x v="29"/>
    <s v="Florus"/>
    <x v="2"/>
    <x v="1"/>
    <n v="3.4"/>
    <n v="7819"/>
    <n v="26584.6"/>
    <x v="1"/>
    <x v="1"/>
    <x v="1"/>
  </r>
  <r>
    <x v="3"/>
    <x v="30"/>
    <s v="Plein-nord"/>
    <x v="0"/>
    <x v="1"/>
    <n v="3.4"/>
    <n v="8227"/>
    <n v="27971.8"/>
    <x v="6"/>
    <x v="0"/>
    <x v="6"/>
  </r>
  <r>
    <x v="9"/>
    <x v="31"/>
    <s v="Muse SA"/>
    <x v="2"/>
    <x v="2"/>
    <n v="6"/>
    <n v="6317"/>
    <n v="37902"/>
    <x v="1"/>
    <x v="1"/>
    <x v="1"/>
  </r>
  <r>
    <x v="6"/>
    <x v="32"/>
    <s v="Muse SA"/>
    <x v="1"/>
    <x v="3"/>
    <n v="21"/>
    <n v="9401"/>
    <n v="197421"/>
    <x v="4"/>
    <x v="0"/>
    <x v="4"/>
  </r>
  <r>
    <x v="7"/>
    <x v="33"/>
    <s v="Pubcité"/>
    <x v="2"/>
    <x v="2"/>
    <n v="6"/>
    <n v="7373"/>
    <n v="44238"/>
    <x v="9"/>
    <x v="1"/>
    <x v="9"/>
  </r>
  <r>
    <x v="0"/>
    <x v="34"/>
    <s v="Muse SA"/>
    <x v="1"/>
    <x v="5"/>
    <n v="12"/>
    <n v="9062"/>
    <n v="108744"/>
    <x v="2"/>
    <x v="0"/>
    <x v="2"/>
  </r>
  <r>
    <x v="0"/>
    <x v="35"/>
    <s v="Nimbus"/>
    <x v="0"/>
    <x v="1"/>
    <n v="3.4"/>
    <n v="5336"/>
    <n v="18142.399999999998"/>
    <x v="6"/>
    <x v="0"/>
    <x v="6"/>
  </r>
  <r>
    <x v="4"/>
    <x v="36"/>
    <s v="Muse SA"/>
    <x v="1"/>
    <x v="1"/>
    <n v="3.4"/>
    <n v="9165"/>
    <n v="31161"/>
    <x v="7"/>
    <x v="0"/>
    <x v="7"/>
  </r>
  <r>
    <x v="2"/>
    <x v="37"/>
    <s v="Pubcité"/>
    <x v="1"/>
    <x v="2"/>
    <n v="6"/>
    <n v="7700"/>
    <n v="46200"/>
    <x v="10"/>
    <x v="0"/>
    <x v="10"/>
  </r>
  <r>
    <x v="6"/>
    <x v="38"/>
    <s v="Nimbus"/>
    <x v="1"/>
    <x v="2"/>
    <n v="6"/>
    <n v="8407"/>
    <n v="50442"/>
    <x v="10"/>
    <x v="0"/>
    <x v="10"/>
  </r>
  <r>
    <x v="9"/>
    <x v="39"/>
    <s v="Nimbus"/>
    <x v="0"/>
    <x v="2"/>
    <n v="6"/>
    <n v="8489"/>
    <n v="50934"/>
    <x v="8"/>
    <x v="0"/>
    <x v="8"/>
  </r>
  <r>
    <x v="6"/>
    <x v="40"/>
    <s v="Muse SA"/>
    <x v="3"/>
    <x v="2"/>
    <n v="6"/>
    <n v="9929"/>
    <n v="59574"/>
    <x v="11"/>
    <x v="0"/>
    <x v="11"/>
  </r>
  <r>
    <x v="3"/>
    <x v="41"/>
    <s v="Florus"/>
    <x v="2"/>
    <x v="5"/>
    <n v="12"/>
    <n v="5463"/>
    <n v="65556"/>
    <x v="6"/>
    <x v="0"/>
    <x v="6"/>
  </r>
  <r>
    <x v="4"/>
    <x v="42"/>
    <s v="Pubcité"/>
    <x v="1"/>
    <x v="5"/>
    <n v="12"/>
    <n v="6660"/>
    <n v="79920"/>
    <x v="2"/>
    <x v="0"/>
    <x v="2"/>
  </r>
  <r>
    <x v="0"/>
    <x v="43"/>
    <s v="Ifrane"/>
    <x v="2"/>
    <x v="5"/>
    <n v="12"/>
    <n v="7349"/>
    <n v="88188"/>
    <x v="0"/>
    <x v="1"/>
    <x v="0"/>
  </r>
  <r>
    <x v="8"/>
    <x v="19"/>
    <s v="Plein-nord"/>
    <x v="3"/>
    <x v="4"/>
    <n v="25"/>
    <n v="6075"/>
    <n v="151875"/>
    <x v="1"/>
    <x v="1"/>
    <x v="1"/>
  </r>
  <r>
    <x v="4"/>
    <x v="44"/>
    <s v="Ifrane"/>
    <x v="0"/>
    <x v="4"/>
    <n v="25"/>
    <n v="6183"/>
    <n v="154575"/>
    <x v="8"/>
    <x v="1"/>
    <x v="8"/>
  </r>
  <r>
    <x v="3"/>
    <x v="35"/>
    <s v="Plein-nord"/>
    <x v="0"/>
    <x v="3"/>
    <n v="21"/>
    <n v="7464"/>
    <n v="156744"/>
    <x v="6"/>
    <x v="0"/>
    <x v="6"/>
  </r>
  <r>
    <x v="6"/>
    <x v="45"/>
    <s v="Muse SA"/>
    <x v="2"/>
    <x v="4"/>
    <n v="25"/>
    <n v="6523"/>
    <n v="163075"/>
    <x v="9"/>
    <x v="1"/>
    <x v="9"/>
  </r>
  <r>
    <x v="6"/>
    <x v="46"/>
    <s v="Plein-nord"/>
    <x v="2"/>
    <x v="3"/>
    <n v="21"/>
    <n v="9201"/>
    <n v="193221"/>
    <x v="1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eau croisé dynamique2" cacheId="0" dataOnRows="1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A3:D15" firstHeaderRow="1" firstDataRow="2" firstDataCol="1"/>
  <pivotFields count="10">
    <pivotField axis="axisRow" subtotalTop="0" showAll="0">
      <items count="11">
        <item x="8"/>
        <item x="5"/>
        <item x="4"/>
        <item x="1"/>
        <item x="2"/>
        <item x="3"/>
        <item x="6"/>
        <item x="0"/>
        <item x="9"/>
        <item x="7"/>
        <item t="default"/>
      </items>
    </pivotField>
    <pivotField axis="axisCol" numFmtId="14" subtotalTop="0" showAll="0">
      <items count="5">
        <item x="0"/>
        <item x="1"/>
        <item x="2"/>
        <item x="3"/>
        <item t="default"/>
      </items>
    </pivotField>
    <pivotField subtotalTop="0" showAll="0"/>
    <pivotField subtotalTop="0" showAll="0">
      <items count="5">
        <item x="0"/>
        <item x="1"/>
        <item x="2"/>
        <item x="3"/>
        <item t="default"/>
      </items>
    </pivotField>
    <pivotField subtotalTop="0" showAll="0"/>
    <pivotField numFmtId="164" subtotalTop="0" showAll="0"/>
    <pivotField subtotalTop="0" showAll="0"/>
    <pivotField dataField="1" numFmtId="164" subtotalTop="0" showAll="0"/>
    <pivotField showAll="0" defaultSubtotal="0">
      <items count="2">
        <item x="0"/>
        <item x="1"/>
      </items>
    </pivotField>
    <pivotField dragToRow="0" dragToCol="0" dragToPage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3">
    <i>
      <x v="1"/>
    </i>
    <i>
      <x v="2"/>
    </i>
    <i t="grand">
      <x/>
    </i>
  </colItems>
  <dataFields count="1">
    <dataField name="Somme de MONTANT" fld="7" baseField="0" baseItem="0" numFmtId="43"/>
  </dataFields>
  <formats count="2">
    <format dxfId="83">
      <pivotArea grandRow="1" outline="0" collapsedLevelsAreSubtotals="1" fieldPosition="0"/>
    </format>
    <format dxfId="82">
      <pivotArea outline="0" collapsedLevelsAreSubtotals="1" fieldPosition="0"/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2" cacheId="1" dataOnRows="1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A3:D28" firstHeaderRow="1" firstDataRow="2" firstDataCol="1"/>
  <pivotFields count="13">
    <pivotField showAll="0"/>
    <pivotField numFmtId="14" showAll="0">
      <items count="15">
        <item x="0"/>
        <item x="13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  <pivotField axis="axisRow" showAll="0">
      <items count="5">
        <item x="0"/>
        <item x="1"/>
        <item x="2"/>
        <item x="3"/>
        <item t="default"/>
      </items>
    </pivotField>
    <pivotField showAll="0"/>
    <pivotField numFmtId="164" showAll="0"/>
    <pivotField showAll="0"/>
    <pivotField dataField="1" numFmtId="164" showAll="0"/>
    <pivotField showAll="0" defaultSubtotal="0"/>
    <pivotField axis="axisCol" showAll="0" defaultSubtotal="0">
      <items count="2">
        <item x="0"/>
        <item x="1"/>
      </items>
    </pivotField>
    <pivotField showAll="0" defaultSubtotal="0"/>
    <pivotField showAll="0" defaultSubtotal="0"/>
    <pivotField showAll="0" defaultSubtotal="0"/>
  </pivotFields>
  <rowFields count="2">
    <field x="3"/>
    <field x="-2"/>
  </rowFields>
  <rowItems count="24">
    <i>
      <x/>
    </i>
    <i r="1">
      <x/>
    </i>
    <i r="1" i="1">
      <x v="1"/>
    </i>
    <i r="1" i="2">
      <x v="2"/>
    </i>
    <i r="1" i="3">
      <x v="3"/>
    </i>
    <i>
      <x v="1"/>
    </i>
    <i r="1">
      <x/>
    </i>
    <i r="1" i="1">
      <x v="1"/>
    </i>
    <i r="1" i="2">
      <x v="2"/>
    </i>
    <i r="1" i="3">
      <x v="3"/>
    </i>
    <i>
      <x v="2"/>
    </i>
    <i r="1">
      <x/>
    </i>
    <i r="1" i="1">
      <x v="1"/>
    </i>
    <i r="1" i="2">
      <x v="2"/>
    </i>
    <i r="1" i="3">
      <x v="3"/>
    </i>
    <i>
      <x v="3"/>
    </i>
    <i r="1"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rowItems>
  <colFields count="1">
    <field x="9"/>
  </colFields>
  <colItems count="3">
    <i>
      <x/>
    </i>
    <i>
      <x v="1"/>
    </i>
    <i t="grand">
      <x/>
    </i>
  </colItems>
  <dataFields count="4">
    <dataField name="CA" fld="7" baseField="0" baseItem="0"/>
    <dataField name="NB" fld="2" subtotal="count" baseField="0" baseItem="0"/>
    <dataField name="Dif ca N-" fld="7" showDataAs="difference" baseField="9" baseItem="0"/>
    <dataField name="Dif Ca en %" fld="7" showDataAs="percentDiff" baseField="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eau croisé dynamique2" cacheId="1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compact="0" compactData="0" multipleFieldFilters="0">
  <location ref="A3:K36" firstHeaderRow="1" firstDataRow="3" firstDataCol="2"/>
  <pivotFields count="13">
    <pivotField axis="axisRow" compact="0" outline="0" showAll="0">
      <items count="11">
        <item x="8"/>
        <item x="5"/>
        <item x="4"/>
        <item x="1"/>
        <item x="2"/>
        <item x="3"/>
        <item x="6"/>
        <item x="0"/>
        <item x="9"/>
        <item x="7"/>
        <item t="default"/>
      </items>
    </pivotField>
    <pivotField compact="0" numFmtId="14" outline="0" showAll="0">
      <items count="15">
        <item x="0"/>
        <item x="13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numFmtId="164" outline="0" showAll="0"/>
    <pivotField compact="0" outline="0" showAll="0"/>
    <pivotField dataField="1" compact="0" numFmtId="164" outline="0" showAll="0"/>
    <pivotField compact="0" outline="0" showAll="0" defaultSubtotal="0"/>
    <pivotField axis="axisCol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</pivotFields>
  <rowFields count="2">
    <field x="3"/>
    <field x="0"/>
  </rowFields>
  <rowItems count="31">
    <i>
      <x/>
      <x v="1"/>
    </i>
    <i r="1">
      <x v="2"/>
    </i>
    <i r="1">
      <x v="4"/>
    </i>
    <i r="1">
      <x v="5"/>
    </i>
    <i r="1">
      <x v="6"/>
    </i>
    <i r="1">
      <x v="7"/>
    </i>
    <i r="1">
      <x v="8"/>
    </i>
    <i t="default">
      <x/>
    </i>
    <i>
      <x v="1"/>
      <x v="1"/>
    </i>
    <i r="1">
      <x v="2"/>
    </i>
    <i r="1">
      <x v="3"/>
    </i>
    <i r="1">
      <x v="4"/>
    </i>
    <i r="1">
      <x v="6"/>
    </i>
    <i r="1">
      <x v="7"/>
    </i>
    <i t="default">
      <x v="1"/>
    </i>
    <i>
      <x v="2"/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>
      <x v="3"/>
      <x/>
    </i>
    <i r="1">
      <x v="3"/>
    </i>
    <i r="1">
      <x v="5"/>
    </i>
    <i r="1">
      <x v="6"/>
    </i>
    <i r="1">
      <x v="8"/>
    </i>
    <i t="default">
      <x v="3"/>
    </i>
    <i t="grand">
      <x/>
    </i>
  </rowItems>
  <colFields count="2">
    <field x="9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CA" fld="7" baseField="0" baseItem="0"/>
    <dataField name="Rang" fld="7" baseField="3" baseItem="0">
      <extLst>
        <ext xmlns:x14="http://schemas.microsoft.com/office/spreadsheetml/2009/9/main" uri="{E15A36E0-9728-4e99-A89B-3F7291B0FE68}">
          <x14:dataField pivotShowAs="rankDescending"/>
        </ext>
      </extLst>
    </dataField>
    <dataField name="% ligne parente" fld="7" baseField="3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4">
    <format dxfId="81">
      <pivotArea outline="0" collapsedLevelsAreSubtotals="1" fieldPosition="0"/>
    </format>
    <format dxfId="80">
      <pivotArea field="1" dataOnly="0" labelOnly="1" outline="0">
        <references count="1">
          <reference field="4294967294" count="1" selected="0">
            <x v="0"/>
          </reference>
        </references>
      </pivotArea>
    </format>
    <format dxfId="79">
      <pivotArea field="1" dataOnly="0" labelOnly="1" outline="0">
        <references count="1">
          <reference field="4294967294" count="1" selected="0">
            <x v="2"/>
          </reference>
        </references>
      </pivotArea>
    </format>
    <format dxfId="78">
      <pivotArea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eau croisé dynamique2" cacheId="0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A3:G36" firstHeaderRow="1" firstDataRow="3" firstDataCol="1"/>
  <pivotFields count="10">
    <pivotField axis="axisRow" showAll="0">
      <items count="11">
        <item x="8"/>
        <item x="5"/>
        <item x="4"/>
        <item x="1"/>
        <item x="2"/>
        <item x="3"/>
        <item x="6"/>
        <item x="0"/>
        <item x="9"/>
        <item x="7"/>
        <item t="default"/>
      </items>
    </pivotField>
    <pivotField axis="axisCol" numFmtId="14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numFmtId="164" showAll="0"/>
    <pivotField showAll="0"/>
    <pivotField dataField="1" numFmtId="164" showAll="0"/>
    <pivotField showAll="0" defaultSubtotal="0">
      <items count="2">
        <item x="0"/>
        <item x="1"/>
      </items>
    </pivotField>
    <pivotField dragToRow="0" dragToCol="0" dragToPage="0" showAll="0" defaultSubtotal="0"/>
  </pivotFields>
  <rowFields count="2">
    <field x="3"/>
    <field x="0"/>
  </rowFields>
  <rowItems count="31">
    <i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>
      <x v="1"/>
    </i>
    <i r="1">
      <x v="1"/>
    </i>
    <i r="1">
      <x v="2"/>
    </i>
    <i r="1">
      <x v="3"/>
    </i>
    <i r="1">
      <x v="4"/>
    </i>
    <i r="1">
      <x v="6"/>
    </i>
    <i r="1">
      <x v="7"/>
    </i>
    <i>
      <x v="2"/>
    </i>
    <i r="1"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3"/>
    </i>
    <i r="1">
      <x/>
    </i>
    <i r="1">
      <x v="3"/>
    </i>
    <i r="1">
      <x v="5"/>
    </i>
    <i r="1">
      <x v="6"/>
    </i>
    <i r="1">
      <x v="8"/>
    </i>
    <i t="grand">
      <x/>
    </i>
  </rowItems>
  <colFields count="2">
    <field x="1"/>
    <field x="-2"/>
  </colFields>
  <colItems count="6"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CA" fld="7" baseField="0" baseItem="0"/>
    <dataField name="% Colonne" fld="7" showDataAs="percentOfCol" baseField="3" baseItem="0" numFmtId="10"/>
  </dataFields>
  <formats count="18">
    <format dxfId="77">
      <pivotArea outline="0" collapsedLevelsAreSubtotals="1" fieldPosition="0"/>
    </format>
    <format dxfId="76">
      <pivotArea dataOnly="0" labelOnly="1" fieldPosition="0">
        <references count="1">
          <reference field="1" count="2">
            <x v="1"/>
            <x v="2"/>
          </reference>
        </references>
      </pivotArea>
    </format>
    <format dxfId="75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4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7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7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"/>
          </reference>
        </references>
      </pivotArea>
    </format>
    <format dxfId="71">
      <pivotArea outline="0" fieldPosition="0">
        <references count="1">
          <reference field="4294967294" count="1">
            <x v="1"/>
          </reference>
        </references>
      </pivotArea>
    </format>
    <format dxfId="70">
      <pivotArea outline="0" collapsedLevelsAreSubtotals="1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format>
    <format dxfId="69">
      <pivotArea field="3" type="button" dataOnly="0" labelOnly="1" outline="0" axis="axisRow" fieldPosition="0"/>
    </format>
    <format dxfId="68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7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6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"/>
          </reference>
        </references>
      </pivotArea>
    </format>
    <format dxfId="64">
      <pivotArea field="3" type="button" dataOnly="0" labelOnly="1" outline="0" axis="axisRow" fieldPosition="0"/>
    </format>
    <format dxfId="63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2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6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eau croisé dynamique2" cacheId="0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A3:G36" firstHeaderRow="1" firstDataRow="3" firstDataCol="1"/>
  <pivotFields count="10">
    <pivotField axis="axisRow" showAll="0">
      <items count="11">
        <item x="8"/>
        <item x="5"/>
        <item x="4"/>
        <item x="1"/>
        <item x="2"/>
        <item x="3"/>
        <item x="6"/>
        <item x="0"/>
        <item x="9"/>
        <item x="7"/>
        <item t="default"/>
      </items>
    </pivotField>
    <pivotField axis="axisCol" numFmtId="14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numFmtId="164" showAll="0"/>
    <pivotField showAll="0"/>
    <pivotField dataField="1" numFmtId="164" showAll="0"/>
    <pivotField showAll="0" defaultSubtotal="0">
      <items count="2">
        <item x="0"/>
        <item x="1"/>
      </items>
    </pivotField>
    <pivotField dragToRow="0" dragToCol="0" dragToPage="0" showAll="0" defaultSubtotal="0"/>
  </pivotFields>
  <rowFields count="2">
    <field x="3"/>
    <field x="0"/>
  </rowFields>
  <rowItems count="31">
    <i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>
      <x v="1"/>
    </i>
    <i r="1">
      <x v="1"/>
    </i>
    <i r="1">
      <x v="2"/>
    </i>
    <i r="1">
      <x v="3"/>
    </i>
    <i r="1">
      <x v="4"/>
    </i>
    <i r="1">
      <x v="6"/>
    </i>
    <i r="1">
      <x v="7"/>
    </i>
    <i>
      <x v="2"/>
    </i>
    <i r="1"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3"/>
    </i>
    <i r="1">
      <x/>
    </i>
    <i r="1">
      <x v="3"/>
    </i>
    <i r="1">
      <x v="5"/>
    </i>
    <i r="1">
      <x v="6"/>
    </i>
    <i r="1">
      <x v="8"/>
    </i>
    <i t="grand">
      <x/>
    </i>
  </rowItems>
  <colFields count="2">
    <field x="1"/>
    <field x="-2"/>
  </colFields>
  <colItems count="6"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CA" fld="7" baseField="0" baseItem="0"/>
    <dataField name="% Ligne" fld="7" showDataAs="percentOfRow" baseField="3" baseItem="0" numFmtId="10"/>
  </dataFields>
  <formats count="18">
    <format dxfId="59">
      <pivotArea outline="0" collapsedLevelsAreSubtotals="1" fieldPosition="0"/>
    </format>
    <format dxfId="58">
      <pivotArea dataOnly="0" labelOnly="1" fieldPosition="0">
        <references count="1">
          <reference field="1" count="2">
            <x v="1"/>
            <x v="2"/>
          </reference>
        </references>
      </pivotArea>
    </format>
    <format dxfId="57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6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5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5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"/>
          </reference>
        </references>
      </pivotArea>
    </format>
    <format dxfId="53">
      <pivotArea outline="0" fieldPosition="0">
        <references count="1">
          <reference field="4294967294" count="1">
            <x v="1"/>
          </reference>
        </references>
      </pivotArea>
    </format>
    <format dxfId="52">
      <pivotArea outline="0" collapsedLevelsAreSubtotals="1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format>
    <format dxfId="51">
      <pivotArea field="3" type="button" dataOnly="0" labelOnly="1" outline="0" axis="axisRow" fieldPosition="0"/>
    </format>
    <format dxfId="50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9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4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"/>
          </reference>
        </references>
      </pivotArea>
    </format>
    <format dxfId="46">
      <pivotArea field="3" type="button" dataOnly="0" labelOnly="1" outline="0" axis="axisRow" fieldPosition="0"/>
    </format>
    <format dxfId="45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4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4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leau croisé dynamique2" cacheId="1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compact="0" compactData="0" multipleFieldFilters="0">
  <location ref="A3:D10" firstHeaderRow="0" firstDataRow="1" firstDataCol="1"/>
  <pivotFields count="13">
    <pivotField compact="0" outline="0" subtotalTop="0" showAll="0">
      <items count="11">
        <item x="8"/>
        <item x="5"/>
        <item x="4"/>
        <item x="1"/>
        <item x="2"/>
        <item x="3"/>
        <item x="6"/>
        <item x="0"/>
        <item x="9"/>
        <item x="7"/>
        <item t="default"/>
      </items>
    </pivotField>
    <pivotField compact="0" numFmtId="14" outline="0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ubtotalTop="0" showAll="0"/>
    <pivotField compact="0" outline="0" subtotalTop="0" showAll="0">
      <items count="5">
        <item x="0"/>
        <item x="1"/>
        <item x="2"/>
        <item x="3"/>
        <item t="default"/>
      </items>
    </pivotField>
    <pivotField compact="0" outline="0" subtotalTop="0" showAll="0">
      <items count="7">
        <item x="3"/>
        <item x="5"/>
        <item x="2"/>
        <item x="4"/>
        <item x="1"/>
        <item x="0"/>
        <item t="default"/>
      </items>
    </pivotField>
    <pivotField compact="0" numFmtId="164" outline="0" subtotalTop="0" showAll="0"/>
    <pivotField compact="0" outline="0" subtotalTop="0" showAll="0"/>
    <pivotField dataField="1" compact="0" numFmtId="164" outline="0" subtotalTop="0" showAll="0"/>
    <pivotField compact="0" outline="0" subtotalTop="0" showAll="0">
      <items count="13">
        <item x="1"/>
        <item x="4"/>
        <item x="9"/>
        <item x="8"/>
        <item x="0"/>
        <item x="5"/>
        <item x="2"/>
        <item x="7"/>
        <item x="11"/>
        <item x="6"/>
        <item x="10"/>
        <item x="3"/>
        <item t="default"/>
      </items>
    </pivotField>
    <pivotField compact="0" outline="0" subtotalTop="0" showAll="0">
      <items count="3">
        <item h="1" x="0"/>
        <item x="1"/>
        <item t="default"/>
      </items>
    </pivotField>
    <pivotField axis="axisRow" compact="0" outline="0" subtotalTop="0" showAll="0">
      <items count="13">
        <item x="1"/>
        <item x="4"/>
        <item x="9"/>
        <item x="8"/>
        <item x="0"/>
        <item x="5"/>
        <item x="2"/>
        <item x="7"/>
        <item x="11"/>
        <item x="6"/>
        <item x="10"/>
        <item x="3"/>
        <item t="default"/>
      </items>
    </pivotField>
    <pivotField compact="0" outline="0" showAll="0" defaultSubtotal="0">
      <items count="6">
        <item x="0"/>
        <item x="1"/>
        <item x="2"/>
        <item x="3"/>
        <item x="4"/>
        <item x="5"/>
      </items>
    </pivotField>
    <pivotField compact="0" outline="0" showAll="0" defaultSubtotal="0">
      <items count="4">
        <item x="0"/>
        <item x="1"/>
        <item x="2"/>
        <item x="3"/>
      </items>
    </pivotField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% du total" fld="7" showDataAs="percentOfTotal" baseField="10" baseItem="0" numFmtId="10"/>
    <dataField name="CA MOIS" fld="7" baseField="10" baseItem="0" numFmtId="43"/>
    <dataField name="CA CUMULE" fld="7" showDataAs="runTotal" baseField="10" baseItem="0"/>
  </dataFields>
  <formats count="6">
    <format dxfId="41">
      <pivotArea outline="0" collapsedLevelsAreSubtotals="1" fieldPosition="0"/>
    </format>
    <format dxfId="40">
      <pivotArea field="3" type="button" dataOnly="0" labelOnly="1" outline="0"/>
    </format>
    <format dxfId="39">
      <pivotArea field="3" type="button" dataOnly="0" labelOnly="1" outline="0"/>
    </format>
    <format dxfId="38">
      <pivotArea outline="0" fieldPosition="0">
        <references count="1">
          <reference field="4294967294" count="1">
            <x v="1"/>
          </reference>
        </references>
      </pivotArea>
    </format>
    <format dxfId="37">
      <pivotArea outline="0" collapsedLevelsAreSubtotals="1" fieldPosition="0"/>
    </format>
    <format dxfId="3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leau croisé dynamique2" cacheId="1" applyNumberFormats="0" applyBorderFormats="0" applyFontFormats="0" applyPatternFormats="0" applyAlignmentFormats="0" applyWidthHeightFormats="1" dataCaption="Valeurs" updatedVersion="5" minRefreshableVersion="5" useAutoFormatting="1" itemPrintTitles="1" createdVersion="5" indent="0" outline="1" outlineData="1" multipleFieldFilters="0">
  <location ref="A3:D25" firstHeaderRow="0" firstDataRow="1" firstDataCol="1"/>
  <pivotFields count="13">
    <pivotField axis="axisRow" dataField="1" subtotalTop="0" showAll="0">
      <items count="11">
        <item x="8"/>
        <item x="5"/>
        <item x="4"/>
        <item x="1"/>
        <item x="2"/>
        <item x="3"/>
        <item x="6"/>
        <item x="0"/>
        <item x="9"/>
        <item x="7"/>
        <item t="default"/>
      </items>
    </pivotField>
    <pivotField numFmtId="14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ubtotalTop="0" showAll="0"/>
    <pivotField subtotalTop="0" showAll="0"/>
    <pivotField axis="axisRow" subtotalTop="0" showAll="0">
      <items count="7">
        <item x="3"/>
        <item x="5"/>
        <item x="2"/>
        <item x="4"/>
        <item x="1"/>
        <item x="0"/>
        <item t="default"/>
      </items>
    </pivotField>
    <pivotField numFmtId="164" subtotalTop="0" showAll="0"/>
    <pivotField subtotalTop="0" showAll="0"/>
    <pivotField dataField="1" numFmtId="164" subtotalTop="0" showAll="0"/>
    <pivotField showAll="0" defaultSubtotal="0"/>
    <pivotField showAll="0" defaultSubtotal="0"/>
    <pivotField showAll="0" defaultSubtotal="0">
      <items count="12">
        <item x="1"/>
        <item x="4"/>
        <item x="9"/>
        <item x="8"/>
        <item x="0"/>
        <item x="5"/>
        <item x="2"/>
        <item x="7"/>
        <item x="11"/>
        <item x="6"/>
        <item x="10"/>
        <item x="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2">
    <field x="0"/>
    <field x="4"/>
  </rowFields>
  <rowItems count="22">
    <i>
      <x v="4"/>
    </i>
    <i r="1">
      <x v="2"/>
    </i>
    <i r="1">
      <x v="5"/>
    </i>
    <i t="default">
      <x v="4"/>
    </i>
    <i>
      <x v="5"/>
    </i>
    <i r="1">
      <x/>
    </i>
    <i r="1">
      <x v="1"/>
    </i>
    <i r="1">
      <x v="2"/>
    </i>
    <i r="1">
      <x v="4"/>
    </i>
    <i t="default">
      <x v="5"/>
    </i>
    <i>
      <x v="6"/>
    </i>
    <i r="1">
      <x/>
    </i>
    <i r="1">
      <x v="2"/>
    </i>
    <i r="1">
      <x v="5"/>
    </i>
    <i t="default">
      <x v="6"/>
    </i>
    <i>
      <x v="7"/>
    </i>
    <i r="1">
      <x v="4"/>
    </i>
    <i t="default">
      <x v="7"/>
    </i>
    <i>
      <x v="8"/>
    </i>
    <i r="1">
      <x v="1"/>
    </i>
    <i t="default"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" fld="7" baseField="0" baseItem="0"/>
    <dataField name="Nb" fld="0" subtotal="count" baseField="0" baseItem="0"/>
    <dataField name="Moyenne" fld="7" subtotal="average" baseField="0" baseItem="4"/>
  </dataFields>
  <formats count="30">
    <format dxfId="3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4" count="2">
            <x v="2"/>
            <x v="5"/>
          </reference>
        </references>
      </pivotArea>
    </format>
    <format dxfId="34">
      <pivotArea collapsedLevelsAreSubtotals="1" fieldPosition="0">
        <references count="2">
          <reference field="4294967294" count="1" selected="0">
            <x v="0"/>
          </reference>
          <reference field="0" count="1" defaultSubtotal="1">
            <x v="4"/>
          </reference>
        </references>
      </pivotArea>
    </format>
    <format dxfId="33">
      <pivotArea collapsedLevelsAreSubtotals="1" fieldPosition="0">
        <references count="2">
          <reference field="4294967294" count="1" selected="0">
            <x v="0"/>
          </reference>
          <reference field="0" count="1">
            <x v="5"/>
          </reference>
        </references>
      </pivotArea>
    </format>
    <format dxfId="3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4" count="4">
            <x v="0"/>
            <x v="1"/>
            <x v="2"/>
            <x v="4"/>
          </reference>
        </references>
      </pivotArea>
    </format>
    <format dxfId="31">
      <pivotArea collapsedLevelsAreSubtotals="1" fieldPosition="0">
        <references count="2">
          <reference field="4294967294" count="1" selected="0">
            <x v="0"/>
          </reference>
          <reference field="0" count="1" defaultSubtotal="1">
            <x v="5"/>
          </reference>
        </references>
      </pivotArea>
    </format>
    <format dxfId="30">
      <pivotArea collapsedLevelsAreSubtotals="1" fieldPosition="0">
        <references count="2">
          <reference field="4294967294" count="1" selected="0">
            <x v="0"/>
          </reference>
          <reference field="0" count="1">
            <x v="6"/>
          </reference>
        </references>
      </pivotArea>
    </format>
    <format dxfId="2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4" count="3">
            <x v="0"/>
            <x v="2"/>
            <x v="5"/>
          </reference>
        </references>
      </pivotArea>
    </format>
    <format dxfId="28">
      <pivotArea collapsedLevelsAreSubtotals="1" fieldPosition="0">
        <references count="2">
          <reference field="4294967294" count="1" selected="0">
            <x v="0"/>
          </reference>
          <reference field="0" count="1" defaultSubtotal="1">
            <x v="6"/>
          </reference>
        </references>
      </pivotArea>
    </format>
    <format dxfId="27">
      <pivotArea collapsedLevelsAreSubtotals="1" fieldPosition="0">
        <references count="2">
          <reference field="4294967294" count="1" selected="0">
            <x v="0"/>
          </reference>
          <reference field="0" count="1">
            <x v="7"/>
          </reference>
        </references>
      </pivotArea>
    </format>
    <format dxfId="2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4" count="1">
            <x v="4"/>
          </reference>
        </references>
      </pivotArea>
    </format>
    <format dxfId="25">
      <pivotArea collapsedLevelsAreSubtotals="1" fieldPosition="0">
        <references count="2">
          <reference field="4294967294" count="1" selected="0">
            <x v="0"/>
          </reference>
          <reference field="0" count="1" defaultSubtotal="1">
            <x v="7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0"/>
          </reference>
          <reference field="0" count="1">
            <x v="8"/>
          </reference>
        </references>
      </pivotArea>
    </format>
    <format dxfId="2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4" count="1">
            <x v="1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0"/>
          </reference>
          <reference field="0" count="1" defaultSubtotal="1">
            <x v="8"/>
          </reference>
        </references>
      </pivotArea>
    </format>
    <format dxfId="21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"/>
          </reference>
          <reference field="4" count="2">
            <x v="2"/>
            <x v="5"/>
          </reference>
        </references>
      </pivotArea>
    </format>
    <format dxfId="19">
      <pivotArea collapsedLevelsAreSubtotals="1" fieldPosition="0">
        <references count="2">
          <reference field="4294967294" count="1" selected="0">
            <x v="2"/>
          </reference>
          <reference field="0" count="1" defaultSubtotal="1">
            <x v="4"/>
          </reference>
        </references>
      </pivotArea>
    </format>
    <format dxfId="18">
      <pivotArea collapsedLevelsAreSubtotals="1" fieldPosition="0">
        <references count="2">
          <reference field="4294967294" count="1" selected="0">
            <x v="2"/>
          </reference>
          <reference field="0" count="1">
            <x v="5"/>
          </reference>
        </references>
      </pivotArea>
    </format>
    <format dxfId="1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5"/>
          </reference>
          <reference field="4" count="4">
            <x v="0"/>
            <x v="1"/>
            <x v="2"/>
            <x v="4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2"/>
          </reference>
          <reference field="0" count="1" defaultSubtotal="1">
            <x v="5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2"/>
          </reference>
          <reference field="0" count="1">
            <x v="6"/>
          </reference>
        </references>
      </pivotArea>
    </format>
    <format dxfId="1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4" count="3">
            <x v="0"/>
            <x v="2"/>
            <x v="5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2"/>
          </reference>
          <reference field="0" count="1" defaultSubtotal="1">
            <x v="6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2"/>
          </reference>
          <reference field="0" count="1">
            <x v="7"/>
          </reference>
        </references>
      </pivotArea>
    </format>
    <format dxfId="1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4" count="1">
            <x v="4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2"/>
          </reference>
          <reference field="0" count="1" defaultSubtotal="1">
            <x v="7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2"/>
          </reference>
          <reference field="0" count="1">
            <x v="8"/>
          </reference>
        </references>
      </pivotArea>
    </format>
    <format dxfId="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8"/>
          </reference>
          <reference field="4" count="1">
            <x v="1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2"/>
          </reference>
          <reference field="0" count="1" defaultSubtotal="1">
            <x v="8"/>
          </reference>
        </references>
      </pivotArea>
    </format>
    <format dxfId="6">
      <pivotArea field="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" type="dateBetween" evalOrder="-1" id="10" name="DATE">
      <autoFilter ref="A1">
        <filterColumn colId="0">
          <customFilters and="1">
            <customFilter operator="greaterThanOrEqual" val="42248"/>
            <customFilter operator="lessThanOrEqual" val="423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leau croisé dynamique2" cacheId="0" dataOnRows="1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A3:D39" firstHeaderRow="1" firstDataRow="2" firstDataCol="1"/>
  <pivotFields count="10">
    <pivotField axis="axisRow" subtotalTop="0" showAll="0">
      <items count="11">
        <item x="8"/>
        <item x="5"/>
        <item x="4"/>
        <item x="1"/>
        <item x="2"/>
        <item x="3"/>
        <item x="6"/>
        <item x="0"/>
        <item x="9"/>
        <item x="7"/>
        <item t="default"/>
      </items>
    </pivotField>
    <pivotField axis="axisCol" numFmtId="14" subtotalTop="0" showAll="0">
      <items count="5">
        <item x="0"/>
        <item x="1"/>
        <item x="2"/>
        <item x="3"/>
        <item t="default"/>
      </items>
    </pivotField>
    <pivotField subtotalTop="0" showAll="0"/>
    <pivotField axis="axisRow" subtotalTop="0" showAll="0">
      <items count="5">
        <item x="0"/>
        <item x="1"/>
        <item x="2"/>
        <item x="3"/>
        <item t="default"/>
      </items>
    </pivotField>
    <pivotField subtotalTop="0" showAll="0"/>
    <pivotField numFmtId="164" subtotalTop="0" showAll="0"/>
    <pivotField subtotalTop="0" showAll="0"/>
    <pivotField dataField="1" numFmtId="164" subtotalTop="0" showAll="0"/>
    <pivotField showAll="0" defaultSubtotal="0">
      <items count="2">
        <item x="0"/>
        <item x="1"/>
      </items>
    </pivotField>
    <pivotField dragToRow="0" dragToCol="0" dragToPage="0" showAll="0" defaultSubtotal="0"/>
  </pivotFields>
  <rowFields count="2">
    <field x="3"/>
    <field x="0"/>
  </rowFields>
  <rowItems count="35">
    <i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t="default">
      <x/>
    </i>
    <i>
      <x v="1"/>
    </i>
    <i r="1">
      <x v="1"/>
    </i>
    <i r="1">
      <x v="2"/>
    </i>
    <i r="1">
      <x v="3"/>
    </i>
    <i r="1">
      <x v="4"/>
    </i>
    <i r="1">
      <x v="6"/>
    </i>
    <i r="1">
      <x v="7"/>
    </i>
    <i t="default">
      <x v="1"/>
    </i>
    <i>
      <x v="2"/>
    </i>
    <i r="1"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>
      <x v="3"/>
    </i>
    <i r="1">
      <x/>
    </i>
    <i r="1">
      <x v="3"/>
    </i>
    <i r="1">
      <x v="5"/>
    </i>
    <i r="1">
      <x v="6"/>
    </i>
    <i r="1">
      <x v="8"/>
    </i>
    <i t="default">
      <x v="3"/>
    </i>
    <i t="grand">
      <x/>
    </i>
  </rowItems>
  <colFields count="1">
    <field x="1"/>
  </colFields>
  <colItems count="3">
    <i>
      <x v="1"/>
    </i>
    <i>
      <x v="2"/>
    </i>
    <i t="grand">
      <x/>
    </i>
  </colItems>
  <dataFields count="1">
    <dataField name="Somme de MONTA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Tableau croisé dynamique2" cacheId="0" applyNumberFormats="0" applyBorderFormats="0" applyFontFormats="0" applyPatternFormats="0" applyAlignmentFormats="0" applyWidthHeightFormats="1" dataCaption="Valeurs" updatedVersion="5" minRefreshableVersion="5" useAutoFormatting="1" itemPrintTitles="1" createdVersion="5" indent="0" compact="0" compactData="0" multipleFieldFilters="0">
  <location ref="A3:E13" firstHeaderRow="0" firstDataRow="1" firstDataCol="2"/>
  <pivotFields count="10">
    <pivotField axis="axisRow" compact="0" outline="0" subtotalTop="0" showAll="0" sortType="descending">
      <items count="11">
        <item x="8"/>
        <item x="5"/>
        <item x="4"/>
        <item x="1"/>
        <item x="2"/>
        <item x="3"/>
        <item x="6"/>
        <item x="0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numFmtId="14" outline="0" subtotalTop="0" showAll="0">
      <items count="5">
        <item x="0"/>
        <item x="1"/>
        <item x="2"/>
        <item x="3"/>
        <item t="default"/>
      </items>
    </pivotField>
    <pivotField compact="0" outline="0" subtotalTop="0" showAll="0"/>
    <pivotField compact="0" outline="0" subtotalTop="0" showAll="0">
      <items count="5">
        <item x="0"/>
        <item x="1"/>
        <item x="2"/>
        <item x="3"/>
        <item t="default"/>
      </items>
    </pivotField>
    <pivotField compact="0" outline="0" subtotalTop="0" showAll="0"/>
    <pivotField compact="0" numFmtId="164" outline="0" subtotalTop="0" showAll="0"/>
    <pivotField compact="0" outline="0" subtotalTop="0" showAll="0"/>
    <pivotField dataField="1" compact="0" numFmtId="164" outline="0" subtotalTop="0" showAll="0"/>
    <pivotField axis="axisRow" compact="0" outline="0" subtotalTop="0" showAll="0">
      <items count="3">
        <item n="Equipe 1" x="0"/>
        <item n="Equipe 2" x="1"/>
        <item t="default"/>
      </items>
    </pivotField>
    <pivotField dataField="1" compact="0" outline="0" dragToRow="0" dragToCol="0" dragToPage="0" showAll="0" defaultSubtotal="0"/>
  </pivotFields>
  <rowFields count="2">
    <field x="8"/>
    <field x="0"/>
  </rowFields>
  <rowItems count="10">
    <i>
      <x/>
      <x/>
    </i>
    <i r="1">
      <x v="4"/>
    </i>
    <i t="default">
      <x/>
    </i>
    <i>
      <x v="1"/>
      <x v="6"/>
    </i>
    <i r="1">
      <x v="7"/>
    </i>
    <i r="1">
      <x v="3"/>
    </i>
    <i r="1">
      <x v="9"/>
    </i>
    <i r="1">
      <x v="8"/>
    </i>
    <i t="default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Ca" fld="7" baseField="0" baseItem="0"/>
    <dataField name="Rang" fld="7" baseField="0" baseItem="0">
      <extLst>
        <ext xmlns:x14="http://schemas.microsoft.com/office/spreadsheetml/2009/9/main" uri="{E15A36E0-9728-4e99-A89B-3F7291B0FE68}">
          <x14:dataField pivotShowAs="rankDescending"/>
        </ext>
      </extLst>
    </dataField>
    <dataField name="Prime" fld="9" baseField="0" baseItem="0" numFmtId="164"/>
  </dataFields>
  <formats count="5">
    <format dxfId="5">
      <pivotArea collapsedLevelsAreSubtotals="1" fieldPosition="0">
        <references count="2">
          <reference field="0" count="4">
            <x v="0"/>
            <x v="2"/>
            <x v="4"/>
            <x v="5"/>
          </reference>
          <reference field="8" count="1" selected="0">
            <x v="0"/>
          </reference>
        </references>
      </pivotArea>
    </format>
    <format dxfId="4">
      <pivotArea collapsedLevelsAreSubtotals="1" fieldPosition="0">
        <references count="1">
          <reference field="8" count="1">
            <x v="1"/>
          </reference>
        </references>
      </pivotArea>
    </format>
    <format dxfId="3">
      <pivotArea collapsedLevelsAreSubtotals="1" fieldPosition="0">
        <references count="2">
          <reference field="0" count="6">
            <x v="1"/>
            <x v="3"/>
            <x v="6"/>
            <x v="7"/>
            <x v="8"/>
            <x v="9"/>
          </reference>
          <reference field="8" count="1" selected="0">
            <x v="1"/>
          </reference>
        </references>
      </pivotArea>
    </format>
    <format dxfId="2">
      <pivotArea grandRow="1" outline="0" collapsedLevelsAreSubtotals="1" fieldPosition="0"/>
    </format>
    <format dxfId="1">
      <pivotArea outline="0" collapsedLevelsAreSubtotals="1" fieldPosition="0">
        <references count="3">
          <reference field="4294967294" count="1" selected="0">
            <x v="1"/>
          </reference>
          <reference field="0" count="0" selected="0"/>
          <reference field="8" count="0" selected="0"/>
        </references>
      </pivotArea>
    </format>
  </formats>
  <pivotTableStyleInfo name="PivotStyleLight14" showRowHeaders="1" showColHeaders="1" showRowStripes="0" showColStripes="0" showLastColumn="1"/>
  <filters count="1">
    <filter fld="1" type="dateBetween" evalOrder="-1" id="22" name="DATE">
      <autoFilter ref="A1">
        <filterColumn colId="0">
          <customFilters and="1">
            <customFilter operator="greaterThanOrEqual" val="42370"/>
            <customFilter operator="lessThanOrEqual" val="4246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Tableau croisé dynamique2" cacheId="1" applyNumberFormats="0" applyBorderFormats="0" applyFontFormats="0" applyPatternFormats="0" applyAlignmentFormats="0" applyWidthHeightFormats="1" dataCaption="Valeurs" updatedVersion="5" minRefreshableVersion="5" useAutoFormatting="1" itemPrintTitles="1" createdVersion="5" indent="0" outline="1" outlineData="1" multipleFieldFilters="0" chartFormat="2">
  <location ref="A3:D15" firstHeaderRow="1" firstDataRow="2" firstDataCol="1"/>
  <pivotFields count="13">
    <pivotField axis="axisRow" subtotalTop="0" showAll="0">
      <items count="11">
        <item x="8"/>
        <item x="5"/>
        <item x="4"/>
        <item x="1"/>
        <item x="2"/>
        <item x="3"/>
        <item x="6"/>
        <item x="0"/>
        <item x="9"/>
        <item x="7"/>
        <item t="default"/>
      </items>
    </pivotField>
    <pivotField numFmtId="14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ubtotalTop="0" showAll="0"/>
    <pivotField subtotalTop="0" showAll="0"/>
    <pivotField subtotalTop="0" showAll="0">
      <items count="7">
        <item x="3"/>
        <item x="5"/>
        <item x="2"/>
        <item x="4"/>
        <item x="1"/>
        <item x="0"/>
        <item t="default"/>
      </items>
    </pivotField>
    <pivotField numFmtId="164" subtotalTop="0" showAll="0"/>
    <pivotField subtotalTop="0" showAll="0"/>
    <pivotField dataField="1" numFmtId="164" subtotalTop="0" showAll="0"/>
    <pivotField showAll="0" defaultSubtotal="0"/>
    <pivotField showAll="0" defaultSubtotal="0"/>
    <pivotField showAll="0" defaultSubtotal="0">
      <items count="12">
        <item x="1"/>
        <item x="4"/>
        <item x="9"/>
        <item x="8"/>
        <item x="0"/>
        <item x="5"/>
        <item x="2"/>
        <item x="7"/>
        <item x="11"/>
        <item x="6"/>
        <item x="10"/>
        <item x="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axis="axisCol" showAll="0" defaultSubtotal="0">
      <items count="4">
        <item x="0"/>
        <item x="1"/>
        <item x="2"/>
        <item x="3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2"/>
  </colFields>
  <colItems count="3">
    <i>
      <x v="1"/>
    </i>
    <i>
      <x v="2"/>
    </i>
    <i t="grand">
      <x/>
    </i>
  </colItems>
  <dataFields count="1">
    <dataField name="Somme de MONTANT" fld="7" baseField="0" baseItem="0" numFmtId="43"/>
  </dataFields>
  <formats count="1">
    <format dxfId="0">
      <pivotArea outline="0" collapsedLevelsAreSubtotals="1" fieldPosition="0"/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annee" sourceName="annee">
  <pivotTables>
    <pivotTable tabId="8" name="Tableau croisé dynamique2"/>
  </pivotTables>
  <data>
    <tabular pivotCacheId="1">
      <items count="2">
        <i x="0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PRODUIT" sourceName="PRODUIT">
  <pivotTables>
    <pivotTable tabId="8" name="Tableau croisé dynamique2"/>
  </pivotTables>
  <data>
    <tabular pivotCacheId="1">
      <items count="6">
        <i x="3" s="1"/>
        <i x="5" s="1"/>
        <i x="2" s="1"/>
        <i x="4" s="1"/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VENDEURS" sourceName="VENDEURS">
  <pivotTables>
    <pivotTable tabId="8" name="Tableau croisé dynamique2"/>
  </pivotTables>
  <data>
    <tabular pivotCacheId="1">
      <items count="10">
        <i x="8" s="1"/>
        <i x="5" s="1"/>
        <i x="4" s="1"/>
        <i x="1" s="1"/>
        <i x="2" s="1"/>
        <i x="6" s="1"/>
        <i x="0" s="1"/>
        <i x="9" s="1"/>
        <i x="7" s="1"/>
        <i x="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nnee" cache="Segment_annee" caption="annee" columnCount="2" style="SlicerStyleLight5" rowHeight="225425"/>
  <slicer name="PRODUIT" cache="Segment_PRODUIT" caption="PRODUIT" columnCount="2" style="SlicerStyleDark1" rowHeight="225425"/>
  <slicer name="VENDEURS" cache="Segment_VENDEURS" caption="VENDEURS" columnCount="3" style="SlicerStyleLight6" rowHeight="225425"/>
</slicers>
</file>

<file path=xl/theme/theme1.xml><?xml version="1.0" encoding="utf-8"?>
<a:theme xmlns:a="http://schemas.openxmlformats.org/drawingml/2006/main" name="Thème Office">
  <a:themeElements>
    <a:clrScheme name="Rouge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name="ChronologieNative_DATE" sourceName="DATE">
  <pivotTables>
    <pivotTable tabId="10" name="Tableau croisé dynamique2"/>
  </pivotTables>
  <state minimalRefreshVersion="6" lastRefreshVersion="6" pivotCacheId="1" filterType="dateBetween">
    <selection startDate="2015-09-01T00:00:00" endDate="2015-12-31T00:00:00"/>
    <bounds startDate="2015-01-01T00:00:00" endDate="2017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name="ChronologieNative_DATE1" sourceName="DATE">
  <pivotTables>
    <pivotTable tabId="12" name="Tableau croisé dynamique2"/>
  </pivotTables>
  <state minimalRefreshVersion="6" lastRefreshVersion="6" pivotCacheId="2" filterType="dateBetween">
    <selection startDate="2016-01-01T00:00:00" endDate="2016-03-31T00:00:00"/>
    <bounds startDate="2015-01-01T00:00:00" endDate="2017-01-01T00:00:00"/>
  </state>
</timelineCacheDefinition>
</file>

<file path=xl/timelineCaches/timelineCache3.xml><?xml version="1.0" encoding="utf-8"?>
<timelineCacheDefinition xmlns="http://schemas.microsoft.com/office/spreadsheetml/2010/11/main" xmlns:x15="http://schemas.microsoft.com/office/spreadsheetml/2010/11/main" name="ChronologieNative_DATE2" sourceName="DATE">
  <pivotTables>
    <pivotTable tabId="13" name="Tableau croisé dynamique2"/>
  </pivotTables>
  <state minimalRefreshVersion="6" lastRefreshVersion="6" pivotCacheId="1" filterType="unknown">
    <bounds startDate="2015-01-01T00:00:00" endDate="201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DATE" cache="ChronologieNative_DATE" caption="DATE" level="2" selectionLevel="2" scrollPosition="2015-08-14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DATE 1" cache="ChronologieNative_DATE1" caption="DATE" level="1" selectionLevel="1" scrollPosition="2015-01-01T00:00:00"/>
</timelines>
</file>

<file path=xl/timelines/timeline3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DATE 2" cache="ChronologieNative_DATE2" caption="DATE" level="2" selectionLevel="2" scrollPosition="2015-08-14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6.xml"/><Relationship Id="rId6" Type="http://schemas.openxmlformats.org/officeDocument/2006/relationships/comments" Target="../comments4.xml"/><Relationship Id="rId5" Type="http://schemas.microsoft.com/office/2007/relationships/slicer" Target="../slicers/slicer1.xml"/><Relationship Id="rId4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1/relationships/timeline" Target="../timelines/timeline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50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9" sqref="E39"/>
    </sheetView>
  </sheetViews>
  <sheetFormatPr baseColWidth="10" defaultRowHeight="12.75"/>
  <cols>
    <col min="1" max="8" width="14.140625" style="1" customWidth="1"/>
    <col min="9" max="10" width="11.42578125" style="1"/>
    <col min="11" max="11" width="14.5703125" style="1" bestFit="1" customWidth="1"/>
    <col min="12" max="16384" width="11.42578125" style="1"/>
  </cols>
  <sheetData>
    <row r="1" spans="1:16" ht="13.5" thickBot="1">
      <c r="A1" s="11" t="s">
        <v>58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" t="s">
        <v>85</v>
      </c>
      <c r="J1" s="1" t="s">
        <v>86</v>
      </c>
      <c r="K1" s="1" t="s">
        <v>99</v>
      </c>
    </row>
    <row r="2" spans="1:16">
      <c r="A2" s="13" t="s">
        <v>7</v>
      </c>
      <c r="B2" s="14">
        <v>42155</v>
      </c>
      <c r="C2" s="15" t="s">
        <v>8</v>
      </c>
      <c r="D2" s="15" t="s">
        <v>9</v>
      </c>
      <c r="E2" s="15" t="s">
        <v>10</v>
      </c>
      <c r="F2" s="16">
        <v>1.5</v>
      </c>
      <c r="G2" s="15">
        <v>7695</v>
      </c>
      <c r="H2" s="16">
        <f>F2*G2</f>
        <v>11542.5</v>
      </c>
      <c r="I2" s="1">
        <f>MONTH(B2)</f>
        <v>5</v>
      </c>
      <c r="J2" s="1">
        <f>YEAR(B2)</f>
        <v>2015</v>
      </c>
      <c r="K2" s="1" t="str">
        <f>VLOOKUP(I2,$N$3:$O$14,2,FALSE)</f>
        <v>Mai</v>
      </c>
    </row>
    <row r="3" spans="1:16">
      <c r="A3" s="13" t="s">
        <v>11</v>
      </c>
      <c r="B3" s="14">
        <v>42372</v>
      </c>
      <c r="C3" s="15" t="s">
        <v>12</v>
      </c>
      <c r="D3" s="15" t="s">
        <v>13</v>
      </c>
      <c r="E3" s="15" t="s">
        <v>10</v>
      </c>
      <c r="F3" s="16">
        <v>1.5</v>
      </c>
      <c r="G3" s="15">
        <v>9224</v>
      </c>
      <c r="H3" s="16">
        <f>F3*G3</f>
        <v>13836</v>
      </c>
      <c r="I3" s="1">
        <f t="shared" ref="I3:I50" si="0">MONTH(B3)</f>
        <v>1</v>
      </c>
      <c r="J3" s="1">
        <f t="shared" ref="J3:J50" si="1">YEAR(B3)</f>
        <v>2016</v>
      </c>
      <c r="K3" s="1" t="str">
        <f t="shared" ref="K3:K50" si="2">VLOOKUP(I3,$N$3:$O$14,2,FALSE)</f>
        <v>Janvier</v>
      </c>
      <c r="N3" s="1">
        <v>1</v>
      </c>
      <c r="O3" s="1" t="s">
        <v>87</v>
      </c>
    </row>
    <row r="4" spans="1:16">
      <c r="A4" s="13" t="s">
        <v>7</v>
      </c>
      <c r="B4" s="14">
        <v>42521</v>
      </c>
      <c r="C4" s="15" t="s">
        <v>14</v>
      </c>
      <c r="D4" s="15" t="s">
        <v>15</v>
      </c>
      <c r="E4" s="15" t="s">
        <v>10</v>
      </c>
      <c r="F4" s="16">
        <v>1.5</v>
      </c>
      <c r="G4" s="15">
        <v>9628</v>
      </c>
      <c r="H4" s="16">
        <f>F4*G4</f>
        <v>14442</v>
      </c>
      <c r="I4" s="1">
        <f t="shared" si="0"/>
        <v>5</v>
      </c>
      <c r="J4" s="1">
        <f t="shared" si="1"/>
        <v>2016</v>
      </c>
      <c r="K4" s="1" t="str">
        <f t="shared" si="2"/>
        <v>Mai</v>
      </c>
      <c r="N4" s="1">
        <v>2</v>
      </c>
      <c r="O4" s="1" t="s">
        <v>88</v>
      </c>
    </row>
    <row r="5" spans="1:16">
      <c r="A5" s="13" t="s">
        <v>16</v>
      </c>
      <c r="B5" s="14">
        <v>42197</v>
      </c>
      <c r="C5" s="15" t="s">
        <v>17</v>
      </c>
      <c r="D5" s="15" t="s">
        <v>9</v>
      </c>
      <c r="E5" s="15" t="s">
        <v>18</v>
      </c>
      <c r="F5" s="16">
        <v>3.4</v>
      </c>
      <c r="G5" s="15">
        <v>8367</v>
      </c>
      <c r="H5" s="16">
        <f>F5*G5</f>
        <v>28447.8</v>
      </c>
      <c r="I5" s="1">
        <f t="shared" si="0"/>
        <v>7</v>
      </c>
      <c r="J5" s="1">
        <f t="shared" si="1"/>
        <v>2015</v>
      </c>
      <c r="K5" s="1" t="str">
        <f t="shared" si="2"/>
        <v>Juillet</v>
      </c>
      <c r="N5" s="1">
        <v>3</v>
      </c>
      <c r="O5" s="1" t="s">
        <v>89</v>
      </c>
    </row>
    <row r="6" spans="1:16">
      <c r="A6" s="13" t="s">
        <v>19</v>
      </c>
      <c r="B6" s="14">
        <v>42353</v>
      </c>
      <c r="C6" s="15" t="s">
        <v>20</v>
      </c>
      <c r="D6" s="15" t="s">
        <v>21</v>
      </c>
      <c r="E6" s="15" t="s">
        <v>22</v>
      </c>
      <c r="F6" s="16">
        <v>6</v>
      </c>
      <c r="G6" s="15">
        <v>6550</v>
      </c>
      <c r="H6" s="16">
        <f t="shared" ref="H6:H30" si="3">F6*G6</f>
        <v>39300</v>
      </c>
      <c r="I6" s="1">
        <f t="shared" si="0"/>
        <v>12</v>
      </c>
      <c r="J6" s="1">
        <f t="shared" si="1"/>
        <v>2015</v>
      </c>
      <c r="K6" s="1" t="str">
        <f t="shared" si="2"/>
        <v>Décembre</v>
      </c>
      <c r="N6" s="1">
        <v>4</v>
      </c>
      <c r="O6" s="1" t="s">
        <v>90</v>
      </c>
    </row>
    <row r="7" spans="1:16">
      <c r="A7" s="13" t="s">
        <v>23</v>
      </c>
      <c r="B7" s="14">
        <v>42050</v>
      </c>
      <c r="C7" s="15" t="s">
        <v>24</v>
      </c>
      <c r="D7" s="15" t="s">
        <v>9</v>
      </c>
      <c r="E7" s="15" t="s">
        <v>22</v>
      </c>
      <c r="F7" s="16">
        <v>6</v>
      </c>
      <c r="G7" s="15">
        <v>6987</v>
      </c>
      <c r="H7" s="16">
        <f t="shared" si="3"/>
        <v>41922</v>
      </c>
      <c r="I7" s="1">
        <f t="shared" si="0"/>
        <v>2</v>
      </c>
      <c r="J7" s="1">
        <f t="shared" si="1"/>
        <v>2015</v>
      </c>
      <c r="K7" s="1" t="str">
        <f t="shared" si="2"/>
        <v>Février</v>
      </c>
      <c r="N7" s="1">
        <v>5</v>
      </c>
      <c r="O7" s="1" t="s">
        <v>91</v>
      </c>
    </row>
    <row r="8" spans="1:16">
      <c r="A8" s="13" t="s">
        <v>11</v>
      </c>
      <c r="B8" s="14">
        <v>42062</v>
      </c>
      <c r="C8" s="15" t="s">
        <v>14</v>
      </c>
      <c r="D8" s="15" t="s">
        <v>15</v>
      </c>
      <c r="E8" s="15" t="s">
        <v>25</v>
      </c>
      <c r="F8" s="16">
        <v>21</v>
      </c>
      <c r="G8" s="15">
        <v>5954</v>
      </c>
      <c r="H8" s="16">
        <f>F8*G8</f>
        <v>125034</v>
      </c>
      <c r="I8" s="1">
        <f t="shared" si="0"/>
        <v>2</v>
      </c>
      <c r="J8" s="1">
        <f t="shared" si="1"/>
        <v>2015</v>
      </c>
      <c r="K8" s="1" t="str">
        <f t="shared" si="2"/>
        <v>Février</v>
      </c>
      <c r="N8" s="1">
        <v>6</v>
      </c>
      <c r="O8" s="1" t="s">
        <v>92</v>
      </c>
    </row>
    <row r="9" spans="1:16">
      <c r="A9" s="13" t="s">
        <v>26</v>
      </c>
      <c r="B9" s="14">
        <v>42546</v>
      </c>
      <c r="C9" s="15" t="s">
        <v>8</v>
      </c>
      <c r="D9" s="15" t="s">
        <v>13</v>
      </c>
      <c r="E9" s="15" t="s">
        <v>27</v>
      </c>
      <c r="F9" s="16">
        <v>25</v>
      </c>
      <c r="G9" s="15">
        <v>7329</v>
      </c>
      <c r="H9" s="16">
        <f>F9*G9</f>
        <v>183225</v>
      </c>
      <c r="I9" s="1">
        <f t="shared" si="0"/>
        <v>6</v>
      </c>
      <c r="J9" s="1">
        <f t="shared" si="1"/>
        <v>2016</v>
      </c>
      <c r="K9" s="1" t="str">
        <f t="shared" si="2"/>
        <v>Juin</v>
      </c>
      <c r="N9" s="1">
        <v>7</v>
      </c>
      <c r="O9" s="1" t="s">
        <v>93</v>
      </c>
    </row>
    <row r="10" spans="1:16">
      <c r="A10" s="13" t="s">
        <v>16</v>
      </c>
      <c r="B10" s="14">
        <v>42287</v>
      </c>
      <c r="C10" s="15" t="s">
        <v>8</v>
      </c>
      <c r="D10" s="15" t="s">
        <v>15</v>
      </c>
      <c r="E10" s="15" t="s">
        <v>10</v>
      </c>
      <c r="F10" s="16">
        <v>1.5</v>
      </c>
      <c r="G10" s="15">
        <v>5293</v>
      </c>
      <c r="H10" s="16">
        <f>F10*G10</f>
        <v>7939.5</v>
      </c>
      <c r="I10" s="1">
        <f t="shared" si="0"/>
        <v>10</v>
      </c>
      <c r="J10" s="1">
        <f t="shared" si="1"/>
        <v>2015</v>
      </c>
      <c r="K10" s="1" t="str">
        <f t="shared" si="2"/>
        <v>Octobre</v>
      </c>
      <c r="N10" s="1">
        <v>8</v>
      </c>
      <c r="O10" s="1" t="s">
        <v>94</v>
      </c>
    </row>
    <row r="11" spans="1:16">
      <c r="A11" s="13" t="s">
        <v>28</v>
      </c>
      <c r="B11" s="14">
        <v>42366</v>
      </c>
      <c r="C11" s="15" t="s">
        <v>20</v>
      </c>
      <c r="D11" s="15" t="s">
        <v>21</v>
      </c>
      <c r="E11" s="15" t="s">
        <v>10</v>
      </c>
      <c r="F11" s="16">
        <v>1.5</v>
      </c>
      <c r="G11" s="15">
        <v>5562</v>
      </c>
      <c r="H11" s="16">
        <f t="shared" si="3"/>
        <v>8343</v>
      </c>
      <c r="I11" s="1">
        <f t="shared" si="0"/>
        <v>12</v>
      </c>
      <c r="J11" s="1">
        <f t="shared" si="1"/>
        <v>2015</v>
      </c>
      <c r="K11" s="1" t="str">
        <f t="shared" si="2"/>
        <v>Décembre</v>
      </c>
      <c r="N11" s="1">
        <v>9</v>
      </c>
      <c r="O11" s="1" t="s">
        <v>95</v>
      </c>
    </row>
    <row r="12" spans="1:16">
      <c r="A12" s="13" t="s">
        <v>29</v>
      </c>
      <c r="B12" s="14">
        <v>42517</v>
      </c>
      <c r="C12" s="15" t="s">
        <v>24</v>
      </c>
      <c r="D12" s="15" t="s">
        <v>15</v>
      </c>
      <c r="E12" s="15" t="s">
        <v>10</v>
      </c>
      <c r="F12" s="16">
        <v>1.5</v>
      </c>
      <c r="G12" s="15">
        <v>6852</v>
      </c>
      <c r="H12" s="16">
        <f>F12*G12</f>
        <v>10278</v>
      </c>
      <c r="I12" s="1">
        <f t="shared" si="0"/>
        <v>5</v>
      </c>
      <c r="J12" s="1">
        <f t="shared" si="1"/>
        <v>2016</v>
      </c>
      <c r="K12" s="1" t="str">
        <f t="shared" si="2"/>
        <v>Mai</v>
      </c>
      <c r="N12" s="1">
        <v>10</v>
      </c>
      <c r="O12" s="1" t="s">
        <v>96</v>
      </c>
    </row>
    <row r="13" spans="1:16">
      <c r="A13" s="13" t="s">
        <v>7</v>
      </c>
      <c r="B13" s="14">
        <v>42237</v>
      </c>
      <c r="C13" s="15" t="s">
        <v>12</v>
      </c>
      <c r="D13" s="15" t="s">
        <v>13</v>
      </c>
      <c r="E13" s="15" t="s">
        <v>18</v>
      </c>
      <c r="F13" s="16">
        <v>3.4</v>
      </c>
      <c r="G13" s="15">
        <v>5641</v>
      </c>
      <c r="H13" s="16">
        <f t="shared" si="3"/>
        <v>19179.399999999998</v>
      </c>
      <c r="I13" s="1">
        <f t="shared" si="0"/>
        <v>8</v>
      </c>
      <c r="J13" s="1">
        <f t="shared" si="1"/>
        <v>2015</v>
      </c>
      <c r="K13" s="1" t="str">
        <f t="shared" si="2"/>
        <v>Août</v>
      </c>
      <c r="N13" s="1">
        <v>11</v>
      </c>
      <c r="O13" s="1" t="s">
        <v>97</v>
      </c>
    </row>
    <row r="14" spans="1:16">
      <c r="A14" s="13" t="s">
        <v>30</v>
      </c>
      <c r="B14" s="14">
        <v>42393</v>
      </c>
      <c r="C14" s="15" t="s">
        <v>17</v>
      </c>
      <c r="D14" s="15" t="s">
        <v>21</v>
      </c>
      <c r="E14" s="15" t="s">
        <v>18</v>
      </c>
      <c r="F14" s="16">
        <v>3.4</v>
      </c>
      <c r="G14" s="15">
        <v>7212</v>
      </c>
      <c r="H14" s="16">
        <f>F14*G14</f>
        <v>24520.799999999999</v>
      </c>
      <c r="I14" s="1">
        <f t="shared" si="0"/>
        <v>1</v>
      </c>
      <c r="J14" s="1">
        <f t="shared" si="1"/>
        <v>2016</v>
      </c>
      <c r="K14" s="1" t="str">
        <f t="shared" si="2"/>
        <v>Janvier</v>
      </c>
      <c r="L14"/>
      <c r="M14"/>
      <c r="N14" s="1">
        <v>12</v>
      </c>
      <c r="O14" s="1" t="s">
        <v>98</v>
      </c>
      <c r="P14"/>
    </row>
    <row r="15" spans="1:16">
      <c r="A15" s="13" t="s">
        <v>26</v>
      </c>
      <c r="B15" s="14">
        <v>42044</v>
      </c>
      <c r="C15" s="15" t="s">
        <v>24</v>
      </c>
      <c r="D15" s="15" t="s">
        <v>9</v>
      </c>
      <c r="E15" s="15" t="s">
        <v>22</v>
      </c>
      <c r="F15" s="16">
        <v>6</v>
      </c>
      <c r="G15" s="15">
        <v>5764</v>
      </c>
      <c r="H15" s="16">
        <f t="shared" si="3"/>
        <v>34584</v>
      </c>
      <c r="I15" s="1">
        <f t="shared" si="0"/>
        <v>2</v>
      </c>
      <c r="J15" s="1">
        <f t="shared" si="1"/>
        <v>2015</v>
      </c>
      <c r="K15" s="1" t="str">
        <f t="shared" si="2"/>
        <v>Février</v>
      </c>
      <c r="L15"/>
      <c r="M15"/>
      <c r="N15"/>
      <c r="O15"/>
      <c r="P15"/>
    </row>
    <row r="16" spans="1:16">
      <c r="A16" s="13" t="s">
        <v>11</v>
      </c>
      <c r="B16" s="14">
        <v>42423</v>
      </c>
      <c r="C16" s="15" t="s">
        <v>14</v>
      </c>
      <c r="D16" s="15" t="s">
        <v>21</v>
      </c>
      <c r="E16" s="15" t="s">
        <v>31</v>
      </c>
      <c r="F16" s="16">
        <v>12</v>
      </c>
      <c r="G16" s="15">
        <v>9886</v>
      </c>
      <c r="H16" s="16">
        <f t="shared" si="3"/>
        <v>118632</v>
      </c>
      <c r="I16" s="1">
        <f t="shared" si="0"/>
        <v>2</v>
      </c>
      <c r="J16" s="1">
        <f t="shared" si="1"/>
        <v>2016</v>
      </c>
      <c r="K16" s="1" t="str">
        <f t="shared" si="2"/>
        <v>Février</v>
      </c>
      <c r="L16"/>
      <c r="M16"/>
      <c r="N16"/>
      <c r="O16"/>
      <c r="P16"/>
    </row>
    <row r="17" spans="1:16">
      <c r="A17" s="13" t="s">
        <v>32</v>
      </c>
      <c r="B17" s="14">
        <v>42482</v>
      </c>
      <c r="C17" s="15" t="s">
        <v>33</v>
      </c>
      <c r="D17" s="15" t="s">
        <v>15</v>
      </c>
      <c r="E17" s="15" t="s">
        <v>27</v>
      </c>
      <c r="F17" s="16">
        <v>25</v>
      </c>
      <c r="G17" s="15">
        <v>6728</v>
      </c>
      <c r="H17" s="16">
        <f>F17*G17</f>
        <v>168200</v>
      </c>
      <c r="I17" s="1">
        <f t="shared" si="0"/>
        <v>4</v>
      </c>
      <c r="J17" s="1">
        <f t="shared" si="1"/>
        <v>2016</v>
      </c>
      <c r="K17" s="1" t="str">
        <f t="shared" si="2"/>
        <v>Avril</v>
      </c>
      <c r="L17"/>
      <c r="M17"/>
      <c r="N17"/>
      <c r="O17"/>
      <c r="P17"/>
    </row>
    <row r="18" spans="1:16">
      <c r="A18" s="13" t="s">
        <v>28</v>
      </c>
      <c r="B18" s="14">
        <v>42351</v>
      </c>
      <c r="C18" s="15" t="s">
        <v>14</v>
      </c>
      <c r="D18" s="15" t="s">
        <v>9</v>
      </c>
      <c r="E18" s="15" t="s">
        <v>25</v>
      </c>
      <c r="F18" s="16">
        <v>21</v>
      </c>
      <c r="G18" s="15">
        <v>8694</v>
      </c>
      <c r="H18" s="16">
        <f>F18*G18</f>
        <v>182574</v>
      </c>
      <c r="I18" s="1">
        <f t="shared" si="0"/>
        <v>12</v>
      </c>
      <c r="J18" s="1">
        <f t="shared" si="1"/>
        <v>2015</v>
      </c>
      <c r="K18" s="1" t="str">
        <f t="shared" si="2"/>
        <v>Décembre</v>
      </c>
      <c r="L18"/>
      <c r="M18"/>
      <c r="N18"/>
      <c r="O18"/>
      <c r="P18"/>
    </row>
    <row r="19" spans="1:16">
      <c r="A19" s="13" t="s">
        <v>11</v>
      </c>
      <c r="B19" s="14">
        <v>42094</v>
      </c>
      <c r="C19" s="15" t="s">
        <v>20</v>
      </c>
      <c r="D19" s="15" t="s">
        <v>15</v>
      </c>
      <c r="E19" s="15" t="s">
        <v>10</v>
      </c>
      <c r="F19" s="16">
        <v>1.5</v>
      </c>
      <c r="G19" s="15">
        <v>5750</v>
      </c>
      <c r="H19" s="16">
        <f>F19*G19</f>
        <v>8625</v>
      </c>
      <c r="I19" s="1">
        <f t="shared" si="0"/>
        <v>3</v>
      </c>
      <c r="J19" s="1">
        <f t="shared" si="1"/>
        <v>2015</v>
      </c>
      <c r="K19" s="1" t="str">
        <f t="shared" si="2"/>
        <v>Mars</v>
      </c>
      <c r="L19"/>
      <c r="M19"/>
      <c r="N19"/>
      <c r="O19"/>
      <c r="P19"/>
    </row>
    <row r="20" spans="1:16">
      <c r="A20" s="13" t="s">
        <v>7</v>
      </c>
      <c r="B20" s="14">
        <v>42181</v>
      </c>
      <c r="C20" s="15" t="s">
        <v>12</v>
      </c>
      <c r="D20" s="15" t="s">
        <v>9</v>
      </c>
      <c r="E20" s="15" t="s">
        <v>10</v>
      </c>
      <c r="F20" s="16">
        <v>1.5</v>
      </c>
      <c r="G20" s="15">
        <v>8639</v>
      </c>
      <c r="H20" s="16">
        <f>F20*G20</f>
        <v>12958.5</v>
      </c>
      <c r="I20" s="1">
        <f t="shared" si="0"/>
        <v>6</v>
      </c>
      <c r="J20" s="1">
        <f t="shared" si="1"/>
        <v>2015</v>
      </c>
      <c r="K20" s="1" t="str">
        <f t="shared" si="2"/>
        <v>Juin</v>
      </c>
    </row>
    <row r="21" spans="1:16">
      <c r="A21" s="13" t="s">
        <v>16</v>
      </c>
      <c r="B21" s="14">
        <v>42398</v>
      </c>
      <c r="C21" s="15" t="s">
        <v>12</v>
      </c>
      <c r="D21" s="15" t="s">
        <v>9</v>
      </c>
      <c r="E21" s="15" t="s">
        <v>10</v>
      </c>
      <c r="F21" s="16">
        <v>1.5</v>
      </c>
      <c r="G21" s="15">
        <v>8804</v>
      </c>
      <c r="H21" s="16">
        <f>F21*G21</f>
        <v>13206</v>
      </c>
      <c r="I21" s="1">
        <f t="shared" si="0"/>
        <v>1</v>
      </c>
      <c r="J21" s="1">
        <f t="shared" si="1"/>
        <v>2016</v>
      </c>
      <c r="K21" s="1" t="str">
        <f t="shared" si="2"/>
        <v>Janvier</v>
      </c>
    </row>
    <row r="22" spans="1:16">
      <c r="A22" s="13" t="s">
        <v>32</v>
      </c>
      <c r="B22" s="14">
        <v>42317</v>
      </c>
      <c r="C22" s="15" t="s">
        <v>17</v>
      </c>
      <c r="D22" s="15" t="s">
        <v>21</v>
      </c>
      <c r="E22" s="15" t="s">
        <v>31</v>
      </c>
      <c r="F22" s="16">
        <v>12</v>
      </c>
      <c r="G22" s="15">
        <v>5136</v>
      </c>
      <c r="H22" s="16">
        <f t="shared" si="3"/>
        <v>61632</v>
      </c>
      <c r="I22" s="1">
        <f t="shared" si="0"/>
        <v>11</v>
      </c>
      <c r="J22" s="1">
        <f t="shared" si="1"/>
        <v>2015</v>
      </c>
      <c r="K22" s="1" t="str">
        <f t="shared" si="2"/>
        <v>Novembre</v>
      </c>
    </row>
    <row r="23" spans="1:16">
      <c r="A23" s="13" t="s">
        <v>28</v>
      </c>
      <c r="B23" s="14">
        <v>42434</v>
      </c>
      <c r="C23" s="15" t="s">
        <v>20</v>
      </c>
      <c r="D23" s="15" t="s">
        <v>15</v>
      </c>
      <c r="E23" s="15" t="s">
        <v>31</v>
      </c>
      <c r="F23" s="16">
        <v>12</v>
      </c>
      <c r="G23" s="15">
        <v>7017</v>
      </c>
      <c r="H23" s="16">
        <f>F23*G23</f>
        <v>84204</v>
      </c>
      <c r="I23" s="1">
        <f t="shared" si="0"/>
        <v>3</v>
      </c>
      <c r="J23" s="1">
        <f t="shared" si="1"/>
        <v>2016</v>
      </c>
      <c r="K23" s="1" t="str">
        <f t="shared" si="2"/>
        <v>Mars</v>
      </c>
    </row>
    <row r="24" spans="1:16">
      <c r="A24" s="13" t="s">
        <v>11</v>
      </c>
      <c r="B24" s="14">
        <v>42387</v>
      </c>
      <c r="C24" s="15" t="s">
        <v>20</v>
      </c>
      <c r="D24" s="15" t="s">
        <v>15</v>
      </c>
      <c r="E24" s="15" t="s">
        <v>10</v>
      </c>
      <c r="F24" s="16">
        <v>1.5</v>
      </c>
      <c r="G24" s="15">
        <v>8611</v>
      </c>
      <c r="H24" s="16">
        <f t="shared" si="3"/>
        <v>12916.5</v>
      </c>
      <c r="I24" s="1">
        <f t="shared" si="0"/>
        <v>1</v>
      </c>
      <c r="J24" s="1">
        <f t="shared" si="1"/>
        <v>2016</v>
      </c>
      <c r="K24" s="1" t="str">
        <f t="shared" si="2"/>
        <v>Janvier</v>
      </c>
    </row>
    <row r="25" spans="1:16">
      <c r="A25" s="13" t="s">
        <v>26</v>
      </c>
      <c r="B25" s="14">
        <v>42540</v>
      </c>
      <c r="C25" s="15" t="s">
        <v>24</v>
      </c>
      <c r="D25" s="15" t="s">
        <v>13</v>
      </c>
      <c r="E25" s="15" t="s">
        <v>31</v>
      </c>
      <c r="F25" s="16">
        <v>12</v>
      </c>
      <c r="G25" s="15">
        <v>9924</v>
      </c>
      <c r="H25" s="16">
        <f t="shared" si="3"/>
        <v>119088</v>
      </c>
      <c r="I25" s="1">
        <f t="shared" si="0"/>
        <v>6</v>
      </c>
      <c r="J25" s="1">
        <f t="shared" si="1"/>
        <v>2016</v>
      </c>
      <c r="K25" s="1" t="str">
        <f t="shared" si="2"/>
        <v>Juin</v>
      </c>
    </row>
    <row r="26" spans="1:16">
      <c r="A26" s="13" t="s">
        <v>7</v>
      </c>
      <c r="B26" s="14">
        <v>42379</v>
      </c>
      <c r="C26" s="15" t="s">
        <v>17</v>
      </c>
      <c r="D26" s="15" t="s">
        <v>9</v>
      </c>
      <c r="E26" s="15" t="s">
        <v>25</v>
      </c>
      <c r="F26" s="16">
        <v>21</v>
      </c>
      <c r="G26" s="15">
        <v>8279</v>
      </c>
      <c r="H26" s="16">
        <f t="shared" si="3"/>
        <v>173859</v>
      </c>
      <c r="I26" s="1">
        <f t="shared" si="0"/>
        <v>1</v>
      </c>
      <c r="J26" s="1">
        <f t="shared" si="1"/>
        <v>2016</v>
      </c>
      <c r="K26" s="1" t="str">
        <f t="shared" si="2"/>
        <v>Janvier</v>
      </c>
    </row>
    <row r="27" spans="1:16">
      <c r="A27" s="13" t="s">
        <v>30</v>
      </c>
      <c r="B27" s="14">
        <v>42070</v>
      </c>
      <c r="C27" s="15" t="s">
        <v>14</v>
      </c>
      <c r="D27" s="15" t="s">
        <v>15</v>
      </c>
      <c r="E27" s="15" t="s">
        <v>27</v>
      </c>
      <c r="F27" s="16">
        <v>25</v>
      </c>
      <c r="G27" s="15">
        <v>7346</v>
      </c>
      <c r="H27" s="16">
        <f>F27*G27</f>
        <v>183650</v>
      </c>
      <c r="I27" s="1">
        <f t="shared" si="0"/>
        <v>3</v>
      </c>
      <c r="J27" s="1">
        <f t="shared" si="1"/>
        <v>2015</v>
      </c>
      <c r="K27" s="1" t="str">
        <f t="shared" si="2"/>
        <v>Mars</v>
      </c>
    </row>
    <row r="28" spans="1:16">
      <c r="A28" s="13" t="s">
        <v>29</v>
      </c>
      <c r="B28" s="14">
        <v>42167</v>
      </c>
      <c r="C28" s="15" t="s">
        <v>17</v>
      </c>
      <c r="D28" s="15" t="s">
        <v>15</v>
      </c>
      <c r="E28" s="15" t="s">
        <v>10</v>
      </c>
      <c r="F28" s="16">
        <v>1.5</v>
      </c>
      <c r="G28" s="15">
        <v>6213</v>
      </c>
      <c r="H28" s="16">
        <f t="shared" si="3"/>
        <v>9319.5</v>
      </c>
      <c r="I28" s="1">
        <f t="shared" si="0"/>
        <v>6</v>
      </c>
      <c r="J28" s="1">
        <f t="shared" si="1"/>
        <v>2015</v>
      </c>
      <c r="K28" s="1" t="str">
        <f t="shared" si="2"/>
        <v>Juin</v>
      </c>
    </row>
    <row r="29" spans="1:16">
      <c r="A29" s="13" t="s">
        <v>11</v>
      </c>
      <c r="B29" s="14">
        <v>42385</v>
      </c>
      <c r="C29" s="15" t="s">
        <v>20</v>
      </c>
      <c r="D29" s="15" t="s">
        <v>15</v>
      </c>
      <c r="E29" s="15" t="s">
        <v>10</v>
      </c>
      <c r="F29" s="16">
        <v>1.5</v>
      </c>
      <c r="G29" s="15">
        <v>7645</v>
      </c>
      <c r="H29" s="16">
        <f>F29*G29</f>
        <v>11467.5</v>
      </c>
      <c r="I29" s="1">
        <f t="shared" si="0"/>
        <v>1</v>
      </c>
      <c r="J29" s="1">
        <f t="shared" si="1"/>
        <v>2016</v>
      </c>
      <c r="K29" s="1" t="str">
        <f t="shared" si="2"/>
        <v>Janvier</v>
      </c>
    </row>
    <row r="30" spans="1:16">
      <c r="A30" s="13" t="s">
        <v>23</v>
      </c>
      <c r="B30" s="14">
        <v>42535</v>
      </c>
      <c r="C30" s="15" t="s">
        <v>20</v>
      </c>
      <c r="D30" s="15" t="s">
        <v>13</v>
      </c>
      <c r="E30" s="15" t="s">
        <v>10</v>
      </c>
      <c r="F30" s="16">
        <v>1.5</v>
      </c>
      <c r="G30" s="15">
        <v>8091</v>
      </c>
      <c r="H30" s="16">
        <f t="shared" si="3"/>
        <v>12136.5</v>
      </c>
      <c r="I30" s="1">
        <f t="shared" si="0"/>
        <v>6</v>
      </c>
      <c r="J30" s="1">
        <f t="shared" si="1"/>
        <v>2016</v>
      </c>
      <c r="K30" s="1" t="str">
        <f t="shared" si="2"/>
        <v>Juin</v>
      </c>
    </row>
    <row r="31" spans="1:16">
      <c r="A31" s="13" t="s">
        <v>28</v>
      </c>
      <c r="B31" s="14">
        <v>42394</v>
      </c>
      <c r="C31" s="15" t="s">
        <v>8</v>
      </c>
      <c r="D31" s="15" t="s">
        <v>15</v>
      </c>
      <c r="E31" s="15" t="s">
        <v>18</v>
      </c>
      <c r="F31" s="16">
        <v>3.4</v>
      </c>
      <c r="G31" s="15">
        <v>7819</v>
      </c>
      <c r="H31" s="16">
        <f>F31*G31</f>
        <v>26584.6</v>
      </c>
      <c r="I31" s="1">
        <f t="shared" si="0"/>
        <v>1</v>
      </c>
      <c r="J31" s="1">
        <f t="shared" si="1"/>
        <v>2016</v>
      </c>
      <c r="K31" s="1" t="str">
        <f t="shared" si="2"/>
        <v>Janvier</v>
      </c>
    </row>
    <row r="32" spans="1:16">
      <c r="A32" s="13" t="s">
        <v>19</v>
      </c>
      <c r="B32" s="14">
        <v>42290</v>
      </c>
      <c r="C32" s="15" t="s">
        <v>17</v>
      </c>
      <c r="D32" s="15" t="s">
        <v>9</v>
      </c>
      <c r="E32" s="15" t="s">
        <v>18</v>
      </c>
      <c r="F32" s="16">
        <v>3.4</v>
      </c>
      <c r="G32" s="15">
        <v>8227</v>
      </c>
      <c r="H32" s="16">
        <f t="shared" ref="H32:H50" si="4">F32*G32</f>
        <v>27971.8</v>
      </c>
      <c r="I32" s="1">
        <f t="shared" si="0"/>
        <v>10</v>
      </c>
      <c r="J32" s="1">
        <f t="shared" si="1"/>
        <v>2015</v>
      </c>
      <c r="K32" s="1" t="str">
        <f t="shared" si="2"/>
        <v>Octobre</v>
      </c>
    </row>
    <row r="33" spans="1:11">
      <c r="A33" s="13" t="s">
        <v>32</v>
      </c>
      <c r="B33" s="14">
        <v>42391</v>
      </c>
      <c r="C33" s="15" t="s">
        <v>12</v>
      </c>
      <c r="D33" s="15" t="s">
        <v>15</v>
      </c>
      <c r="E33" s="15" t="s">
        <v>22</v>
      </c>
      <c r="F33" s="16">
        <v>6</v>
      </c>
      <c r="G33" s="15">
        <v>6317</v>
      </c>
      <c r="H33" s="16">
        <f t="shared" si="4"/>
        <v>37902</v>
      </c>
      <c r="I33" s="1">
        <f t="shared" si="0"/>
        <v>1</v>
      </c>
      <c r="J33" s="1">
        <f t="shared" si="1"/>
        <v>2016</v>
      </c>
      <c r="K33" s="1" t="str">
        <f t="shared" si="2"/>
        <v>Janvier</v>
      </c>
    </row>
    <row r="34" spans="1:11">
      <c r="A34" s="13" t="s">
        <v>28</v>
      </c>
      <c r="B34" s="14">
        <v>42052</v>
      </c>
      <c r="C34" s="15" t="s">
        <v>12</v>
      </c>
      <c r="D34" s="15" t="s">
        <v>13</v>
      </c>
      <c r="E34" s="15" t="s">
        <v>25</v>
      </c>
      <c r="F34" s="16">
        <v>21</v>
      </c>
      <c r="G34" s="15">
        <v>9401</v>
      </c>
      <c r="H34" s="16">
        <f>F34*G34</f>
        <v>197421</v>
      </c>
      <c r="I34" s="1">
        <f t="shared" si="0"/>
        <v>2</v>
      </c>
      <c r="J34" s="1">
        <f t="shared" si="1"/>
        <v>2015</v>
      </c>
      <c r="K34" s="1" t="str">
        <f t="shared" si="2"/>
        <v>Février</v>
      </c>
    </row>
    <row r="35" spans="1:11">
      <c r="A35" s="13" t="s">
        <v>29</v>
      </c>
      <c r="B35" s="14">
        <v>42444</v>
      </c>
      <c r="C35" s="15" t="s">
        <v>20</v>
      </c>
      <c r="D35" s="15" t="s">
        <v>15</v>
      </c>
      <c r="E35" s="15" t="s">
        <v>22</v>
      </c>
      <c r="F35" s="16">
        <v>6</v>
      </c>
      <c r="G35" s="15">
        <v>7373</v>
      </c>
      <c r="H35" s="16">
        <f>F35*G35</f>
        <v>44238</v>
      </c>
      <c r="I35" s="1">
        <f t="shared" si="0"/>
        <v>3</v>
      </c>
      <c r="J35" s="1">
        <f t="shared" si="1"/>
        <v>2016</v>
      </c>
      <c r="K35" s="1" t="str">
        <f t="shared" si="2"/>
        <v>Mars</v>
      </c>
    </row>
    <row r="36" spans="1:11">
      <c r="A36" s="13" t="s">
        <v>7</v>
      </c>
      <c r="B36" s="14">
        <v>42188</v>
      </c>
      <c r="C36" s="15" t="s">
        <v>12</v>
      </c>
      <c r="D36" s="15" t="s">
        <v>13</v>
      </c>
      <c r="E36" s="15" t="s">
        <v>31</v>
      </c>
      <c r="F36" s="16">
        <v>12</v>
      </c>
      <c r="G36" s="15">
        <v>9062</v>
      </c>
      <c r="H36" s="16">
        <f t="shared" si="4"/>
        <v>108744</v>
      </c>
      <c r="I36" s="1">
        <f t="shared" si="0"/>
        <v>7</v>
      </c>
      <c r="J36" s="1">
        <f t="shared" si="1"/>
        <v>2015</v>
      </c>
      <c r="K36" s="1" t="str">
        <f t="shared" si="2"/>
        <v>Juillet</v>
      </c>
    </row>
    <row r="37" spans="1:11">
      <c r="A37" s="13" t="s">
        <v>7</v>
      </c>
      <c r="B37" s="14">
        <v>42293</v>
      </c>
      <c r="C37" s="15" t="s">
        <v>24</v>
      </c>
      <c r="D37" s="15" t="s">
        <v>9</v>
      </c>
      <c r="E37" s="15" t="s">
        <v>18</v>
      </c>
      <c r="F37" s="16">
        <v>3.4</v>
      </c>
      <c r="G37" s="15">
        <v>5336</v>
      </c>
      <c r="H37" s="16">
        <f>F37*G37</f>
        <v>18142.399999999998</v>
      </c>
      <c r="I37" s="1">
        <f t="shared" si="0"/>
        <v>10</v>
      </c>
      <c r="J37" s="1">
        <f t="shared" si="1"/>
        <v>2015</v>
      </c>
      <c r="K37" s="1" t="str">
        <f t="shared" si="2"/>
        <v>Octobre</v>
      </c>
    </row>
    <row r="38" spans="1:11">
      <c r="A38" s="13" t="s">
        <v>23</v>
      </c>
      <c r="B38" s="14">
        <v>42246</v>
      </c>
      <c r="C38" s="15" t="s">
        <v>12</v>
      </c>
      <c r="D38" s="15" t="s">
        <v>13</v>
      </c>
      <c r="E38" s="15" t="s">
        <v>18</v>
      </c>
      <c r="F38" s="16">
        <v>3.4</v>
      </c>
      <c r="G38" s="15">
        <v>9165</v>
      </c>
      <c r="H38" s="16">
        <f t="shared" si="4"/>
        <v>31161</v>
      </c>
      <c r="I38" s="1">
        <f t="shared" si="0"/>
        <v>8</v>
      </c>
      <c r="J38" s="1">
        <f t="shared" si="1"/>
        <v>2015</v>
      </c>
      <c r="K38" s="1" t="str">
        <f t="shared" si="2"/>
        <v>Août</v>
      </c>
    </row>
    <row r="39" spans="1:11">
      <c r="A39" s="13" t="s">
        <v>16</v>
      </c>
      <c r="B39" s="14">
        <v>42330</v>
      </c>
      <c r="C39" s="15" t="s">
        <v>20</v>
      </c>
      <c r="D39" s="15" t="s">
        <v>13</v>
      </c>
      <c r="E39" s="15" t="s">
        <v>22</v>
      </c>
      <c r="F39" s="16">
        <v>6</v>
      </c>
      <c r="G39" s="15">
        <v>7700</v>
      </c>
      <c r="H39" s="16">
        <f>F39*G39</f>
        <v>46200</v>
      </c>
      <c r="I39" s="1">
        <f t="shared" si="0"/>
        <v>11</v>
      </c>
      <c r="J39" s="1">
        <f t="shared" si="1"/>
        <v>2015</v>
      </c>
      <c r="K39" s="1" t="str">
        <f t="shared" si="2"/>
        <v>Novembre</v>
      </c>
    </row>
    <row r="40" spans="1:11">
      <c r="A40" s="13" t="s">
        <v>28</v>
      </c>
      <c r="B40" s="14">
        <v>42322</v>
      </c>
      <c r="C40" s="15" t="s">
        <v>24</v>
      </c>
      <c r="D40" s="15" t="s">
        <v>13</v>
      </c>
      <c r="E40" s="15" t="s">
        <v>22</v>
      </c>
      <c r="F40" s="16">
        <v>6</v>
      </c>
      <c r="G40" s="15">
        <v>8407</v>
      </c>
      <c r="H40" s="16">
        <f>F40*G40</f>
        <v>50442</v>
      </c>
      <c r="I40" s="1">
        <f t="shared" si="0"/>
        <v>11</v>
      </c>
      <c r="J40" s="1">
        <f t="shared" si="1"/>
        <v>2015</v>
      </c>
      <c r="K40" s="1" t="str">
        <f t="shared" si="2"/>
        <v>Novembre</v>
      </c>
    </row>
    <row r="41" spans="1:11">
      <c r="A41" s="13" t="s">
        <v>32</v>
      </c>
      <c r="B41" s="14">
        <v>42098</v>
      </c>
      <c r="C41" s="15" t="s">
        <v>24</v>
      </c>
      <c r="D41" s="15" t="s">
        <v>9</v>
      </c>
      <c r="E41" s="15" t="s">
        <v>22</v>
      </c>
      <c r="F41" s="16">
        <v>6</v>
      </c>
      <c r="G41" s="15">
        <v>8489</v>
      </c>
      <c r="H41" s="16">
        <f t="shared" si="4"/>
        <v>50934</v>
      </c>
      <c r="I41" s="1">
        <f t="shared" si="0"/>
        <v>4</v>
      </c>
      <c r="J41" s="1">
        <f t="shared" si="1"/>
        <v>2015</v>
      </c>
      <c r="K41" s="1" t="str">
        <f t="shared" si="2"/>
        <v>Avril</v>
      </c>
    </row>
    <row r="42" spans="1:11">
      <c r="A42" s="13" t="s">
        <v>28</v>
      </c>
      <c r="B42" s="14">
        <v>42252</v>
      </c>
      <c r="C42" s="15" t="s">
        <v>12</v>
      </c>
      <c r="D42" s="15" t="s">
        <v>21</v>
      </c>
      <c r="E42" s="15" t="s">
        <v>22</v>
      </c>
      <c r="F42" s="16">
        <v>6</v>
      </c>
      <c r="G42" s="15">
        <v>9929</v>
      </c>
      <c r="H42" s="16">
        <f t="shared" si="4"/>
        <v>59574</v>
      </c>
      <c r="I42" s="1">
        <f t="shared" si="0"/>
        <v>9</v>
      </c>
      <c r="J42" s="1">
        <f t="shared" si="1"/>
        <v>2015</v>
      </c>
      <c r="K42" s="1" t="str">
        <f t="shared" si="2"/>
        <v>Septembre</v>
      </c>
    </row>
    <row r="43" spans="1:11">
      <c r="A43" s="13" t="s">
        <v>19</v>
      </c>
      <c r="B43" s="14">
        <v>42307</v>
      </c>
      <c r="C43" s="15" t="s">
        <v>8</v>
      </c>
      <c r="D43" s="15" t="s">
        <v>15</v>
      </c>
      <c r="E43" s="15" t="s">
        <v>31</v>
      </c>
      <c r="F43" s="16">
        <v>12</v>
      </c>
      <c r="G43" s="15">
        <v>5463</v>
      </c>
      <c r="H43" s="16">
        <f t="shared" si="4"/>
        <v>65556</v>
      </c>
      <c r="I43" s="1">
        <f t="shared" si="0"/>
        <v>10</v>
      </c>
      <c r="J43" s="1">
        <f t="shared" si="1"/>
        <v>2015</v>
      </c>
      <c r="K43" s="1" t="str">
        <f t="shared" si="2"/>
        <v>Octobre</v>
      </c>
    </row>
    <row r="44" spans="1:11">
      <c r="A44" s="13" t="s">
        <v>23</v>
      </c>
      <c r="B44" s="14">
        <v>42202</v>
      </c>
      <c r="C44" s="15" t="s">
        <v>20</v>
      </c>
      <c r="D44" s="15" t="s">
        <v>13</v>
      </c>
      <c r="E44" s="15" t="s">
        <v>31</v>
      </c>
      <c r="F44" s="16">
        <v>12</v>
      </c>
      <c r="G44" s="15">
        <v>6660</v>
      </c>
      <c r="H44" s="16">
        <f t="shared" si="4"/>
        <v>79920</v>
      </c>
      <c r="I44" s="1">
        <f t="shared" si="0"/>
        <v>7</v>
      </c>
      <c r="J44" s="1">
        <f t="shared" si="1"/>
        <v>2015</v>
      </c>
      <c r="K44" s="1" t="str">
        <f t="shared" si="2"/>
        <v>Juillet</v>
      </c>
    </row>
    <row r="45" spans="1:11">
      <c r="A45" s="13" t="s">
        <v>7</v>
      </c>
      <c r="B45" s="14">
        <v>42514</v>
      </c>
      <c r="C45" s="15" t="s">
        <v>14</v>
      </c>
      <c r="D45" s="15" t="s">
        <v>15</v>
      </c>
      <c r="E45" s="15" t="s">
        <v>31</v>
      </c>
      <c r="F45" s="16">
        <v>12</v>
      </c>
      <c r="G45" s="15">
        <v>7349</v>
      </c>
      <c r="H45" s="16">
        <f t="shared" si="4"/>
        <v>88188</v>
      </c>
      <c r="I45" s="1">
        <f t="shared" si="0"/>
        <v>5</v>
      </c>
      <c r="J45" s="1">
        <f t="shared" si="1"/>
        <v>2016</v>
      </c>
      <c r="K45" s="1" t="str">
        <f t="shared" si="2"/>
        <v>Mai</v>
      </c>
    </row>
    <row r="46" spans="1:11">
      <c r="A46" s="13" t="s">
        <v>30</v>
      </c>
      <c r="B46" s="14">
        <v>42398</v>
      </c>
      <c r="C46" s="15" t="s">
        <v>17</v>
      </c>
      <c r="D46" s="15" t="s">
        <v>21</v>
      </c>
      <c r="E46" s="15" t="s">
        <v>27</v>
      </c>
      <c r="F46" s="16">
        <v>25</v>
      </c>
      <c r="G46" s="15">
        <v>6075</v>
      </c>
      <c r="H46" s="16">
        <f t="shared" si="4"/>
        <v>151875</v>
      </c>
      <c r="I46" s="1">
        <f t="shared" si="0"/>
        <v>1</v>
      </c>
      <c r="J46" s="1">
        <f t="shared" si="1"/>
        <v>2016</v>
      </c>
      <c r="K46" s="1" t="str">
        <f t="shared" si="2"/>
        <v>Janvier</v>
      </c>
    </row>
    <row r="47" spans="1:11">
      <c r="A47" s="13" t="s">
        <v>23</v>
      </c>
      <c r="B47" s="14">
        <v>42477</v>
      </c>
      <c r="C47" s="15" t="s">
        <v>14</v>
      </c>
      <c r="D47" s="15" t="s">
        <v>9</v>
      </c>
      <c r="E47" s="15" t="s">
        <v>27</v>
      </c>
      <c r="F47" s="16">
        <v>25</v>
      </c>
      <c r="G47" s="15">
        <v>6183</v>
      </c>
      <c r="H47" s="16">
        <f t="shared" si="4"/>
        <v>154575</v>
      </c>
      <c r="I47" s="1">
        <f t="shared" si="0"/>
        <v>4</v>
      </c>
      <c r="J47" s="1">
        <f t="shared" si="1"/>
        <v>2016</v>
      </c>
      <c r="K47" s="1" t="str">
        <f t="shared" si="2"/>
        <v>Avril</v>
      </c>
    </row>
    <row r="48" spans="1:11">
      <c r="A48" s="13" t="s">
        <v>19</v>
      </c>
      <c r="B48" s="14">
        <v>42293</v>
      </c>
      <c r="C48" s="15" t="s">
        <v>17</v>
      </c>
      <c r="D48" s="15" t="s">
        <v>9</v>
      </c>
      <c r="E48" s="15" t="s">
        <v>25</v>
      </c>
      <c r="F48" s="16">
        <v>21</v>
      </c>
      <c r="G48" s="15">
        <v>7464</v>
      </c>
      <c r="H48" s="16">
        <f t="shared" si="4"/>
        <v>156744</v>
      </c>
      <c r="I48" s="1">
        <f t="shared" si="0"/>
        <v>10</v>
      </c>
      <c r="J48" s="1">
        <f t="shared" si="1"/>
        <v>2015</v>
      </c>
      <c r="K48" s="1" t="str">
        <f t="shared" si="2"/>
        <v>Octobre</v>
      </c>
    </row>
    <row r="49" spans="1:11">
      <c r="A49" s="13" t="s">
        <v>28</v>
      </c>
      <c r="B49" s="14">
        <v>42430</v>
      </c>
      <c r="C49" s="15" t="s">
        <v>12</v>
      </c>
      <c r="D49" s="15" t="s">
        <v>15</v>
      </c>
      <c r="E49" s="15" t="s">
        <v>27</v>
      </c>
      <c r="F49" s="16">
        <v>25</v>
      </c>
      <c r="G49" s="15">
        <v>6523</v>
      </c>
      <c r="H49" s="16">
        <f t="shared" si="4"/>
        <v>163075</v>
      </c>
      <c r="I49" s="1">
        <f t="shared" si="0"/>
        <v>3</v>
      </c>
      <c r="J49" s="1">
        <f t="shared" si="1"/>
        <v>2016</v>
      </c>
      <c r="K49" s="1" t="str">
        <f t="shared" si="2"/>
        <v>Mars</v>
      </c>
    </row>
    <row r="50" spans="1:11">
      <c r="A50" s="13" t="s">
        <v>28</v>
      </c>
      <c r="B50" s="14">
        <v>42013</v>
      </c>
      <c r="C50" s="15" t="s">
        <v>17</v>
      </c>
      <c r="D50" s="15" t="s">
        <v>15</v>
      </c>
      <c r="E50" s="15" t="s">
        <v>25</v>
      </c>
      <c r="F50" s="16">
        <v>21</v>
      </c>
      <c r="G50" s="15">
        <v>9201</v>
      </c>
      <c r="H50" s="16">
        <f t="shared" si="4"/>
        <v>193221</v>
      </c>
      <c r="I50" s="1">
        <f t="shared" si="0"/>
        <v>1</v>
      </c>
      <c r="J50" s="1">
        <f t="shared" si="1"/>
        <v>2015</v>
      </c>
      <c r="K50" s="1" t="str">
        <f t="shared" si="2"/>
        <v>Janvier</v>
      </c>
    </row>
  </sheetData>
  <printOptions gridLines="1" gridLinesSet="0"/>
  <pageMargins left="0.78740157499999996" right="0.78740157499999996" top="0.984251969" bottom="0.984251969" header="0.4921259845" footer="0.4921259845"/>
  <pageSetup paperSize="9" orientation="portrait" horizontalDpi="4294967292" verticalDpi="36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5"/>
  <sheetViews>
    <sheetView workbookViewId="0">
      <selection activeCell="A5" sqref="A5"/>
    </sheetView>
  </sheetViews>
  <sheetFormatPr baseColWidth="10" defaultRowHeight="12.75"/>
  <cols>
    <col min="1" max="1" width="21.140625" customWidth="1"/>
    <col min="2" max="2" width="24" bestFit="1" customWidth="1"/>
    <col min="3" max="4" width="14.42578125" bestFit="1" customWidth="1"/>
    <col min="5" max="5" width="18.28515625" bestFit="1" customWidth="1"/>
    <col min="6" max="6" width="26" customWidth="1"/>
    <col min="7" max="7" width="23.5703125" customWidth="1"/>
    <col min="8" max="8" width="8.140625" customWidth="1"/>
    <col min="9" max="9" width="11.28515625" customWidth="1"/>
    <col min="10" max="11" width="6.5703125" customWidth="1"/>
    <col min="12" max="12" width="9.7109375" customWidth="1"/>
    <col min="13" max="13" width="13.140625" bestFit="1" customWidth="1"/>
  </cols>
  <sheetData>
    <row r="3" spans="1:4">
      <c r="A3" s="17" t="s">
        <v>68</v>
      </c>
      <c r="B3" s="17" t="s">
        <v>61</v>
      </c>
    </row>
    <row r="4" spans="1:4">
      <c r="A4" s="17" t="s">
        <v>59</v>
      </c>
      <c r="B4" s="19" t="s">
        <v>62</v>
      </c>
      <c r="C4" s="19" t="s">
        <v>63</v>
      </c>
      <c r="D4" s="19" t="s">
        <v>60</v>
      </c>
    </row>
    <row r="5" spans="1:4">
      <c r="A5" s="18" t="s">
        <v>30</v>
      </c>
      <c r="B5" s="32">
        <v>183650</v>
      </c>
      <c r="C5" s="32">
        <v>176395.8</v>
      </c>
      <c r="D5" s="32">
        <v>360045.8</v>
      </c>
    </row>
    <row r="6" spans="1:4">
      <c r="A6" s="18" t="s">
        <v>26</v>
      </c>
      <c r="B6" s="32">
        <v>34584</v>
      </c>
      <c r="C6" s="32">
        <v>302313</v>
      </c>
      <c r="D6" s="32">
        <v>336897</v>
      </c>
    </row>
    <row r="7" spans="1:4">
      <c r="A7" s="18" t="s">
        <v>23</v>
      </c>
      <c r="B7" s="32">
        <v>153003</v>
      </c>
      <c r="C7" s="32">
        <v>166711.5</v>
      </c>
      <c r="D7" s="32">
        <v>319714.5</v>
      </c>
    </row>
    <row r="8" spans="1:4">
      <c r="A8" s="18" t="s">
        <v>11</v>
      </c>
      <c r="B8" s="32">
        <v>133659</v>
      </c>
      <c r="C8" s="32">
        <v>156852</v>
      </c>
      <c r="D8" s="32">
        <v>290511</v>
      </c>
    </row>
    <row r="9" spans="1:4">
      <c r="A9" s="18" t="s">
        <v>16</v>
      </c>
      <c r="B9" s="32">
        <v>82587.3</v>
      </c>
      <c r="C9" s="32">
        <v>13206</v>
      </c>
      <c r="D9" s="32">
        <v>95793.3</v>
      </c>
    </row>
    <row r="10" spans="1:4">
      <c r="A10" s="18" t="s">
        <v>19</v>
      </c>
      <c r="B10" s="32">
        <v>289571.8</v>
      </c>
      <c r="C10" s="32"/>
      <c r="D10" s="32">
        <v>289571.8</v>
      </c>
    </row>
    <row r="11" spans="1:4">
      <c r="A11" s="18" t="s">
        <v>28</v>
      </c>
      <c r="B11" s="32">
        <v>691575</v>
      </c>
      <c r="C11" s="32">
        <v>273863.59999999998</v>
      </c>
      <c r="D11" s="32">
        <v>965438.6</v>
      </c>
    </row>
    <row r="12" spans="1:4">
      <c r="A12" s="18" t="s">
        <v>7</v>
      </c>
      <c r="B12" s="32">
        <v>170566.8</v>
      </c>
      <c r="C12" s="32">
        <v>276489</v>
      </c>
      <c r="D12" s="32">
        <v>447055.8</v>
      </c>
    </row>
    <row r="13" spans="1:4">
      <c r="A13" s="18" t="s">
        <v>32</v>
      </c>
      <c r="B13" s="32">
        <v>112566</v>
      </c>
      <c r="C13" s="32">
        <v>206102</v>
      </c>
      <c r="D13" s="32">
        <v>318668</v>
      </c>
    </row>
    <row r="14" spans="1:4">
      <c r="A14" s="18" t="s">
        <v>29</v>
      </c>
      <c r="B14" s="32">
        <v>9319.5</v>
      </c>
      <c r="C14" s="32">
        <v>54516</v>
      </c>
      <c r="D14" s="32">
        <v>63835.5</v>
      </c>
    </row>
    <row r="15" spans="1:4">
      <c r="A15" s="18" t="s">
        <v>60</v>
      </c>
      <c r="B15" s="32">
        <v>1861082.4000000001</v>
      </c>
      <c r="C15" s="32">
        <v>1626448.9</v>
      </c>
      <c r="D15" s="32">
        <v>3487531.3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8"/>
  <sheetViews>
    <sheetView workbookViewId="0">
      <selection activeCell="A10" sqref="A10"/>
    </sheetView>
  </sheetViews>
  <sheetFormatPr baseColWidth="10" defaultRowHeight="12.75"/>
  <cols>
    <col min="1" max="1" width="21.140625" customWidth="1"/>
    <col min="2" max="2" width="24" bestFit="1" customWidth="1"/>
    <col min="3" max="3" width="10" customWidth="1"/>
    <col min="4" max="4" width="13.140625" customWidth="1"/>
    <col min="5" max="5" width="18.28515625" bestFit="1" customWidth="1"/>
    <col min="6" max="6" width="26" customWidth="1"/>
    <col min="7" max="7" width="23.5703125" customWidth="1"/>
    <col min="8" max="8" width="8.140625" customWidth="1"/>
    <col min="9" max="9" width="11.28515625" customWidth="1"/>
    <col min="10" max="11" width="6.5703125" customWidth="1"/>
    <col min="12" max="12" width="9.7109375" customWidth="1"/>
    <col min="13" max="13" width="13.140625" bestFit="1" customWidth="1"/>
  </cols>
  <sheetData>
    <row r="3" spans="1:4">
      <c r="B3" s="17" t="s">
        <v>61</v>
      </c>
    </row>
    <row r="4" spans="1:4">
      <c r="A4" s="17" t="s">
        <v>59</v>
      </c>
      <c r="B4">
        <v>2015</v>
      </c>
      <c r="C4">
        <v>2016</v>
      </c>
      <c r="D4" t="s">
        <v>60</v>
      </c>
    </row>
    <row r="5" spans="1:4">
      <c r="A5" s="18" t="s">
        <v>9</v>
      </c>
      <c r="B5" s="20"/>
      <c r="C5" s="20"/>
      <c r="D5" s="20"/>
    </row>
    <row r="6" spans="1:4">
      <c r="A6" s="21" t="s">
        <v>69</v>
      </c>
      <c r="B6" s="20">
        <v>565821</v>
      </c>
      <c r="C6" s="20">
        <v>341640</v>
      </c>
      <c r="D6" s="20">
        <v>907461</v>
      </c>
    </row>
    <row r="7" spans="1:4">
      <c r="A7" s="21" t="s">
        <v>71</v>
      </c>
      <c r="B7" s="20">
        <v>10</v>
      </c>
      <c r="C7" s="20">
        <v>3</v>
      </c>
      <c r="D7" s="20">
        <v>13</v>
      </c>
    </row>
    <row r="8" spans="1:4">
      <c r="A8" s="21" t="s">
        <v>73</v>
      </c>
      <c r="B8" s="20"/>
      <c r="C8" s="20">
        <v>-224181</v>
      </c>
      <c r="D8" s="20"/>
    </row>
    <row r="9" spans="1:4">
      <c r="A9" s="21" t="s">
        <v>75</v>
      </c>
      <c r="B9" s="22"/>
      <c r="C9" s="22">
        <v>-0.39620480682053161</v>
      </c>
      <c r="D9" s="22"/>
    </row>
    <row r="10" spans="1:4">
      <c r="A10" s="18" t="s">
        <v>13</v>
      </c>
      <c r="B10" s="20"/>
      <c r="C10" s="20"/>
      <c r="D10" s="20"/>
    </row>
    <row r="11" spans="1:4">
      <c r="A11" s="21" t="s">
        <v>69</v>
      </c>
      <c r="B11" s="20">
        <v>533067.4</v>
      </c>
      <c r="C11" s="20">
        <v>328285.5</v>
      </c>
      <c r="D11" s="20">
        <v>861352.9</v>
      </c>
    </row>
    <row r="12" spans="1:4">
      <c r="A12" s="21" t="s">
        <v>71</v>
      </c>
      <c r="B12" s="20">
        <v>7</v>
      </c>
      <c r="C12" s="20">
        <v>4</v>
      </c>
      <c r="D12" s="20">
        <v>11</v>
      </c>
    </row>
    <row r="13" spans="1:4">
      <c r="A13" s="21" t="s">
        <v>73</v>
      </c>
      <c r="B13" s="20"/>
      <c r="C13" s="20">
        <v>-204781.90000000002</v>
      </c>
      <c r="D13" s="20"/>
    </row>
    <row r="14" spans="1:4">
      <c r="A14" s="21" t="s">
        <v>75</v>
      </c>
      <c r="B14" s="22"/>
      <c r="C14" s="22">
        <v>-0.38415761308982693</v>
      </c>
      <c r="D14" s="22"/>
    </row>
    <row r="15" spans="1:4">
      <c r="A15" s="18" t="s">
        <v>15</v>
      </c>
      <c r="B15" s="20"/>
      <c r="C15" s="20"/>
      <c r="D15" s="20"/>
    </row>
    <row r="16" spans="1:4">
      <c r="A16" s="21" t="s">
        <v>69</v>
      </c>
      <c r="B16" s="20">
        <v>593345</v>
      </c>
      <c r="C16" s="20">
        <v>661495.6</v>
      </c>
      <c r="D16" s="20">
        <v>1254840.6000000001</v>
      </c>
    </row>
    <row r="17" spans="1:4">
      <c r="A17" s="21" t="s">
        <v>71</v>
      </c>
      <c r="B17" s="20">
        <v>7</v>
      </c>
      <c r="C17" s="20">
        <v>11</v>
      </c>
      <c r="D17" s="20">
        <v>18</v>
      </c>
    </row>
    <row r="18" spans="1:4">
      <c r="A18" s="21" t="s">
        <v>73</v>
      </c>
      <c r="B18" s="20"/>
      <c r="C18" s="20">
        <v>68150.599999999977</v>
      </c>
      <c r="D18" s="20"/>
    </row>
    <row r="19" spans="1:4">
      <c r="A19" s="21" t="s">
        <v>75</v>
      </c>
      <c r="B19" s="22"/>
      <c r="C19" s="22">
        <v>0.11485830334796784</v>
      </c>
      <c r="D19" s="22"/>
    </row>
    <row r="20" spans="1:4">
      <c r="A20" s="18" t="s">
        <v>21</v>
      </c>
      <c r="B20" s="20"/>
      <c r="C20" s="20"/>
      <c r="D20" s="20"/>
    </row>
    <row r="21" spans="1:4">
      <c r="A21" s="21" t="s">
        <v>69</v>
      </c>
      <c r="B21" s="20">
        <v>168849</v>
      </c>
      <c r="C21" s="20">
        <v>295027.8</v>
      </c>
      <c r="D21" s="20">
        <v>463876.8</v>
      </c>
    </row>
    <row r="22" spans="1:4">
      <c r="A22" s="21" t="s">
        <v>71</v>
      </c>
      <c r="B22" s="20">
        <v>4</v>
      </c>
      <c r="C22" s="20">
        <v>3</v>
      </c>
      <c r="D22" s="20">
        <v>7</v>
      </c>
    </row>
    <row r="23" spans="1:4">
      <c r="A23" s="21" t="s">
        <v>73</v>
      </c>
      <c r="B23" s="20"/>
      <c r="C23" s="20">
        <v>126178.79999999999</v>
      </c>
      <c r="D23" s="20"/>
    </row>
    <row r="24" spans="1:4">
      <c r="A24" s="21" t="s">
        <v>75</v>
      </c>
      <c r="B24" s="22"/>
      <c r="C24" s="22">
        <v>0.7472878133717108</v>
      </c>
      <c r="D24" s="22"/>
    </row>
    <row r="25" spans="1:4">
      <c r="A25" s="18" t="s">
        <v>70</v>
      </c>
      <c r="B25" s="20">
        <v>1861082.4</v>
      </c>
      <c r="C25" s="20">
        <v>1626448.9000000001</v>
      </c>
      <c r="D25" s="20">
        <v>3487531.3</v>
      </c>
    </row>
    <row r="26" spans="1:4">
      <c r="A26" s="18" t="s">
        <v>72</v>
      </c>
      <c r="B26" s="20">
        <v>28</v>
      </c>
      <c r="C26" s="20">
        <v>21</v>
      </c>
      <c r="D26" s="20">
        <v>49</v>
      </c>
    </row>
    <row r="27" spans="1:4">
      <c r="A27" s="18" t="s">
        <v>74</v>
      </c>
      <c r="B27" s="20"/>
      <c r="C27" s="20">
        <v>-234633.49999999977</v>
      </c>
      <c r="D27" s="20"/>
    </row>
    <row r="28" spans="1:4">
      <c r="A28" s="18" t="s">
        <v>76</v>
      </c>
      <c r="B28" s="22"/>
      <c r="C28" s="22">
        <v>-0.12607367626495194</v>
      </c>
      <c r="D2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K56"/>
  <sheetViews>
    <sheetView workbookViewId="0">
      <selection activeCell="I13" sqref="I13"/>
    </sheetView>
  </sheetViews>
  <sheetFormatPr baseColWidth="10" defaultRowHeight="12.75"/>
  <cols>
    <col min="1" max="1" width="21.140625" customWidth="1"/>
    <col min="2" max="2" width="13.28515625" style="23" customWidth="1"/>
    <col min="3" max="3" width="15.140625" style="23" customWidth="1"/>
    <col min="4" max="4" width="5.140625" style="23" customWidth="1"/>
    <col min="5" max="6" width="15.140625" style="23" customWidth="1"/>
    <col min="7" max="7" width="4.85546875" style="23" customWidth="1"/>
    <col min="8" max="8" width="15.140625" customWidth="1"/>
    <col min="9" max="9" width="9.5703125" customWidth="1"/>
    <col min="10" max="10" width="1.140625" customWidth="1"/>
    <col min="11" max="11" width="20.42578125" customWidth="1"/>
    <col min="12" max="12" width="5.7109375" customWidth="1"/>
    <col min="13" max="13" width="15.140625" bestFit="1" customWidth="1"/>
    <col min="14" max="14" width="8.5703125" customWidth="1"/>
    <col min="15" max="15" width="5.7109375" customWidth="1"/>
    <col min="16" max="16" width="15.140625" bestFit="1" customWidth="1"/>
    <col min="17" max="17" width="8.5703125" customWidth="1"/>
    <col min="18" max="18" width="5.7109375" customWidth="1"/>
    <col min="19" max="19" width="15.140625" bestFit="1" customWidth="1"/>
    <col min="20" max="20" width="8.5703125" customWidth="1"/>
    <col min="21" max="21" width="5.7109375" customWidth="1"/>
    <col min="22" max="22" width="15.140625" bestFit="1" customWidth="1"/>
    <col min="23" max="23" width="7.5703125" customWidth="1"/>
    <col min="24" max="24" width="5.7109375" customWidth="1"/>
    <col min="25" max="25" width="15.140625" bestFit="1" customWidth="1"/>
    <col min="26" max="26" width="6" customWidth="1"/>
    <col min="27" max="27" width="5.7109375" customWidth="1"/>
    <col min="28" max="28" width="15.140625" bestFit="1" customWidth="1"/>
    <col min="29" max="29" width="8.5703125" customWidth="1"/>
    <col min="30" max="30" width="5.7109375" customWidth="1"/>
    <col min="31" max="31" width="15.140625" bestFit="1" customWidth="1"/>
    <col min="32" max="32" width="7" customWidth="1"/>
    <col min="33" max="33" width="5.7109375" customWidth="1"/>
    <col min="34" max="34" width="15.140625" bestFit="1" customWidth="1"/>
    <col min="35" max="35" width="7" customWidth="1"/>
    <col min="36" max="36" width="5.7109375" customWidth="1"/>
    <col min="37" max="37" width="15.140625" bestFit="1" customWidth="1"/>
    <col min="38" max="38" width="9.5703125" customWidth="1"/>
    <col min="39" max="39" width="10.85546875" customWidth="1"/>
    <col min="40" max="40" width="8" customWidth="1"/>
  </cols>
  <sheetData>
    <row r="2" spans="1:11"/>
    <row r="3" spans="1:11">
      <c r="B3"/>
      <c r="C3" s="17" t="s">
        <v>86</v>
      </c>
      <c r="D3" s="17" t="s">
        <v>120</v>
      </c>
      <c r="E3"/>
      <c r="F3"/>
      <c r="G3"/>
    </row>
    <row r="4" spans="1:11">
      <c r="B4"/>
      <c r="C4">
        <v>2015</v>
      </c>
      <c r="D4"/>
      <c r="E4"/>
      <c r="F4">
        <v>2016</v>
      </c>
      <c r="G4"/>
      <c r="I4" t="s">
        <v>70</v>
      </c>
      <c r="J4" t="s">
        <v>77</v>
      </c>
      <c r="K4" t="s">
        <v>81</v>
      </c>
    </row>
    <row r="5" spans="1:11">
      <c r="A5" s="17" t="s">
        <v>2</v>
      </c>
      <c r="B5" s="17" t="s">
        <v>58</v>
      </c>
      <c r="C5" t="s">
        <v>69</v>
      </c>
      <c r="D5" t="s">
        <v>78</v>
      </c>
      <c r="E5" t="s">
        <v>82</v>
      </c>
      <c r="F5" t="s">
        <v>69</v>
      </c>
      <c r="G5" t="s">
        <v>78</v>
      </c>
      <c r="H5" t="s">
        <v>82</v>
      </c>
    </row>
    <row r="6" spans="1:11">
      <c r="A6" t="s">
        <v>9</v>
      </c>
      <c r="B6" t="s">
        <v>26</v>
      </c>
      <c r="C6" s="25">
        <v>34584</v>
      </c>
      <c r="D6" s="25">
        <v>1</v>
      </c>
      <c r="E6" s="26">
        <v>6.1121803538574923E-2</v>
      </c>
      <c r="F6" s="25"/>
      <c r="G6" s="25"/>
      <c r="H6" s="26">
        <v>0</v>
      </c>
      <c r="I6" s="25">
        <v>34584</v>
      </c>
      <c r="J6" s="25">
        <v>2</v>
      </c>
      <c r="K6" s="26">
        <v>3.8110728725532006E-2</v>
      </c>
    </row>
    <row r="7" spans="1:11">
      <c r="B7" t="s">
        <v>23</v>
      </c>
      <c r="C7" s="25">
        <v>41922</v>
      </c>
      <c r="D7" s="25">
        <v>2</v>
      </c>
      <c r="E7" s="26">
        <v>7.409056927897692E-2</v>
      </c>
      <c r="F7" s="25">
        <v>154575</v>
      </c>
      <c r="G7" s="25">
        <v>1</v>
      </c>
      <c r="H7" s="26">
        <v>0.45244994731296101</v>
      </c>
      <c r="I7" s="25">
        <v>196497</v>
      </c>
      <c r="J7" s="25">
        <v>1</v>
      </c>
      <c r="K7" s="26">
        <v>0.21653492546787134</v>
      </c>
    </row>
    <row r="8" spans="1:11">
      <c r="B8" t="s">
        <v>16</v>
      </c>
      <c r="C8" s="25">
        <v>28447.8</v>
      </c>
      <c r="D8" s="25">
        <v>2</v>
      </c>
      <c r="E8" s="26">
        <v>5.0277031075198694E-2</v>
      </c>
      <c r="F8" s="25">
        <v>13206</v>
      </c>
      <c r="G8" s="25">
        <v>1</v>
      </c>
      <c r="H8" s="26">
        <v>3.8654724271162628E-2</v>
      </c>
      <c r="I8" s="25">
        <v>41653.800000000003</v>
      </c>
      <c r="J8" s="25">
        <v>2</v>
      </c>
      <c r="K8" s="26">
        <v>4.5901476757678847E-2</v>
      </c>
    </row>
    <row r="9" spans="1:11">
      <c r="B9" t="s">
        <v>19</v>
      </c>
      <c r="C9" s="25">
        <v>184715.8</v>
      </c>
      <c r="D9" s="25">
        <v>1</v>
      </c>
      <c r="E9" s="26">
        <v>0.32645624676355239</v>
      </c>
      <c r="F9" s="25"/>
      <c r="G9" s="25"/>
      <c r="H9" s="26">
        <v>0</v>
      </c>
      <c r="I9" s="25">
        <v>184715.8</v>
      </c>
      <c r="J9" s="25">
        <v>1</v>
      </c>
      <c r="K9" s="26">
        <v>0.2035523289706114</v>
      </c>
    </row>
    <row r="10" spans="1:11">
      <c r="B10" t="s">
        <v>28</v>
      </c>
      <c r="C10" s="25">
        <v>182574</v>
      </c>
      <c r="D10" s="25">
        <v>3</v>
      </c>
      <c r="E10" s="26">
        <v>0.32267095070702573</v>
      </c>
      <c r="F10" s="25"/>
      <c r="G10" s="25"/>
      <c r="H10" s="26">
        <v>0</v>
      </c>
      <c r="I10" s="25">
        <v>182574</v>
      </c>
      <c r="J10" s="25">
        <v>3</v>
      </c>
      <c r="K10" s="26">
        <v>0.20119211734719178</v>
      </c>
    </row>
    <row r="11" spans="1:11">
      <c r="B11" t="s">
        <v>7</v>
      </c>
      <c r="C11" s="25">
        <v>42643.399999999994</v>
      </c>
      <c r="D11" s="25">
        <v>2</v>
      </c>
      <c r="E11" s="26">
        <v>7.5365530795074756E-2</v>
      </c>
      <c r="F11" s="25">
        <v>173859</v>
      </c>
      <c r="G11" s="25">
        <v>1</v>
      </c>
      <c r="H11" s="26">
        <v>0.50889532841587637</v>
      </c>
      <c r="I11" s="25">
        <v>216502.39999999999</v>
      </c>
      <c r="J11" s="25">
        <v>1</v>
      </c>
      <c r="K11" s="26">
        <v>0.23858039078263418</v>
      </c>
    </row>
    <row r="12" spans="1:11">
      <c r="B12" t="s">
        <v>32</v>
      </c>
      <c r="C12" s="25">
        <v>50934</v>
      </c>
      <c r="D12" s="25">
        <v>2</v>
      </c>
      <c r="E12" s="26">
        <v>9.0017867841596544E-2</v>
      </c>
      <c r="F12" s="25"/>
      <c r="G12" s="25"/>
      <c r="H12" s="26">
        <v>0</v>
      </c>
      <c r="I12" s="25">
        <v>50934</v>
      </c>
      <c r="J12" s="25">
        <v>3</v>
      </c>
      <c r="K12" s="26">
        <v>5.6128031948480428E-2</v>
      </c>
    </row>
    <row r="13" spans="1:11">
      <c r="A13" t="s">
        <v>64</v>
      </c>
      <c r="B13"/>
      <c r="C13" s="25">
        <v>565821</v>
      </c>
      <c r="D13" s="25">
        <v>2</v>
      </c>
      <c r="E13" s="26">
        <v>0.30402791407838797</v>
      </c>
      <c r="F13" s="25">
        <v>341640</v>
      </c>
      <c r="G13" s="25">
        <v>2</v>
      </c>
      <c r="H13" s="26">
        <v>0.21005271054012209</v>
      </c>
      <c r="I13" s="25">
        <v>907461</v>
      </c>
      <c r="J13" s="25">
        <v>2</v>
      </c>
      <c r="K13" s="26">
        <v>0.26020153568227478</v>
      </c>
    </row>
    <row r="14" spans="1:11">
      <c r="A14" t="s">
        <v>13</v>
      </c>
      <c r="B14" t="s">
        <v>26</v>
      </c>
      <c r="C14" s="25"/>
      <c r="D14" s="25"/>
      <c r="E14" s="26">
        <v>0</v>
      </c>
      <c r="F14" s="25">
        <v>302313</v>
      </c>
      <c r="G14" s="25">
        <v>1</v>
      </c>
      <c r="H14" s="26">
        <v>0.92088441310993019</v>
      </c>
      <c r="I14" s="25">
        <v>302313</v>
      </c>
      <c r="J14" s="25">
        <v>1</v>
      </c>
      <c r="K14" s="26">
        <v>0.35097461214793613</v>
      </c>
    </row>
    <row r="15" spans="1:11">
      <c r="B15" t="s">
        <v>23</v>
      </c>
      <c r="C15" s="25">
        <v>111081</v>
      </c>
      <c r="D15" s="25">
        <v>1</v>
      </c>
      <c r="E15" s="26">
        <v>0.20838077886586198</v>
      </c>
      <c r="F15" s="25">
        <v>12136.5</v>
      </c>
      <c r="G15" s="25">
        <v>2</v>
      </c>
      <c r="H15" s="26">
        <v>3.6969345280251489E-2</v>
      </c>
      <c r="I15" s="25">
        <v>123217.5</v>
      </c>
      <c r="J15" s="25">
        <v>2</v>
      </c>
      <c r="K15" s="26">
        <v>0.14305112341294723</v>
      </c>
    </row>
    <row r="16" spans="1:11">
      <c r="B16" t="s">
        <v>11</v>
      </c>
      <c r="C16" s="25"/>
      <c r="D16" s="25"/>
      <c r="E16" s="26">
        <v>0</v>
      </c>
      <c r="F16" s="25">
        <v>13836</v>
      </c>
      <c r="G16" s="25">
        <v>3</v>
      </c>
      <c r="H16" s="26">
        <v>4.214624160981828E-2</v>
      </c>
      <c r="I16" s="25">
        <v>13836</v>
      </c>
      <c r="J16" s="25">
        <v>3</v>
      </c>
      <c r="K16" s="26">
        <v>1.6063102591284014E-2</v>
      </c>
    </row>
    <row r="17" spans="1:11">
      <c r="B17" t="s">
        <v>16</v>
      </c>
      <c r="C17" s="25">
        <v>46200</v>
      </c>
      <c r="D17" s="25">
        <v>1</v>
      </c>
      <c r="E17" s="26">
        <v>8.6668214938673799E-2</v>
      </c>
      <c r="F17" s="25"/>
      <c r="G17" s="25"/>
      <c r="H17" s="26">
        <v>0</v>
      </c>
      <c r="I17" s="25">
        <v>46200</v>
      </c>
      <c r="J17" s="25">
        <v>1</v>
      </c>
      <c r="K17" s="26">
        <v>5.3636552451382005E-2</v>
      </c>
    </row>
    <row r="18" spans="1:11">
      <c r="B18" t="s">
        <v>28</v>
      </c>
      <c r="C18" s="25">
        <v>247863</v>
      </c>
      <c r="D18" s="25">
        <v>1</v>
      </c>
      <c r="E18" s="26">
        <v>0.4649749731459849</v>
      </c>
      <c r="F18" s="25"/>
      <c r="G18" s="25"/>
      <c r="H18" s="26">
        <v>0</v>
      </c>
      <c r="I18" s="25">
        <v>247863</v>
      </c>
      <c r="J18" s="25">
        <v>2</v>
      </c>
      <c r="K18" s="26">
        <v>0.28776010390166445</v>
      </c>
    </row>
    <row r="19" spans="1:11">
      <c r="B19" t="s">
        <v>7</v>
      </c>
      <c r="C19" s="25">
        <v>127923.4</v>
      </c>
      <c r="D19" s="25">
        <v>1</v>
      </c>
      <c r="E19" s="26">
        <v>0.23997603304947929</v>
      </c>
      <c r="F19" s="25"/>
      <c r="G19" s="25"/>
      <c r="H19" s="26">
        <v>0</v>
      </c>
      <c r="I19" s="25">
        <v>127923.4</v>
      </c>
      <c r="J19" s="25">
        <v>2</v>
      </c>
      <c r="K19" s="26">
        <v>0.14851450549478615</v>
      </c>
    </row>
    <row r="20" spans="1:11">
      <c r="A20" t="s">
        <v>65</v>
      </c>
      <c r="B20"/>
      <c r="C20" s="25">
        <v>533067.4</v>
      </c>
      <c r="D20" s="25">
        <v>3</v>
      </c>
      <c r="E20" s="26">
        <v>0.28642869332384213</v>
      </c>
      <c r="F20" s="25">
        <v>328285.5</v>
      </c>
      <c r="G20" s="25">
        <v>3</v>
      </c>
      <c r="H20" s="26">
        <v>0.20184187772514708</v>
      </c>
      <c r="I20" s="25">
        <v>861352.9</v>
      </c>
      <c r="J20" s="25">
        <v>3</v>
      </c>
      <c r="K20" s="26">
        <v>0.24698069376466961</v>
      </c>
    </row>
    <row r="21" spans="1:11">
      <c r="A21" t="s">
        <v>15</v>
      </c>
      <c r="B21" t="s">
        <v>30</v>
      </c>
      <c r="C21" s="25">
        <v>183650</v>
      </c>
      <c r="D21" s="25">
        <v>1</v>
      </c>
      <c r="E21" s="26">
        <v>0.30951638591376013</v>
      </c>
      <c r="F21" s="25"/>
      <c r="G21" s="25"/>
      <c r="H21" s="26">
        <v>0</v>
      </c>
      <c r="I21" s="25">
        <v>183650</v>
      </c>
      <c r="J21" s="25">
        <v>1</v>
      </c>
      <c r="K21" s="26">
        <v>0.14635324996656945</v>
      </c>
    </row>
    <row r="22" spans="1:11">
      <c r="B22" t="s">
        <v>11</v>
      </c>
      <c r="C22" s="25">
        <v>133659</v>
      </c>
      <c r="D22" s="25">
        <v>1</v>
      </c>
      <c r="E22" s="26">
        <v>0.22526354818865921</v>
      </c>
      <c r="F22" s="25">
        <v>24384</v>
      </c>
      <c r="G22" s="25">
        <v>2</v>
      </c>
      <c r="H22" s="26">
        <v>3.6861923193442253E-2</v>
      </c>
      <c r="I22" s="25">
        <v>158043</v>
      </c>
      <c r="J22" s="25">
        <v>1</v>
      </c>
      <c r="K22" s="26">
        <v>0.12594667402377641</v>
      </c>
    </row>
    <row r="23" spans="1:11">
      <c r="B23" t="s">
        <v>16</v>
      </c>
      <c r="C23" s="25">
        <v>7939.5</v>
      </c>
      <c r="D23" s="25">
        <v>3</v>
      </c>
      <c r="E23" s="26">
        <v>1.3380916667368899E-2</v>
      </c>
      <c r="F23" s="25"/>
      <c r="G23" s="25"/>
      <c r="H23" s="26">
        <v>0</v>
      </c>
      <c r="I23" s="25">
        <v>7939.5</v>
      </c>
      <c r="J23" s="25">
        <v>3</v>
      </c>
      <c r="K23" s="26">
        <v>6.3270984378414269E-3</v>
      </c>
    </row>
    <row r="24" spans="1:11">
      <c r="B24" t="s">
        <v>19</v>
      </c>
      <c r="C24" s="25">
        <v>65556</v>
      </c>
      <c r="D24" s="25">
        <v>2</v>
      </c>
      <c r="E24" s="26">
        <v>0.11048546798237113</v>
      </c>
      <c r="F24" s="25"/>
      <c r="G24" s="25"/>
      <c r="H24" s="26">
        <v>0</v>
      </c>
      <c r="I24" s="25">
        <v>65556</v>
      </c>
      <c r="J24" s="25">
        <v>2</v>
      </c>
      <c r="K24" s="26">
        <v>5.2242491994600744E-2</v>
      </c>
    </row>
    <row r="25" spans="1:11">
      <c r="B25" t="s">
        <v>28</v>
      </c>
      <c r="C25" s="25">
        <v>193221</v>
      </c>
      <c r="D25" s="25">
        <v>2</v>
      </c>
      <c r="E25" s="26">
        <v>0.32564696761580531</v>
      </c>
      <c r="F25" s="25">
        <v>273863.59999999998</v>
      </c>
      <c r="G25" s="25">
        <v>1</v>
      </c>
      <c r="H25" s="26">
        <v>0.41400668424703052</v>
      </c>
      <c r="I25" s="25">
        <v>467084.6</v>
      </c>
      <c r="J25" s="25">
        <v>1</v>
      </c>
      <c r="K25" s="26">
        <v>0.37222624132499377</v>
      </c>
    </row>
    <row r="26" spans="1:11">
      <c r="B26" t="s">
        <v>7</v>
      </c>
      <c r="C26" s="25"/>
      <c r="D26" s="25"/>
      <c r="E26" s="26">
        <v>0</v>
      </c>
      <c r="F26" s="25">
        <v>102630</v>
      </c>
      <c r="G26" s="25">
        <v>2</v>
      </c>
      <c r="H26" s="26">
        <v>0.15514842426767464</v>
      </c>
      <c r="I26" s="25">
        <v>102630</v>
      </c>
      <c r="J26" s="25">
        <v>3</v>
      </c>
      <c r="K26" s="26">
        <v>8.1787280392425929E-2</v>
      </c>
    </row>
    <row r="27" spans="1:11">
      <c r="B27" t="s">
        <v>32</v>
      </c>
      <c r="C27" s="25"/>
      <c r="D27" s="25"/>
      <c r="E27" s="26">
        <v>0</v>
      </c>
      <c r="F27" s="25">
        <v>206102</v>
      </c>
      <c r="G27" s="25">
        <v>1</v>
      </c>
      <c r="H27" s="26">
        <v>0.31156972170336433</v>
      </c>
      <c r="I27" s="25">
        <v>206102</v>
      </c>
      <c r="J27" s="25">
        <v>1</v>
      </c>
      <c r="K27" s="26">
        <v>0.16424556234473126</v>
      </c>
    </row>
    <row r="28" spans="1:11">
      <c r="B28" t="s">
        <v>29</v>
      </c>
      <c r="C28" s="25">
        <v>9319.5</v>
      </c>
      <c r="D28" s="25">
        <v>1</v>
      </c>
      <c r="E28" s="26">
        <v>1.5706713632035324E-2</v>
      </c>
      <c r="F28" s="25">
        <v>54516</v>
      </c>
      <c r="G28" s="25">
        <v>1</v>
      </c>
      <c r="H28" s="26">
        <v>8.2413246588488268E-2</v>
      </c>
      <c r="I28" s="25">
        <v>63835.5</v>
      </c>
      <c r="J28" s="25">
        <v>1</v>
      </c>
      <c r="K28" s="26">
        <v>5.0871401515060956E-2</v>
      </c>
    </row>
    <row r="29" spans="1:11">
      <c r="A29" t="s">
        <v>66</v>
      </c>
      <c r="B29"/>
      <c r="C29" s="25">
        <v>593345</v>
      </c>
      <c r="D29" s="25">
        <v>1</v>
      </c>
      <c r="E29" s="26">
        <v>0.31881715715542741</v>
      </c>
      <c r="F29" s="25">
        <v>661495.6</v>
      </c>
      <c r="G29" s="25">
        <v>1</v>
      </c>
      <c r="H29" s="26">
        <v>0.40671157882673098</v>
      </c>
      <c r="I29" s="25">
        <v>1254840.6000000001</v>
      </c>
      <c r="J29" s="25">
        <v>1</v>
      </c>
      <c r="K29" s="26">
        <v>0.35980769548935665</v>
      </c>
    </row>
    <row r="30" spans="1:11">
      <c r="A30" t="s">
        <v>21</v>
      </c>
      <c r="B30" t="s">
        <v>30</v>
      </c>
      <c r="C30" s="25"/>
      <c r="D30" s="25"/>
      <c r="E30" s="26">
        <v>0</v>
      </c>
      <c r="F30" s="25">
        <v>176395.8</v>
      </c>
      <c r="G30" s="25">
        <v>1</v>
      </c>
      <c r="H30" s="26">
        <v>0.59789552035435301</v>
      </c>
      <c r="I30" s="25">
        <v>176395.8</v>
      </c>
      <c r="J30" s="25">
        <v>2</v>
      </c>
      <c r="K30" s="26">
        <v>0.38026432880454464</v>
      </c>
    </row>
    <row r="31" spans="1:11">
      <c r="B31" t="s">
        <v>11</v>
      </c>
      <c r="C31" s="25"/>
      <c r="D31" s="25"/>
      <c r="E31" s="26">
        <v>0</v>
      </c>
      <c r="F31" s="25">
        <v>118632</v>
      </c>
      <c r="G31" s="25">
        <v>1</v>
      </c>
      <c r="H31" s="26">
        <v>0.40210447964564699</v>
      </c>
      <c r="I31" s="25">
        <v>118632</v>
      </c>
      <c r="J31" s="25">
        <v>2</v>
      </c>
      <c r="K31" s="26">
        <v>0.25574031725665092</v>
      </c>
    </row>
    <row r="32" spans="1:11">
      <c r="B32" t="s">
        <v>19</v>
      </c>
      <c r="C32" s="25">
        <v>39300</v>
      </c>
      <c r="D32" s="25">
        <v>3</v>
      </c>
      <c r="E32" s="26">
        <v>0.23275234084892418</v>
      </c>
      <c r="F32" s="25"/>
      <c r="G32" s="25"/>
      <c r="H32" s="26">
        <v>0</v>
      </c>
      <c r="I32" s="25">
        <v>39300</v>
      </c>
      <c r="J32" s="25">
        <v>3</v>
      </c>
      <c r="K32" s="26">
        <v>8.472077068738941E-2</v>
      </c>
    </row>
    <row r="33" spans="1:11">
      <c r="B33" t="s">
        <v>28</v>
      </c>
      <c r="C33" s="25">
        <v>67917</v>
      </c>
      <c r="D33" s="25">
        <v>4</v>
      </c>
      <c r="E33" s="26">
        <v>0.4022351331663202</v>
      </c>
      <c r="F33" s="25"/>
      <c r="G33" s="25"/>
      <c r="H33" s="26">
        <v>0</v>
      </c>
      <c r="I33" s="25">
        <v>67917</v>
      </c>
      <c r="J33" s="25">
        <v>4</v>
      </c>
      <c r="K33" s="26">
        <v>0.14641171966349686</v>
      </c>
    </row>
    <row r="34" spans="1:11">
      <c r="B34" t="s">
        <v>32</v>
      </c>
      <c r="C34" s="25">
        <v>61632</v>
      </c>
      <c r="D34" s="25">
        <v>1</v>
      </c>
      <c r="E34" s="26">
        <v>0.36501252598475559</v>
      </c>
      <c r="F34" s="25"/>
      <c r="G34" s="25"/>
      <c r="H34" s="26">
        <v>0</v>
      </c>
      <c r="I34" s="25">
        <v>61632</v>
      </c>
      <c r="J34" s="25">
        <v>2</v>
      </c>
      <c r="K34" s="26">
        <v>0.13286286358791818</v>
      </c>
    </row>
    <row r="35" spans="1:11">
      <c r="A35" t="s">
        <v>67</v>
      </c>
      <c r="B35"/>
      <c r="C35" s="25">
        <v>168849</v>
      </c>
      <c r="D35" s="25">
        <v>4</v>
      </c>
      <c r="E35" s="26">
        <v>9.0726235442342595E-2</v>
      </c>
      <c r="F35" s="25">
        <v>295027.8</v>
      </c>
      <c r="G35" s="25">
        <v>4</v>
      </c>
      <c r="H35" s="26">
        <v>0.18139383290799974</v>
      </c>
      <c r="I35" s="25">
        <v>463876.8</v>
      </c>
      <c r="J35" s="25">
        <v>4</v>
      </c>
      <c r="K35" s="26">
        <v>0.13301007506369908</v>
      </c>
    </row>
    <row r="36" spans="1:11">
      <c r="A36" t="s">
        <v>60</v>
      </c>
      <c r="B36"/>
      <c r="C36" s="25">
        <v>1861082.4</v>
      </c>
      <c r="D36" s="25"/>
      <c r="E36" s="26">
        <v>1</v>
      </c>
      <c r="F36" s="25">
        <v>1626448.9000000001</v>
      </c>
      <c r="G36" s="25"/>
      <c r="H36" s="26">
        <v>1</v>
      </c>
      <c r="I36" s="25">
        <v>3487531.3</v>
      </c>
      <c r="J36" s="25"/>
      <c r="K36" s="26">
        <v>1</v>
      </c>
    </row>
    <row r="37" spans="1:11">
      <c r="B37"/>
      <c r="C37"/>
      <c r="D37"/>
      <c r="E37"/>
      <c r="F37"/>
      <c r="G37"/>
    </row>
    <row r="38" spans="1:11">
      <c r="B38"/>
      <c r="C38"/>
      <c r="D38"/>
      <c r="E38"/>
      <c r="F38"/>
      <c r="G38"/>
    </row>
    <row r="39" spans="1:11">
      <c r="B39"/>
      <c r="C39"/>
      <c r="D39"/>
      <c r="E39"/>
      <c r="F39"/>
      <c r="G39"/>
    </row>
    <row r="40" spans="1:11">
      <c r="B40"/>
      <c r="C40"/>
      <c r="D40"/>
      <c r="E40"/>
      <c r="F40"/>
      <c r="G40"/>
    </row>
    <row r="41" spans="1:11">
      <c r="B41"/>
      <c r="C41"/>
      <c r="D41"/>
      <c r="E41"/>
      <c r="F41"/>
      <c r="G41"/>
    </row>
    <row r="42" spans="1:11">
      <c r="B42"/>
      <c r="C42"/>
      <c r="D42"/>
      <c r="E42"/>
      <c r="F42"/>
      <c r="G42"/>
    </row>
    <row r="43" spans="1:11">
      <c r="B43"/>
      <c r="C43"/>
      <c r="D43"/>
      <c r="E43"/>
      <c r="F43"/>
      <c r="G43"/>
    </row>
    <row r="44" spans="1:11">
      <c r="B44"/>
      <c r="C44"/>
      <c r="D44"/>
      <c r="E44"/>
      <c r="F44"/>
      <c r="G44"/>
    </row>
    <row r="45" spans="1:11">
      <c r="B45"/>
      <c r="C45"/>
      <c r="D45"/>
      <c r="E45"/>
      <c r="F45"/>
      <c r="G45"/>
    </row>
    <row r="46" spans="1:11">
      <c r="B46"/>
      <c r="C46"/>
      <c r="D46"/>
      <c r="E46"/>
      <c r="F46"/>
      <c r="G46"/>
    </row>
    <row r="47" spans="1:11">
      <c r="B47"/>
      <c r="C47"/>
      <c r="D47"/>
      <c r="E47"/>
      <c r="F47"/>
      <c r="G47"/>
    </row>
    <row r="48" spans="1:11">
      <c r="B48"/>
      <c r="C48"/>
      <c r="D48"/>
      <c r="E48"/>
      <c r="F48"/>
      <c r="G48"/>
    </row>
    <row r="49" spans="2:7">
      <c r="B49"/>
      <c r="C49"/>
      <c r="D49"/>
      <c r="E49"/>
      <c r="F49"/>
      <c r="G49"/>
    </row>
    <row r="50" spans="2:7">
      <c r="B50"/>
      <c r="C50"/>
      <c r="D50"/>
      <c r="E50"/>
      <c r="F50"/>
      <c r="G50"/>
    </row>
    <row r="51" spans="2:7">
      <c r="B51"/>
      <c r="C51"/>
      <c r="D51"/>
      <c r="E51"/>
      <c r="F51"/>
      <c r="G51"/>
    </row>
    <row r="52" spans="2:7">
      <c r="B52"/>
      <c r="C52"/>
      <c r="D52"/>
      <c r="E52"/>
      <c r="F52"/>
      <c r="G52"/>
    </row>
    <row r="53" spans="2:7">
      <c r="B53"/>
      <c r="C53"/>
      <c r="D53"/>
      <c r="E53"/>
      <c r="F53"/>
      <c r="G53"/>
    </row>
    <row r="54" spans="2:7">
      <c r="B54"/>
      <c r="C54"/>
      <c r="D54"/>
      <c r="E54"/>
      <c r="F54"/>
      <c r="G54"/>
    </row>
    <row r="55" spans="2:7">
      <c r="B55"/>
      <c r="C55"/>
      <c r="D55"/>
      <c r="E55"/>
      <c r="F55"/>
      <c r="G55"/>
    </row>
    <row r="56" spans="2:7">
      <c r="B56"/>
      <c r="C56"/>
      <c r="D56"/>
      <c r="E56"/>
      <c r="F56"/>
      <c r="G56"/>
    </row>
  </sheetData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G56"/>
  <sheetViews>
    <sheetView workbookViewId="0">
      <selection activeCell="C5" sqref="C5"/>
    </sheetView>
  </sheetViews>
  <sheetFormatPr baseColWidth="10" defaultRowHeight="12.75"/>
  <cols>
    <col min="1" max="1" width="23.42578125" customWidth="1"/>
    <col min="2" max="2" width="24" style="23" customWidth="1"/>
    <col min="3" max="3" width="10.5703125" style="23" customWidth="1"/>
    <col min="4" max="4" width="9.5703125" style="23" customWidth="1"/>
    <col min="5" max="5" width="10.5703125" style="23" customWidth="1"/>
    <col min="6" max="6" width="9.5703125" style="23" customWidth="1"/>
    <col min="7" max="7" width="8.5703125" style="23" customWidth="1"/>
    <col min="8" max="8" width="9.5703125" customWidth="1"/>
    <col min="9" max="9" width="10.85546875" customWidth="1"/>
    <col min="10" max="10" width="8" customWidth="1"/>
    <col min="11" max="11" width="6.5703125" customWidth="1"/>
    <col min="12" max="12" width="9.7109375" customWidth="1"/>
    <col min="13" max="13" width="13.140625" bestFit="1" customWidth="1"/>
  </cols>
  <sheetData>
    <row r="2" spans="1:7"/>
    <row r="3" spans="1:7">
      <c r="B3" s="17" t="s">
        <v>61</v>
      </c>
      <c r="C3"/>
      <c r="D3"/>
      <c r="E3"/>
      <c r="F3"/>
      <c r="G3"/>
    </row>
    <row r="4" spans="1:7" ht="25.5">
      <c r="B4" s="24" t="s">
        <v>62</v>
      </c>
      <c r="D4" s="24" t="s">
        <v>63</v>
      </c>
      <c r="F4" s="31" t="s">
        <v>70</v>
      </c>
      <c r="G4" s="31" t="s">
        <v>79</v>
      </c>
    </row>
    <row r="5" spans="1:7" s="30" customFormat="1">
      <c r="A5" s="28" t="s">
        <v>59</v>
      </c>
      <c r="B5" s="29" t="s">
        <v>69</v>
      </c>
      <c r="C5" s="29" t="s">
        <v>80</v>
      </c>
      <c r="D5" s="29" t="s">
        <v>69</v>
      </c>
      <c r="E5" s="29" t="s">
        <v>80</v>
      </c>
      <c r="F5" s="29"/>
      <c r="G5" s="29"/>
    </row>
    <row r="6" spans="1:7">
      <c r="A6" s="18" t="s">
        <v>9</v>
      </c>
      <c r="B6" s="27">
        <v>565821</v>
      </c>
      <c r="C6" s="26">
        <v>0.30402791407838797</v>
      </c>
      <c r="D6" s="25">
        <v>341640</v>
      </c>
      <c r="E6" s="26">
        <v>0.21005271054012209</v>
      </c>
      <c r="F6" s="25">
        <v>907461</v>
      </c>
      <c r="G6" s="26">
        <v>0.26020153568227478</v>
      </c>
    </row>
    <row r="7" spans="1:7">
      <c r="A7" s="21" t="s">
        <v>26</v>
      </c>
      <c r="B7" s="27">
        <v>34584</v>
      </c>
      <c r="C7" s="26">
        <v>1.8582734434541965E-2</v>
      </c>
      <c r="D7" s="25"/>
      <c r="E7" s="26">
        <v>0</v>
      </c>
      <c r="F7" s="25">
        <v>34584</v>
      </c>
      <c r="G7" s="26">
        <v>9.9164701403540098E-3</v>
      </c>
    </row>
    <row r="8" spans="1:7">
      <c r="A8" s="21" t="s">
        <v>23</v>
      </c>
      <c r="B8" s="27">
        <v>41922</v>
      </c>
      <c r="C8" s="26">
        <v>2.2525601230767644E-2</v>
      </c>
      <c r="D8" s="25">
        <v>154575</v>
      </c>
      <c r="E8" s="26">
        <v>9.5038337816822888E-2</v>
      </c>
      <c r="F8" s="25">
        <v>196497</v>
      </c>
      <c r="G8" s="26">
        <v>5.6342720135587027E-2</v>
      </c>
    </row>
    <row r="9" spans="1:7">
      <c r="A9" s="21" t="s">
        <v>16</v>
      </c>
      <c r="B9" s="27">
        <v>28447.8</v>
      </c>
      <c r="C9" s="26">
        <v>1.5285620883846949E-2</v>
      </c>
      <c r="D9" s="25">
        <v>13206</v>
      </c>
      <c r="E9" s="26">
        <v>8.1195296083387547E-3</v>
      </c>
      <c r="F9" s="25">
        <v>41653.800000000003</v>
      </c>
      <c r="G9" s="26">
        <v>1.1943634742432277E-2</v>
      </c>
    </row>
    <row r="10" spans="1:7">
      <c r="A10" s="21" t="s">
        <v>19</v>
      </c>
      <c r="B10" s="27">
        <v>184715.8</v>
      </c>
      <c r="C10" s="26">
        <v>9.9251811741382326E-2</v>
      </c>
      <c r="D10" s="25"/>
      <c r="E10" s="26">
        <v>0</v>
      </c>
      <c r="F10" s="25">
        <v>184715.8</v>
      </c>
      <c r="G10" s="26">
        <v>5.296462858985667E-2</v>
      </c>
    </row>
    <row r="11" spans="1:7">
      <c r="A11" s="21" t="s">
        <v>28</v>
      </c>
      <c r="B11" s="27">
        <v>182574</v>
      </c>
      <c r="C11" s="26">
        <v>9.8100976077147364E-2</v>
      </c>
      <c r="D11" s="25"/>
      <c r="E11" s="26">
        <v>0</v>
      </c>
      <c r="F11" s="25">
        <v>182574</v>
      </c>
      <c r="G11" s="26">
        <v>5.2350497900907733E-2</v>
      </c>
    </row>
    <row r="12" spans="1:7">
      <c r="A12" s="21" t="s">
        <v>7</v>
      </c>
      <c r="B12" s="27">
        <v>42643.399999999994</v>
      </c>
      <c r="C12" s="26">
        <v>2.2913225121037089E-2</v>
      </c>
      <c r="D12" s="25">
        <v>173859</v>
      </c>
      <c r="E12" s="26">
        <v>0.10689484311496045</v>
      </c>
      <c r="F12" s="25">
        <v>216502.39999999999</v>
      </c>
      <c r="G12" s="26">
        <v>6.2078984065318643E-2</v>
      </c>
    </row>
    <row r="13" spans="1:7">
      <c r="A13" s="21" t="s">
        <v>32</v>
      </c>
      <c r="B13" s="27">
        <v>50934</v>
      </c>
      <c r="C13" s="26">
        <v>2.7367944589664597E-2</v>
      </c>
      <c r="D13" s="25"/>
      <c r="E13" s="26">
        <v>0</v>
      </c>
      <c r="F13" s="25">
        <v>50934</v>
      </c>
      <c r="G13" s="26">
        <v>1.4604600107818388E-2</v>
      </c>
    </row>
    <row r="14" spans="1:7">
      <c r="A14" s="18" t="s">
        <v>13</v>
      </c>
      <c r="B14" s="27">
        <v>533067.4</v>
      </c>
      <c r="C14" s="26">
        <v>0.28642869332384213</v>
      </c>
      <c r="D14" s="25">
        <v>328285.5</v>
      </c>
      <c r="E14" s="26">
        <v>0.20184187772514708</v>
      </c>
      <c r="F14" s="25">
        <v>861352.9</v>
      </c>
      <c r="G14" s="26">
        <v>0.24698069376466961</v>
      </c>
    </row>
    <row r="15" spans="1:7">
      <c r="A15" s="21" t="s">
        <v>26</v>
      </c>
      <c r="B15" s="27"/>
      <c r="C15" s="26">
        <v>0</v>
      </c>
      <c r="D15" s="25">
        <v>302313</v>
      </c>
      <c r="E15" s="26">
        <v>0.18587303910992836</v>
      </c>
      <c r="F15" s="25">
        <v>302313</v>
      </c>
      <c r="G15" s="26">
        <v>8.6683953202083094E-2</v>
      </c>
    </row>
    <row r="16" spans="1:7">
      <c r="A16" s="21" t="s">
        <v>23</v>
      </c>
      <c r="B16" s="27">
        <v>111081</v>
      </c>
      <c r="C16" s="26">
        <v>5.9686234204353338E-2</v>
      </c>
      <c r="D16" s="25">
        <v>12136.5</v>
      </c>
      <c r="E16" s="26">
        <v>7.4619620696352645E-3</v>
      </c>
      <c r="F16" s="25">
        <v>123217.5</v>
      </c>
      <c r="G16" s="26">
        <v>3.5330865704345078E-2</v>
      </c>
    </row>
    <row r="17" spans="1:7">
      <c r="A17" s="21" t="s">
        <v>11</v>
      </c>
      <c r="B17" s="27"/>
      <c r="C17" s="26">
        <v>0</v>
      </c>
      <c r="D17" s="25">
        <v>13836</v>
      </c>
      <c r="E17" s="26">
        <v>8.5068765455834482E-3</v>
      </c>
      <c r="F17" s="25">
        <v>13836</v>
      </c>
      <c r="G17" s="26">
        <v>3.9672762220083879E-3</v>
      </c>
    </row>
    <row r="18" spans="1:7">
      <c r="A18" s="21" t="s">
        <v>16</v>
      </c>
      <c r="B18" s="27">
        <v>46200</v>
      </c>
      <c r="C18" s="26">
        <v>2.4824263557594227E-2</v>
      </c>
      <c r="D18" s="25"/>
      <c r="E18" s="26">
        <v>0</v>
      </c>
      <c r="F18" s="25">
        <v>46200</v>
      </c>
      <c r="G18" s="26">
        <v>1.3247192935587418E-2</v>
      </c>
    </row>
    <row r="19" spans="1:7">
      <c r="A19" s="21" t="s">
        <v>28</v>
      </c>
      <c r="B19" s="27">
        <v>247863</v>
      </c>
      <c r="C19" s="26">
        <v>0.13318217398649304</v>
      </c>
      <c r="D19" s="25"/>
      <c r="E19" s="26">
        <v>0</v>
      </c>
      <c r="F19" s="25">
        <v>247863</v>
      </c>
      <c r="G19" s="26">
        <v>7.1071190099426501E-2</v>
      </c>
    </row>
    <row r="20" spans="1:7">
      <c r="A20" s="21" t="s">
        <v>7</v>
      </c>
      <c r="B20" s="27">
        <v>127923.4</v>
      </c>
      <c r="C20" s="26">
        <v>6.8736021575401499E-2</v>
      </c>
      <c r="D20" s="25"/>
      <c r="E20" s="26">
        <v>0</v>
      </c>
      <c r="F20" s="25">
        <v>127923.4</v>
      </c>
      <c r="G20" s="26">
        <v>3.6680215601219118E-2</v>
      </c>
    </row>
    <row r="21" spans="1:7">
      <c r="A21" s="18" t="s">
        <v>15</v>
      </c>
      <c r="B21" s="27">
        <v>593345</v>
      </c>
      <c r="C21" s="26">
        <v>0.31881715715542741</v>
      </c>
      <c r="D21" s="25">
        <v>661495.6</v>
      </c>
      <c r="E21" s="26">
        <v>0.40671157882673098</v>
      </c>
      <c r="F21" s="25">
        <v>1254840.6000000001</v>
      </c>
      <c r="G21" s="26">
        <v>0.35980769548935665</v>
      </c>
    </row>
    <row r="22" spans="1:7">
      <c r="A22" s="21" t="s">
        <v>30</v>
      </c>
      <c r="B22" s="27">
        <v>183650</v>
      </c>
      <c r="C22" s="26">
        <v>9.8679134250047179E-2</v>
      </c>
      <c r="D22" s="25"/>
      <c r="E22" s="26">
        <v>0</v>
      </c>
      <c r="F22" s="25">
        <v>183650</v>
      </c>
      <c r="G22" s="26">
        <v>5.2659025597849116E-2</v>
      </c>
    </row>
    <row r="23" spans="1:7">
      <c r="A23" s="21" t="s">
        <v>11</v>
      </c>
      <c r="B23" s="27">
        <v>133659</v>
      </c>
      <c r="C23" s="26">
        <v>7.1817884044252961E-2</v>
      </c>
      <c r="D23" s="25">
        <v>24384</v>
      </c>
      <c r="E23" s="26">
        <v>1.4992170980594594E-2</v>
      </c>
      <c r="F23" s="25">
        <v>158043</v>
      </c>
      <c r="G23" s="26">
        <v>4.5316582535044204E-2</v>
      </c>
    </row>
    <row r="24" spans="1:7">
      <c r="A24" s="21" t="s">
        <v>16</v>
      </c>
      <c r="B24" s="27">
        <v>7939.5</v>
      </c>
      <c r="C24" s="26">
        <v>4.2660658120242285E-3</v>
      </c>
      <c r="D24" s="25"/>
      <c r="E24" s="26">
        <v>0</v>
      </c>
      <c r="F24" s="25">
        <v>7939.5</v>
      </c>
      <c r="G24" s="26">
        <v>2.2765387080540323E-3</v>
      </c>
    </row>
    <row r="25" spans="1:7">
      <c r="A25" s="21" t="s">
        <v>19</v>
      </c>
      <c r="B25" s="27">
        <v>65556</v>
      </c>
      <c r="C25" s="26">
        <v>3.5224662809126561E-2</v>
      </c>
      <c r="D25" s="25"/>
      <c r="E25" s="26">
        <v>0</v>
      </c>
      <c r="F25" s="25">
        <v>65556</v>
      </c>
      <c r="G25" s="26">
        <v>1.8797250651198458E-2</v>
      </c>
    </row>
    <row r="26" spans="1:7">
      <c r="A26" s="21" t="s">
        <v>28</v>
      </c>
      <c r="B26" s="27">
        <v>193221</v>
      </c>
      <c r="C26" s="26">
        <v>0.10382184045155658</v>
      </c>
      <c r="D26" s="25">
        <v>273863.59999999998</v>
      </c>
      <c r="E26" s="26">
        <v>0.16838131219492966</v>
      </c>
      <c r="F26" s="25">
        <v>467084.6</v>
      </c>
      <c r="G26" s="26">
        <v>0.13392986609181112</v>
      </c>
    </row>
    <row r="27" spans="1:7">
      <c r="A27" s="21" t="s">
        <v>7</v>
      </c>
      <c r="B27" s="27"/>
      <c r="C27" s="26">
        <v>0</v>
      </c>
      <c r="D27" s="25">
        <v>102630</v>
      </c>
      <c r="E27" s="26">
        <v>6.3100660586385457E-2</v>
      </c>
      <c r="F27" s="25">
        <v>102630</v>
      </c>
      <c r="G27" s="26">
        <v>2.9427692878340621E-2</v>
      </c>
    </row>
    <row r="28" spans="1:7">
      <c r="A28" s="21" t="s">
        <v>32</v>
      </c>
      <c r="B28" s="27"/>
      <c r="C28" s="26">
        <v>0</v>
      </c>
      <c r="D28" s="25">
        <v>206102</v>
      </c>
      <c r="E28" s="26">
        <v>0.1267190134285805</v>
      </c>
      <c r="F28" s="25">
        <v>206102</v>
      </c>
      <c r="G28" s="26">
        <v>5.9096817281611209E-2</v>
      </c>
    </row>
    <row r="29" spans="1:7">
      <c r="A29" s="21" t="s">
        <v>29</v>
      </c>
      <c r="B29" s="27">
        <v>9319.5</v>
      </c>
      <c r="C29" s="26">
        <v>5.0075697884199005E-3</v>
      </c>
      <c r="D29" s="25">
        <v>54516</v>
      </c>
      <c r="E29" s="26">
        <v>3.3518421636240768E-2</v>
      </c>
      <c r="F29" s="25">
        <v>63835.5</v>
      </c>
      <c r="G29" s="26">
        <v>1.8303921745447847E-2</v>
      </c>
    </row>
    <row r="30" spans="1:7">
      <c r="A30" s="18" t="s">
        <v>21</v>
      </c>
      <c r="B30" s="27">
        <v>168849</v>
      </c>
      <c r="C30" s="26">
        <v>9.0726235442342595E-2</v>
      </c>
      <c r="D30" s="25">
        <v>295027.8</v>
      </c>
      <c r="E30" s="26">
        <v>0.18139383290799974</v>
      </c>
      <c r="F30" s="25">
        <v>463876.8</v>
      </c>
      <c r="G30" s="26">
        <v>0.13301007506369908</v>
      </c>
    </row>
    <row r="31" spans="1:7">
      <c r="A31" s="21" t="s">
        <v>30</v>
      </c>
      <c r="B31" s="27"/>
      <c r="C31" s="26">
        <v>0</v>
      </c>
      <c r="D31" s="25">
        <v>176395.8</v>
      </c>
      <c r="E31" s="26">
        <v>0.10845456011559906</v>
      </c>
      <c r="F31" s="25">
        <v>176395.8</v>
      </c>
      <c r="G31" s="26">
        <v>5.0578986918339626E-2</v>
      </c>
    </row>
    <row r="32" spans="1:7">
      <c r="A32" s="21" t="s">
        <v>11</v>
      </c>
      <c r="B32" s="27"/>
      <c r="C32" s="26">
        <v>0</v>
      </c>
      <c r="D32" s="25">
        <v>118632</v>
      </c>
      <c r="E32" s="26">
        <v>7.2939272792400658E-2</v>
      </c>
      <c r="F32" s="25">
        <v>118632</v>
      </c>
      <c r="G32" s="26">
        <v>3.4016038795121356E-2</v>
      </c>
    </row>
    <row r="33" spans="1:7">
      <c r="A33" s="21" t="s">
        <v>19</v>
      </c>
      <c r="B33" s="27">
        <v>39300</v>
      </c>
      <c r="C33" s="26">
        <v>2.1116743675615869E-2</v>
      </c>
      <c r="D33" s="25"/>
      <c r="E33" s="26">
        <v>0</v>
      </c>
      <c r="F33" s="25">
        <v>39300</v>
      </c>
      <c r="G33" s="26">
        <v>1.1268716068584102E-2</v>
      </c>
    </row>
    <row r="34" spans="1:7">
      <c r="A34" s="21" t="s">
        <v>28</v>
      </c>
      <c r="B34" s="27">
        <v>67917</v>
      </c>
      <c r="C34" s="26">
        <v>3.6493279394829589E-2</v>
      </c>
      <c r="D34" s="25"/>
      <c r="E34" s="26">
        <v>0</v>
      </c>
      <c r="F34" s="25">
        <v>67917</v>
      </c>
      <c r="G34" s="26">
        <v>1.9474233822646982E-2</v>
      </c>
    </row>
    <row r="35" spans="1:7">
      <c r="A35" s="21" t="s">
        <v>32</v>
      </c>
      <c r="B35" s="27">
        <v>61632</v>
      </c>
      <c r="C35" s="26">
        <v>3.311621237189713E-2</v>
      </c>
      <c r="D35" s="25"/>
      <c r="E35" s="26">
        <v>0</v>
      </c>
      <c r="F35" s="25">
        <v>61632</v>
      </c>
      <c r="G35" s="26">
        <v>1.7672099459007006E-2</v>
      </c>
    </row>
    <row r="36" spans="1:7">
      <c r="A36" s="18" t="s">
        <v>60</v>
      </c>
      <c r="B36" s="27">
        <v>1861082.4</v>
      </c>
      <c r="C36" s="26">
        <v>1</v>
      </c>
      <c r="D36" s="25">
        <v>1626448.9000000001</v>
      </c>
      <c r="E36" s="26">
        <v>1</v>
      </c>
      <c r="F36" s="25">
        <v>3487531.3</v>
      </c>
      <c r="G36" s="26">
        <v>1</v>
      </c>
    </row>
    <row r="37" spans="1:7">
      <c r="B37"/>
      <c r="C37"/>
      <c r="D37"/>
      <c r="E37"/>
      <c r="F37"/>
      <c r="G37"/>
    </row>
    <row r="38" spans="1:7">
      <c r="B38"/>
      <c r="C38"/>
      <c r="D38"/>
      <c r="E38"/>
      <c r="F38"/>
      <c r="G38"/>
    </row>
    <row r="39" spans="1:7">
      <c r="B39"/>
      <c r="C39"/>
      <c r="D39"/>
      <c r="E39"/>
      <c r="F39"/>
      <c r="G39"/>
    </row>
    <row r="40" spans="1:7">
      <c r="B40"/>
      <c r="C40"/>
      <c r="D40"/>
      <c r="E40"/>
      <c r="F40"/>
      <c r="G40"/>
    </row>
    <row r="41" spans="1:7">
      <c r="B41"/>
      <c r="C41"/>
      <c r="D41"/>
      <c r="E41"/>
      <c r="F41"/>
      <c r="G41"/>
    </row>
    <row r="42" spans="1:7">
      <c r="B42"/>
      <c r="C42"/>
      <c r="D42"/>
      <c r="E42"/>
      <c r="F42"/>
      <c r="G42"/>
    </row>
    <row r="43" spans="1:7">
      <c r="B43"/>
      <c r="C43"/>
      <c r="D43"/>
      <c r="E43"/>
      <c r="F43"/>
      <c r="G43"/>
    </row>
    <row r="44" spans="1:7">
      <c r="B44"/>
      <c r="C44"/>
      <c r="D44"/>
      <c r="E44"/>
      <c r="F44"/>
      <c r="G44"/>
    </row>
    <row r="45" spans="1:7">
      <c r="B45"/>
      <c r="C45"/>
      <c r="D45"/>
      <c r="E45"/>
      <c r="F45"/>
      <c r="G45"/>
    </row>
    <row r="46" spans="1:7">
      <c r="B46"/>
      <c r="C46"/>
      <c r="D46"/>
      <c r="E46"/>
      <c r="F46"/>
      <c r="G46"/>
    </row>
    <row r="47" spans="1:7">
      <c r="B47"/>
      <c r="C47"/>
      <c r="D47"/>
      <c r="E47"/>
      <c r="F47"/>
      <c r="G47"/>
    </row>
    <row r="48" spans="1:7">
      <c r="B48"/>
      <c r="C48"/>
      <c r="D48"/>
      <c r="E48"/>
      <c r="F48"/>
      <c r="G48"/>
    </row>
    <row r="49" spans="2:7">
      <c r="B49"/>
      <c r="C49"/>
      <c r="D49"/>
      <c r="E49"/>
      <c r="F49"/>
      <c r="G49"/>
    </row>
    <row r="50" spans="2:7">
      <c r="B50"/>
      <c r="C50"/>
      <c r="D50"/>
      <c r="E50"/>
      <c r="F50"/>
      <c r="G50"/>
    </row>
    <row r="51" spans="2:7">
      <c r="B51"/>
      <c r="C51"/>
      <c r="D51"/>
      <c r="E51"/>
      <c r="F51"/>
      <c r="G51"/>
    </row>
    <row r="52" spans="2:7">
      <c r="B52"/>
      <c r="C52"/>
      <c r="D52"/>
      <c r="E52"/>
      <c r="F52"/>
      <c r="G52"/>
    </row>
    <row r="53" spans="2:7">
      <c r="B53"/>
      <c r="C53"/>
      <c r="D53"/>
      <c r="E53"/>
      <c r="F53"/>
      <c r="G53"/>
    </row>
    <row r="54" spans="2:7">
      <c r="B54"/>
      <c r="C54"/>
      <c r="D54"/>
      <c r="E54"/>
      <c r="F54"/>
      <c r="G54"/>
    </row>
    <row r="55" spans="2:7">
      <c r="B55"/>
      <c r="C55"/>
      <c r="D55"/>
      <c r="E55"/>
      <c r="F55"/>
      <c r="G55"/>
    </row>
    <row r="56" spans="2:7">
      <c r="B56"/>
      <c r="C56"/>
      <c r="D56"/>
      <c r="E56"/>
      <c r="F56"/>
      <c r="G56"/>
    </row>
  </sheetData>
  <pageMargins left="0.7" right="0.7" top="0.75" bottom="0.75" header="0.3" footer="0.3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G56"/>
  <sheetViews>
    <sheetView workbookViewId="0">
      <selection activeCell="C16" sqref="C16"/>
    </sheetView>
  </sheetViews>
  <sheetFormatPr baseColWidth="10" defaultRowHeight="12.75"/>
  <cols>
    <col min="1" max="1" width="23.42578125" customWidth="1"/>
    <col min="2" max="2" width="24" style="23" customWidth="1"/>
    <col min="3" max="3" width="8.28515625" style="23" customWidth="1"/>
    <col min="4" max="4" width="9.5703125" style="23" customWidth="1"/>
    <col min="5" max="5" width="8.28515625" style="23" customWidth="1"/>
    <col min="6" max="6" width="9.5703125" style="23" customWidth="1"/>
    <col min="7" max="7" width="8.28515625" style="23" customWidth="1"/>
    <col min="8" max="8" width="9.5703125" customWidth="1"/>
    <col min="9" max="9" width="10.85546875" customWidth="1"/>
    <col min="10" max="10" width="8" customWidth="1"/>
    <col min="11" max="11" width="6.5703125" customWidth="1"/>
    <col min="12" max="12" width="9.7109375" customWidth="1"/>
    <col min="13" max="13" width="13.140625" bestFit="1" customWidth="1"/>
  </cols>
  <sheetData>
    <row r="2" spans="1:7"/>
    <row r="3" spans="1:7">
      <c r="B3" s="17" t="s">
        <v>61</v>
      </c>
      <c r="C3"/>
      <c r="D3"/>
      <c r="E3"/>
      <c r="F3"/>
      <c r="G3"/>
    </row>
    <row r="4" spans="1:7" ht="25.5">
      <c r="B4" s="24" t="s">
        <v>62</v>
      </c>
      <c r="D4" s="24" t="s">
        <v>63</v>
      </c>
      <c r="F4" s="31" t="s">
        <v>70</v>
      </c>
      <c r="G4" s="31" t="s">
        <v>83</v>
      </c>
    </row>
    <row r="5" spans="1:7" s="30" customFormat="1">
      <c r="A5" s="28" t="s">
        <v>59</v>
      </c>
      <c r="B5" s="29" t="s">
        <v>69</v>
      </c>
      <c r="C5" s="29" t="s">
        <v>84</v>
      </c>
      <c r="D5" s="29" t="s">
        <v>69</v>
      </c>
      <c r="E5" s="29" t="s">
        <v>84</v>
      </c>
      <c r="F5" s="29"/>
      <c r="G5" s="29"/>
    </row>
    <row r="6" spans="1:7">
      <c r="A6" s="18" t="s">
        <v>9</v>
      </c>
      <c r="B6" s="27">
        <v>565821</v>
      </c>
      <c r="C6" s="26">
        <v>0.62352101082029976</v>
      </c>
      <c r="D6" s="25">
        <v>341640</v>
      </c>
      <c r="E6" s="26">
        <v>0.3764789891797003</v>
      </c>
      <c r="F6" s="25">
        <v>907461</v>
      </c>
      <c r="G6" s="26">
        <v>1</v>
      </c>
    </row>
    <row r="7" spans="1:7">
      <c r="A7" s="21" t="s">
        <v>26</v>
      </c>
      <c r="B7" s="27">
        <v>34584</v>
      </c>
      <c r="C7" s="26">
        <v>1</v>
      </c>
      <c r="D7" s="25"/>
      <c r="E7" s="26">
        <v>0</v>
      </c>
      <c r="F7" s="25">
        <v>34584</v>
      </c>
      <c r="G7" s="26">
        <v>1</v>
      </c>
    </row>
    <row r="8" spans="1:7">
      <c r="A8" s="21" t="s">
        <v>23</v>
      </c>
      <c r="B8" s="27">
        <v>41922</v>
      </c>
      <c r="C8" s="26">
        <v>0.21334676865295654</v>
      </c>
      <c r="D8" s="25">
        <v>154575</v>
      </c>
      <c r="E8" s="26">
        <v>0.78665323134704346</v>
      </c>
      <c r="F8" s="25">
        <v>196497</v>
      </c>
      <c r="G8" s="26">
        <v>1</v>
      </c>
    </row>
    <row r="9" spans="1:7">
      <c r="A9" s="21" t="s">
        <v>16</v>
      </c>
      <c r="B9" s="27">
        <v>28447.8</v>
      </c>
      <c r="C9" s="26">
        <v>0.68295809746049574</v>
      </c>
      <c r="D9" s="25">
        <v>13206</v>
      </c>
      <c r="E9" s="26">
        <v>0.31704190253950415</v>
      </c>
      <c r="F9" s="25">
        <v>41653.800000000003</v>
      </c>
      <c r="G9" s="26">
        <v>1</v>
      </c>
    </row>
    <row r="10" spans="1:7">
      <c r="A10" s="21" t="s">
        <v>19</v>
      </c>
      <c r="B10" s="27">
        <v>184715.8</v>
      </c>
      <c r="C10" s="26">
        <v>1</v>
      </c>
      <c r="D10" s="25"/>
      <c r="E10" s="26">
        <v>0</v>
      </c>
      <c r="F10" s="25">
        <v>184715.8</v>
      </c>
      <c r="G10" s="26">
        <v>1</v>
      </c>
    </row>
    <row r="11" spans="1:7">
      <c r="A11" s="21" t="s">
        <v>28</v>
      </c>
      <c r="B11" s="27">
        <v>182574</v>
      </c>
      <c r="C11" s="26">
        <v>1</v>
      </c>
      <c r="D11" s="25"/>
      <c r="E11" s="26">
        <v>0</v>
      </c>
      <c r="F11" s="25">
        <v>182574</v>
      </c>
      <c r="G11" s="26">
        <v>1</v>
      </c>
    </row>
    <row r="12" spans="1:7">
      <c r="A12" s="21" t="s">
        <v>7</v>
      </c>
      <c r="B12" s="27">
        <v>42643.399999999994</v>
      </c>
      <c r="C12" s="26">
        <v>0.19696502209675271</v>
      </c>
      <c r="D12" s="25">
        <v>173859</v>
      </c>
      <c r="E12" s="26">
        <v>0.80303497790324729</v>
      </c>
      <c r="F12" s="25">
        <v>216502.39999999999</v>
      </c>
      <c r="G12" s="26">
        <v>1</v>
      </c>
    </row>
    <row r="13" spans="1:7">
      <c r="A13" s="21" t="s">
        <v>32</v>
      </c>
      <c r="B13" s="27">
        <v>50934</v>
      </c>
      <c r="C13" s="26">
        <v>1</v>
      </c>
      <c r="D13" s="25"/>
      <c r="E13" s="26">
        <v>0</v>
      </c>
      <c r="F13" s="25">
        <v>50934</v>
      </c>
      <c r="G13" s="26">
        <v>1</v>
      </c>
    </row>
    <row r="14" spans="1:7">
      <c r="A14" s="18" t="s">
        <v>13</v>
      </c>
      <c r="B14" s="27">
        <v>533067.4</v>
      </c>
      <c r="C14" s="26">
        <v>0.61887224156324316</v>
      </c>
      <c r="D14" s="25">
        <v>328285.5</v>
      </c>
      <c r="E14" s="26">
        <v>0.38112775843675684</v>
      </c>
      <c r="F14" s="25">
        <v>861352.9</v>
      </c>
      <c r="G14" s="26">
        <v>1</v>
      </c>
    </row>
    <row r="15" spans="1:7">
      <c r="A15" s="21" t="s">
        <v>26</v>
      </c>
      <c r="B15" s="27"/>
      <c r="C15" s="26">
        <v>0</v>
      </c>
      <c r="D15" s="25">
        <v>302313</v>
      </c>
      <c r="E15" s="26">
        <v>1</v>
      </c>
      <c r="F15" s="25">
        <v>302313</v>
      </c>
      <c r="G15" s="26">
        <v>1</v>
      </c>
    </row>
    <row r="16" spans="1:7">
      <c r="A16" s="21" t="s">
        <v>23</v>
      </c>
      <c r="B16" s="27">
        <v>111081</v>
      </c>
      <c r="C16" s="26">
        <v>0.90150343904072072</v>
      </c>
      <c r="D16" s="25">
        <v>12136.5</v>
      </c>
      <c r="E16" s="26">
        <v>9.849656095927932E-2</v>
      </c>
      <c r="F16" s="25">
        <v>123217.5</v>
      </c>
      <c r="G16" s="26">
        <v>1</v>
      </c>
    </row>
    <row r="17" spans="1:7">
      <c r="A17" s="21" t="s">
        <v>11</v>
      </c>
      <c r="B17" s="27"/>
      <c r="C17" s="26">
        <v>0</v>
      </c>
      <c r="D17" s="25">
        <v>13836</v>
      </c>
      <c r="E17" s="26">
        <v>1</v>
      </c>
      <c r="F17" s="25">
        <v>13836</v>
      </c>
      <c r="G17" s="26">
        <v>1</v>
      </c>
    </row>
    <row r="18" spans="1:7">
      <c r="A18" s="21" t="s">
        <v>16</v>
      </c>
      <c r="B18" s="27">
        <v>46200</v>
      </c>
      <c r="C18" s="26">
        <v>1</v>
      </c>
      <c r="D18" s="25"/>
      <c r="E18" s="26">
        <v>0</v>
      </c>
      <c r="F18" s="25">
        <v>46200</v>
      </c>
      <c r="G18" s="26">
        <v>1</v>
      </c>
    </row>
    <row r="19" spans="1:7">
      <c r="A19" s="21" t="s">
        <v>28</v>
      </c>
      <c r="B19" s="27">
        <v>247863</v>
      </c>
      <c r="C19" s="26">
        <v>1</v>
      </c>
      <c r="D19" s="25"/>
      <c r="E19" s="26">
        <v>0</v>
      </c>
      <c r="F19" s="25">
        <v>247863</v>
      </c>
      <c r="G19" s="26">
        <v>1</v>
      </c>
    </row>
    <row r="20" spans="1:7">
      <c r="A20" s="21" t="s">
        <v>7</v>
      </c>
      <c r="B20" s="27">
        <v>127923.4</v>
      </c>
      <c r="C20" s="26">
        <v>1</v>
      </c>
      <c r="D20" s="25"/>
      <c r="E20" s="26">
        <v>0</v>
      </c>
      <c r="F20" s="25">
        <v>127923.4</v>
      </c>
      <c r="G20" s="26">
        <v>1</v>
      </c>
    </row>
    <row r="21" spans="1:7">
      <c r="A21" s="18" t="s">
        <v>15</v>
      </c>
      <c r="B21" s="27">
        <v>593345</v>
      </c>
      <c r="C21" s="26">
        <v>0.47284491751382601</v>
      </c>
      <c r="D21" s="25">
        <v>661495.6</v>
      </c>
      <c r="E21" s="26">
        <v>0.52715508248617393</v>
      </c>
      <c r="F21" s="25">
        <v>1254840.6000000001</v>
      </c>
      <c r="G21" s="26">
        <v>1</v>
      </c>
    </row>
    <row r="22" spans="1:7">
      <c r="A22" s="21" t="s">
        <v>30</v>
      </c>
      <c r="B22" s="27">
        <v>183650</v>
      </c>
      <c r="C22" s="26">
        <v>1</v>
      </c>
      <c r="D22" s="25"/>
      <c r="E22" s="26">
        <v>0</v>
      </c>
      <c r="F22" s="25">
        <v>183650</v>
      </c>
      <c r="G22" s="26">
        <v>1</v>
      </c>
    </row>
    <row r="23" spans="1:7">
      <c r="A23" s="21" t="s">
        <v>11</v>
      </c>
      <c r="B23" s="27">
        <v>133659</v>
      </c>
      <c r="C23" s="26">
        <v>0.84571287560980235</v>
      </c>
      <c r="D23" s="25">
        <v>24384</v>
      </c>
      <c r="E23" s="26">
        <v>0.15428712439019759</v>
      </c>
      <c r="F23" s="25">
        <v>158043</v>
      </c>
      <c r="G23" s="26">
        <v>1</v>
      </c>
    </row>
    <row r="24" spans="1:7">
      <c r="A24" s="21" t="s">
        <v>16</v>
      </c>
      <c r="B24" s="27">
        <v>7939.5</v>
      </c>
      <c r="C24" s="26">
        <v>1</v>
      </c>
      <c r="D24" s="25"/>
      <c r="E24" s="26">
        <v>0</v>
      </c>
      <c r="F24" s="25">
        <v>7939.5</v>
      </c>
      <c r="G24" s="26">
        <v>1</v>
      </c>
    </row>
    <row r="25" spans="1:7">
      <c r="A25" s="21" t="s">
        <v>19</v>
      </c>
      <c r="B25" s="27">
        <v>65556</v>
      </c>
      <c r="C25" s="26">
        <v>1</v>
      </c>
      <c r="D25" s="25"/>
      <c r="E25" s="26">
        <v>0</v>
      </c>
      <c r="F25" s="25">
        <v>65556</v>
      </c>
      <c r="G25" s="26">
        <v>1</v>
      </c>
    </row>
    <row r="26" spans="1:7">
      <c r="A26" s="21" t="s">
        <v>28</v>
      </c>
      <c r="B26" s="27">
        <v>193221</v>
      </c>
      <c r="C26" s="26">
        <v>0.41367452491475848</v>
      </c>
      <c r="D26" s="25">
        <v>273863.59999999998</v>
      </c>
      <c r="E26" s="26">
        <v>0.58632547508524147</v>
      </c>
      <c r="F26" s="25">
        <v>467084.6</v>
      </c>
      <c r="G26" s="26">
        <v>1</v>
      </c>
    </row>
    <row r="27" spans="1:7">
      <c r="A27" s="21" t="s">
        <v>7</v>
      </c>
      <c r="B27" s="27"/>
      <c r="C27" s="26">
        <v>0</v>
      </c>
      <c r="D27" s="25">
        <v>102630</v>
      </c>
      <c r="E27" s="26">
        <v>1</v>
      </c>
      <c r="F27" s="25">
        <v>102630</v>
      </c>
      <c r="G27" s="26">
        <v>1</v>
      </c>
    </row>
    <row r="28" spans="1:7">
      <c r="A28" s="21" t="s">
        <v>32</v>
      </c>
      <c r="B28" s="27"/>
      <c r="C28" s="26">
        <v>0</v>
      </c>
      <c r="D28" s="25">
        <v>206102</v>
      </c>
      <c r="E28" s="26">
        <v>1</v>
      </c>
      <c r="F28" s="25">
        <v>206102</v>
      </c>
      <c r="G28" s="26">
        <v>1</v>
      </c>
    </row>
    <row r="29" spans="1:7">
      <c r="A29" s="21" t="s">
        <v>29</v>
      </c>
      <c r="B29" s="27">
        <v>9319.5</v>
      </c>
      <c r="C29" s="26">
        <v>0.1459924336771859</v>
      </c>
      <c r="D29" s="25">
        <v>54516</v>
      </c>
      <c r="E29" s="26">
        <v>0.85400756632281416</v>
      </c>
      <c r="F29" s="25">
        <v>63835.5</v>
      </c>
      <c r="G29" s="26">
        <v>1</v>
      </c>
    </row>
    <row r="30" spans="1:7">
      <c r="A30" s="18" t="s">
        <v>21</v>
      </c>
      <c r="B30" s="27">
        <v>168849</v>
      </c>
      <c r="C30" s="26">
        <v>0.36399535393880444</v>
      </c>
      <c r="D30" s="25">
        <v>295027.8</v>
      </c>
      <c r="E30" s="26">
        <v>0.63600464606119556</v>
      </c>
      <c r="F30" s="25">
        <v>463876.8</v>
      </c>
      <c r="G30" s="26">
        <v>1</v>
      </c>
    </row>
    <row r="31" spans="1:7">
      <c r="A31" s="21" t="s">
        <v>30</v>
      </c>
      <c r="B31" s="27"/>
      <c r="C31" s="26">
        <v>0</v>
      </c>
      <c r="D31" s="25">
        <v>176395.8</v>
      </c>
      <c r="E31" s="26">
        <v>1</v>
      </c>
      <c r="F31" s="25">
        <v>176395.8</v>
      </c>
      <c r="G31" s="26">
        <v>1</v>
      </c>
    </row>
    <row r="32" spans="1:7">
      <c r="A32" s="21" t="s">
        <v>11</v>
      </c>
      <c r="B32" s="27"/>
      <c r="C32" s="26">
        <v>0</v>
      </c>
      <c r="D32" s="25">
        <v>118632</v>
      </c>
      <c r="E32" s="26">
        <v>1</v>
      </c>
      <c r="F32" s="25">
        <v>118632</v>
      </c>
      <c r="G32" s="26">
        <v>1</v>
      </c>
    </row>
    <row r="33" spans="1:7">
      <c r="A33" s="21" t="s">
        <v>19</v>
      </c>
      <c r="B33" s="27">
        <v>39300</v>
      </c>
      <c r="C33" s="26">
        <v>1</v>
      </c>
      <c r="D33" s="25"/>
      <c r="E33" s="26">
        <v>0</v>
      </c>
      <c r="F33" s="25">
        <v>39300</v>
      </c>
      <c r="G33" s="26">
        <v>1</v>
      </c>
    </row>
    <row r="34" spans="1:7">
      <c r="A34" s="21" t="s">
        <v>28</v>
      </c>
      <c r="B34" s="27">
        <v>67917</v>
      </c>
      <c r="C34" s="26">
        <v>1</v>
      </c>
      <c r="D34" s="25"/>
      <c r="E34" s="26">
        <v>0</v>
      </c>
      <c r="F34" s="25">
        <v>67917</v>
      </c>
      <c r="G34" s="26">
        <v>1</v>
      </c>
    </row>
    <row r="35" spans="1:7">
      <c r="A35" s="21" t="s">
        <v>32</v>
      </c>
      <c r="B35" s="27">
        <v>61632</v>
      </c>
      <c r="C35" s="26">
        <v>1</v>
      </c>
      <c r="D35" s="25"/>
      <c r="E35" s="26">
        <v>0</v>
      </c>
      <c r="F35" s="25">
        <v>61632</v>
      </c>
      <c r="G35" s="26">
        <v>1</v>
      </c>
    </row>
    <row r="36" spans="1:7">
      <c r="A36" s="18" t="s">
        <v>60</v>
      </c>
      <c r="B36" s="27">
        <v>1861082.4</v>
      </c>
      <c r="C36" s="26">
        <v>0.53363890956333493</v>
      </c>
      <c r="D36" s="25">
        <v>1626448.9000000001</v>
      </c>
      <c r="E36" s="26">
        <v>0.46636109043666513</v>
      </c>
      <c r="F36" s="25">
        <v>3487531.3</v>
      </c>
      <c r="G36" s="26">
        <v>1</v>
      </c>
    </row>
    <row r="37" spans="1:7">
      <c r="B37"/>
      <c r="C37"/>
      <c r="D37"/>
      <c r="E37"/>
      <c r="F37"/>
      <c r="G37"/>
    </row>
    <row r="38" spans="1:7">
      <c r="B38"/>
      <c r="C38"/>
      <c r="D38"/>
      <c r="E38"/>
      <c r="F38"/>
      <c r="G38"/>
    </row>
    <row r="39" spans="1:7">
      <c r="B39"/>
      <c r="C39"/>
      <c r="D39"/>
      <c r="E39"/>
      <c r="F39"/>
      <c r="G39"/>
    </row>
    <row r="40" spans="1:7">
      <c r="B40"/>
      <c r="C40"/>
      <c r="D40"/>
      <c r="E40"/>
      <c r="F40"/>
      <c r="G40"/>
    </row>
    <row r="41" spans="1:7">
      <c r="B41"/>
      <c r="C41"/>
      <c r="D41"/>
      <c r="E41"/>
      <c r="F41"/>
      <c r="G41"/>
    </row>
    <row r="42" spans="1:7">
      <c r="B42"/>
      <c r="C42"/>
      <c r="D42"/>
      <c r="E42"/>
      <c r="F42"/>
      <c r="G42"/>
    </row>
    <row r="43" spans="1:7">
      <c r="B43"/>
      <c r="C43"/>
      <c r="D43"/>
      <c r="E43"/>
      <c r="F43"/>
      <c r="G43"/>
    </row>
    <row r="44" spans="1:7">
      <c r="B44"/>
      <c r="C44"/>
      <c r="D44"/>
      <c r="E44"/>
      <c r="F44"/>
      <c r="G44"/>
    </row>
    <row r="45" spans="1:7">
      <c r="B45"/>
      <c r="C45"/>
      <c r="D45"/>
      <c r="E45"/>
      <c r="F45"/>
      <c r="G45"/>
    </row>
    <row r="46" spans="1:7">
      <c r="B46"/>
      <c r="C46"/>
      <c r="D46"/>
      <c r="E46"/>
      <c r="F46"/>
      <c r="G46"/>
    </row>
    <row r="47" spans="1:7">
      <c r="B47"/>
      <c r="C47"/>
      <c r="D47"/>
      <c r="E47"/>
      <c r="F47"/>
      <c r="G47"/>
    </row>
    <row r="48" spans="1:7">
      <c r="B48"/>
      <c r="C48"/>
      <c r="D48"/>
      <c r="E48"/>
      <c r="F48"/>
      <c r="G48"/>
    </row>
    <row r="49" spans="2:7">
      <c r="B49"/>
      <c r="C49"/>
      <c r="D49"/>
      <c r="E49"/>
      <c r="F49"/>
      <c r="G49"/>
    </row>
    <row r="50" spans="2:7">
      <c r="B50"/>
      <c r="C50"/>
      <c r="D50"/>
      <c r="E50"/>
      <c r="F50"/>
      <c r="G50"/>
    </row>
    <row r="51" spans="2:7">
      <c r="B51"/>
      <c r="C51"/>
      <c r="D51"/>
      <c r="E51"/>
      <c r="F51"/>
      <c r="G51"/>
    </row>
    <row r="52" spans="2:7">
      <c r="B52"/>
      <c r="C52"/>
      <c r="D52"/>
      <c r="E52"/>
      <c r="F52"/>
      <c r="G52"/>
    </row>
    <row r="53" spans="2:7">
      <c r="B53"/>
      <c r="C53"/>
      <c r="D53"/>
      <c r="E53"/>
      <c r="F53"/>
      <c r="G53"/>
    </row>
    <row r="54" spans="2:7">
      <c r="B54"/>
      <c r="C54"/>
      <c r="D54"/>
      <c r="E54"/>
      <c r="F54"/>
      <c r="G54"/>
    </row>
    <row r="55" spans="2:7">
      <c r="B55"/>
      <c r="C55"/>
      <c r="D55"/>
      <c r="E55"/>
      <c r="F55"/>
      <c r="G55"/>
    </row>
    <row r="56" spans="2:7">
      <c r="B56"/>
      <c r="C56"/>
      <c r="D56"/>
      <c r="E56"/>
      <c r="F56"/>
      <c r="G56"/>
    </row>
  </sheetData>
  <pageMargins left="0.7" right="0.7" top="0.75" bottom="0.75" header="0.3" footer="0.3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56"/>
  <sheetViews>
    <sheetView showGridLines="0" workbookViewId="0">
      <selection activeCell="D3" sqref="D3"/>
    </sheetView>
  </sheetViews>
  <sheetFormatPr baseColWidth="10" defaultRowHeight="12.75"/>
  <cols>
    <col min="1" max="1" width="13.140625" customWidth="1"/>
    <col min="2" max="2" width="9.85546875" style="23" customWidth="1"/>
    <col min="3" max="4" width="14" style="23" customWidth="1"/>
    <col min="5" max="7" width="2" style="23" customWidth="1"/>
    <col min="8" max="10" width="2" customWidth="1"/>
    <col min="11" max="13" width="3" customWidth="1"/>
    <col min="14" max="14" width="13.140625" customWidth="1"/>
    <col min="15" max="17" width="7" bestFit="1" customWidth="1"/>
    <col min="18" max="20" width="8.5703125" bestFit="1" customWidth="1"/>
    <col min="21" max="21" width="7.5703125" bestFit="1" customWidth="1"/>
    <col min="22" max="22" width="6" bestFit="1" customWidth="1"/>
    <col min="23" max="23" width="8.5703125" bestFit="1" customWidth="1"/>
    <col min="24" max="25" width="7" bestFit="1" customWidth="1"/>
    <col min="26" max="26" width="26" bestFit="1" customWidth="1"/>
    <col min="27" max="27" width="27.140625" bestFit="1" customWidth="1"/>
  </cols>
  <sheetData>
    <row r="1" spans="1:27">
      <c r="B1"/>
    </row>
    <row r="2" spans="1:27" s="33" customFormat="1" ht="25.5">
      <c r="B2" s="34" t="s">
        <v>107</v>
      </c>
      <c r="C2" s="34" t="s">
        <v>108</v>
      </c>
      <c r="D2" s="34" t="s">
        <v>109</v>
      </c>
      <c r="E2" s="34"/>
      <c r="F2" s="34"/>
      <c r="G2" s="34"/>
    </row>
    <row r="3" spans="1:27" ht="18.75" customHeight="1">
      <c r="A3" s="17" t="s">
        <v>99</v>
      </c>
      <c r="B3" t="s">
        <v>107</v>
      </c>
      <c r="C3" t="s">
        <v>105</v>
      </c>
      <c r="D3" t="s">
        <v>106</v>
      </c>
      <c r="E3"/>
      <c r="F3"/>
      <c r="G3"/>
    </row>
    <row r="4" spans="1:27">
      <c r="A4" t="s">
        <v>87</v>
      </c>
      <c r="B4" s="26">
        <v>0.2866166898941615</v>
      </c>
      <c r="C4" s="27">
        <v>466167.4</v>
      </c>
      <c r="D4" s="27">
        <v>466167.4</v>
      </c>
      <c r="E4"/>
      <c r="F4"/>
      <c r="G4"/>
    </row>
    <row r="5" spans="1:27" s="30" customFormat="1">
      <c r="A5" t="s">
        <v>88</v>
      </c>
      <c r="B5" s="26">
        <v>7.2939272792400672E-2</v>
      </c>
      <c r="C5" s="27">
        <v>118632</v>
      </c>
      <c r="D5" s="27">
        <v>584799.4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</row>
    <row r="6" spans="1:27">
      <c r="A6" t="s">
        <v>89</v>
      </c>
      <c r="B6" s="26">
        <v>0.17923526524565267</v>
      </c>
      <c r="C6" s="27">
        <v>291517</v>
      </c>
      <c r="D6" s="27">
        <v>876316.4</v>
      </c>
      <c r="E6"/>
      <c r="F6"/>
      <c r="G6"/>
    </row>
    <row r="7" spans="1:27">
      <c r="A7" t="s">
        <v>90</v>
      </c>
      <c r="B7" s="26">
        <v>0.19845382169707271</v>
      </c>
      <c r="C7" s="27">
        <v>322775</v>
      </c>
      <c r="D7" s="27">
        <v>1199091.3999999999</v>
      </c>
      <c r="E7"/>
      <c r="F7"/>
      <c r="G7"/>
    </row>
    <row r="8" spans="1:27">
      <c r="A8" t="s">
        <v>91</v>
      </c>
      <c r="B8" s="26">
        <v>6.9419949191148897E-2</v>
      </c>
      <c r="C8" s="27">
        <v>112908</v>
      </c>
      <c r="D8" s="27">
        <v>1311999.3999999999</v>
      </c>
      <c r="E8"/>
      <c r="F8"/>
      <c r="G8"/>
    </row>
    <row r="9" spans="1:27">
      <c r="A9" t="s">
        <v>92</v>
      </c>
      <c r="B9" s="26">
        <v>0.19333500117956365</v>
      </c>
      <c r="C9" s="27">
        <v>314449.5</v>
      </c>
      <c r="D9" s="27">
        <v>1626448.9</v>
      </c>
      <c r="E9"/>
      <c r="F9"/>
      <c r="G9"/>
    </row>
    <row r="10" spans="1:27">
      <c r="A10" t="s">
        <v>60</v>
      </c>
      <c r="B10" s="26">
        <v>1</v>
      </c>
      <c r="C10" s="27">
        <v>1626448.9</v>
      </c>
      <c r="D10" s="27"/>
      <c r="E10"/>
      <c r="F10"/>
      <c r="G10"/>
    </row>
    <row r="11" spans="1:27">
      <c r="B11"/>
      <c r="C11"/>
      <c r="D11"/>
      <c r="E11"/>
      <c r="F11"/>
      <c r="G11"/>
    </row>
    <row r="12" spans="1:27">
      <c r="B12"/>
      <c r="C12"/>
      <c r="D12"/>
      <c r="E12"/>
      <c r="F12"/>
      <c r="G12"/>
    </row>
    <row r="13" spans="1:27">
      <c r="B13"/>
      <c r="C13"/>
      <c r="D13"/>
      <c r="E13"/>
      <c r="F13"/>
      <c r="G13"/>
    </row>
    <row r="14" spans="1:27">
      <c r="B14"/>
      <c r="C14"/>
      <c r="D14"/>
      <c r="E14"/>
      <c r="F14"/>
      <c r="G14"/>
    </row>
    <row r="15" spans="1:27">
      <c r="B15"/>
      <c r="C15"/>
      <c r="D15"/>
      <c r="E15"/>
      <c r="F15"/>
      <c r="G15"/>
    </row>
    <row r="16" spans="1:27">
      <c r="B16"/>
      <c r="C16"/>
      <c r="D16"/>
      <c r="E16"/>
      <c r="F16"/>
      <c r="G16"/>
    </row>
    <row r="17" spans="2:7">
      <c r="B17"/>
      <c r="C17"/>
      <c r="D17"/>
      <c r="E17"/>
      <c r="F17"/>
      <c r="G17"/>
    </row>
    <row r="18" spans="2:7">
      <c r="B18"/>
      <c r="C18"/>
      <c r="D18"/>
      <c r="E18"/>
      <c r="F18"/>
      <c r="G18"/>
    </row>
    <row r="19" spans="2:7">
      <c r="B19"/>
      <c r="C19"/>
      <c r="D19"/>
      <c r="E19"/>
      <c r="F19"/>
      <c r="G19"/>
    </row>
    <row r="20" spans="2:7">
      <c r="B20"/>
      <c r="C20"/>
      <c r="D20"/>
      <c r="E20"/>
      <c r="F20"/>
      <c r="G20"/>
    </row>
    <row r="21" spans="2:7">
      <c r="B21"/>
      <c r="C21"/>
      <c r="D21"/>
      <c r="E21"/>
      <c r="F21"/>
      <c r="G21"/>
    </row>
    <row r="22" spans="2:7">
      <c r="B22"/>
      <c r="C22"/>
      <c r="D22"/>
      <c r="E22"/>
      <c r="F22"/>
      <c r="G22"/>
    </row>
    <row r="23" spans="2:7">
      <c r="B23"/>
      <c r="C23"/>
      <c r="D23"/>
      <c r="E23"/>
      <c r="F23"/>
      <c r="G23"/>
    </row>
    <row r="24" spans="2:7">
      <c r="B24"/>
      <c r="C24"/>
      <c r="D24"/>
      <c r="E24"/>
      <c r="F24"/>
      <c r="G24"/>
    </row>
    <row r="25" spans="2:7">
      <c r="B25"/>
      <c r="C25"/>
      <c r="D25"/>
      <c r="E25"/>
      <c r="F25"/>
      <c r="G25"/>
    </row>
    <row r="26" spans="2:7">
      <c r="B26"/>
      <c r="C26"/>
      <c r="D26"/>
      <c r="E26"/>
      <c r="F26"/>
      <c r="G26"/>
    </row>
    <row r="27" spans="2:7">
      <c r="B27"/>
      <c r="C27"/>
      <c r="D27"/>
      <c r="E27"/>
      <c r="F27"/>
      <c r="G27"/>
    </row>
    <row r="28" spans="2:7">
      <c r="B28"/>
      <c r="C28"/>
      <c r="D28"/>
      <c r="E28"/>
      <c r="F28"/>
      <c r="G28"/>
    </row>
    <row r="29" spans="2:7">
      <c r="B29"/>
      <c r="C29"/>
      <c r="D29"/>
      <c r="E29"/>
      <c r="F29"/>
      <c r="G29"/>
    </row>
    <row r="30" spans="2:7">
      <c r="B30"/>
      <c r="C30"/>
      <c r="D30"/>
      <c r="E30"/>
      <c r="F30"/>
      <c r="G30"/>
    </row>
    <row r="31" spans="2:7">
      <c r="B31"/>
      <c r="C31"/>
      <c r="D31"/>
      <c r="E31"/>
      <c r="F31"/>
      <c r="G31"/>
    </row>
    <row r="32" spans="2:7">
      <c r="B32"/>
      <c r="C32"/>
      <c r="D32"/>
      <c r="E32"/>
      <c r="F32"/>
      <c r="G32"/>
    </row>
    <row r="33" spans="2:7">
      <c r="B33"/>
      <c r="C33"/>
      <c r="D33"/>
      <c r="E33"/>
      <c r="F33"/>
      <c r="G33"/>
    </row>
    <row r="34" spans="2:7">
      <c r="B34"/>
      <c r="C34"/>
      <c r="D34"/>
      <c r="E34"/>
      <c r="F34"/>
      <c r="G34"/>
    </row>
    <row r="35" spans="2:7">
      <c r="B35"/>
      <c r="C35"/>
      <c r="D35"/>
      <c r="E35"/>
      <c r="F35"/>
      <c r="G35"/>
    </row>
    <row r="36" spans="2:7">
      <c r="B36"/>
      <c r="C36"/>
      <c r="D36"/>
      <c r="E36"/>
      <c r="F36"/>
      <c r="G36"/>
    </row>
    <row r="37" spans="2:7">
      <c r="B37"/>
      <c r="C37"/>
      <c r="D37"/>
      <c r="E37"/>
      <c r="F37"/>
      <c r="G37"/>
    </row>
    <row r="38" spans="2:7">
      <c r="B38"/>
      <c r="C38"/>
      <c r="D38"/>
      <c r="E38"/>
      <c r="F38"/>
      <c r="G38"/>
    </row>
    <row r="39" spans="2:7">
      <c r="B39"/>
      <c r="C39"/>
      <c r="D39"/>
      <c r="E39"/>
      <c r="F39"/>
      <c r="G39"/>
    </row>
    <row r="40" spans="2:7">
      <c r="B40"/>
      <c r="C40"/>
      <c r="D40"/>
      <c r="E40"/>
      <c r="F40"/>
      <c r="G40"/>
    </row>
    <row r="41" spans="2:7">
      <c r="B41"/>
      <c r="C41"/>
      <c r="D41"/>
      <c r="E41"/>
      <c r="F41"/>
      <c r="G41"/>
    </row>
    <row r="42" spans="2:7">
      <c r="B42"/>
      <c r="C42"/>
      <c r="D42"/>
      <c r="E42"/>
      <c r="F42"/>
      <c r="G42"/>
    </row>
    <row r="43" spans="2:7">
      <c r="B43"/>
      <c r="C43"/>
      <c r="D43"/>
      <c r="E43"/>
      <c r="F43"/>
      <c r="G43"/>
    </row>
    <row r="44" spans="2:7">
      <c r="B44"/>
      <c r="C44"/>
      <c r="D44"/>
      <c r="E44"/>
      <c r="F44"/>
      <c r="G44"/>
    </row>
    <row r="45" spans="2:7">
      <c r="B45"/>
      <c r="C45"/>
      <c r="D45"/>
      <c r="E45"/>
      <c r="F45"/>
      <c r="G45"/>
    </row>
    <row r="46" spans="2:7">
      <c r="B46"/>
      <c r="C46"/>
      <c r="D46"/>
      <c r="E46"/>
      <c r="F46"/>
      <c r="G46"/>
    </row>
    <row r="47" spans="2:7">
      <c r="B47"/>
      <c r="C47"/>
      <c r="D47"/>
      <c r="E47"/>
      <c r="F47"/>
      <c r="G47"/>
    </row>
    <row r="48" spans="2:7">
      <c r="B48"/>
      <c r="C48"/>
      <c r="D48"/>
      <c r="E48"/>
      <c r="F48"/>
      <c r="G48"/>
    </row>
    <row r="49" spans="2:7">
      <c r="B49"/>
      <c r="C49"/>
      <c r="D49"/>
      <c r="E49"/>
      <c r="F49"/>
      <c r="G49"/>
    </row>
    <row r="50" spans="2:7">
      <c r="B50"/>
      <c r="C50"/>
      <c r="D50"/>
      <c r="E50"/>
      <c r="F50"/>
      <c r="G50"/>
    </row>
    <row r="51" spans="2:7">
      <c r="B51"/>
      <c r="C51"/>
      <c r="D51"/>
      <c r="E51"/>
      <c r="F51"/>
      <c r="G51"/>
    </row>
    <row r="52" spans="2:7">
      <c r="B52"/>
      <c r="C52"/>
      <c r="D52"/>
      <c r="E52"/>
      <c r="F52"/>
      <c r="G52"/>
    </row>
    <row r="53" spans="2:7">
      <c r="B53"/>
      <c r="C53"/>
      <c r="D53"/>
      <c r="E53"/>
      <c r="F53"/>
      <c r="G53"/>
    </row>
    <row r="54" spans="2:7">
      <c r="B54"/>
      <c r="C54"/>
      <c r="D54"/>
      <c r="E54"/>
      <c r="F54"/>
      <c r="G54"/>
    </row>
    <row r="55" spans="2:7">
      <c r="B55"/>
      <c r="C55"/>
      <c r="D55"/>
      <c r="E55"/>
      <c r="F55"/>
      <c r="G55"/>
    </row>
    <row r="56" spans="2:7">
      <c r="B56"/>
      <c r="C56"/>
      <c r="D56"/>
      <c r="E56"/>
      <c r="F56"/>
      <c r="G56"/>
    </row>
  </sheetData>
  <pageMargins left="0.7" right="0.7" top="0.75" bottom="0.75" header="0.3" footer="0.3"/>
  <pageSetup paperSize="9" orientation="portrait" horizontalDpi="0" verticalDpi="0" r:id="rId2"/>
  <drawing r:id="rId3"/>
  <legacy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5"/>
  <sheetViews>
    <sheetView workbookViewId="0">
      <selection activeCell="C3" sqref="C3"/>
    </sheetView>
  </sheetViews>
  <sheetFormatPr baseColWidth="10" defaultRowHeight="12.75"/>
  <cols>
    <col min="1" max="1" width="21.140625" customWidth="1"/>
    <col min="2" max="2" width="12.85546875" bestFit="1" customWidth="1"/>
    <col min="3" max="3" width="5.7109375" customWidth="1"/>
    <col min="4" max="4" width="13.85546875" customWidth="1"/>
    <col min="5" max="5" width="18.28515625" bestFit="1" customWidth="1"/>
    <col min="6" max="6" width="26" customWidth="1"/>
    <col min="7" max="7" width="23.5703125" customWidth="1"/>
    <col min="8" max="8" width="8.140625" customWidth="1"/>
    <col min="9" max="9" width="11.28515625" customWidth="1"/>
    <col min="10" max="11" width="6.5703125" customWidth="1"/>
    <col min="12" max="12" width="9.7109375" customWidth="1"/>
    <col min="13" max="13" width="13.140625" bestFit="1" customWidth="1"/>
  </cols>
  <sheetData>
    <row r="3" spans="1:4">
      <c r="A3" s="17" t="s">
        <v>59</v>
      </c>
      <c r="B3" t="s">
        <v>110</v>
      </c>
      <c r="C3" t="s">
        <v>112</v>
      </c>
      <c r="D3" t="s">
        <v>111</v>
      </c>
    </row>
    <row r="4" spans="1:4">
      <c r="A4" s="18" t="s">
        <v>16</v>
      </c>
      <c r="B4" s="20"/>
      <c r="C4" s="20"/>
      <c r="D4" s="20"/>
    </row>
    <row r="5" spans="1:4">
      <c r="A5" s="21" t="s">
        <v>22</v>
      </c>
      <c r="B5" s="32">
        <v>46200</v>
      </c>
      <c r="C5" s="20">
        <v>1</v>
      </c>
      <c r="D5" s="32">
        <v>46200</v>
      </c>
    </row>
    <row r="6" spans="1:4">
      <c r="A6" s="21" t="s">
        <v>10</v>
      </c>
      <c r="B6" s="32">
        <v>7939.5</v>
      </c>
      <c r="C6" s="20">
        <v>1</v>
      </c>
      <c r="D6" s="32">
        <v>7939.5</v>
      </c>
    </row>
    <row r="7" spans="1:4">
      <c r="A7" s="18" t="s">
        <v>100</v>
      </c>
      <c r="B7" s="32">
        <v>54139.5</v>
      </c>
      <c r="C7" s="20">
        <v>2</v>
      </c>
      <c r="D7" s="32">
        <v>27069.75</v>
      </c>
    </row>
    <row r="8" spans="1:4">
      <c r="A8" s="18" t="s">
        <v>19</v>
      </c>
      <c r="B8" s="32"/>
      <c r="C8" s="20"/>
      <c r="D8" s="32"/>
    </row>
    <row r="9" spans="1:4">
      <c r="A9" s="21" t="s">
        <v>25</v>
      </c>
      <c r="B9" s="32">
        <v>156744</v>
      </c>
      <c r="C9" s="20">
        <v>1</v>
      </c>
      <c r="D9" s="32">
        <v>156744</v>
      </c>
    </row>
    <row r="10" spans="1:4">
      <c r="A10" s="21" t="s">
        <v>31</v>
      </c>
      <c r="B10" s="32">
        <v>65556</v>
      </c>
      <c r="C10" s="20">
        <v>1</v>
      </c>
      <c r="D10" s="32">
        <v>65556</v>
      </c>
    </row>
    <row r="11" spans="1:4">
      <c r="A11" s="21" t="s">
        <v>22</v>
      </c>
      <c r="B11" s="32">
        <v>39300</v>
      </c>
      <c r="C11" s="20">
        <v>1</v>
      </c>
      <c r="D11" s="32">
        <v>39300</v>
      </c>
    </row>
    <row r="12" spans="1:4">
      <c r="A12" s="21" t="s">
        <v>18</v>
      </c>
      <c r="B12" s="32">
        <v>27971.8</v>
      </c>
      <c r="C12" s="20">
        <v>1</v>
      </c>
      <c r="D12" s="32">
        <v>27971.8</v>
      </c>
    </row>
    <row r="13" spans="1:4">
      <c r="A13" s="18" t="s">
        <v>101</v>
      </c>
      <c r="B13" s="32">
        <v>289571.8</v>
      </c>
      <c r="C13" s="20">
        <v>4</v>
      </c>
      <c r="D13" s="32">
        <v>72392.95</v>
      </c>
    </row>
    <row r="14" spans="1:4">
      <c r="A14" s="18" t="s">
        <v>28</v>
      </c>
      <c r="B14" s="32"/>
      <c r="C14" s="20"/>
      <c r="D14" s="32"/>
    </row>
    <row r="15" spans="1:4">
      <c r="A15" s="21" t="s">
        <v>25</v>
      </c>
      <c r="B15" s="32">
        <v>182574</v>
      </c>
      <c r="C15" s="20">
        <v>1</v>
      </c>
      <c r="D15" s="32">
        <v>182574</v>
      </c>
    </row>
    <row r="16" spans="1:4">
      <c r="A16" s="21" t="s">
        <v>22</v>
      </c>
      <c r="B16" s="32">
        <v>110016</v>
      </c>
      <c r="C16" s="20">
        <v>2</v>
      </c>
      <c r="D16" s="32">
        <v>55008</v>
      </c>
    </row>
    <row r="17" spans="1:4">
      <c r="A17" s="21" t="s">
        <v>10</v>
      </c>
      <c r="B17" s="32">
        <v>8343</v>
      </c>
      <c r="C17" s="20">
        <v>1</v>
      </c>
      <c r="D17" s="32">
        <v>8343</v>
      </c>
    </row>
    <row r="18" spans="1:4">
      <c r="A18" s="18" t="s">
        <v>102</v>
      </c>
      <c r="B18" s="32">
        <v>300933</v>
      </c>
      <c r="C18" s="20">
        <v>4</v>
      </c>
      <c r="D18" s="32">
        <v>75233.25</v>
      </c>
    </row>
    <row r="19" spans="1:4">
      <c r="A19" s="18" t="s">
        <v>7</v>
      </c>
      <c r="B19" s="32"/>
      <c r="C19" s="20"/>
      <c r="D19" s="32"/>
    </row>
    <row r="20" spans="1:4">
      <c r="A20" s="21" t="s">
        <v>18</v>
      </c>
      <c r="B20" s="32">
        <v>18142.399999999998</v>
      </c>
      <c r="C20" s="20">
        <v>1</v>
      </c>
      <c r="D20" s="32">
        <v>18142.399999999998</v>
      </c>
    </row>
    <row r="21" spans="1:4">
      <c r="A21" s="18" t="s">
        <v>103</v>
      </c>
      <c r="B21" s="32">
        <v>18142.399999999998</v>
      </c>
      <c r="C21" s="20">
        <v>1</v>
      </c>
      <c r="D21" s="32">
        <v>18142.399999999998</v>
      </c>
    </row>
    <row r="22" spans="1:4">
      <c r="A22" s="18" t="s">
        <v>32</v>
      </c>
      <c r="B22" s="32"/>
      <c r="C22" s="20"/>
      <c r="D22" s="32"/>
    </row>
    <row r="23" spans="1:4">
      <c r="A23" s="21" t="s">
        <v>31</v>
      </c>
      <c r="B23" s="32">
        <v>61632</v>
      </c>
      <c r="C23" s="20">
        <v>1</v>
      </c>
      <c r="D23" s="32">
        <v>61632</v>
      </c>
    </row>
    <row r="24" spans="1:4">
      <c r="A24" s="18" t="s">
        <v>104</v>
      </c>
      <c r="B24" s="32">
        <v>61632</v>
      </c>
      <c r="C24" s="20">
        <v>1</v>
      </c>
      <c r="D24" s="32">
        <v>61632</v>
      </c>
    </row>
    <row r="25" spans="1:4">
      <c r="A25" s="18" t="s">
        <v>60</v>
      </c>
      <c r="B25" s="32">
        <v>724418.70000000007</v>
      </c>
      <c r="C25" s="20">
        <v>12</v>
      </c>
      <c r="D25" s="32">
        <v>60368.225000000006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39"/>
  <sheetViews>
    <sheetView workbookViewId="0">
      <selection activeCell="B5" sqref="B5"/>
    </sheetView>
  </sheetViews>
  <sheetFormatPr baseColWidth="10" defaultRowHeight="12.75"/>
  <cols>
    <col min="1" max="1" width="21.140625" customWidth="1"/>
    <col min="2" max="2" width="24" bestFit="1" customWidth="1"/>
    <col min="3" max="3" width="10" customWidth="1"/>
    <col min="4" max="4" width="13.140625" customWidth="1"/>
    <col min="5" max="5" width="18.28515625" bestFit="1" customWidth="1"/>
    <col min="6" max="6" width="26" customWidth="1"/>
    <col min="7" max="7" width="23.5703125" customWidth="1"/>
    <col min="8" max="8" width="8.140625" customWidth="1"/>
    <col min="9" max="9" width="11.28515625" customWidth="1"/>
    <col min="10" max="11" width="6.5703125" customWidth="1"/>
    <col min="12" max="12" width="9.7109375" customWidth="1"/>
    <col min="13" max="13" width="13.140625" bestFit="1" customWidth="1"/>
  </cols>
  <sheetData>
    <row r="3" spans="1:4">
      <c r="A3" s="17" t="s">
        <v>68</v>
      </c>
      <c r="B3" s="17" t="s">
        <v>61</v>
      </c>
    </row>
    <row r="4" spans="1:4">
      <c r="A4" s="17" t="s">
        <v>59</v>
      </c>
      <c r="B4" s="19" t="s">
        <v>62</v>
      </c>
      <c r="C4" s="19" t="s">
        <v>63</v>
      </c>
      <c r="D4" s="19" t="s">
        <v>60</v>
      </c>
    </row>
    <row r="5" spans="1:4">
      <c r="A5" s="18" t="s">
        <v>9</v>
      </c>
      <c r="B5" s="20"/>
      <c r="C5" s="20"/>
      <c r="D5" s="20"/>
    </row>
    <row r="6" spans="1:4">
      <c r="A6" s="21" t="s">
        <v>26</v>
      </c>
      <c r="B6" s="20">
        <v>34584</v>
      </c>
      <c r="C6" s="20"/>
      <c r="D6" s="20">
        <v>34584</v>
      </c>
    </row>
    <row r="7" spans="1:4">
      <c r="A7" s="21" t="s">
        <v>23</v>
      </c>
      <c r="B7" s="20">
        <v>41922</v>
      </c>
      <c r="C7" s="20">
        <v>154575</v>
      </c>
      <c r="D7" s="20">
        <v>196497</v>
      </c>
    </row>
    <row r="8" spans="1:4">
      <c r="A8" s="21" t="s">
        <v>16</v>
      </c>
      <c r="B8" s="20">
        <v>28447.8</v>
      </c>
      <c r="C8" s="20">
        <v>13206</v>
      </c>
      <c r="D8" s="20">
        <v>41653.800000000003</v>
      </c>
    </row>
    <row r="9" spans="1:4">
      <c r="A9" s="21" t="s">
        <v>19</v>
      </c>
      <c r="B9" s="20">
        <v>184715.8</v>
      </c>
      <c r="C9" s="20"/>
      <c r="D9" s="20">
        <v>184715.8</v>
      </c>
    </row>
    <row r="10" spans="1:4">
      <c r="A10" s="21" t="s">
        <v>28</v>
      </c>
      <c r="B10" s="20">
        <v>182574</v>
      </c>
      <c r="C10" s="20"/>
      <c r="D10" s="20">
        <v>182574</v>
      </c>
    </row>
    <row r="11" spans="1:4">
      <c r="A11" s="21" t="s">
        <v>7</v>
      </c>
      <c r="B11" s="20">
        <v>42643.399999999994</v>
      </c>
      <c r="C11" s="20">
        <v>173859</v>
      </c>
      <c r="D11" s="20">
        <v>216502.39999999999</v>
      </c>
    </row>
    <row r="12" spans="1:4">
      <c r="A12" s="21" t="s">
        <v>32</v>
      </c>
      <c r="B12" s="20">
        <v>50934</v>
      </c>
      <c r="C12" s="20"/>
      <c r="D12" s="20">
        <v>50934</v>
      </c>
    </row>
    <row r="13" spans="1:4">
      <c r="A13" s="18" t="s">
        <v>64</v>
      </c>
      <c r="B13" s="20">
        <v>565821</v>
      </c>
      <c r="C13" s="20">
        <v>341640</v>
      </c>
      <c r="D13" s="20">
        <v>907461</v>
      </c>
    </row>
    <row r="14" spans="1:4">
      <c r="A14" s="18" t="s">
        <v>13</v>
      </c>
      <c r="B14" s="20"/>
      <c r="C14" s="20"/>
      <c r="D14" s="20"/>
    </row>
    <row r="15" spans="1:4">
      <c r="A15" s="21" t="s">
        <v>26</v>
      </c>
      <c r="B15" s="20"/>
      <c r="C15" s="20">
        <v>302313</v>
      </c>
      <c r="D15" s="20">
        <v>302313</v>
      </c>
    </row>
    <row r="16" spans="1:4">
      <c r="A16" s="21" t="s">
        <v>23</v>
      </c>
      <c r="B16" s="20">
        <v>111081</v>
      </c>
      <c r="C16" s="20">
        <v>12136.5</v>
      </c>
      <c r="D16" s="20">
        <v>123217.5</v>
      </c>
    </row>
    <row r="17" spans="1:4">
      <c r="A17" s="21" t="s">
        <v>11</v>
      </c>
      <c r="B17" s="20"/>
      <c r="C17" s="20">
        <v>13836</v>
      </c>
      <c r="D17" s="20">
        <v>13836</v>
      </c>
    </row>
    <row r="18" spans="1:4">
      <c r="A18" s="21" t="s">
        <v>16</v>
      </c>
      <c r="B18" s="20">
        <v>46200</v>
      </c>
      <c r="C18" s="20"/>
      <c r="D18" s="20">
        <v>46200</v>
      </c>
    </row>
    <row r="19" spans="1:4">
      <c r="A19" s="21" t="s">
        <v>28</v>
      </c>
      <c r="B19" s="20">
        <v>247863</v>
      </c>
      <c r="C19" s="20"/>
      <c r="D19" s="20">
        <v>247863</v>
      </c>
    </row>
    <row r="20" spans="1:4">
      <c r="A20" s="21" t="s">
        <v>7</v>
      </c>
      <c r="B20" s="20">
        <v>127923.4</v>
      </c>
      <c r="C20" s="20"/>
      <c r="D20" s="20">
        <v>127923.4</v>
      </c>
    </row>
    <row r="21" spans="1:4">
      <c r="A21" s="18" t="s">
        <v>65</v>
      </c>
      <c r="B21" s="20">
        <v>533067.4</v>
      </c>
      <c r="C21" s="20">
        <v>328285.5</v>
      </c>
      <c r="D21" s="20">
        <v>861352.9</v>
      </c>
    </row>
    <row r="22" spans="1:4">
      <c r="A22" s="18" t="s">
        <v>15</v>
      </c>
      <c r="B22" s="20"/>
      <c r="C22" s="20"/>
      <c r="D22" s="20"/>
    </row>
    <row r="23" spans="1:4">
      <c r="A23" s="21" t="s">
        <v>30</v>
      </c>
      <c r="B23" s="20">
        <v>183650</v>
      </c>
      <c r="C23" s="20"/>
      <c r="D23" s="20">
        <v>183650</v>
      </c>
    </row>
    <row r="24" spans="1:4">
      <c r="A24" s="21" t="s">
        <v>11</v>
      </c>
      <c r="B24" s="20">
        <v>133659</v>
      </c>
      <c r="C24" s="20">
        <v>24384</v>
      </c>
      <c r="D24" s="20">
        <v>158043</v>
      </c>
    </row>
    <row r="25" spans="1:4">
      <c r="A25" s="21" t="s">
        <v>16</v>
      </c>
      <c r="B25" s="20">
        <v>7939.5</v>
      </c>
      <c r="C25" s="20"/>
      <c r="D25" s="20">
        <v>7939.5</v>
      </c>
    </row>
    <row r="26" spans="1:4">
      <c r="A26" s="21" t="s">
        <v>19</v>
      </c>
      <c r="B26" s="20">
        <v>65556</v>
      </c>
      <c r="C26" s="20"/>
      <c r="D26" s="20">
        <v>65556</v>
      </c>
    </row>
    <row r="27" spans="1:4">
      <c r="A27" s="21" t="s">
        <v>28</v>
      </c>
      <c r="B27" s="20">
        <v>193221</v>
      </c>
      <c r="C27" s="20">
        <v>273863.59999999998</v>
      </c>
      <c r="D27" s="20">
        <v>467084.6</v>
      </c>
    </row>
    <row r="28" spans="1:4">
      <c r="A28" s="21" t="s">
        <v>7</v>
      </c>
      <c r="B28" s="20"/>
      <c r="C28" s="20">
        <v>102630</v>
      </c>
      <c r="D28" s="20">
        <v>102630</v>
      </c>
    </row>
    <row r="29" spans="1:4">
      <c r="A29" s="21" t="s">
        <v>32</v>
      </c>
      <c r="B29" s="20"/>
      <c r="C29" s="20">
        <v>206102</v>
      </c>
      <c r="D29" s="20">
        <v>206102</v>
      </c>
    </row>
    <row r="30" spans="1:4">
      <c r="A30" s="21" t="s">
        <v>29</v>
      </c>
      <c r="B30" s="20">
        <v>9319.5</v>
      </c>
      <c r="C30" s="20">
        <v>54516</v>
      </c>
      <c r="D30" s="20">
        <v>63835.5</v>
      </c>
    </row>
    <row r="31" spans="1:4">
      <c r="A31" s="18" t="s">
        <v>66</v>
      </c>
      <c r="B31" s="20">
        <v>593345</v>
      </c>
      <c r="C31" s="20">
        <v>661495.6</v>
      </c>
      <c r="D31" s="20">
        <v>1254840.6000000001</v>
      </c>
    </row>
    <row r="32" spans="1:4">
      <c r="A32" s="18" t="s">
        <v>21</v>
      </c>
      <c r="B32" s="20"/>
      <c r="C32" s="20"/>
      <c r="D32" s="20"/>
    </row>
    <row r="33" spans="1:4">
      <c r="A33" s="21" t="s">
        <v>30</v>
      </c>
      <c r="B33" s="20"/>
      <c r="C33" s="20">
        <v>176395.8</v>
      </c>
      <c r="D33" s="20">
        <v>176395.8</v>
      </c>
    </row>
    <row r="34" spans="1:4">
      <c r="A34" s="21" t="s">
        <v>11</v>
      </c>
      <c r="B34" s="20"/>
      <c r="C34" s="20">
        <v>118632</v>
      </c>
      <c r="D34" s="20">
        <v>118632</v>
      </c>
    </row>
    <row r="35" spans="1:4">
      <c r="A35" s="21" t="s">
        <v>19</v>
      </c>
      <c r="B35" s="20">
        <v>39300</v>
      </c>
      <c r="C35" s="20"/>
      <c r="D35" s="20">
        <v>39300</v>
      </c>
    </row>
    <row r="36" spans="1:4">
      <c r="A36" s="21" t="s">
        <v>28</v>
      </c>
      <c r="B36" s="20">
        <v>67917</v>
      </c>
      <c r="C36" s="20"/>
      <c r="D36" s="20">
        <v>67917</v>
      </c>
    </row>
    <row r="37" spans="1:4">
      <c r="A37" s="21" t="s">
        <v>32</v>
      </c>
      <c r="B37" s="20">
        <v>61632</v>
      </c>
      <c r="C37" s="20"/>
      <c r="D37" s="20">
        <v>61632</v>
      </c>
    </row>
    <row r="38" spans="1:4">
      <c r="A38" s="18" t="s">
        <v>67</v>
      </c>
      <c r="B38" s="20">
        <v>168849</v>
      </c>
      <c r="C38" s="20">
        <v>295027.8</v>
      </c>
      <c r="D38" s="20">
        <v>463876.8</v>
      </c>
    </row>
    <row r="39" spans="1:4">
      <c r="A39" s="18" t="s">
        <v>60</v>
      </c>
      <c r="B39" s="20">
        <v>1861082.4</v>
      </c>
      <c r="C39" s="20">
        <v>1626448.9000000001</v>
      </c>
      <c r="D39" s="20">
        <v>3487531.3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3"/>
  <sheetViews>
    <sheetView workbookViewId="0">
      <selection activeCell="D4" sqref="D4"/>
    </sheetView>
  </sheetViews>
  <sheetFormatPr baseColWidth="10" defaultRowHeight="12.75"/>
  <cols>
    <col min="1" max="1" width="17.5703125" customWidth="1"/>
    <col min="2" max="2" width="13.28515625" customWidth="1"/>
    <col min="3" max="3" width="12.85546875" customWidth="1"/>
    <col min="4" max="4" width="5.7109375" customWidth="1"/>
    <col min="5" max="5" width="10.85546875" customWidth="1"/>
    <col min="6" max="6" width="26" customWidth="1"/>
    <col min="7" max="7" width="23.5703125" customWidth="1"/>
    <col min="8" max="8" width="8.140625" customWidth="1"/>
    <col min="9" max="9" width="11.28515625" customWidth="1"/>
    <col min="10" max="11" width="6.5703125" customWidth="1"/>
    <col min="12" max="12" width="9.7109375" customWidth="1"/>
    <col min="13" max="13" width="13.140625" bestFit="1" customWidth="1"/>
  </cols>
  <sheetData>
    <row r="3" spans="1:5">
      <c r="A3" s="17" t="s">
        <v>116</v>
      </c>
      <c r="B3" s="17" t="s">
        <v>58</v>
      </c>
      <c r="C3" t="s">
        <v>115</v>
      </c>
      <c r="D3" t="s">
        <v>78</v>
      </c>
      <c r="E3" t="s">
        <v>119</v>
      </c>
    </row>
    <row r="4" spans="1:5">
      <c r="A4" t="s">
        <v>113</v>
      </c>
      <c r="B4" t="s">
        <v>30</v>
      </c>
      <c r="C4" s="32">
        <v>176395.8</v>
      </c>
      <c r="D4" s="35">
        <v>1</v>
      </c>
      <c r="E4" s="32">
        <v>132.87</v>
      </c>
    </row>
    <row r="5" spans="1:5">
      <c r="B5" t="s">
        <v>16</v>
      </c>
      <c r="C5" s="32">
        <v>13206</v>
      </c>
      <c r="D5" s="35">
        <v>2</v>
      </c>
      <c r="E5" s="32">
        <v>0</v>
      </c>
    </row>
    <row r="6" spans="1:5">
      <c r="A6" t="s">
        <v>117</v>
      </c>
      <c r="C6" s="20">
        <v>189601.8</v>
      </c>
      <c r="D6" s="20"/>
      <c r="E6" s="36">
        <v>220.91</v>
      </c>
    </row>
    <row r="7" spans="1:5">
      <c r="A7" t="s">
        <v>114</v>
      </c>
      <c r="B7" t="s">
        <v>28</v>
      </c>
      <c r="C7" s="32">
        <v>273863.59999999998</v>
      </c>
      <c r="D7" s="35">
        <v>1</v>
      </c>
      <c r="E7" s="32">
        <v>213.59</v>
      </c>
    </row>
    <row r="8" spans="1:5">
      <c r="B8" t="s">
        <v>7</v>
      </c>
      <c r="C8" s="32">
        <v>173859</v>
      </c>
      <c r="D8" s="35">
        <v>2</v>
      </c>
      <c r="E8" s="32">
        <v>82.79</v>
      </c>
    </row>
    <row r="9" spans="1:5">
      <c r="B9" t="s">
        <v>11</v>
      </c>
      <c r="C9" s="32">
        <v>156852</v>
      </c>
      <c r="D9" s="35">
        <v>3</v>
      </c>
      <c r="E9" s="32">
        <v>353.66</v>
      </c>
    </row>
    <row r="10" spans="1:5">
      <c r="B10" t="s">
        <v>29</v>
      </c>
      <c r="C10" s="32">
        <v>44238</v>
      </c>
      <c r="D10" s="35">
        <v>4</v>
      </c>
      <c r="E10" s="32">
        <v>0</v>
      </c>
    </row>
    <row r="11" spans="1:5">
      <c r="B11" t="s">
        <v>32</v>
      </c>
      <c r="C11" s="32">
        <v>37902</v>
      </c>
      <c r="D11" s="35">
        <v>5</v>
      </c>
      <c r="E11" s="32">
        <v>0</v>
      </c>
    </row>
    <row r="12" spans="1:5">
      <c r="A12" t="s">
        <v>118</v>
      </c>
      <c r="C12" s="32">
        <v>686714.6</v>
      </c>
      <c r="D12" s="32"/>
      <c r="E12" s="32">
        <v>786.94</v>
      </c>
    </row>
    <row r="13" spans="1:5">
      <c r="A13" t="s">
        <v>60</v>
      </c>
      <c r="C13" s="32">
        <v>876316.39999999991</v>
      </c>
      <c r="D13" s="32"/>
      <c r="E13" s="32">
        <v>1007.85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5"/>
  <sheetViews>
    <sheetView tabSelected="1" workbookViewId="0">
      <selection activeCell="E24" sqref="E24"/>
    </sheetView>
  </sheetViews>
  <sheetFormatPr baseColWidth="10" defaultRowHeight="12.75"/>
  <cols>
    <col min="1" max="1" width="21.140625" customWidth="1"/>
    <col min="2" max="2" width="24" customWidth="1"/>
    <col min="3" max="4" width="14.42578125" customWidth="1"/>
    <col min="5" max="5" width="12.85546875" customWidth="1"/>
    <col min="6" max="6" width="11.85546875" customWidth="1"/>
    <col min="7" max="10" width="12.85546875" customWidth="1"/>
    <col min="11" max="11" width="11.85546875" customWidth="1"/>
    <col min="12" max="12" width="14.42578125" customWidth="1"/>
    <col min="13" max="13" width="13.140625" bestFit="1" customWidth="1"/>
  </cols>
  <sheetData>
    <row r="3" spans="1:4">
      <c r="A3" s="17" t="s">
        <v>68</v>
      </c>
      <c r="B3" s="17" t="s">
        <v>61</v>
      </c>
    </row>
    <row r="4" spans="1:4">
      <c r="A4" s="17" t="s">
        <v>59</v>
      </c>
      <c r="B4" t="s">
        <v>62</v>
      </c>
      <c r="C4" t="s">
        <v>63</v>
      </c>
      <c r="D4" t="s">
        <v>60</v>
      </c>
    </row>
    <row r="5" spans="1:4">
      <c r="A5" s="18" t="s">
        <v>30</v>
      </c>
      <c r="B5" s="32">
        <v>183650</v>
      </c>
      <c r="C5" s="32">
        <v>176395.8</v>
      </c>
      <c r="D5" s="32">
        <v>360045.8</v>
      </c>
    </row>
    <row r="6" spans="1:4">
      <c r="A6" s="18" t="s">
        <v>26</v>
      </c>
      <c r="B6" s="32">
        <v>34584</v>
      </c>
      <c r="C6" s="32">
        <v>302313</v>
      </c>
      <c r="D6" s="32">
        <v>336897</v>
      </c>
    </row>
    <row r="7" spans="1:4">
      <c r="A7" s="18" t="s">
        <v>23</v>
      </c>
      <c r="B7" s="32">
        <v>153003</v>
      </c>
      <c r="C7" s="32">
        <v>166711.5</v>
      </c>
      <c r="D7" s="32">
        <v>319714.5</v>
      </c>
    </row>
    <row r="8" spans="1:4">
      <c r="A8" s="18" t="s">
        <v>11</v>
      </c>
      <c r="B8" s="32">
        <v>133659</v>
      </c>
      <c r="C8" s="32">
        <v>156852</v>
      </c>
      <c r="D8" s="32">
        <v>290511</v>
      </c>
    </row>
    <row r="9" spans="1:4">
      <c r="A9" s="18" t="s">
        <v>16</v>
      </c>
      <c r="B9" s="32">
        <v>82587.3</v>
      </c>
      <c r="C9" s="32">
        <v>13206</v>
      </c>
      <c r="D9" s="32">
        <v>95793.3</v>
      </c>
    </row>
    <row r="10" spans="1:4">
      <c r="A10" s="18" t="s">
        <v>19</v>
      </c>
      <c r="B10" s="32">
        <v>289571.8</v>
      </c>
      <c r="C10" s="32"/>
      <c r="D10" s="32">
        <v>289571.8</v>
      </c>
    </row>
    <row r="11" spans="1:4">
      <c r="A11" s="18" t="s">
        <v>28</v>
      </c>
      <c r="B11" s="32">
        <v>691575</v>
      </c>
      <c r="C11" s="32">
        <v>273863.59999999998</v>
      </c>
      <c r="D11" s="32">
        <v>965438.6</v>
      </c>
    </row>
    <row r="12" spans="1:4">
      <c r="A12" s="18" t="s">
        <v>7</v>
      </c>
      <c r="B12" s="32">
        <v>170566.8</v>
      </c>
      <c r="C12" s="32">
        <v>276489</v>
      </c>
      <c r="D12" s="32">
        <v>447055.8</v>
      </c>
    </row>
    <row r="13" spans="1:4">
      <c r="A13" s="18" t="s">
        <v>32</v>
      </c>
      <c r="B13" s="32">
        <v>112566</v>
      </c>
      <c r="C13" s="32">
        <v>206102</v>
      </c>
      <c r="D13" s="32">
        <v>318668</v>
      </c>
    </row>
    <row r="14" spans="1:4">
      <c r="A14" s="18" t="s">
        <v>29</v>
      </c>
      <c r="B14" s="32">
        <v>9319.5</v>
      </c>
      <c r="C14" s="32">
        <v>54516</v>
      </c>
      <c r="D14" s="32">
        <v>63835.5</v>
      </c>
    </row>
    <row r="15" spans="1:4">
      <c r="A15" s="18" t="s">
        <v>60</v>
      </c>
      <c r="B15" s="32">
        <v>1861082.4000000001</v>
      </c>
      <c r="C15" s="32">
        <v>1626448.9</v>
      </c>
      <c r="D15" s="32">
        <v>3487531.3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activeCell="F3" sqref="F3:G3"/>
    </sheetView>
  </sheetViews>
  <sheetFormatPr baseColWidth="10" defaultRowHeight="12.75"/>
  <cols>
    <col min="1" max="1" width="29.28515625" style="2" customWidth="1"/>
    <col min="2" max="2" width="19.140625" style="2" customWidth="1"/>
    <col min="3" max="3" width="29.28515625" style="2" customWidth="1"/>
    <col min="4" max="4" width="45.42578125" style="3" customWidth="1"/>
    <col min="5" max="5" width="11.42578125" style="3"/>
    <col min="6" max="7" width="13.5703125" style="3" customWidth="1"/>
    <col min="8" max="16384" width="11.42578125" style="3"/>
  </cols>
  <sheetData>
    <row r="1" spans="1:7" ht="13.5" thickBot="1">
      <c r="F1" s="37"/>
      <c r="G1" s="37"/>
    </row>
    <row r="2" spans="1:7" ht="16.5" thickBot="1">
      <c r="A2" s="38" t="s">
        <v>34</v>
      </c>
      <c r="B2" s="39"/>
      <c r="C2" s="39"/>
      <c r="D2" s="40"/>
    </row>
    <row r="3" spans="1:7">
      <c r="A3" s="4" t="s">
        <v>35</v>
      </c>
      <c r="B3" s="5" t="s">
        <v>36</v>
      </c>
      <c r="C3" s="5"/>
      <c r="D3" s="6"/>
      <c r="F3" s="37" t="s">
        <v>37</v>
      </c>
      <c r="G3" s="37"/>
    </row>
    <row r="4" spans="1:7">
      <c r="A4" s="7"/>
      <c r="B4" s="5"/>
      <c r="C4" s="5" t="s">
        <v>38</v>
      </c>
      <c r="D4" s="6"/>
    </row>
    <row r="5" spans="1:7">
      <c r="A5" s="7"/>
      <c r="B5" s="5"/>
      <c r="C5" s="5" t="s">
        <v>39</v>
      </c>
      <c r="D5" s="6"/>
    </row>
    <row r="6" spans="1:7" ht="13.5" thickBot="1">
      <c r="A6" s="8"/>
      <c r="B6" s="9"/>
      <c r="C6" s="9"/>
      <c r="D6" s="10"/>
    </row>
    <row r="7" spans="1:7">
      <c r="A7" s="4" t="s">
        <v>40</v>
      </c>
      <c r="B7" s="5" t="s">
        <v>41</v>
      </c>
      <c r="C7" s="5"/>
      <c r="D7" s="6"/>
    </row>
    <row r="8" spans="1:7">
      <c r="A8" s="7"/>
      <c r="B8" s="5"/>
      <c r="C8" s="5" t="s">
        <v>42</v>
      </c>
      <c r="D8" s="6"/>
    </row>
    <row r="9" spans="1:7">
      <c r="A9" s="7"/>
      <c r="B9" s="5"/>
      <c r="C9" s="5" t="s">
        <v>43</v>
      </c>
      <c r="D9" s="6"/>
    </row>
    <row r="10" spans="1:7">
      <c r="A10" s="7"/>
      <c r="B10" s="5"/>
      <c r="C10" s="5"/>
      <c r="D10" s="6"/>
    </row>
    <row r="11" spans="1:7" ht="13.5" thickBot="1">
      <c r="A11" s="8"/>
      <c r="B11" s="9"/>
      <c r="C11" s="9"/>
      <c r="D11" s="10"/>
    </row>
    <row r="12" spans="1:7">
      <c r="A12" s="4" t="s">
        <v>44</v>
      </c>
      <c r="B12" s="5" t="s">
        <v>45</v>
      </c>
      <c r="C12" s="5"/>
      <c r="D12" s="6"/>
    </row>
    <row r="13" spans="1:7">
      <c r="A13" s="7"/>
      <c r="B13" s="5"/>
      <c r="C13" s="5" t="s">
        <v>46</v>
      </c>
      <c r="D13" s="6"/>
    </row>
    <row r="14" spans="1:7">
      <c r="A14" s="7"/>
      <c r="B14" s="5"/>
      <c r="C14" s="5" t="s">
        <v>47</v>
      </c>
      <c r="D14" s="6"/>
    </row>
    <row r="15" spans="1:7">
      <c r="A15" s="7"/>
      <c r="B15" s="5"/>
      <c r="C15" s="5" t="s">
        <v>48</v>
      </c>
      <c r="D15" s="6"/>
    </row>
    <row r="16" spans="1:7">
      <c r="A16" s="7"/>
      <c r="B16" s="5"/>
      <c r="C16" s="5" t="s">
        <v>49</v>
      </c>
      <c r="D16" s="6"/>
    </row>
    <row r="17" spans="1:4">
      <c r="A17" s="7"/>
      <c r="B17" s="5"/>
      <c r="C17" s="5"/>
      <c r="D17" s="6"/>
    </row>
    <row r="18" spans="1:4" ht="13.5" thickBot="1">
      <c r="A18" s="8"/>
      <c r="B18" s="9"/>
      <c r="C18" s="9"/>
      <c r="D18" s="10"/>
    </row>
    <row r="19" spans="1:4">
      <c r="A19" s="4" t="s">
        <v>50</v>
      </c>
      <c r="B19" s="5" t="s">
        <v>51</v>
      </c>
      <c r="C19" s="5"/>
      <c r="D19" s="6" t="s">
        <v>52</v>
      </c>
    </row>
    <row r="20" spans="1:4">
      <c r="A20" s="7"/>
      <c r="B20" s="5"/>
      <c r="C20" s="5" t="s">
        <v>53</v>
      </c>
      <c r="D20" s="6"/>
    </row>
    <row r="21" spans="1:4">
      <c r="A21" s="7"/>
      <c r="B21" s="5"/>
      <c r="C21" s="5" t="s">
        <v>39</v>
      </c>
      <c r="D21" s="6"/>
    </row>
    <row r="22" spans="1:4">
      <c r="A22" s="7"/>
      <c r="B22" s="5"/>
      <c r="C22" s="5" t="s">
        <v>57</v>
      </c>
      <c r="D22" s="6"/>
    </row>
    <row r="23" spans="1:4" ht="13.5" thickBot="1">
      <c r="A23" s="8"/>
      <c r="B23" s="9"/>
      <c r="C23" s="9"/>
      <c r="D23" s="10"/>
    </row>
    <row r="24" spans="1:4">
      <c r="A24" s="4" t="s">
        <v>54</v>
      </c>
      <c r="B24" s="5" t="s">
        <v>55</v>
      </c>
      <c r="C24" s="5"/>
      <c r="D24" s="6"/>
    </row>
    <row r="25" spans="1:4">
      <c r="A25" s="7"/>
      <c r="B25" s="5"/>
      <c r="C25" s="5" t="s">
        <v>53</v>
      </c>
      <c r="D25" s="6"/>
    </row>
    <row r="26" spans="1:4">
      <c r="A26" s="7"/>
      <c r="B26" s="5"/>
      <c r="C26" s="5" t="s">
        <v>39</v>
      </c>
      <c r="D26" s="6"/>
    </row>
    <row r="27" spans="1:4">
      <c r="A27" s="7"/>
      <c r="B27" s="5"/>
      <c r="C27" s="5" t="s">
        <v>56</v>
      </c>
      <c r="D27" s="6"/>
    </row>
    <row r="28" spans="1:4" ht="13.5" thickBot="1">
      <c r="A28" s="8"/>
      <c r="B28" s="9"/>
      <c r="C28" s="9"/>
      <c r="D28" s="10"/>
    </row>
  </sheetData>
  <mergeCells count="3">
    <mergeCell ref="F1:G1"/>
    <mergeCell ref="A2:D2"/>
    <mergeCell ref="F3:G3"/>
  </mergeCells>
  <hyperlinks>
    <hyperlink ref="F3:G3" location="'bdd commandes'!A1" display="RETOUR BBD COMMAND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</vt:i4>
      </vt:variant>
    </vt:vector>
  </HeadingPairs>
  <TitlesOfParts>
    <vt:vector size="13" baseType="lpstr">
      <vt:lpstr>bdd commandes</vt:lpstr>
      <vt:lpstr>TCD1</vt:lpstr>
      <vt:lpstr>TCD2</vt:lpstr>
      <vt:lpstr>TCD3</vt:lpstr>
      <vt:lpstr>TCD4</vt:lpstr>
      <vt:lpstr>TCD5</vt:lpstr>
      <vt:lpstr>TCD6</vt:lpstr>
      <vt:lpstr>TCD7</vt:lpstr>
      <vt:lpstr>TCD8</vt:lpstr>
      <vt:lpstr>TCD9</vt:lpstr>
      <vt:lpstr>TCD 10</vt:lpstr>
      <vt:lpstr>TCD Commandes</vt:lpstr>
      <vt:lpstr>'bdd commandes'!Criteres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Sieffert sandrine</dc:creator>
  <cp:lastModifiedBy>Sandrine</cp:lastModifiedBy>
  <dcterms:created xsi:type="dcterms:W3CDTF">2013-06-20T13:08:56Z</dcterms:created>
  <dcterms:modified xsi:type="dcterms:W3CDTF">2017-04-23T13:40:41Z</dcterms:modified>
</cp:coreProperties>
</file>