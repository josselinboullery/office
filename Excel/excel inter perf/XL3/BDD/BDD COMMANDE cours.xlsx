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XL3\BDD\"/>
    </mc:Choice>
  </mc:AlternateContent>
  <bookViews>
    <workbookView xWindow="480" yWindow="75" windowWidth="17520" windowHeight="6990" tabRatio="714"/>
  </bookViews>
  <sheets>
    <sheet name="TCD" sheetId="3" r:id="rId1"/>
    <sheet name="TCD2" sheetId="6" r:id="rId2"/>
    <sheet name="TCD3" sheetId="7" r:id="rId3"/>
    <sheet name="TCD4" sheetId="8" r:id="rId4"/>
    <sheet name="bdd commandes" sheetId="1" r:id="rId5"/>
    <sheet name="TCD Commandes" sheetId="2" state="hidden" r:id="rId6"/>
  </sheets>
  <externalReferences>
    <externalReference r:id="rId7"/>
  </externalReferences>
  <definedNames>
    <definedName name="_xlnm._FilterDatabase" localSheetId="4" hidden="1">'bdd commandes'!$A$1:$H$50</definedName>
    <definedName name="CNE">'[1]ID ETUDIANT (2)'!$A$1:$E$5</definedName>
    <definedName name="_xlnm.Criteria" localSheetId="4">'bdd commandes'!$I$16:$I$17</definedName>
    <definedName name="cursource" hidden="1">#N/A</definedName>
    <definedName name="DATA">[1]BDLIRE!$A$3:$C$8</definedName>
    <definedName name="int_ext_sel" hidden="1">1</definedName>
    <definedName name="NOTE">'[1]NOTES (2)'!$A$1:$H$5</definedName>
    <definedName name="Segment_ANNEE">#N/A</definedName>
  </definedNames>
  <calcPr calcId="152511"/>
  <pivotCaches>
    <pivotCache cacheId="30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K4" i="1" l="1"/>
  <c r="K6" i="1"/>
  <c r="K8" i="1"/>
  <c r="K10" i="1"/>
  <c r="K12" i="1"/>
  <c r="K14" i="1"/>
  <c r="K16" i="1"/>
  <c r="K18" i="1"/>
  <c r="K20" i="1"/>
  <c r="K22" i="1"/>
  <c r="K24" i="1"/>
  <c r="K26" i="1"/>
  <c r="K28" i="1"/>
  <c r="K30" i="1"/>
  <c r="K32" i="1"/>
  <c r="K34" i="1"/>
  <c r="K36" i="1"/>
  <c r="K38" i="1"/>
  <c r="K40" i="1"/>
  <c r="K42" i="1"/>
  <c r="K44" i="1"/>
  <c r="K46" i="1"/>
  <c r="K48" i="1"/>
  <c r="K50" i="1"/>
  <c r="J3" i="1"/>
  <c r="K3" i="1" s="1"/>
  <c r="J4" i="1"/>
  <c r="J5" i="1"/>
  <c r="K5" i="1" s="1"/>
  <c r="J6" i="1"/>
  <c r="J7" i="1"/>
  <c r="K7" i="1" s="1"/>
  <c r="J8" i="1"/>
  <c r="J9" i="1"/>
  <c r="K9" i="1" s="1"/>
  <c r="J10" i="1"/>
  <c r="J11" i="1"/>
  <c r="K11" i="1" s="1"/>
  <c r="J12" i="1"/>
  <c r="J13" i="1"/>
  <c r="K13" i="1" s="1"/>
  <c r="J14" i="1"/>
  <c r="J15" i="1"/>
  <c r="K15" i="1" s="1"/>
  <c r="J16" i="1"/>
  <c r="J17" i="1"/>
  <c r="K17" i="1" s="1"/>
  <c r="J18" i="1"/>
  <c r="J19" i="1"/>
  <c r="K19" i="1" s="1"/>
  <c r="J20" i="1"/>
  <c r="J21" i="1"/>
  <c r="K21" i="1" s="1"/>
  <c r="J22" i="1"/>
  <c r="J23" i="1"/>
  <c r="K23" i="1" s="1"/>
  <c r="J24" i="1"/>
  <c r="J25" i="1"/>
  <c r="K25" i="1" s="1"/>
  <c r="J26" i="1"/>
  <c r="J27" i="1"/>
  <c r="K27" i="1" s="1"/>
  <c r="J28" i="1"/>
  <c r="J29" i="1"/>
  <c r="K29" i="1" s="1"/>
  <c r="J30" i="1"/>
  <c r="J31" i="1"/>
  <c r="K31" i="1" s="1"/>
  <c r="J32" i="1"/>
  <c r="J33" i="1"/>
  <c r="K33" i="1" s="1"/>
  <c r="J34" i="1"/>
  <c r="J35" i="1"/>
  <c r="K35" i="1" s="1"/>
  <c r="J36" i="1"/>
  <c r="J37" i="1"/>
  <c r="K37" i="1" s="1"/>
  <c r="J38" i="1"/>
  <c r="J39" i="1"/>
  <c r="K39" i="1" s="1"/>
  <c r="J40" i="1"/>
  <c r="J41" i="1"/>
  <c r="K41" i="1" s="1"/>
  <c r="J42" i="1"/>
  <c r="J43" i="1"/>
  <c r="K43" i="1" s="1"/>
  <c r="J44" i="1"/>
  <c r="J45" i="1"/>
  <c r="K45" i="1" s="1"/>
  <c r="J46" i="1"/>
  <c r="J47" i="1"/>
  <c r="K47" i="1" s="1"/>
  <c r="J48" i="1"/>
  <c r="J49" i="1"/>
  <c r="K49" i="1" s="1"/>
  <c r="J50" i="1"/>
  <c r="J2" i="1"/>
  <c r="K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2" i="1"/>
  <c r="H50" i="1" l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<sst xmlns="http://schemas.openxmlformats.org/spreadsheetml/2006/main" count="335" uniqueCount="95">
  <si>
    <t>DATE</t>
  </si>
  <si>
    <t>CLIENT</t>
  </si>
  <si>
    <t>SECTEUR</t>
  </si>
  <si>
    <t>PRODUIT</t>
  </si>
  <si>
    <t>PRIX</t>
  </si>
  <si>
    <t>QUANTITE</t>
  </si>
  <si>
    <t>MONTANT</t>
  </si>
  <si>
    <t>Martin</t>
  </si>
  <si>
    <t>Florus</t>
  </si>
  <si>
    <t>Centre</t>
  </si>
  <si>
    <t>Stylos</t>
  </si>
  <si>
    <t>Dupond</t>
  </si>
  <si>
    <t>Muse SA</t>
  </si>
  <si>
    <t>Nord</t>
  </si>
  <si>
    <t>Ifrane</t>
  </si>
  <si>
    <t>Ouest</t>
  </si>
  <si>
    <t>Dupuis</t>
  </si>
  <si>
    <t>Plein-nord</t>
  </si>
  <si>
    <t>Porte-clés</t>
  </si>
  <si>
    <t>Leveque</t>
  </si>
  <si>
    <t>Pubcité</t>
  </si>
  <si>
    <t>Sud</t>
  </si>
  <si>
    <t>Casquettes</t>
  </si>
  <si>
    <t>Balliard</t>
  </si>
  <si>
    <t>Nimbus</t>
  </si>
  <si>
    <t>Calculatrices</t>
  </si>
  <si>
    <t>Ball</t>
  </si>
  <si>
    <t>Montres</t>
  </si>
  <si>
    <t>Marrou</t>
  </si>
  <si>
    <t>Tardi</t>
  </si>
  <si>
    <t>Mar</t>
  </si>
  <si>
    <t>Calendriers</t>
  </si>
  <si>
    <t>Pellieux</t>
  </si>
  <si>
    <t>sieffert</t>
  </si>
  <si>
    <t>TCD A REALISER</t>
  </si>
  <si>
    <t>TCD 1</t>
  </si>
  <si>
    <t>PAR VENDEURS</t>
  </si>
  <si>
    <t>RETOUR BBD COMMANDE</t>
  </si>
  <si>
    <t>Somme des montants</t>
  </si>
  <si>
    <t>Nb de ventes</t>
  </si>
  <si>
    <t>TCD 2</t>
  </si>
  <si>
    <t>PAR SECTEUR</t>
  </si>
  <si>
    <t>Moyenne des ventes</t>
  </si>
  <si>
    <t>Quantité MAXI</t>
  </si>
  <si>
    <t>TCD 3</t>
  </si>
  <si>
    <t>PAR PRODUIT</t>
  </si>
  <si>
    <t>Somme des montant</t>
  </si>
  <si>
    <t>Montant Maxi</t>
  </si>
  <si>
    <t>Montant Mini</t>
  </si>
  <si>
    <t>Part du total en %</t>
  </si>
  <si>
    <t>TCD 4</t>
  </si>
  <si>
    <t>PAR ANNEE ET PAR MOIS</t>
  </si>
  <si>
    <t>Mettre l'année en Filtre</t>
  </si>
  <si>
    <t>Somme des ventes</t>
  </si>
  <si>
    <t>TCD 6</t>
  </si>
  <si>
    <t>PAR CLIENT ET PRODUITS</t>
  </si>
  <si>
    <t>Afficher la marge de 20% des ventes (utiliser le champ calculé)</t>
  </si>
  <si>
    <t>par vendeur Calculer leur prime (2% des ventes par mois) (utiliser le champ calculer)</t>
  </si>
  <si>
    <t>VENDEURS</t>
  </si>
  <si>
    <t>ANNEE</t>
  </si>
  <si>
    <t>Mois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</si>
  <si>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</si>
  <si>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</si>
  <si>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</si>
  <si>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</si>
  <si>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</si>
  <si>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</si>
  <si>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</si>
  <si>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</si>
  <si>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</si>
  <si>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</si>
  <si>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</si>
  <si>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</si>
  <si>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Mois lettre</t>
  </si>
  <si>
    <t>Étiquettes de lignes</t>
  </si>
  <si>
    <t>Total général</t>
  </si>
  <si>
    <t>Somme de MONTANT</t>
  </si>
  <si>
    <t>Ligne Parente</t>
  </si>
  <si>
    <t>% du total</t>
  </si>
  <si>
    <t>Total Centre</t>
  </si>
  <si>
    <t>Total Nord</t>
  </si>
  <si>
    <t>Total Ouest</t>
  </si>
  <si>
    <t>Total Sud</t>
  </si>
  <si>
    <t>Étiquettes de colonnes</t>
  </si>
  <si>
    <t>total ca</t>
  </si>
  <si>
    <t>CA</t>
  </si>
  <si>
    <t>Total CA</t>
  </si>
  <si>
    <t>Faire un graph</t>
  </si>
  <si>
    <t>Moy CA</t>
  </si>
  <si>
    <t>NB ventes</t>
  </si>
  <si>
    <t>Prime annelle</t>
  </si>
  <si>
    <t>Difference 2015</t>
  </si>
  <si>
    <t>Total Difference 2015</t>
  </si>
  <si>
    <t>dIF % 2015</t>
  </si>
  <si>
    <t>Total dIF %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</si>
</sst>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[$€]_-;\-* #,##0.00\ [$€]_-;_-* &quot;-&quot;??\ [$€]_-;_-@_-"/>
    <numFmt numFmtId="165" formatCode="_-* #,##0.00\ _F_-;\-* #,##0.00\ _F_-;_-* &quot;-&quot;??\ _F_-;_-@_-"/>
    <numFmt numFmtId="166" formatCode="_-* #,##0.00\ &quot;F&quot;_-;\-* #,##0.00\ &quot;F&quot;_-;_-* &quot;-&quot;??\ &quot;F&quot;_-;_-@_-"/>
    <numFmt numFmtId="167" formatCode="_ * #,##0.00_)\ &quot;$&quot;_ ;_ * \(#,##0.00\)\ &quot;$&quot;_ ;_ * &quot;-&quot;??_)\ &quot;$&quot;_ ;_ @_ "/>
    <numFmt numFmtId="168" formatCode="0.0%"/>
  </numFmts>
  <fonts count="18">
    <font>
      <sz val="10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1"/>
      <color indexed="18"/>
      <name val="Vagabond"/>
    </font>
    <font>
      <sz val="11"/>
      <color rgb="FF006100"/>
      <name val="Arial"/>
      <family val="2"/>
    </font>
    <font>
      <b/>
      <i/>
      <sz val="9"/>
      <color indexed="9"/>
      <name val="Courier"/>
      <family val="3"/>
    </font>
    <font>
      <b/>
      <sz val="14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ck">
        <color indexed="16"/>
      </left>
      <right style="medium">
        <color indexed="64"/>
      </right>
      <top/>
      <bottom style="medium">
        <color indexed="64"/>
      </bottom>
      <diagonal/>
    </border>
    <border>
      <left style="double">
        <color theme="4"/>
      </left>
      <right style="double">
        <color theme="4"/>
      </right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16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1">
    <xf numFmtId="0" fontId="0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 applyFont="0" applyFill="0" applyBorder="0" applyAlignment="0" applyProtection="0"/>
    <xf numFmtId="0" fontId="1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0" borderId="0" applyFont="0" applyFill="0" applyBorder="0" applyAlignment="0" applyProtection="0"/>
    <xf numFmtId="40" fontId="4" fillId="0" borderId="0" applyFont="0" applyFill="0" applyBorder="0" applyAlignment="0" applyProtection="0"/>
    <xf numFmtId="4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8" fillId="0" borderId="0"/>
    <xf numFmtId="0" fontId="9" fillId="8" borderId="1"/>
    <xf numFmtId="41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2" borderId="0" applyNumberFormat="0" applyBorder="0" applyAlignment="0" applyProtection="0"/>
    <xf numFmtId="0" fontId="4" fillId="0" borderId="0"/>
    <xf numFmtId="0" fontId="2" fillId="0" borderId="2"/>
    <xf numFmtId="0" fontId="4" fillId="0" borderId="3"/>
    <xf numFmtId="168" fontId="9" fillId="8" borderId="4">
      <alignment horizontal="center"/>
    </xf>
    <xf numFmtId="0" fontId="11" fillId="9" borderId="5">
      <alignment horizontal="center"/>
    </xf>
    <xf numFmtId="0" fontId="12" fillId="10" borderId="0"/>
    <xf numFmtId="0" fontId="13" fillId="0" borderId="0">
      <alignment horizont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6"/>
  </cellStyleXfs>
  <cellXfs count="26">
    <xf numFmtId="0" fontId="0" fillId="0" borderId="0" xfId="0"/>
    <xf numFmtId="0" fontId="4" fillId="0" borderId="0" xfId="1"/>
    <xf numFmtId="0" fontId="4" fillId="11" borderId="0" xfId="1" applyFill="1"/>
    <xf numFmtId="0" fontId="0" fillId="11" borderId="0" xfId="0" applyFill="1"/>
    <xf numFmtId="0" fontId="15" fillId="11" borderId="10" xfId="1" applyFont="1" applyFill="1" applyBorder="1" applyAlignment="1">
      <alignment horizontal="right"/>
    </xf>
    <xf numFmtId="0" fontId="4" fillId="11" borderId="0" xfId="1" applyFill="1" applyBorder="1"/>
    <xf numFmtId="0" fontId="0" fillId="11" borderId="11" xfId="0" applyFill="1" applyBorder="1"/>
    <xf numFmtId="0" fontId="4" fillId="11" borderId="10" xfId="1" applyFill="1" applyBorder="1" applyAlignment="1">
      <alignment horizontal="right"/>
    </xf>
    <xf numFmtId="0" fontId="4" fillId="11" borderId="12" xfId="1" applyFill="1" applyBorder="1" applyAlignment="1">
      <alignment horizontal="right"/>
    </xf>
    <xf numFmtId="0" fontId="4" fillId="11" borderId="13" xfId="1" applyFill="1" applyBorder="1"/>
    <xf numFmtId="0" fontId="0" fillId="11" borderId="14" xfId="0" applyFill="1" applyBorder="1"/>
    <xf numFmtId="0" fontId="5" fillId="7" borderId="0" xfId="2" applyFill="1" applyAlignment="1" applyProtection="1">
      <alignment horizontal="center"/>
    </xf>
    <xf numFmtId="0" fontId="14" fillId="12" borderId="7" xfId="1" applyFont="1" applyFill="1" applyBorder="1" applyAlignment="1">
      <alignment horizontal="center"/>
    </xf>
    <xf numFmtId="0" fontId="14" fillId="12" borderId="8" xfId="1" applyFont="1" applyFill="1" applyBorder="1" applyAlignment="1">
      <alignment horizontal="center"/>
    </xf>
    <xf numFmtId="0" fontId="14" fillId="12" borderId="9" xfId="1" applyFont="1" applyFill="1" applyBorder="1" applyAlignment="1">
      <alignment horizontal="center"/>
    </xf>
    <xf numFmtId="0" fontId="16" fillId="0" borderId="0" xfId="1" applyNumberFormat="1" applyFont="1" applyFill="1" applyBorder="1" applyAlignment="1">
      <alignment horizontal="center"/>
    </xf>
    <xf numFmtId="0" fontId="16" fillId="0" borderId="0" xfId="1" applyNumberFormat="1" applyFont="1" applyFill="1" applyBorder="1" applyAlignment="1"/>
    <xf numFmtId="0" fontId="17" fillId="0" borderId="0" xfId="1" applyNumberFormat="1" applyFont="1" applyFill="1" applyBorder="1" applyAlignment="1"/>
    <xf numFmtId="14" fontId="17" fillId="0" borderId="0" xfId="1" applyNumberFormat="1" applyFont="1" applyFill="1" applyBorder="1" applyAlignment="1"/>
    <xf numFmtId="164" fontId="17" fillId="0" borderId="0" xfId="3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  <xf numFmtId="43" fontId="0" fillId="0" borderId="0" xfId="0" applyNumberFormat="1"/>
  </cellXfs>
  <cellStyles count="41">
    <cellStyle name="20 % - Accent1 2" xfId="4"/>
    <cellStyle name="Accent1 2" xfId="5"/>
    <cellStyle name="Accent2 2" xfId="6"/>
    <cellStyle name="Accent3 2" xfId="7"/>
    <cellStyle name="Dezimal [0]" xfId="8"/>
    <cellStyle name="Dezimal_Tabelle1" xfId="9"/>
    <cellStyle name="Euro" xfId="10"/>
    <cellStyle name="Euro 2" xfId="3"/>
    <cellStyle name="Euro 3" xfId="11"/>
    <cellStyle name="Excel Built-in Normal" xfId="12"/>
    <cellStyle name="Lien hypertexte" xfId="2" builtinId="8"/>
    <cellStyle name="ligne" xfId="13"/>
    <cellStyle name="Milliers [0] 2" xfId="14"/>
    <cellStyle name="Milliers 2" xfId="15"/>
    <cellStyle name="Milliers 3" xfId="16"/>
    <cellStyle name="Milliers 4" xfId="17"/>
    <cellStyle name="Monétaire 2" xfId="18"/>
    <cellStyle name="Monétaire 2 2" xfId="19"/>
    <cellStyle name="Monétaire 3" xfId="20"/>
    <cellStyle name="Monétaire 4" xfId="21"/>
    <cellStyle name="Normal" xfId="0" builtinId="0"/>
    <cellStyle name="Normal 2" xfId="1"/>
    <cellStyle name="Normal 3" xfId="22"/>
    <cellStyle name="Normal 4" xfId="23"/>
    <cellStyle name="Normal 5" xfId="24"/>
    <cellStyle name="Normal 6" xfId="25"/>
    <cellStyle name="Normal 7" xfId="26"/>
    <cellStyle name="Pourcentage 2" xfId="27"/>
    <cellStyle name="Pourcentage 3" xfId="28"/>
    <cellStyle name="Pourcentage 4" xfId="29"/>
    <cellStyle name="Satisfaisant 2" xfId="30"/>
    <cellStyle name="Standard_Tabelle1" xfId="31"/>
    <cellStyle name="Style 1" xfId="32"/>
    <cellStyle name="Summen" xfId="33"/>
    <cellStyle name="table" xfId="34"/>
    <cellStyle name="TITCOL" xfId="35"/>
    <cellStyle name="Titel" xfId="36"/>
    <cellStyle name="Untertitel" xfId="37"/>
    <cellStyle name="Währung [0]" xfId="38"/>
    <cellStyle name="Währung_Tabelle1" xfId="39"/>
    <cellStyle name="Zwischensummen" xfId="40"/>
  </cellStyles>
  <dxfs count="18"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35" formatCode="_-* #,##0.00\ _€_-;\-* #,##0.00\ _€_-;_-* &quot;-&quot;??\ _€_-;_-@_-"/>
    </dxf>
    <dxf>
      <numFmt numFmtId="14" formatCode="0.00%"/>
    </dxf>
    <dxf>
      <numFmt numFmtId="35" formatCode="_-* #,##0.00\ _€_-;\-* #,##0.00\ _€_-;_-* &quot;-&quot;??\ _€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* #,##0.00\ [$€]_-;\-* #,##0.00\ [$€]_-;_-* &quot;-&quot;??\ [$€]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_-* #,##0.00\ [$€]_-;\-* #,##0.00\ [$€]_-;_-* &quot;-&quot;??\ [$€]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[BDD COMMANDE cours.xlsx]TCD3!Tableau croisé dynamique1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'TCD3'!$B$5:$B$6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'TCD3'!$A$7:$A$13</c:f>
              <c:strCache>
                <c:ptCount val="6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</c:strCache>
            </c:strRef>
          </c:cat>
          <c:val>
            <c:numRef>
              <c:f>'TCD3'!$B$7:$B$13</c:f>
              <c:numCache>
                <c:formatCode>_(* #,##0.00_);_(* \(#,##0.00\);_(* "-"??_);_(@_)</c:formatCode>
                <c:ptCount val="6"/>
                <c:pt idx="0">
                  <c:v>466167.4</c:v>
                </c:pt>
                <c:pt idx="1">
                  <c:v>118632</c:v>
                </c:pt>
                <c:pt idx="2">
                  <c:v>291517</c:v>
                </c:pt>
                <c:pt idx="3">
                  <c:v>322775</c:v>
                </c:pt>
                <c:pt idx="4">
                  <c:v>112908</c:v>
                </c:pt>
                <c:pt idx="5">
                  <c:v>314449.5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3750304"/>
        <c:axId val="533750696"/>
      </c:barChart>
      <c:catAx>
        <c:axId val="53375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3750696"/>
        <c:crosses val="autoZero"/>
        <c:auto val="1"/>
        <c:lblAlgn val="ctr"/>
        <c:lblOffset val="100"/>
        <c:noMultiLvlLbl val="0"/>
      </c:catAx>
      <c:valAx>
        <c:axId val="533750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3375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400050</xdr:colOff>
      <xdr:row>2</xdr:row>
      <xdr:rowOff>138112</xdr:rowOff>
    </xdr:from>
    <xdr:to>
      <xdr:col>6</xdr:col>
      <xdr:colOff>1781175</xdr:colOff>
      <xdr:row>19</xdr:row>
      <xdr:rowOff>128587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371475</xdr:colOff>
      <xdr:row>0</xdr:row>
      <xdr:rowOff>0</xdr:rowOff>
    </xdr:from>
    <xdr:to>
      <xdr:col>2</xdr:col>
      <xdr:colOff>600075</xdr:colOff>
      <xdr:row>3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ANNE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NE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1175" y="0"/>
              <a:ext cx="1828800" cy="581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O%20DOLFI%20AV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YENNE MAX MIN RANG"/>
      <sheetName val="Liste Adhérents"/>
      <sheetName val="SOUS TOTAUX"/>
      <sheetName val="SI ET OU"/>
      <sheetName val="si - nb - nb val"/>
      <sheetName val="DOUBLONS"/>
      <sheetName val="CALCUL AVEC DATE"/>
      <sheetName val="consolider"/>
      <sheetName val="tcd"/>
      <sheetName val="tcd1"/>
      <sheetName val="TCD2"/>
      <sheetName val="tcd logiciels"/>
      <sheetName val="SI NBVAL"/>
      <sheetName val="nbvide"/>
      <sheetName val="SOMME SI"/>
      <sheetName val="FRAIS SOMME SI"/>
      <sheetName val="NBSI"/>
      <sheetName val="NB SI ENS ET SOMME SI ENS"/>
      <sheetName val="CONCATENER"/>
      <sheetName val="CONCATENER STXT"/>
      <sheetName val="GAUCHE ET NOM PROPRE"/>
      <sheetName val="liste déroulante"/>
      <sheetName val="recherche v"/>
      <sheetName val="RECHERCHEV OU H (2)"/>
      <sheetName val="FORMULAIRE (2)"/>
      <sheetName val="ID ETUDIANT (2)"/>
      <sheetName val="NOTES (2)"/>
      <sheetName val="les plans"/>
      <sheetName val="V CIBLE PRIX VENTE"/>
      <sheetName val="valeur cible SALAIRE"/>
      <sheetName val="POURCENTAGE JOURS PLUIE"/>
      <sheetName val="BDLIRE"/>
      <sheetName val="MAILLOTS DOLLAR"/>
      <sheetName val="dispach de montant"/>
      <sheetName val="planning vacances"/>
      <sheetName val="Fonction Date"/>
      <sheetName val="EST"/>
      <sheetName val="NORD"/>
      <sheetName val="SUD"/>
      <sheetName val="CEN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A1" t="str">
            <v>CNE</v>
          </cell>
          <cell r="B1" t="str">
            <v>N°</v>
          </cell>
          <cell r="C1" t="str">
            <v>NOM/PRENOM</v>
          </cell>
          <cell r="D1" t="str">
            <v>DATE NAISSANCE</v>
          </cell>
          <cell r="E1" t="str">
            <v>VILLE</v>
          </cell>
        </row>
        <row r="2">
          <cell r="A2">
            <v>421001</v>
          </cell>
          <cell r="B2">
            <v>1</v>
          </cell>
          <cell r="C2" t="str">
            <v>SARKOSY Nicolas</v>
          </cell>
          <cell r="D2">
            <v>35348</v>
          </cell>
          <cell r="E2" t="str">
            <v>PARIS</v>
          </cell>
        </row>
        <row r="3">
          <cell r="A3">
            <v>421102</v>
          </cell>
          <cell r="B3">
            <v>2</v>
          </cell>
          <cell r="C3" t="str">
            <v>POTTER Harry</v>
          </cell>
          <cell r="D3">
            <v>35232</v>
          </cell>
          <cell r="E3" t="str">
            <v>LONDRES</v>
          </cell>
        </row>
        <row r="4">
          <cell r="A4">
            <v>421503</v>
          </cell>
          <cell r="B4">
            <v>3</v>
          </cell>
          <cell r="C4" t="str">
            <v>JACKSON Michael</v>
          </cell>
          <cell r="D4">
            <v>34897</v>
          </cell>
          <cell r="E4" t="str">
            <v>NEW YORK</v>
          </cell>
        </row>
        <row r="5">
          <cell r="A5">
            <v>421507</v>
          </cell>
          <cell r="B5">
            <v>4</v>
          </cell>
          <cell r="C5" t="str">
            <v>SUMMER Donna</v>
          </cell>
          <cell r="D5">
            <v>34843</v>
          </cell>
          <cell r="E5" t="str">
            <v>LOS ANGELES</v>
          </cell>
        </row>
      </sheetData>
      <sheetData sheetId="26">
        <row r="1">
          <cell r="A1" t="str">
            <v>CNE</v>
          </cell>
          <cell r="B1" t="str">
            <v>NOM/PRENOM</v>
          </cell>
          <cell r="C1" t="str">
            <v>MATH</v>
          </cell>
          <cell r="D1" t="str">
            <v>Français</v>
          </cell>
          <cell r="E1" t="str">
            <v>GEO</v>
          </cell>
          <cell r="F1" t="str">
            <v>ANGLAIS</v>
          </cell>
          <cell r="G1" t="str">
            <v>EPS</v>
          </cell>
          <cell r="H1" t="str">
            <v>BONUS</v>
          </cell>
        </row>
        <row r="2">
          <cell r="A2">
            <v>421001</v>
          </cell>
          <cell r="B2" t="str">
            <v>SARKOSY Nicolas</v>
          </cell>
          <cell r="C2">
            <v>20</v>
          </cell>
          <cell r="D2">
            <v>2</v>
          </cell>
          <cell r="E2">
            <v>14</v>
          </cell>
          <cell r="F2">
            <v>10</v>
          </cell>
          <cell r="G2">
            <v>12</v>
          </cell>
          <cell r="H2">
            <v>2</v>
          </cell>
        </row>
        <row r="3">
          <cell r="A3">
            <v>421102</v>
          </cell>
          <cell r="B3" t="str">
            <v>POTTER Harry</v>
          </cell>
          <cell r="C3">
            <v>10</v>
          </cell>
          <cell r="D3">
            <v>9</v>
          </cell>
          <cell r="E3">
            <v>5</v>
          </cell>
          <cell r="F3">
            <v>8</v>
          </cell>
          <cell r="G3">
            <v>14</v>
          </cell>
          <cell r="H3">
            <v>3</v>
          </cell>
        </row>
        <row r="4">
          <cell r="A4">
            <v>421503</v>
          </cell>
          <cell r="B4" t="str">
            <v>JACKSON Michael</v>
          </cell>
          <cell r="C4">
            <v>5</v>
          </cell>
          <cell r="D4">
            <v>10</v>
          </cell>
          <cell r="E4">
            <v>11</v>
          </cell>
          <cell r="F4">
            <v>12</v>
          </cell>
          <cell r="G4">
            <v>13</v>
          </cell>
          <cell r="H4">
            <v>2</v>
          </cell>
        </row>
        <row r="5">
          <cell r="A5">
            <v>421507</v>
          </cell>
          <cell r="B5" t="str">
            <v>SUMMER Donna</v>
          </cell>
          <cell r="C5">
            <v>11</v>
          </cell>
          <cell r="D5">
            <v>9</v>
          </cell>
          <cell r="E5">
            <v>8</v>
          </cell>
          <cell r="F5">
            <v>14</v>
          </cell>
          <cell r="G5">
            <v>15</v>
          </cell>
          <cell r="H5">
            <v>3</v>
          </cell>
        </row>
      </sheetData>
      <sheetData sheetId="27"/>
      <sheetData sheetId="28"/>
      <sheetData sheetId="29"/>
      <sheetData sheetId="30"/>
      <sheetData sheetId="31">
        <row r="3">
          <cell r="A3" t="str">
            <v>NOM</v>
          </cell>
          <cell r="B3" t="str">
            <v>PRENOM</v>
          </cell>
          <cell r="C3" t="str">
            <v>VILLE</v>
          </cell>
        </row>
        <row r="4">
          <cell r="A4" t="str">
            <v>JACKSON</v>
          </cell>
          <cell r="B4" t="str">
            <v>MICHAEL</v>
          </cell>
          <cell r="C4" t="str">
            <v>NEW YORK</v>
          </cell>
        </row>
        <row r="5">
          <cell r="A5" t="str">
            <v>SARKOSI</v>
          </cell>
          <cell r="B5" t="str">
            <v>NICOLAS</v>
          </cell>
          <cell r="C5" t="str">
            <v>PARIS</v>
          </cell>
        </row>
        <row r="6">
          <cell r="A6" t="str">
            <v>DUPONT</v>
          </cell>
          <cell r="B6" t="str">
            <v>JEAN</v>
          </cell>
          <cell r="C6" t="str">
            <v>LYON</v>
          </cell>
        </row>
        <row r="7">
          <cell r="A7" t="str">
            <v>HILTON</v>
          </cell>
          <cell r="B7" t="str">
            <v>PARIS</v>
          </cell>
          <cell r="C7" t="str">
            <v>MEXICO</v>
          </cell>
        </row>
        <row r="8">
          <cell r="A8" t="str">
            <v>BARBE</v>
          </cell>
          <cell r="B8" t="str">
            <v>GISELE</v>
          </cell>
          <cell r="C8" t="str">
            <v>PARIS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ndrine" refreshedDate="43369.520698611108" createdVersion="5" refreshedVersion="5" minRefreshableVersion="3" recordCount="49">
  <cacheSource type="worksheet">
    <worksheetSource name="Tableau2"/>
  </cacheSource>
  <cacheFields count="12">
    <cacheField name="VENDEURS" numFmtId="0">
      <sharedItems count="10">
        <s v="Martin"/>
        <s v="Dupond"/>
        <s v="Dupuis"/>
        <s v="Leveque"/>
        <s v="Balliard"/>
        <s v="Ball"/>
        <s v="Marrou"/>
        <s v="Tardi"/>
        <s v="Mar"/>
        <s v="Pellieux"/>
      </sharedItems>
    </cacheField>
    <cacheField name="DATE" numFmtId="14">
      <sharedItems containsSemiMixedTypes="0" containsNonDate="0" containsDate="1" containsString="0" minDate="2015-01-09T00:00:00" maxDate="2016-06-26T00:00:00"/>
    </cacheField>
    <cacheField name="CLIENT" numFmtId="0">
      <sharedItems count="7">
        <s v="Florus"/>
        <s v="Muse SA"/>
        <s v="Ifrane"/>
        <s v="Plein-nord"/>
        <s v="Pubcité"/>
        <s v="Nimbus"/>
        <s v="sieffert"/>
      </sharedItems>
    </cacheField>
    <cacheField name="SECTEUR" numFmtId="0">
      <sharedItems count="4">
        <s v="Centre"/>
        <s v="Nord"/>
        <s v="Ouest"/>
        <s v="Sud"/>
      </sharedItems>
    </cacheField>
    <cacheField name="PRODUIT" numFmtId="0">
      <sharedItems/>
    </cacheField>
    <cacheField name="PRIX" numFmtId="164">
      <sharedItems containsSemiMixedTypes="0" containsString="0" containsNumber="1" minValue="1.5" maxValue="25"/>
    </cacheField>
    <cacheField name="QUANTITE" numFmtId="0">
      <sharedItems containsSemiMixedTypes="0" containsString="0" containsNumber="1" containsInteger="1" minValue="5136" maxValue="9929"/>
    </cacheField>
    <cacheField name="MONTANT" numFmtId="164">
      <sharedItems containsSemiMixedTypes="0" containsString="0" containsNumber="1" minValue="7939.5" maxValue="197421"/>
    </cacheField>
    <cacheField name="ANNEE" numFmtId="0">
      <sharedItems containsSemiMixedTypes="0" containsString="0" containsNumber="1" containsInteger="1" minValue="2015" maxValue="2016" count="2">
        <n v="2015"/>
        <n v="2016"/>
      </sharedItems>
    </cacheField>
    <cacheField name="Mois" numFmtId="0">
      <sharedItems containsSemiMixedTypes="0" containsString="0" containsNumber="1" containsInteger="1" minValue="1" maxValue="12" count="12">
        <n v="5"/>
        <n v="1"/>
        <n v="7"/>
        <n v="12"/>
        <n v="2"/>
        <n v="6"/>
        <n v="10"/>
        <n v="8"/>
        <n v="4"/>
        <n v="3"/>
        <n v="11"/>
        <n v="9"/>
      </sharedItems>
    </cacheField>
    <cacheField name="Mois lettre" numFmtId="0">
      <sharedItems count="12">
        <s v="Mai"/>
        <s v="Janvier"/>
        <s v="Juillet"/>
        <s v="Décembre"/>
        <s v="Février"/>
        <s v="Juin"/>
        <s v="Octobre"/>
        <s v="Août"/>
        <s v="Avril"/>
        <s v="Mars"/>
        <s v="Novembre"/>
        <s v="Septembre"/>
      </sharedItems>
    </cacheField>
    <cacheField name="Prime" numFmtId="0" formula=" IF(MONTANT&gt;=300000,MONTANT*0.01,0)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">
  <r>
    <x v="0"/>
    <d v="2015-05-31T00:00:00"/>
    <x v="0"/>
    <x v="0"/>
    <s v="Stylos"/>
    <n v="1.5"/>
    <n v="7695"/>
    <n v="11542.5"/>
    <x v="0"/>
    <x v="0"/>
    <x v="0"/>
  </r>
  <r>
    <x v="1"/>
    <d v="2016-01-03T00:00:00"/>
    <x v="1"/>
    <x v="1"/>
    <s v="Stylos"/>
    <n v="1.5"/>
    <n v="9224"/>
    <n v="13836"/>
    <x v="1"/>
    <x v="1"/>
    <x v="1"/>
  </r>
  <r>
    <x v="0"/>
    <d v="2016-05-31T00:00:00"/>
    <x v="2"/>
    <x v="2"/>
    <s v="Stylos"/>
    <n v="1.5"/>
    <n v="9628"/>
    <n v="14442"/>
    <x v="1"/>
    <x v="0"/>
    <x v="0"/>
  </r>
  <r>
    <x v="2"/>
    <d v="2015-07-12T00:00:00"/>
    <x v="3"/>
    <x v="0"/>
    <s v="Porte-clés"/>
    <n v="3.4"/>
    <n v="8367"/>
    <n v="28447.8"/>
    <x v="0"/>
    <x v="2"/>
    <x v="2"/>
  </r>
  <r>
    <x v="3"/>
    <d v="2015-12-15T00:00:00"/>
    <x v="4"/>
    <x v="3"/>
    <s v="Casquettes"/>
    <n v="6"/>
    <n v="6550"/>
    <n v="39300"/>
    <x v="0"/>
    <x v="3"/>
    <x v="3"/>
  </r>
  <r>
    <x v="4"/>
    <d v="2015-02-15T00:00:00"/>
    <x v="5"/>
    <x v="0"/>
    <s v="Casquettes"/>
    <n v="6"/>
    <n v="6987"/>
    <n v="41922"/>
    <x v="0"/>
    <x v="4"/>
    <x v="4"/>
  </r>
  <r>
    <x v="1"/>
    <d v="2015-02-27T00:00:00"/>
    <x v="2"/>
    <x v="2"/>
    <s v="Calculatrices"/>
    <n v="21"/>
    <n v="5954"/>
    <n v="125034"/>
    <x v="0"/>
    <x v="4"/>
    <x v="4"/>
  </r>
  <r>
    <x v="5"/>
    <d v="2016-06-25T00:00:00"/>
    <x v="0"/>
    <x v="1"/>
    <s v="Montres"/>
    <n v="25"/>
    <n v="7329"/>
    <n v="183225"/>
    <x v="1"/>
    <x v="5"/>
    <x v="5"/>
  </r>
  <r>
    <x v="2"/>
    <d v="2015-10-10T00:00:00"/>
    <x v="0"/>
    <x v="2"/>
    <s v="Stylos"/>
    <n v="1.5"/>
    <n v="5293"/>
    <n v="7939.5"/>
    <x v="0"/>
    <x v="6"/>
    <x v="6"/>
  </r>
  <r>
    <x v="6"/>
    <d v="2015-12-28T00:00:00"/>
    <x v="4"/>
    <x v="3"/>
    <s v="Stylos"/>
    <n v="1.5"/>
    <n v="5562"/>
    <n v="8343"/>
    <x v="0"/>
    <x v="3"/>
    <x v="3"/>
  </r>
  <r>
    <x v="7"/>
    <d v="2016-05-27T00:00:00"/>
    <x v="5"/>
    <x v="2"/>
    <s v="Stylos"/>
    <n v="1.5"/>
    <n v="6852"/>
    <n v="10278"/>
    <x v="1"/>
    <x v="0"/>
    <x v="0"/>
  </r>
  <r>
    <x v="0"/>
    <d v="2015-08-21T00:00:00"/>
    <x v="1"/>
    <x v="1"/>
    <s v="Porte-clés"/>
    <n v="3.4"/>
    <n v="5641"/>
    <n v="19179.399999999998"/>
    <x v="0"/>
    <x v="7"/>
    <x v="7"/>
  </r>
  <r>
    <x v="8"/>
    <d v="2016-01-24T00:00:00"/>
    <x v="3"/>
    <x v="3"/>
    <s v="Porte-clés"/>
    <n v="3.4"/>
    <n v="7212"/>
    <n v="24520.799999999999"/>
    <x v="1"/>
    <x v="1"/>
    <x v="1"/>
  </r>
  <r>
    <x v="5"/>
    <d v="2015-02-09T00:00:00"/>
    <x v="5"/>
    <x v="0"/>
    <s v="Casquettes"/>
    <n v="6"/>
    <n v="5764"/>
    <n v="34584"/>
    <x v="0"/>
    <x v="4"/>
    <x v="4"/>
  </r>
  <r>
    <x v="1"/>
    <d v="2016-02-23T00:00:00"/>
    <x v="2"/>
    <x v="3"/>
    <s v="Calendriers"/>
    <n v="12"/>
    <n v="9886"/>
    <n v="118632"/>
    <x v="1"/>
    <x v="4"/>
    <x v="4"/>
  </r>
  <r>
    <x v="9"/>
    <d v="2016-04-22T00:00:00"/>
    <x v="6"/>
    <x v="2"/>
    <s v="Montres"/>
    <n v="25"/>
    <n v="6728"/>
    <n v="168200"/>
    <x v="1"/>
    <x v="8"/>
    <x v="8"/>
  </r>
  <r>
    <x v="6"/>
    <d v="2015-12-13T00:00:00"/>
    <x v="2"/>
    <x v="0"/>
    <s v="Calculatrices"/>
    <n v="21"/>
    <n v="8694"/>
    <n v="182574"/>
    <x v="0"/>
    <x v="3"/>
    <x v="3"/>
  </r>
  <r>
    <x v="1"/>
    <d v="2015-03-31T00:00:00"/>
    <x v="4"/>
    <x v="2"/>
    <s v="Stylos"/>
    <n v="1.5"/>
    <n v="5750"/>
    <n v="8625"/>
    <x v="0"/>
    <x v="9"/>
    <x v="9"/>
  </r>
  <r>
    <x v="0"/>
    <d v="2015-06-26T00:00:00"/>
    <x v="1"/>
    <x v="0"/>
    <s v="Stylos"/>
    <n v="1.5"/>
    <n v="8639"/>
    <n v="12958.5"/>
    <x v="0"/>
    <x v="5"/>
    <x v="5"/>
  </r>
  <r>
    <x v="2"/>
    <d v="2016-01-29T00:00:00"/>
    <x v="1"/>
    <x v="0"/>
    <s v="Stylos"/>
    <n v="1.5"/>
    <n v="8804"/>
    <n v="13206"/>
    <x v="1"/>
    <x v="1"/>
    <x v="1"/>
  </r>
  <r>
    <x v="9"/>
    <d v="2015-11-09T00:00:00"/>
    <x v="3"/>
    <x v="3"/>
    <s v="Calendriers"/>
    <n v="12"/>
    <n v="5136"/>
    <n v="61632"/>
    <x v="0"/>
    <x v="10"/>
    <x v="10"/>
  </r>
  <r>
    <x v="6"/>
    <d v="2016-03-05T00:00:00"/>
    <x v="4"/>
    <x v="2"/>
    <s v="Calendriers"/>
    <n v="12"/>
    <n v="7017"/>
    <n v="84204"/>
    <x v="1"/>
    <x v="9"/>
    <x v="9"/>
  </r>
  <r>
    <x v="1"/>
    <d v="2016-01-18T00:00:00"/>
    <x v="4"/>
    <x v="2"/>
    <s v="Stylos"/>
    <n v="1.5"/>
    <n v="8611"/>
    <n v="12916.5"/>
    <x v="1"/>
    <x v="1"/>
    <x v="1"/>
  </r>
  <r>
    <x v="5"/>
    <d v="2016-06-19T00:00:00"/>
    <x v="5"/>
    <x v="1"/>
    <s v="Calendriers"/>
    <n v="12"/>
    <n v="9924"/>
    <n v="119088"/>
    <x v="1"/>
    <x v="5"/>
    <x v="5"/>
  </r>
  <r>
    <x v="0"/>
    <d v="2016-01-10T00:00:00"/>
    <x v="3"/>
    <x v="0"/>
    <s v="Calculatrices"/>
    <n v="21"/>
    <n v="8279"/>
    <n v="173859"/>
    <x v="1"/>
    <x v="1"/>
    <x v="1"/>
  </r>
  <r>
    <x v="8"/>
    <d v="2015-03-07T00:00:00"/>
    <x v="2"/>
    <x v="2"/>
    <s v="Montres"/>
    <n v="25"/>
    <n v="7346"/>
    <n v="183650"/>
    <x v="0"/>
    <x v="9"/>
    <x v="9"/>
  </r>
  <r>
    <x v="7"/>
    <d v="2015-06-12T00:00:00"/>
    <x v="3"/>
    <x v="2"/>
    <s v="Stylos"/>
    <n v="1.5"/>
    <n v="6213"/>
    <n v="9319.5"/>
    <x v="0"/>
    <x v="5"/>
    <x v="5"/>
  </r>
  <r>
    <x v="1"/>
    <d v="2016-01-16T00:00:00"/>
    <x v="4"/>
    <x v="2"/>
    <s v="Stylos"/>
    <n v="1.5"/>
    <n v="7645"/>
    <n v="11467.5"/>
    <x v="1"/>
    <x v="1"/>
    <x v="1"/>
  </r>
  <r>
    <x v="4"/>
    <d v="2016-06-14T00:00:00"/>
    <x v="4"/>
    <x v="1"/>
    <s v="Stylos"/>
    <n v="1.5"/>
    <n v="8091"/>
    <n v="12136.5"/>
    <x v="1"/>
    <x v="5"/>
    <x v="5"/>
  </r>
  <r>
    <x v="6"/>
    <d v="2016-01-25T00:00:00"/>
    <x v="0"/>
    <x v="2"/>
    <s v="Porte-clés"/>
    <n v="3.4"/>
    <n v="7819"/>
    <n v="26584.6"/>
    <x v="1"/>
    <x v="1"/>
    <x v="1"/>
  </r>
  <r>
    <x v="3"/>
    <d v="2015-10-13T00:00:00"/>
    <x v="3"/>
    <x v="0"/>
    <s v="Porte-clés"/>
    <n v="3.4"/>
    <n v="8227"/>
    <n v="27971.8"/>
    <x v="0"/>
    <x v="6"/>
    <x v="6"/>
  </r>
  <r>
    <x v="9"/>
    <d v="2016-01-22T00:00:00"/>
    <x v="1"/>
    <x v="2"/>
    <s v="Casquettes"/>
    <n v="6"/>
    <n v="6317"/>
    <n v="37902"/>
    <x v="1"/>
    <x v="1"/>
    <x v="1"/>
  </r>
  <r>
    <x v="6"/>
    <d v="2015-02-17T00:00:00"/>
    <x v="1"/>
    <x v="1"/>
    <s v="Calculatrices"/>
    <n v="21"/>
    <n v="9401"/>
    <n v="197421"/>
    <x v="0"/>
    <x v="4"/>
    <x v="4"/>
  </r>
  <r>
    <x v="7"/>
    <d v="2016-03-15T00:00:00"/>
    <x v="4"/>
    <x v="2"/>
    <s v="Casquettes"/>
    <n v="6"/>
    <n v="7373"/>
    <n v="44238"/>
    <x v="1"/>
    <x v="9"/>
    <x v="9"/>
  </r>
  <r>
    <x v="0"/>
    <d v="2015-07-03T00:00:00"/>
    <x v="1"/>
    <x v="1"/>
    <s v="Calendriers"/>
    <n v="12"/>
    <n v="9062"/>
    <n v="108744"/>
    <x v="0"/>
    <x v="2"/>
    <x v="2"/>
  </r>
  <r>
    <x v="0"/>
    <d v="2015-10-16T00:00:00"/>
    <x v="5"/>
    <x v="0"/>
    <s v="Porte-clés"/>
    <n v="3.4"/>
    <n v="5336"/>
    <n v="18142.399999999998"/>
    <x v="0"/>
    <x v="6"/>
    <x v="6"/>
  </r>
  <r>
    <x v="4"/>
    <d v="2015-08-30T00:00:00"/>
    <x v="1"/>
    <x v="1"/>
    <s v="Porte-clés"/>
    <n v="3.4"/>
    <n v="9165"/>
    <n v="31161"/>
    <x v="0"/>
    <x v="7"/>
    <x v="7"/>
  </r>
  <r>
    <x v="2"/>
    <d v="2015-11-22T00:00:00"/>
    <x v="4"/>
    <x v="1"/>
    <s v="Casquettes"/>
    <n v="6"/>
    <n v="7700"/>
    <n v="46200"/>
    <x v="0"/>
    <x v="10"/>
    <x v="10"/>
  </r>
  <r>
    <x v="6"/>
    <d v="2015-11-14T00:00:00"/>
    <x v="5"/>
    <x v="1"/>
    <s v="Casquettes"/>
    <n v="6"/>
    <n v="8407"/>
    <n v="50442"/>
    <x v="0"/>
    <x v="10"/>
    <x v="10"/>
  </r>
  <r>
    <x v="9"/>
    <d v="2015-04-04T00:00:00"/>
    <x v="5"/>
    <x v="0"/>
    <s v="Casquettes"/>
    <n v="6"/>
    <n v="8489"/>
    <n v="50934"/>
    <x v="0"/>
    <x v="8"/>
    <x v="8"/>
  </r>
  <r>
    <x v="6"/>
    <d v="2015-09-05T00:00:00"/>
    <x v="1"/>
    <x v="3"/>
    <s v="Casquettes"/>
    <n v="6"/>
    <n v="9929"/>
    <n v="59574"/>
    <x v="0"/>
    <x v="11"/>
    <x v="11"/>
  </r>
  <r>
    <x v="3"/>
    <d v="2015-10-30T00:00:00"/>
    <x v="0"/>
    <x v="2"/>
    <s v="Calendriers"/>
    <n v="12"/>
    <n v="5463"/>
    <n v="65556"/>
    <x v="0"/>
    <x v="6"/>
    <x v="6"/>
  </r>
  <r>
    <x v="4"/>
    <d v="2015-07-17T00:00:00"/>
    <x v="4"/>
    <x v="1"/>
    <s v="Calendriers"/>
    <n v="12"/>
    <n v="6660"/>
    <n v="79920"/>
    <x v="0"/>
    <x v="2"/>
    <x v="2"/>
  </r>
  <r>
    <x v="0"/>
    <d v="2016-05-24T00:00:00"/>
    <x v="2"/>
    <x v="2"/>
    <s v="Calendriers"/>
    <n v="12"/>
    <n v="7349"/>
    <n v="88188"/>
    <x v="1"/>
    <x v="0"/>
    <x v="0"/>
  </r>
  <r>
    <x v="8"/>
    <d v="2016-01-29T00:00:00"/>
    <x v="3"/>
    <x v="3"/>
    <s v="Montres"/>
    <n v="25"/>
    <n v="6075"/>
    <n v="151875"/>
    <x v="1"/>
    <x v="1"/>
    <x v="1"/>
  </r>
  <r>
    <x v="4"/>
    <d v="2016-04-17T00:00:00"/>
    <x v="2"/>
    <x v="0"/>
    <s v="Montres"/>
    <n v="25"/>
    <n v="6183"/>
    <n v="154575"/>
    <x v="1"/>
    <x v="8"/>
    <x v="8"/>
  </r>
  <r>
    <x v="3"/>
    <d v="2015-10-16T00:00:00"/>
    <x v="3"/>
    <x v="0"/>
    <s v="Calculatrices"/>
    <n v="21"/>
    <n v="7464"/>
    <n v="156744"/>
    <x v="0"/>
    <x v="6"/>
    <x v="6"/>
  </r>
  <r>
    <x v="6"/>
    <d v="2016-03-01T00:00:00"/>
    <x v="1"/>
    <x v="2"/>
    <s v="Montres"/>
    <n v="25"/>
    <n v="6523"/>
    <n v="163075"/>
    <x v="1"/>
    <x v="9"/>
    <x v="9"/>
  </r>
  <r>
    <x v="6"/>
    <d v="2015-01-09T00:00:00"/>
    <x v="3"/>
    <x v="2"/>
    <s v="Calculatrices"/>
    <n v="21"/>
    <n v="9201"/>
    <n v="193221"/>
    <x v="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" cacheId="3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A3:D38" firstHeaderRow="0" firstDataRow="1" firstDataCol="1"/>
  <pivotFields count="12">
    <pivotField axis="axisRow" subtotalTop="0" showAll="0">
      <items count="11">
        <item x="8"/>
        <item x="0"/>
        <item x="5"/>
        <item x="4"/>
        <item x="1"/>
        <item x="2"/>
        <item x="3"/>
        <item x="6"/>
        <item x="9"/>
        <item x="7"/>
        <item t="default"/>
      </items>
    </pivotField>
    <pivotField numFmtId="14" subtotalTop="0" showAll="0"/>
    <pivotField subtotalTop="0" showAll="0"/>
    <pivotField axis="axisRow" subtotalTop="0" showAll="0">
      <items count="5">
        <item x="0"/>
        <item x="1"/>
        <item x="2"/>
        <item x="3"/>
        <item t="default"/>
      </items>
    </pivotField>
    <pivotField subtotalTop="0" showAll="0"/>
    <pivotField numFmtId="164" subtotalTop="0" showAll="0"/>
    <pivotField subtotalTop="0" showAll="0"/>
    <pivotField dataField="1" numFmtId="164" subtotalTop="0" showAll="0"/>
    <pivotField subtotalTop="0" showAll="0"/>
    <pivotField subtotalTop="0" showAll="0"/>
    <pivotField subtotalTop="0" showAll="0"/>
    <pivotField dragToRow="0" dragToCol="0" dragToPage="0" showAll="0" defaultSubtotal="0"/>
  </pivotFields>
  <rowFields count="2">
    <field x="3"/>
    <field x="0"/>
  </rowFields>
  <rowItems count="35">
    <i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t="default">
      <x/>
    </i>
    <i>
      <x v="1"/>
    </i>
    <i r="1">
      <x v="1"/>
    </i>
    <i r="1">
      <x v="2"/>
    </i>
    <i r="1">
      <x v="3"/>
    </i>
    <i r="1">
      <x v="4"/>
    </i>
    <i r="1">
      <x v="5"/>
    </i>
    <i r="1">
      <x v="7"/>
    </i>
    <i t="default">
      <x v="1"/>
    </i>
    <i>
      <x v="2"/>
    </i>
    <i r="1">
      <x/>
    </i>
    <i r="1">
      <x v="1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>
      <x v="3"/>
    </i>
    <i r="1">
      <x/>
    </i>
    <i r="1">
      <x v="4"/>
    </i>
    <i r="1">
      <x v="6"/>
    </i>
    <i r="1">
      <x v="7"/>
    </i>
    <i r="1">
      <x v="8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a" fld="7" baseField="0" baseItem="0"/>
    <dataField name="% du total" fld="7" showDataAs="percentOfTotal" baseField="3" baseItem="0" numFmtId="10"/>
    <dataField name="Ligne Parente" fld="7" baseField="3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formats count="1">
    <format dxfId="4">
      <pivotArea field="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1" cacheId="30" dataOnRows="1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>
  <location ref="A3:D23" firstHeaderRow="1" firstDataRow="2" firstDataCol="1"/>
  <pivotFields count="12">
    <pivotField subtotalTop="0" showAll="0">
      <items count="11">
        <item x="8"/>
        <item x="0"/>
        <item x="5"/>
        <item x="4"/>
        <item x="1"/>
        <item x="2"/>
        <item x="3"/>
        <item x="6"/>
        <item x="9"/>
        <item x="7"/>
        <item t="default"/>
      </items>
    </pivotField>
    <pivotField numFmtId="14" subtotalTop="0" showAll="0"/>
    <pivotField subtotalTop="0" showAll="0">
      <items count="8">
        <item h="1" x="0"/>
        <item h="1" x="2"/>
        <item h="1" x="1"/>
        <item h="1" x="5"/>
        <item h="1" x="3"/>
        <item x="4"/>
        <item h="1" x="6"/>
        <item t="default"/>
      </items>
    </pivotField>
    <pivotField axis="axisRow" subtotalTop="0" showAll="0">
      <items count="5">
        <item x="0"/>
        <item x="1"/>
        <item x="2"/>
        <item x="3"/>
        <item t="default"/>
      </items>
    </pivotField>
    <pivotField subtotalTop="0" showAll="0"/>
    <pivotField numFmtId="164" subtotalTop="0" showAll="0"/>
    <pivotField subtotalTop="0" showAll="0"/>
    <pivotField dataField="1" numFmtId="164" subtotalTop="0" showAll="0"/>
    <pivotField axis="axisCol" subtotalTop="0" showAll="0">
      <items count="3">
        <item x="0"/>
        <item x="1"/>
        <item t="default"/>
      </items>
    </pivotField>
    <pivotField subtotalTop="0" showAll="0"/>
    <pivotField subtotalTop="0" showAll="0"/>
    <pivotField dragToRow="0" dragToCol="0" dragToPage="0" showAll="0" defaultSubtotal="0"/>
  </pivotFields>
  <rowFields count="2">
    <field x="3"/>
    <field x="-2"/>
  </rowFields>
  <rowItems count="19">
    <i>
      <x/>
    </i>
    <i r="1">
      <x/>
    </i>
    <i r="1" i="1">
      <x v="1"/>
    </i>
    <i r="1" i="2">
      <x v="2"/>
    </i>
    <i>
      <x v="1"/>
    </i>
    <i r="1">
      <x/>
    </i>
    <i r="1" i="1">
      <x v="1"/>
    </i>
    <i r="1" i="2">
      <x v="2"/>
    </i>
    <i>
      <x v="2"/>
    </i>
    <i r="1">
      <x/>
    </i>
    <i r="1" i="1">
      <x v="1"/>
    </i>
    <i r="1" i="2">
      <x v="2"/>
    </i>
    <i>
      <x v="3"/>
    </i>
    <i r="1">
      <x/>
    </i>
    <i r="1" i="1">
      <x v="1"/>
    </i>
    <i r="1" i="2">
      <x v="2"/>
    </i>
    <i t="grand">
      <x/>
    </i>
    <i t="grand" i="1">
      <x/>
    </i>
    <i t="grand" i="2">
      <x/>
    </i>
  </rowItems>
  <colFields count="1">
    <field x="8"/>
  </colFields>
  <colItems count="3">
    <i>
      <x/>
    </i>
    <i>
      <x v="1"/>
    </i>
    <i t="grand">
      <x/>
    </i>
  </colItems>
  <dataFields count="3">
    <dataField name="CA" fld="7" baseField="3" baseItem="0"/>
    <dataField name="Difference 2015" fld="7" showDataAs="difference" baseField="8" baseItem="0"/>
    <dataField name="dIF % 2015" fld="7" showDataAs="percentDiff" baseField="8" baseItem="0" numFmtId="10"/>
  </dataFields>
  <formats count="2">
    <format dxfId="2">
      <pivotArea outline="0" collapsedLevelsAreSubtotals="1" fieldPosition="0">
        <references count="1">
          <reference field="8" count="0" selected="0"/>
        </references>
      </pivotArea>
    </format>
    <format dxfId="3">
      <pivotArea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eau croisé dynamique1" cacheId="30" dataOnRows="1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2">
  <location ref="A5:C13" firstHeaderRow="1" firstDataRow="2" firstDataCol="1"/>
  <pivotFields count="12">
    <pivotField subtotalTop="0" showAll="0">
      <items count="11">
        <item x="8"/>
        <item x="0"/>
        <item x="5"/>
        <item x="4"/>
        <item x="1"/>
        <item x="2"/>
        <item x="3"/>
        <item x="6"/>
        <item x="9"/>
        <item x="7"/>
        <item t="default"/>
      </items>
    </pivotField>
    <pivotField numFmtId="14" subtotalTop="0" showAll="0"/>
    <pivotField subtotalTop="0" showAll="0">
      <items count="8">
        <item h="1" x="0"/>
        <item h="1" x="2"/>
        <item h="1" x="1"/>
        <item h="1" x="5"/>
        <item h="1" x="3"/>
        <item x="4"/>
        <item h="1" x="6"/>
        <item t="default"/>
      </items>
    </pivotField>
    <pivotField subtotalTop="0" showAll="0">
      <items count="5">
        <item x="0"/>
        <item x="1"/>
        <item x="2"/>
        <item x="3"/>
        <item t="default"/>
      </items>
    </pivotField>
    <pivotField subtotalTop="0" showAll="0"/>
    <pivotField numFmtId="164" subtotalTop="0" showAll="0"/>
    <pivotField subtotalTop="0" showAll="0"/>
    <pivotField dataField="1" numFmtId="164" subtotalTop="0" showAll="0"/>
    <pivotField axis="axisCol" subtotalTop="0" showAll="0">
      <items count="3">
        <item h="1" x="0"/>
        <item x="1"/>
        <item t="default"/>
      </items>
    </pivotField>
    <pivotField subtotalTop="0" showAll="0"/>
    <pivotField axis="axisRow" subtotalTop="0" showAll="0">
      <items count="13">
        <item x="1"/>
        <item x="4"/>
        <item x="9"/>
        <item x="8"/>
        <item x="0"/>
        <item x="5"/>
        <item x="2"/>
        <item x="7"/>
        <item x="11"/>
        <item x="6"/>
        <item x="10"/>
        <item x="3"/>
        <item t="default"/>
      </items>
    </pivotField>
    <pivotField dragToRow="0" dragToCol="0" dragToPage="0" showAll="0" defaultSubtota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2">
    <i>
      <x v="1"/>
    </i>
    <i t="grand">
      <x/>
    </i>
  </colItems>
  <dataFields count="1">
    <dataField name="Somme de MONTANT" fld="7" baseField="0" baseItem="0"/>
  </dataFields>
  <formats count="1">
    <format dxfId="1">
      <pivotArea outline="0" collapsedLevelsAreSubtotals="1" fieldPosition="0">
        <references count="1">
          <reference field="8" count="0" selected="0"/>
        </references>
      </pivotArea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eau croisé dynamique1" cacheId="30" applyNumberFormats="0" applyBorderFormats="0" applyFontFormats="0" applyPatternFormats="0" applyAlignmentFormats="0" applyWidthHeightFormats="1" dataCaption="Valeurs" updatedVersion="5" minRefreshableVersion="3" useAutoFormatting="1" itemPrintTitles="1" createdVersion="5" indent="0" outline="1" outlineData="1" multipleFieldFilters="0" chartFormat="3">
  <location ref="A5:E16" firstHeaderRow="0" firstDataRow="1" firstDataCol="1"/>
  <pivotFields count="12">
    <pivotField axis="axisRow" subtotalTop="0" showAll="0">
      <items count="11">
        <item x="8"/>
        <item x="0"/>
        <item x="5"/>
        <item x="4"/>
        <item x="1"/>
        <item x="2"/>
        <item x="3"/>
        <item x="6"/>
        <item x="9"/>
        <item x="7"/>
        <item t="default"/>
      </items>
    </pivotField>
    <pivotField numFmtId="14" subtotalTop="0" showAll="0"/>
    <pivotField dataField="1" subtotalTop="0" showAll="0">
      <items count="8">
        <item h="1" x="0"/>
        <item h="1" x="2"/>
        <item h="1" x="1"/>
        <item h="1" x="5"/>
        <item h="1" x="3"/>
        <item x="4"/>
        <item h="1" x="6"/>
        <item t="default"/>
      </items>
    </pivotField>
    <pivotField subtotalTop="0" showAll="0">
      <items count="5">
        <item x="0"/>
        <item x="1"/>
        <item x="2"/>
        <item x="3"/>
        <item t="default"/>
      </items>
    </pivotField>
    <pivotField subtotalTop="0" showAll="0"/>
    <pivotField numFmtId="164" subtotalTop="0" showAll="0"/>
    <pivotField subtotalTop="0" showAll="0"/>
    <pivotField dataField="1" numFmtId="164" subtotalTop="0" showAll="0"/>
    <pivotField subtotalTop="0" showAll="0">
      <items count="3">
        <item h="1" x="0"/>
        <item x="1"/>
        <item t="default"/>
      </items>
    </pivotField>
    <pivotField subtotalTop="0" showAll="0"/>
    <pivotField subtotalTop="0" showAll="0">
      <items count="13">
        <item x="1"/>
        <item x="4"/>
        <item x="9"/>
        <item x="8"/>
        <item x="0"/>
        <item x="5"/>
        <item x="2"/>
        <item x="7"/>
        <item x="11"/>
        <item x="6"/>
        <item x="10"/>
        <item x="3"/>
        <item t="default"/>
      </items>
    </pivotField>
    <pivotField dataField="1" dragToRow="0" dragToCol="0" dragToPage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A" fld="7" baseField="0" baseItem="0" numFmtId="43"/>
    <dataField name="NB ventes" fld="2" subtotal="count" baseField="0" baseItem="0"/>
    <dataField name="Moy CA" fld="7" subtotal="average" baseField="0" baseItem="0"/>
    <dataField name="Prime annelle" fld="11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ANNEE" sourceName="ANNEE">
  <pivotTables>
    <pivotTable tabId="7" name="Tableau croisé dynamique1"/>
  </pivotTables>
  <data>
    <tabular pivotCacheId="1">
      <items count="2">
        <i x="0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NNEE" cache="Segment_ANNEE" caption="ANNEE" columnCount="2" style="SlicerStyleDark6" rowHeight="225425"/>
</slicers>
</file>

<file path=xl/tables/table1.xml><?xml version="1.0" encoding="utf-8"?>
<table xmlns="http://schemas.openxmlformats.org/spreadsheetml/2006/main" id="2" name="Tableau2" displayName="Tableau2" ref="A1:K50" totalsRowShown="0" headerRowDxfId="17" dataDxfId="16" headerRowCellStyle="Normal 2" dataCellStyle="Normal 2">
  <autoFilter ref="A1:K50"/>
  <tableColumns count="11">
    <tableColumn id="1" name="VENDEURS" dataDxfId="15" dataCellStyle="Normal 2"/>
    <tableColumn id="2" name="DATE" dataDxfId="14" dataCellStyle="Normal 2"/>
    <tableColumn id="3" name="CLIENT" dataDxfId="13" dataCellStyle="Normal 2"/>
    <tableColumn id="4" name="SECTEUR" dataDxfId="12" dataCellStyle="Normal 2"/>
    <tableColumn id="5" name="PRODUIT" dataDxfId="11" dataCellStyle="Normal 2"/>
    <tableColumn id="6" name="PRIX" dataDxfId="10" dataCellStyle="Euro 2"/>
    <tableColumn id="7" name="QUANTITE" dataDxfId="9" dataCellStyle="Normal 2"/>
    <tableColumn id="8" name="MONTANT" dataDxfId="8" dataCellStyle="Euro 2">
      <calculatedColumnFormula>F2*G2</calculatedColumnFormula>
    </tableColumn>
    <tableColumn id="9" name="ANNEE" dataDxfId="7" dataCellStyle="Normal 2">
      <calculatedColumnFormula>+YEAR(B2)</calculatedColumnFormula>
    </tableColumn>
    <tableColumn id="10" name="Mois" dataDxfId="6" dataCellStyle="Normal 2">
      <calculatedColumnFormula>MONTH(B2)</calculatedColumnFormula>
    </tableColumn>
    <tableColumn id="11" name="Mois lettre" dataDxfId="5" dataCellStyle="Normal 2">
      <calculatedColumnFormula>VLOOKUP(J2,$M$2:$N$13,2)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Rouge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8"/>
  <sheetViews>
    <sheetView tabSelected="1" workbookViewId="0">
      <selection activeCell="E6" sqref="E6"/>
    </sheetView>
  </sheetViews>
  <sheetFormatPr baseColWidth="10" defaultRowHeight="12.75"/>
  <cols>
    <col min="1" max="1" width="21.140625" bestFit="1" customWidth="1"/>
    <col min="2" max="2" width="14.42578125" bestFit="1" customWidth="1"/>
    <col min="3" max="3" width="9.85546875" bestFit="1" customWidth="1"/>
    <col min="4" max="4" width="13.85546875" bestFit="1" customWidth="1"/>
  </cols>
  <sheetData>
    <row r="3" spans="1:4">
      <c r="A3" s="20" t="s">
        <v>74</v>
      </c>
      <c r="B3" t="s">
        <v>84</v>
      </c>
      <c r="C3" t="s">
        <v>78</v>
      </c>
      <c r="D3" t="s">
        <v>77</v>
      </c>
    </row>
    <row r="4" spans="1:4">
      <c r="A4" s="21" t="s">
        <v>9</v>
      </c>
      <c r="B4" s="23"/>
      <c r="C4" s="24"/>
      <c r="D4" s="24"/>
    </row>
    <row r="5" spans="1:4">
      <c r="A5" s="22" t="s">
        <v>7</v>
      </c>
      <c r="B5" s="23">
        <v>216502.39999999999</v>
      </c>
      <c r="C5" s="24">
        <v>6.2078984065318643E-2</v>
      </c>
      <c r="D5" s="24">
        <v>0.23858039078263418</v>
      </c>
    </row>
    <row r="6" spans="1:4">
      <c r="A6" s="22" t="s">
        <v>26</v>
      </c>
      <c r="B6" s="23">
        <v>34584</v>
      </c>
      <c r="C6" s="24">
        <v>9.9164701403540098E-3</v>
      </c>
      <c r="D6" s="24">
        <v>3.8110728725532006E-2</v>
      </c>
    </row>
    <row r="7" spans="1:4">
      <c r="A7" s="22" t="s">
        <v>23</v>
      </c>
      <c r="B7" s="23">
        <v>196497</v>
      </c>
      <c r="C7" s="24">
        <v>5.6342720135587027E-2</v>
      </c>
      <c r="D7" s="24">
        <v>0.21653492546787134</v>
      </c>
    </row>
    <row r="8" spans="1:4">
      <c r="A8" s="22" t="s">
        <v>16</v>
      </c>
      <c r="B8" s="23">
        <v>41653.800000000003</v>
      </c>
      <c r="C8" s="24">
        <v>1.1943634742432277E-2</v>
      </c>
      <c r="D8" s="24">
        <v>4.5901476757678847E-2</v>
      </c>
    </row>
    <row r="9" spans="1:4">
      <c r="A9" s="22" t="s">
        <v>19</v>
      </c>
      <c r="B9" s="23">
        <v>184715.8</v>
      </c>
      <c r="C9" s="24">
        <v>5.296462858985667E-2</v>
      </c>
      <c r="D9" s="24">
        <v>0.2035523289706114</v>
      </c>
    </row>
    <row r="10" spans="1:4">
      <c r="A10" s="22" t="s">
        <v>28</v>
      </c>
      <c r="B10" s="23">
        <v>182574</v>
      </c>
      <c r="C10" s="24">
        <v>5.2350497900907733E-2</v>
      </c>
      <c r="D10" s="24">
        <v>0.20119211734719178</v>
      </c>
    </row>
    <row r="11" spans="1:4">
      <c r="A11" s="22" t="s">
        <v>32</v>
      </c>
      <c r="B11" s="23">
        <v>50934</v>
      </c>
      <c r="C11" s="24">
        <v>1.4604600107818388E-2</v>
      </c>
      <c r="D11" s="24">
        <v>5.6128031948480428E-2</v>
      </c>
    </row>
    <row r="12" spans="1:4">
      <c r="A12" s="21" t="s">
        <v>79</v>
      </c>
      <c r="B12" s="23">
        <v>907461</v>
      </c>
      <c r="C12" s="24">
        <v>0.26020153568227478</v>
      </c>
      <c r="D12" s="24">
        <v>0.26020153568227478</v>
      </c>
    </row>
    <row r="13" spans="1:4">
      <c r="A13" s="21" t="s">
        <v>13</v>
      </c>
      <c r="B13" s="23"/>
      <c r="C13" s="24"/>
      <c r="D13" s="24"/>
    </row>
    <row r="14" spans="1:4">
      <c r="A14" s="22" t="s">
        <v>7</v>
      </c>
      <c r="B14" s="23">
        <v>127923.4</v>
      </c>
      <c r="C14" s="24">
        <v>3.6680215601219118E-2</v>
      </c>
      <c r="D14" s="24">
        <v>0.14851450549478615</v>
      </c>
    </row>
    <row r="15" spans="1:4">
      <c r="A15" s="22" t="s">
        <v>26</v>
      </c>
      <c r="B15" s="23">
        <v>302313</v>
      </c>
      <c r="C15" s="24">
        <v>8.6683953202083094E-2</v>
      </c>
      <c r="D15" s="24">
        <v>0.35097461214793613</v>
      </c>
    </row>
    <row r="16" spans="1:4">
      <c r="A16" s="22" t="s">
        <v>23</v>
      </c>
      <c r="B16" s="23">
        <v>123217.5</v>
      </c>
      <c r="C16" s="24">
        <v>3.5330865704345078E-2</v>
      </c>
      <c r="D16" s="24">
        <v>0.14305112341294723</v>
      </c>
    </row>
    <row r="17" spans="1:4">
      <c r="A17" s="22" t="s">
        <v>11</v>
      </c>
      <c r="B17" s="23">
        <v>13836</v>
      </c>
      <c r="C17" s="24">
        <v>3.9672762220083879E-3</v>
      </c>
      <c r="D17" s="24">
        <v>1.6063102591284014E-2</v>
      </c>
    </row>
    <row r="18" spans="1:4">
      <c r="A18" s="22" t="s">
        <v>16</v>
      </c>
      <c r="B18" s="23">
        <v>46200</v>
      </c>
      <c r="C18" s="24">
        <v>1.3247192935587418E-2</v>
      </c>
      <c r="D18" s="24">
        <v>5.3636552451382005E-2</v>
      </c>
    </row>
    <row r="19" spans="1:4">
      <c r="A19" s="22" t="s">
        <v>28</v>
      </c>
      <c r="B19" s="23">
        <v>247863</v>
      </c>
      <c r="C19" s="24">
        <v>7.1071190099426501E-2</v>
      </c>
      <c r="D19" s="24">
        <v>0.28776010390166445</v>
      </c>
    </row>
    <row r="20" spans="1:4">
      <c r="A20" s="21" t="s">
        <v>80</v>
      </c>
      <c r="B20" s="23">
        <v>861352.9</v>
      </c>
      <c r="C20" s="24">
        <v>0.24698069376466961</v>
      </c>
      <c r="D20" s="24">
        <v>0.24698069376466961</v>
      </c>
    </row>
    <row r="21" spans="1:4">
      <c r="A21" s="21" t="s">
        <v>15</v>
      </c>
      <c r="B21" s="23"/>
      <c r="C21" s="24"/>
      <c r="D21" s="24"/>
    </row>
    <row r="22" spans="1:4">
      <c r="A22" s="22" t="s">
        <v>30</v>
      </c>
      <c r="B22" s="23">
        <v>183650</v>
      </c>
      <c r="C22" s="24">
        <v>5.2659025597849116E-2</v>
      </c>
      <c r="D22" s="24">
        <v>0.14635324996656945</v>
      </c>
    </row>
    <row r="23" spans="1:4">
      <c r="A23" s="22" t="s">
        <v>7</v>
      </c>
      <c r="B23" s="23">
        <v>102630</v>
      </c>
      <c r="C23" s="24">
        <v>2.9427692878340621E-2</v>
      </c>
      <c r="D23" s="24">
        <v>8.1787280392425929E-2</v>
      </c>
    </row>
    <row r="24" spans="1:4">
      <c r="A24" s="22" t="s">
        <v>11</v>
      </c>
      <c r="B24" s="23">
        <v>158043</v>
      </c>
      <c r="C24" s="24">
        <v>4.5316582535044204E-2</v>
      </c>
      <c r="D24" s="24">
        <v>0.12594667402377641</v>
      </c>
    </row>
    <row r="25" spans="1:4">
      <c r="A25" s="22" t="s">
        <v>16</v>
      </c>
      <c r="B25" s="23">
        <v>7939.5</v>
      </c>
      <c r="C25" s="24">
        <v>2.2765387080540323E-3</v>
      </c>
      <c r="D25" s="24">
        <v>6.3270984378414269E-3</v>
      </c>
    </row>
    <row r="26" spans="1:4">
      <c r="A26" s="22" t="s">
        <v>19</v>
      </c>
      <c r="B26" s="23">
        <v>65556</v>
      </c>
      <c r="C26" s="24">
        <v>1.8797250651198458E-2</v>
      </c>
      <c r="D26" s="24">
        <v>5.2242491994600744E-2</v>
      </c>
    </row>
    <row r="27" spans="1:4">
      <c r="A27" s="22" t="s">
        <v>28</v>
      </c>
      <c r="B27" s="23">
        <v>467084.6</v>
      </c>
      <c r="C27" s="24">
        <v>0.13392986609181112</v>
      </c>
      <c r="D27" s="24">
        <v>0.37222624132499377</v>
      </c>
    </row>
    <row r="28" spans="1:4">
      <c r="A28" s="22" t="s">
        <v>32</v>
      </c>
      <c r="B28" s="23">
        <v>206102</v>
      </c>
      <c r="C28" s="24">
        <v>5.9096817281611209E-2</v>
      </c>
      <c r="D28" s="24">
        <v>0.16424556234473126</v>
      </c>
    </row>
    <row r="29" spans="1:4">
      <c r="A29" s="22" t="s">
        <v>29</v>
      </c>
      <c r="B29" s="23">
        <v>63835.5</v>
      </c>
      <c r="C29" s="24">
        <v>1.8303921745447847E-2</v>
      </c>
      <c r="D29" s="24">
        <v>5.0871401515060956E-2</v>
      </c>
    </row>
    <row r="30" spans="1:4">
      <c r="A30" s="21" t="s">
        <v>81</v>
      </c>
      <c r="B30" s="23">
        <v>1254840.6000000001</v>
      </c>
      <c r="C30" s="24">
        <v>0.35980769548935665</v>
      </c>
      <c r="D30" s="24">
        <v>0.35980769548935665</v>
      </c>
    </row>
    <row r="31" spans="1:4">
      <c r="A31" s="21" t="s">
        <v>21</v>
      </c>
      <c r="B31" s="23"/>
      <c r="C31" s="24"/>
      <c r="D31" s="24"/>
    </row>
    <row r="32" spans="1:4">
      <c r="A32" s="22" t="s">
        <v>30</v>
      </c>
      <c r="B32" s="23">
        <v>176395.8</v>
      </c>
      <c r="C32" s="24">
        <v>5.0578986918339626E-2</v>
      </c>
      <c r="D32" s="24">
        <v>0.38026432880454464</v>
      </c>
    </row>
    <row r="33" spans="1:4">
      <c r="A33" s="22" t="s">
        <v>11</v>
      </c>
      <c r="B33" s="23">
        <v>118632</v>
      </c>
      <c r="C33" s="24">
        <v>3.4016038795121356E-2</v>
      </c>
      <c r="D33" s="24">
        <v>0.25574031725665092</v>
      </c>
    </row>
    <row r="34" spans="1:4">
      <c r="A34" s="22" t="s">
        <v>19</v>
      </c>
      <c r="B34" s="23">
        <v>39300</v>
      </c>
      <c r="C34" s="24">
        <v>1.1268716068584102E-2</v>
      </c>
      <c r="D34" s="24">
        <v>8.472077068738941E-2</v>
      </c>
    </row>
    <row r="35" spans="1:4">
      <c r="A35" s="22" t="s">
        <v>28</v>
      </c>
      <c r="B35" s="23">
        <v>67917</v>
      </c>
      <c r="C35" s="24">
        <v>1.9474233822646982E-2</v>
      </c>
      <c r="D35" s="24">
        <v>0.14641171966349686</v>
      </c>
    </row>
    <row r="36" spans="1:4">
      <c r="A36" s="22" t="s">
        <v>32</v>
      </c>
      <c r="B36" s="23">
        <v>61632</v>
      </c>
      <c r="C36" s="24">
        <v>1.7672099459007006E-2</v>
      </c>
      <c r="D36" s="24">
        <v>0.13286286358791818</v>
      </c>
    </row>
    <row r="37" spans="1:4">
      <c r="A37" s="21" t="s">
        <v>82</v>
      </c>
      <c r="B37" s="23">
        <v>463876.8</v>
      </c>
      <c r="C37" s="24">
        <v>0.13301007506369908</v>
      </c>
      <c r="D37" s="24">
        <v>0.13301007506369908</v>
      </c>
    </row>
    <row r="38" spans="1:4">
      <c r="A38" s="21" t="s">
        <v>75</v>
      </c>
      <c r="B38" s="25">
        <v>3487531.3</v>
      </c>
      <c r="C38" s="24">
        <v>1</v>
      </c>
      <c r="D38" s="2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3"/>
  <sheetViews>
    <sheetView workbookViewId="0">
      <selection activeCell="E9" sqref="E9"/>
    </sheetView>
  </sheetViews>
  <sheetFormatPr baseColWidth="10" defaultRowHeight="12.75"/>
  <cols>
    <col min="1" max="1" width="21.140625" customWidth="1"/>
    <col min="2" max="2" width="24" customWidth="1"/>
    <col min="3" max="3" width="14.42578125" customWidth="1"/>
    <col min="4" max="4" width="13.140625" customWidth="1"/>
    <col min="5" max="5" width="21.85546875" bestFit="1" customWidth="1"/>
    <col min="6" max="6" width="26" bestFit="1" customWidth="1"/>
    <col min="7" max="7" width="27.140625" bestFit="1" customWidth="1"/>
  </cols>
  <sheetData>
    <row r="3" spans="1:4">
      <c r="B3" s="20" t="s">
        <v>83</v>
      </c>
    </row>
    <row r="4" spans="1:4">
      <c r="A4" s="20" t="s">
        <v>74</v>
      </c>
      <c r="B4">
        <v>2015</v>
      </c>
      <c r="C4">
        <v>2016</v>
      </c>
      <c r="D4" t="s">
        <v>75</v>
      </c>
    </row>
    <row r="5" spans="1:4">
      <c r="A5" s="21" t="s">
        <v>9</v>
      </c>
      <c r="B5" s="25"/>
      <c r="C5" s="25"/>
      <c r="D5" s="23"/>
    </row>
    <row r="6" spans="1:4">
      <c r="A6" s="22" t="s">
        <v>85</v>
      </c>
      <c r="B6" s="25">
        <v>565821</v>
      </c>
      <c r="C6" s="25">
        <v>341640</v>
      </c>
      <c r="D6" s="23">
        <v>907461</v>
      </c>
    </row>
    <row r="7" spans="1:4">
      <c r="A7" s="22" t="s">
        <v>91</v>
      </c>
      <c r="B7" s="25"/>
      <c r="C7" s="25">
        <v>-224181</v>
      </c>
      <c r="D7" s="23"/>
    </row>
    <row r="8" spans="1:4">
      <c r="A8" s="22" t="s">
        <v>93</v>
      </c>
      <c r="B8" s="24"/>
      <c r="C8" s="24">
        <v>-0.39620480682053161</v>
      </c>
      <c r="D8" s="24"/>
    </row>
    <row r="9" spans="1:4">
      <c r="A9" s="21" t="s">
        <v>13</v>
      </c>
      <c r="B9" s="25"/>
      <c r="C9" s="25"/>
      <c r="D9" s="23"/>
    </row>
    <row r="10" spans="1:4">
      <c r="A10" s="22" t="s">
        <v>85</v>
      </c>
      <c r="B10" s="25">
        <v>533067.4</v>
      </c>
      <c r="C10" s="25">
        <v>328285.5</v>
      </c>
      <c r="D10" s="23">
        <v>861352.9</v>
      </c>
    </row>
    <row r="11" spans="1:4">
      <c r="A11" s="22" t="s">
        <v>91</v>
      </c>
      <c r="B11" s="25"/>
      <c r="C11" s="25">
        <v>-204781.90000000002</v>
      </c>
      <c r="D11" s="23"/>
    </row>
    <row r="12" spans="1:4">
      <c r="A12" s="22" t="s">
        <v>93</v>
      </c>
      <c r="B12" s="24"/>
      <c r="C12" s="24">
        <v>-0.38415761308982693</v>
      </c>
      <c r="D12" s="24"/>
    </row>
    <row r="13" spans="1:4">
      <c r="A13" s="21" t="s">
        <v>15</v>
      </c>
      <c r="B13" s="25"/>
      <c r="C13" s="25"/>
      <c r="D13" s="23"/>
    </row>
    <row r="14" spans="1:4">
      <c r="A14" s="22" t="s">
        <v>85</v>
      </c>
      <c r="B14" s="25">
        <v>593345</v>
      </c>
      <c r="C14" s="25">
        <v>661495.6</v>
      </c>
      <c r="D14" s="23">
        <v>1254840.6000000001</v>
      </c>
    </row>
    <row r="15" spans="1:4">
      <c r="A15" s="22" t="s">
        <v>91</v>
      </c>
      <c r="B15" s="25"/>
      <c r="C15" s="25">
        <v>68150.599999999977</v>
      </c>
      <c r="D15" s="23"/>
    </row>
    <row r="16" spans="1:4">
      <c r="A16" s="22" t="s">
        <v>93</v>
      </c>
      <c r="B16" s="24"/>
      <c r="C16" s="24">
        <v>0.11485830334796784</v>
      </c>
      <c r="D16" s="24"/>
    </row>
    <row r="17" spans="1:4">
      <c r="A17" s="21" t="s">
        <v>21</v>
      </c>
      <c r="B17" s="25"/>
      <c r="C17" s="25"/>
      <c r="D17" s="23"/>
    </row>
    <row r="18" spans="1:4">
      <c r="A18" s="22" t="s">
        <v>85</v>
      </c>
      <c r="B18" s="25">
        <v>168849</v>
      </c>
      <c r="C18" s="25">
        <v>295027.8</v>
      </c>
      <c r="D18" s="23">
        <v>463876.8</v>
      </c>
    </row>
    <row r="19" spans="1:4">
      <c r="A19" s="22" t="s">
        <v>91</v>
      </c>
      <c r="B19" s="25"/>
      <c r="C19" s="25">
        <v>126178.79999999999</v>
      </c>
      <c r="D19" s="23"/>
    </row>
    <row r="20" spans="1:4">
      <c r="A20" s="22" t="s">
        <v>93</v>
      </c>
      <c r="B20" s="24"/>
      <c r="C20" s="24">
        <v>0.7472878133717108</v>
      </c>
      <c r="D20" s="24"/>
    </row>
    <row r="21" spans="1:4">
      <c r="A21" s="21" t="s">
        <v>86</v>
      </c>
      <c r="B21" s="25">
        <v>1861082.4</v>
      </c>
      <c r="C21" s="25">
        <v>1626448.9000000001</v>
      </c>
      <c r="D21" s="23">
        <v>3487531.3</v>
      </c>
    </row>
    <row r="22" spans="1:4">
      <c r="A22" s="21" t="s">
        <v>92</v>
      </c>
      <c r="B22" s="25"/>
      <c r="C22" s="25">
        <v>-234633.49999999977</v>
      </c>
      <c r="D22" s="23"/>
    </row>
    <row r="23" spans="1:4">
      <c r="A23" s="21" t="s">
        <v>94</v>
      </c>
      <c r="B23" s="24"/>
      <c r="C23" s="24">
        <v>-0.12607367626495194</v>
      </c>
      <c r="D23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13"/>
  <sheetViews>
    <sheetView workbookViewId="0">
      <selection activeCell="C10" sqref="C10"/>
    </sheetView>
  </sheetViews>
  <sheetFormatPr baseColWidth="10" defaultRowHeight="12.75"/>
  <cols>
    <col min="1" max="1" width="21.140625" customWidth="1"/>
    <col min="2" max="2" width="24" customWidth="1"/>
    <col min="3" max="4" width="13.140625" customWidth="1"/>
    <col min="5" max="5" width="21.85546875" bestFit="1" customWidth="1"/>
    <col min="6" max="6" width="26" bestFit="1" customWidth="1"/>
    <col min="7" max="7" width="27.140625" bestFit="1" customWidth="1"/>
  </cols>
  <sheetData>
    <row r="5" spans="1:6">
      <c r="A5" s="20" t="s">
        <v>76</v>
      </c>
      <c r="B5" s="20" t="s">
        <v>83</v>
      </c>
      <c r="F5" t="s">
        <v>87</v>
      </c>
    </row>
    <row r="6" spans="1:6">
      <c r="A6" s="20" t="s">
        <v>74</v>
      </c>
      <c r="B6">
        <v>2016</v>
      </c>
      <c r="C6" t="s">
        <v>75</v>
      </c>
    </row>
    <row r="7" spans="1:6">
      <c r="A7" s="21" t="s">
        <v>61</v>
      </c>
      <c r="B7" s="25">
        <v>466167.4</v>
      </c>
      <c r="C7" s="23">
        <v>466167.4</v>
      </c>
    </row>
    <row r="8" spans="1:6">
      <c r="A8" s="21" t="s">
        <v>62</v>
      </c>
      <c r="B8" s="25">
        <v>118632</v>
      </c>
      <c r="C8" s="23">
        <v>118632</v>
      </c>
    </row>
    <row r="9" spans="1:6">
      <c r="A9" s="21" t="s">
        <v>63</v>
      </c>
      <c r="B9" s="25">
        <v>291517</v>
      </c>
      <c r="C9" s="23">
        <v>291517</v>
      </c>
    </row>
    <row r="10" spans="1:6">
      <c r="A10" s="21" t="s">
        <v>64</v>
      </c>
      <c r="B10" s="25">
        <v>322775</v>
      </c>
      <c r="C10" s="23">
        <v>322775</v>
      </c>
    </row>
    <row r="11" spans="1:6">
      <c r="A11" s="21" t="s">
        <v>65</v>
      </c>
      <c r="B11" s="25">
        <v>112908</v>
      </c>
      <c r="C11" s="23">
        <v>112908</v>
      </c>
    </row>
    <row r="12" spans="1:6">
      <c r="A12" s="21" t="s">
        <v>66</v>
      </c>
      <c r="B12" s="25">
        <v>314449.5</v>
      </c>
      <c r="C12" s="23">
        <v>314449.5</v>
      </c>
    </row>
    <row r="13" spans="1:6">
      <c r="A13" s="21" t="s">
        <v>75</v>
      </c>
      <c r="B13" s="25">
        <v>1626448.9</v>
      </c>
      <c r="C13" s="23">
        <v>1626448.9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E16"/>
  <sheetViews>
    <sheetView workbookViewId="0">
      <selection activeCell="E23" sqref="E23"/>
    </sheetView>
  </sheetViews>
  <sheetFormatPr baseColWidth="10" defaultRowHeight="12.75"/>
  <cols>
    <col min="1" max="1" width="21.140625" customWidth="1"/>
    <col min="2" max="2" width="14.42578125" bestFit="1" customWidth="1"/>
    <col min="3" max="3" width="10" customWidth="1"/>
    <col min="4" max="4" width="12.85546875" customWidth="1"/>
    <col min="5" max="5" width="14" customWidth="1"/>
    <col min="6" max="8" width="9" customWidth="1"/>
    <col min="9" max="9" width="8" customWidth="1"/>
    <col min="10" max="10" width="11" customWidth="1"/>
    <col min="11" max="11" width="9" customWidth="1"/>
    <col min="12" max="13" width="10.28515625" customWidth="1"/>
    <col min="14" max="14" width="13.140625" bestFit="1" customWidth="1"/>
  </cols>
  <sheetData>
    <row r="5" spans="1:5">
      <c r="A5" s="20" t="s">
        <v>74</v>
      </c>
      <c r="B5" t="s">
        <v>85</v>
      </c>
      <c r="C5" t="s">
        <v>89</v>
      </c>
      <c r="D5" t="s">
        <v>88</v>
      </c>
      <c r="E5" t="s">
        <v>90</v>
      </c>
    </row>
    <row r="6" spans="1:5">
      <c r="A6" s="21" t="s">
        <v>30</v>
      </c>
      <c r="B6" s="25">
        <v>360045.8</v>
      </c>
      <c r="C6" s="25">
        <v>3</v>
      </c>
      <c r="D6" s="25">
        <v>120015.26666666666</v>
      </c>
      <c r="E6" s="25">
        <v>3600.4580000000001</v>
      </c>
    </row>
    <row r="7" spans="1:5">
      <c r="A7" s="21" t="s">
        <v>7</v>
      </c>
      <c r="B7" s="25">
        <v>447055.80000000005</v>
      </c>
      <c r="C7" s="25">
        <v>8</v>
      </c>
      <c r="D7" s="25">
        <v>55881.975000000006</v>
      </c>
      <c r="E7" s="25">
        <v>4470.5580000000009</v>
      </c>
    </row>
    <row r="8" spans="1:5">
      <c r="A8" s="21" t="s">
        <v>26</v>
      </c>
      <c r="B8" s="25">
        <v>336897</v>
      </c>
      <c r="C8" s="25">
        <v>3</v>
      </c>
      <c r="D8" s="25">
        <v>112299</v>
      </c>
      <c r="E8" s="25">
        <v>3368.9700000000003</v>
      </c>
    </row>
    <row r="9" spans="1:5">
      <c r="A9" s="21" t="s">
        <v>23</v>
      </c>
      <c r="B9" s="25">
        <v>319714.5</v>
      </c>
      <c r="C9" s="25">
        <v>5</v>
      </c>
      <c r="D9" s="25">
        <v>63942.9</v>
      </c>
      <c r="E9" s="25">
        <v>3197.145</v>
      </c>
    </row>
    <row r="10" spans="1:5">
      <c r="A10" s="21" t="s">
        <v>11</v>
      </c>
      <c r="B10" s="25">
        <v>290511</v>
      </c>
      <c r="C10" s="25">
        <v>6</v>
      </c>
      <c r="D10" s="25">
        <v>48418.5</v>
      </c>
      <c r="E10" s="25">
        <v>0</v>
      </c>
    </row>
    <row r="11" spans="1:5">
      <c r="A11" s="21" t="s">
        <v>16</v>
      </c>
      <c r="B11" s="25">
        <v>95793.3</v>
      </c>
      <c r="C11" s="25">
        <v>4</v>
      </c>
      <c r="D11" s="25">
        <v>23948.325000000001</v>
      </c>
      <c r="E11" s="25">
        <v>0</v>
      </c>
    </row>
    <row r="12" spans="1:5">
      <c r="A12" s="21" t="s">
        <v>19</v>
      </c>
      <c r="B12" s="25">
        <v>289571.8</v>
      </c>
      <c r="C12" s="25">
        <v>4</v>
      </c>
      <c r="D12" s="25">
        <v>72392.95</v>
      </c>
      <c r="E12" s="25">
        <v>0</v>
      </c>
    </row>
    <row r="13" spans="1:5">
      <c r="A13" s="21" t="s">
        <v>28</v>
      </c>
      <c r="B13" s="25">
        <v>965438.6</v>
      </c>
      <c r="C13" s="25">
        <v>9</v>
      </c>
      <c r="D13" s="25">
        <v>107270.95555555556</v>
      </c>
      <c r="E13" s="25">
        <v>9654.3860000000004</v>
      </c>
    </row>
    <row r="14" spans="1:5">
      <c r="A14" s="21" t="s">
        <v>32</v>
      </c>
      <c r="B14" s="25">
        <v>318668</v>
      </c>
      <c r="C14" s="25">
        <v>4</v>
      </c>
      <c r="D14" s="25">
        <v>79667</v>
      </c>
      <c r="E14" s="25">
        <v>3186.6800000000003</v>
      </c>
    </row>
    <row r="15" spans="1:5">
      <c r="A15" s="21" t="s">
        <v>29</v>
      </c>
      <c r="B15" s="25">
        <v>63835.5</v>
      </c>
      <c r="C15" s="25">
        <v>3</v>
      </c>
      <c r="D15" s="25">
        <v>21278.5</v>
      </c>
      <c r="E15" s="25">
        <v>0</v>
      </c>
    </row>
    <row r="16" spans="1:5">
      <c r="A16" s="21" t="s">
        <v>75</v>
      </c>
      <c r="B16" s="25">
        <v>3487531.3000000003</v>
      </c>
      <c r="C16" s="25">
        <v>49</v>
      </c>
      <c r="D16" s="25">
        <v>71174.108163265308</v>
      </c>
      <c r="E16" s="25">
        <v>34875.313000000002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50"/>
  <sheetViews>
    <sheetView zoomScale="85" zoomScaleNormal="85" workbookViewId="0">
      <selection activeCell="H19" sqref="H19"/>
    </sheetView>
  </sheetViews>
  <sheetFormatPr baseColWidth="10" defaultColWidth="11.42578125" defaultRowHeight="12.75"/>
  <cols>
    <col min="1" max="8" width="14.140625" style="1" customWidth="1"/>
    <col min="9" max="10" width="11.42578125" style="1"/>
    <col min="11" max="11" width="13.28515625" style="1" customWidth="1"/>
    <col min="12" max="16384" width="11.42578125" style="1"/>
  </cols>
  <sheetData>
    <row r="1" spans="1:14">
      <c r="A1" s="15" t="s">
        <v>58</v>
      </c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6" t="s">
        <v>59</v>
      </c>
      <c r="J1" s="16" t="s">
        <v>60</v>
      </c>
      <c r="K1" s="16" t="s">
        <v>73</v>
      </c>
    </row>
    <row r="2" spans="1:14">
      <c r="A2" s="17" t="s">
        <v>7</v>
      </c>
      <c r="B2" s="18">
        <v>42155</v>
      </c>
      <c r="C2" s="17" t="s">
        <v>8</v>
      </c>
      <c r="D2" s="17" t="s">
        <v>9</v>
      </c>
      <c r="E2" s="17" t="s">
        <v>10</v>
      </c>
      <c r="F2" s="19">
        <v>1.5</v>
      </c>
      <c r="G2" s="17">
        <v>7695</v>
      </c>
      <c r="H2" s="19">
        <f>F2*G2</f>
        <v>11542.5</v>
      </c>
      <c r="I2" s="17">
        <f>+YEAR(B2)</f>
        <v>2015</v>
      </c>
      <c r="J2" s="17">
        <f>MONTH(B2)</f>
        <v>5</v>
      </c>
      <c r="K2" s="17" t="str">
        <f>VLOOKUP(J2,$M$2:$N$13,2)</f>
        <v>Mai</v>
      </c>
      <c r="M2" s="1">
        <v>1</v>
      </c>
      <c r="N2" s="1" t="s">
        <v>61</v>
      </c>
    </row>
    <row r="3" spans="1:14">
      <c r="A3" s="17" t="s">
        <v>11</v>
      </c>
      <c r="B3" s="18">
        <v>42372</v>
      </c>
      <c r="C3" s="17" t="s">
        <v>12</v>
      </c>
      <c r="D3" s="17" t="s">
        <v>13</v>
      </c>
      <c r="E3" s="17" t="s">
        <v>10</v>
      </c>
      <c r="F3" s="19">
        <v>1.5</v>
      </c>
      <c r="G3" s="17">
        <v>9224</v>
      </c>
      <c r="H3" s="19">
        <f>F3*G3</f>
        <v>13836</v>
      </c>
      <c r="I3" s="17">
        <f t="shared" ref="I3:I50" si="0">+YEAR(B3)</f>
        <v>2016</v>
      </c>
      <c r="J3" s="17">
        <f t="shared" ref="J3:J50" si="1">MONTH(B3)</f>
        <v>1</v>
      </c>
      <c r="K3" s="17" t="str">
        <f t="shared" ref="K3:K50" si="2">VLOOKUP(J3,$M$2:$N$13,2)</f>
        <v>Janvier</v>
      </c>
      <c r="M3" s="1">
        <v>2</v>
      </c>
      <c r="N3" s="1" t="s">
        <v>62</v>
      </c>
    </row>
    <row r="4" spans="1:14">
      <c r="A4" s="17" t="s">
        <v>7</v>
      </c>
      <c r="B4" s="18">
        <v>42521</v>
      </c>
      <c r="C4" s="17" t="s">
        <v>14</v>
      </c>
      <c r="D4" s="17" t="s">
        <v>15</v>
      </c>
      <c r="E4" s="17" t="s">
        <v>10</v>
      </c>
      <c r="F4" s="19">
        <v>1.5</v>
      </c>
      <c r="G4" s="17">
        <v>9628</v>
      </c>
      <c r="H4" s="19">
        <f>F4*G4</f>
        <v>14442</v>
      </c>
      <c r="I4" s="17">
        <f t="shared" si="0"/>
        <v>2016</v>
      </c>
      <c r="J4" s="17">
        <f t="shared" si="1"/>
        <v>5</v>
      </c>
      <c r="K4" s="17" t="str">
        <f t="shared" si="2"/>
        <v>Mai</v>
      </c>
      <c r="M4" s="1">
        <v>3</v>
      </c>
      <c r="N4" s="1" t="s">
        <v>63</v>
      </c>
    </row>
    <row r="5" spans="1:14">
      <c r="A5" s="17" t="s">
        <v>16</v>
      </c>
      <c r="B5" s="18">
        <v>42197</v>
      </c>
      <c r="C5" s="17" t="s">
        <v>17</v>
      </c>
      <c r="D5" s="17" t="s">
        <v>9</v>
      </c>
      <c r="E5" s="17" t="s">
        <v>18</v>
      </c>
      <c r="F5" s="19">
        <v>3.4</v>
      </c>
      <c r="G5" s="17">
        <v>8367</v>
      </c>
      <c r="H5" s="19">
        <f>F5*G5</f>
        <v>28447.8</v>
      </c>
      <c r="I5" s="17">
        <f t="shared" si="0"/>
        <v>2015</v>
      </c>
      <c r="J5" s="17">
        <f t="shared" si="1"/>
        <v>7</v>
      </c>
      <c r="K5" s="17" t="str">
        <f t="shared" si="2"/>
        <v>Juillet</v>
      </c>
      <c r="M5" s="1">
        <v>4</v>
      </c>
      <c r="N5" s="1" t="s">
        <v>64</v>
      </c>
    </row>
    <row r="6" spans="1:14">
      <c r="A6" s="17" t="s">
        <v>19</v>
      </c>
      <c r="B6" s="18">
        <v>42353</v>
      </c>
      <c r="C6" s="17" t="s">
        <v>20</v>
      </c>
      <c r="D6" s="17" t="s">
        <v>21</v>
      </c>
      <c r="E6" s="17" t="s">
        <v>22</v>
      </c>
      <c r="F6" s="19">
        <v>6</v>
      </c>
      <c r="G6" s="17">
        <v>6550</v>
      </c>
      <c r="H6" s="19">
        <f t="shared" ref="H6:H30" si="3">F6*G6</f>
        <v>39300</v>
      </c>
      <c r="I6" s="17">
        <f t="shared" si="0"/>
        <v>2015</v>
      </c>
      <c r="J6" s="17">
        <f t="shared" si="1"/>
        <v>12</v>
      </c>
      <c r="K6" s="17" t="str">
        <f t="shared" si="2"/>
        <v>Décembre</v>
      </c>
      <c r="M6" s="1">
        <v>5</v>
      </c>
      <c r="N6" s="1" t="s">
        <v>65</v>
      </c>
    </row>
    <row r="7" spans="1:14">
      <c r="A7" s="17" t="s">
        <v>23</v>
      </c>
      <c r="B7" s="18">
        <v>42050</v>
      </c>
      <c r="C7" s="17" t="s">
        <v>24</v>
      </c>
      <c r="D7" s="17" t="s">
        <v>9</v>
      </c>
      <c r="E7" s="17" t="s">
        <v>22</v>
      </c>
      <c r="F7" s="19">
        <v>6</v>
      </c>
      <c r="G7" s="17">
        <v>6987</v>
      </c>
      <c r="H7" s="19">
        <f t="shared" si="3"/>
        <v>41922</v>
      </c>
      <c r="I7" s="17">
        <f t="shared" si="0"/>
        <v>2015</v>
      </c>
      <c r="J7" s="17">
        <f t="shared" si="1"/>
        <v>2</v>
      </c>
      <c r="K7" s="17" t="str">
        <f t="shared" si="2"/>
        <v>Février</v>
      </c>
      <c r="M7" s="1">
        <v>6</v>
      </c>
      <c r="N7" s="1" t="s">
        <v>66</v>
      </c>
    </row>
    <row r="8" spans="1:14">
      <c r="A8" s="17" t="s">
        <v>11</v>
      </c>
      <c r="B8" s="18">
        <v>42062</v>
      </c>
      <c r="C8" s="17" t="s">
        <v>14</v>
      </c>
      <c r="D8" s="17" t="s">
        <v>15</v>
      </c>
      <c r="E8" s="17" t="s">
        <v>25</v>
      </c>
      <c r="F8" s="19">
        <v>21</v>
      </c>
      <c r="G8" s="17">
        <v>5954</v>
      </c>
      <c r="H8" s="19">
        <f>F8*G8</f>
        <v>125034</v>
      </c>
      <c r="I8" s="17">
        <f t="shared" si="0"/>
        <v>2015</v>
      </c>
      <c r="J8" s="17">
        <f t="shared" si="1"/>
        <v>2</v>
      </c>
      <c r="K8" s="17" t="str">
        <f t="shared" si="2"/>
        <v>Février</v>
      </c>
      <c r="M8" s="1">
        <v>7</v>
      </c>
      <c r="N8" s="1" t="s">
        <v>67</v>
      </c>
    </row>
    <row r="9" spans="1:14">
      <c r="A9" s="17" t="s">
        <v>26</v>
      </c>
      <c r="B9" s="18">
        <v>42546</v>
      </c>
      <c r="C9" s="17" t="s">
        <v>8</v>
      </c>
      <c r="D9" s="17" t="s">
        <v>13</v>
      </c>
      <c r="E9" s="17" t="s">
        <v>27</v>
      </c>
      <c r="F9" s="19">
        <v>25</v>
      </c>
      <c r="G9" s="17">
        <v>7329</v>
      </c>
      <c r="H9" s="19">
        <f>F9*G9</f>
        <v>183225</v>
      </c>
      <c r="I9" s="17">
        <f t="shared" si="0"/>
        <v>2016</v>
      </c>
      <c r="J9" s="17">
        <f t="shared" si="1"/>
        <v>6</v>
      </c>
      <c r="K9" s="17" t="str">
        <f t="shared" si="2"/>
        <v>Juin</v>
      </c>
      <c r="M9" s="1">
        <v>8</v>
      </c>
      <c r="N9" s="1" t="s">
        <v>68</v>
      </c>
    </row>
    <row r="10" spans="1:14">
      <c r="A10" s="17" t="s">
        <v>16</v>
      </c>
      <c r="B10" s="18">
        <v>42287</v>
      </c>
      <c r="C10" s="17" t="s">
        <v>8</v>
      </c>
      <c r="D10" s="17" t="s">
        <v>15</v>
      </c>
      <c r="E10" s="17" t="s">
        <v>10</v>
      </c>
      <c r="F10" s="19">
        <v>1.5</v>
      </c>
      <c r="G10" s="17">
        <v>5293</v>
      </c>
      <c r="H10" s="19">
        <f>F10*G10</f>
        <v>7939.5</v>
      </c>
      <c r="I10" s="17">
        <f t="shared" si="0"/>
        <v>2015</v>
      </c>
      <c r="J10" s="17">
        <f t="shared" si="1"/>
        <v>10</v>
      </c>
      <c r="K10" s="17" t="str">
        <f t="shared" si="2"/>
        <v>Octobre</v>
      </c>
      <c r="M10" s="1">
        <v>9</v>
      </c>
      <c r="N10" s="1" t="s">
        <v>69</v>
      </c>
    </row>
    <row r="11" spans="1:14">
      <c r="A11" s="17" t="s">
        <v>28</v>
      </c>
      <c r="B11" s="18">
        <v>42366</v>
      </c>
      <c r="C11" s="17" t="s">
        <v>20</v>
      </c>
      <c r="D11" s="17" t="s">
        <v>21</v>
      </c>
      <c r="E11" s="17" t="s">
        <v>10</v>
      </c>
      <c r="F11" s="19">
        <v>1.5</v>
      </c>
      <c r="G11" s="17">
        <v>5562</v>
      </c>
      <c r="H11" s="19">
        <f t="shared" si="3"/>
        <v>8343</v>
      </c>
      <c r="I11" s="17">
        <f t="shared" si="0"/>
        <v>2015</v>
      </c>
      <c r="J11" s="17">
        <f t="shared" si="1"/>
        <v>12</v>
      </c>
      <c r="K11" s="17" t="str">
        <f t="shared" si="2"/>
        <v>Décembre</v>
      </c>
      <c r="M11" s="1">
        <v>10</v>
      </c>
      <c r="N11" s="1" t="s">
        <v>70</v>
      </c>
    </row>
    <row r="12" spans="1:14">
      <c r="A12" s="17" t="s">
        <v>29</v>
      </c>
      <c r="B12" s="18">
        <v>42517</v>
      </c>
      <c r="C12" s="17" t="s">
        <v>24</v>
      </c>
      <c r="D12" s="17" t="s">
        <v>15</v>
      </c>
      <c r="E12" s="17" t="s">
        <v>10</v>
      </c>
      <c r="F12" s="19">
        <v>1.5</v>
      </c>
      <c r="G12" s="17">
        <v>6852</v>
      </c>
      <c r="H12" s="19">
        <f>F12*G12</f>
        <v>10278</v>
      </c>
      <c r="I12" s="17">
        <f t="shared" si="0"/>
        <v>2016</v>
      </c>
      <c r="J12" s="17">
        <f t="shared" si="1"/>
        <v>5</v>
      </c>
      <c r="K12" s="17" t="str">
        <f t="shared" si="2"/>
        <v>Mai</v>
      </c>
      <c r="M12" s="1">
        <v>11</v>
      </c>
      <c r="N12" s="1" t="s">
        <v>71</v>
      </c>
    </row>
    <row r="13" spans="1:14">
      <c r="A13" s="17" t="s">
        <v>7</v>
      </c>
      <c r="B13" s="18">
        <v>42237</v>
      </c>
      <c r="C13" s="17" t="s">
        <v>12</v>
      </c>
      <c r="D13" s="17" t="s">
        <v>13</v>
      </c>
      <c r="E13" s="17" t="s">
        <v>18</v>
      </c>
      <c r="F13" s="19">
        <v>3.4</v>
      </c>
      <c r="G13" s="17">
        <v>5641</v>
      </c>
      <c r="H13" s="19">
        <f t="shared" si="3"/>
        <v>19179.399999999998</v>
      </c>
      <c r="I13" s="17">
        <f t="shared" si="0"/>
        <v>2015</v>
      </c>
      <c r="J13" s="17">
        <f t="shared" si="1"/>
        <v>8</v>
      </c>
      <c r="K13" s="17" t="str">
        <f t="shared" si="2"/>
        <v>Août</v>
      </c>
      <c r="M13" s="1">
        <v>12</v>
      </c>
      <c r="N13" s="1" t="s">
        <v>72</v>
      </c>
    </row>
    <row r="14" spans="1:14">
      <c r="A14" s="17" t="s">
        <v>30</v>
      </c>
      <c r="B14" s="18">
        <v>42393</v>
      </c>
      <c r="C14" s="17" t="s">
        <v>17</v>
      </c>
      <c r="D14" s="17" t="s">
        <v>21</v>
      </c>
      <c r="E14" s="17" t="s">
        <v>18</v>
      </c>
      <c r="F14" s="19">
        <v>3.4</v>
      </c>
      <c r="G14" s="17">
        <v>7212</v>
      </c>
      <c r="H14" s="19">
        <f>F14*G14</f>
        <v>24520.799999999999</v>
      </c>
      <c r="I14" s="17">
        <f t="shared" si="0"/>
        <v>2016</v>
      </c>
      <c r="J14" s="17">
        <f t="shared" si="1"/>
        <v>1</v>
      </c>
      <c r="K14" s="17" t="str">
        <f t="shared" si="2"/>
        <v>Janvier</v>
      </c>
    </row>
    <row r="15" spans="1:14">
      <c r="A15" s="17" t="s">
        <v>26</v>
      </c>
      <c r="B15" s="18">
        <v>42044</v>
      </c>
      <c r="C15" s="17" t="s">
        <v>24</v>
      </c>
      <c r="D15" s="17" t="s">
        <v>9</v>
      </c>
      <c r="E15" s="17" t="s">
        <v>22</v>
      </c>
      <c r="F15" s="19">
        <v>6</v>
      </c>
      <c r="G15" s="17">
        <v>5764</v>
      </c>
      <c r="H15" s="19">
        <f t="shared" si="3"/>
        <v>34584</v>
      </c>
      <c r="I15" s="17">
        <f t="shared" si="0"/>
        <v>2015</v>
      </c>
      <c r="J15" s="17">
        <f t="shared" si="1"/>
        <v>2</v>
      </c>
      <c r="K15" s="17" t="str">
        <f t="shared" si="2"/>
        <v>Février</v>
      </c>
    </row>
    <row r="16" spans="1:14">
      <c r="A16" s="17" t="s">
        <v>11</v>
      </c>
      <c r="B16" s="18">
        <v>42423</v>
      </c>
      <c r="C16" s="17" t="s">
        <v>14</v>
      </c>
      <c r="D16" s="17" t="s">
        <v>21</v>
      </c>
      <c r="E16" s="17" t="s">
        <v>31</v>
      </c>
      <c r="F16" s="19">
        <v>12</v>
      </c>
      <c r="G16" s="17">
        <v>9886</v>
      </c>
      <c r="H16" s="19">
        <f t="shared" si="3"/>
        <v>118632</v>
      </c>
      <c r="I16" s="17">
        <f t="shared" si="0"/>
        <v>2016</v>
      </c>
      <c r="J16" s="17">
        <f t="shared" si="1"/>
        <v>2</v>
      </c>
      <c r="K16" s="17" t="str">
        <f t="shared" si="2"/>
        <v>Février</v>
      </c>
    </row>
    <row r="17" spans="1:11">
      <c r="A17" s="17" t="s">
        <v>32</v>
      </c>
      <c r="B17" s="18">
        <v>42482</v>
      </c>
      <c r="C17" s="17" t="s">
        <v>33</v>
      </c>
      <c r="D17" s="17" t="s">
        <v>15</v>
      </c>
      <c r="E17" s="17" t="s">
        <v>27</v>
      </c>
      <c r="F17" s="19">
        <v>25</v>
      </c>
      <c r="G17" s="17">
        <v>6728</v>
      </c>
      <c r="H17" s="19">
        <f>F17*G17</f>
        <v>168200</v>
      </c>
      <c r="I17" s="17">
        <f t="shared" si="0"/>
        <v>2016</v>
      </c>
      <c r="J17" s="17">
        <f t="shared" si="1"/>
        <v>4</v>
      </c>
      <c r="K17" s="17" t="str">
        <f t="shared" si="2"/>
        <v>Avril</v>
      </c>
    </row>
    <row r="18" spans="1:11">
      <c r="A18" s="17" t="s">
        <v>28</v>
      </c>
      <c r="B18" s="18">
        <v>42351</v>
      </c>
      <c r="C18" s="17" t="s">
        <v>14</v>
      </c>
      <c r="D18" s="17" t="s">
        <v>9</v>
      </c>
      <c r="E18" s="17" t="s">
        <v>25</v>
      </c>
      <c r="F18" s="19">
        <v>21</v>
      </c>
      <c r="G18" s="17">
        <v>8694</v>
      </c>
      <c r="H18" s="19">
        <f>F18*G18</f>
        <v>182574</v>
      </c>
      <c r="I18" s="17">
        <f t="shared" si="0"/>
        <v>2015</v>
      </c>
      <c r="J18" s="17">
        <f t="shared" si="1"/>
        <v>12</v>
      </c>
      <c r="K18" s="17" t="str">
        <f t="shared" si="2"/>
        <v>Décembre</v>
      </c>
    </row>
    <row r="19" spans="1:11">
      <c r="A19" s="17" t="s">
        <v>11</v>
      </c>
      <c r="B19" s="18">
        <v>42094</v>
      </c>
      <c r="C19" s="17" t="s">
        <v>20</v>
      </c>
      <c r="D19" s="17" t="s">
        <v>15</v>
      </c>
      <c r="E19" s="17" t="s">
        <v>10</v>
      </c>
      <c r="F19" s="19">
        <v>1.5</v>
      </c>
      <c r="G19" s="17">
        <v>5750</v>
      </c>
      <c r="H19" s="19">
        <f>F19*G19</f>
        <v>8625</v>
      </c>
      <c r="I19" s="17">
        <f t="shared" si="0"/>
        <v>2015</v>
      </c>
      <c r="J19" s="17">
        <f t="shared" si="1"/>
        <v>3</v>
      </c>
      <c r="K19" s="17" t="str">
        <f t="shared" si="2"/>
        <v>Mars</v>
      </c>
    </row>
    <row r="20" spans="1:11">
      <c r="A20" s="17" t="s">
        <v>7</v>
      </c>
      <c r="B20" s="18">
        <v>42181</v>
      </c>
      <c r="C20" s="17" t="s">
        <v>12</v>
      </c>
      <c r="D20" s="17" t="s">
        <v>9</v>
      </c>
      <c r="E20" s="17" t="s">
        <v>10</v>
      </c>
      <c r="F20" s="19">
        <v>1.5</v>
      </c>
      <c r="G20" s="17">
        <v>8639</v>
      </c>
      <c r="H20" s="19">
        <f>F20*G20</f>
        <v>12958.5</v>
      </c>
      <c r="I20" s="17">
        <f t="shared" si="0"/>
        <v>2015</v>
      </c>
      <c r="J20" s="17">
        <f t="shared" si="1"/>
        <v>6</v>
      </c>
      <c r="K20" s="17" t="str">
        <f t="shared" si="2"/>
        <v>Juin</v>
      </c>
    </row>
    <row r="21" spans="1:11">
      <c r="A21" s="17" t="s">
        <v>16</v>
      </c>
      <c r="B21" s="18">
        <v>42398</v>
      </c>
      <c r="C21" s="17" t="s">
        <v>12</v>
      </c>
      <c r="D21" s="17" t="s">
        <v>9</v>
      </c>
      <c r="E21" s="17" t="s">
        <v>10</v>
      </c>
      <c r="F21" s="19">
        <v>1.5</v>
      </c>
      <c r="G21" s="17">
        <v>8804</v>
      </c>
      <c r="H21" s="19">
        <f>F21*G21</f>
        <v>13206</v>
      </c>
      <c r="I21" s="17">
        <f t="shared" si="0"/>
        <v>2016</v>
      </c>
      <c r="J21" s="17">
        <f t="shared" si="1"/>
        <v>1</v>
      </c>
      <c r="K21" s="17" t="str">
        <f t="shared" si="2"/>
        <v>Janvier</v>
      </c>
    </row>
    <row r="22" spans="1:11">
      <c r="A22" s="17" t="s">
        <v>32</v>
      </c>
      <c r="B22" s="18">
        <v>42317</v>
      </c>
      <c r="C22" s="17" t="s">
        <v>17</v>
      </c>
      <c r="D22" s="17" t="s">
        <v>21</v>
      </c>
      <c r="E22" s="17" t="s">
        <v>31</v>
      </c>
      <c r="F22" s="19">
        <v>12</v>
      </c>
      <c r="G22" s="17">
        <v>5136</v>
      </c>
      <c r="H22" s="19">
        <f t="shared" si="3"/>
        <v>61632</v>
      </c>
      <c r="I22" s="17">
        <f t="shared" si="0"/>
        <v>2015</v>
      </c>
      <c r="J22" s="17">
        <f t="shared" si="1"/>
        <v>11</v>
      </c>
      <c r="K22" s="17" t="str">
        <f t="shared" si="2"/>
        <v>Novembre</v>
      </c>
    </row>
    <row r="23" spans="1:11">
      <c r="A23" s="17" t="s">
        <v>28</v>
      </c>
      <c r="B23" s="18">
        <v>42434</v>
      </c>
      <c r="C23" s="17" t="s">
        <v>20</v>
      </c>
      <c r="D23" s="17" t="s">
        <v>15</v>
      </c>
      <c r="E23" s="17" t="s">
        <v>31</v>
      </c>
      <c r="F23" s="19">
        <v>12</v>
      </c>
      <c r="G23" s="17">
        <v>7017</v>
      </c>
      <c r="H23" s="19">
        <f>F23*G23</f>
        <v>84204</v>
      </c>
      <c r="I23" s="17">
        <f t="shared" si="0"/>
        <v>2016</v>
      </c>
      <c r="J23" s="17">
        <f t="shared" si="1"/>
        <v>3</v>
      </c>
      <c r="K23" s="17" t="str">
        <f t="shared" si="2"/>
        <v>Mars</v>
      </c>
    </row>
    <row r="24" spans="1:11">
      <c r="A24" s="17" t="s">
        <v>11</v>
      </c>
      <c r="B24" s="18">
        <v>42387</v>
      </c>
      <c r="C24" s="17" t="s">
        <v>20</v>
      </c>
      <c r="D24" s="17" t="s">
        <v>15</v>
      </c>
      <c r="E24" s="17" t="s">
        <v>10</v>
      </c>
      <c r="F24" s="19">
        <v>1.5</v>
      </c>
      <c r="G24" s="17">
        <v>8611</v>
      </c>
      <c r="H24" s="19">
        <f t="shared" si="3"/>
        <v>12916.5</v>
      </c>
      <c r="I24" s="17">
        <f t="shared" si="0"/>
        <v>2016</v>
      </c>
      <c r="J24" s="17">
        <f t="shared" si="1"/>
        <v>1</v>
      </c>
      <c r="K24" s="17" t="str">
        <f t="shared" si="2"/>
        <v>Janvier</v>
      </c>
    </row>
    <row r="25" spans="1:11">
      <c r="A25" s="17" t="s">
        <v>26</v>
      </c>
      <c r="B25" s="18">
        <v>42540</v>
      </c>
      <c r="C25" s="17" t="s">
        <v>24</v>
      </c>
      <c r="D25" s="17" t="s">
        <v>13</v>
      </c>
      <c r="E25" s="17" t="s">
        <v>31</v>
      </c>
      <c r="F25" s="19">
        <v>12</v>
      </c>
      <c r="G25" s="17">
        <v>9924</v>
      </c>
      <c r="H25" s="19">
        <f t="shared" si="3"/>
        <v>119088</v>
      </c>
      <c r="I25" s="17">
        <f t="shared" si="0"/>
        <v>2016</v>
      </c>
      <c r="J25" s="17">
        <f t="shared" si="1"/>
        <v>6</v>
      </c>
      <c r="K25" s="17" t="str">
        <f t="shared" si="2"/>
        <v>Juin</v>
      </c>
    </row>
    <row r="26" spans="1:11">
      <c r="A26" s="17" t="s">
        <v>7</v>
      </c>
      <c r="B26" s="18">
        <v>42379</v>
      </c>
      <c r="C26" s="17" t="s">
        <v>17</v>
      </c>
      <c r="D26" s="17" t="s">
        <v>9</v>
      </c>
      <c r="E26" s="17" t="s">
        <v>25</v>
      </c>
      <c r="F26" s="19">
        <v>21</v>
      </c>
      <c r="G26" s="17">
        <v>8279</v>
      </c>
      <c r="H26" s="19">
        <f t="shared" si="3"/>
        <v>173859</v>
      </c>
      <c r="I26" s="17">
        <f t="shared" si="0"/>
        <v>2016</v>
      </c>
      <c r="J26" s="17">
        <f t="shared" si="1"/>
        <v>1</v>
      </c>
      <c r="K26" s="17" t="str">
        <f t="shared" si="2"/>
        <v>Janvier</v>
      </c>
    </row>
    <row r="27" spans="1:11">
      <c r="A27" s="17" t="s">
        <v>30</v>
      </c>
      <c r="B27" s="18">
        <v>42070</v>
      </c>
      <c r="C27" s="17" t="s">
        <v>14</v>
      </c>
      <c r="D27" s="17" t="s">
        <v>15</v>
      </c>
      <c r="E27" s="17" t="s">
        <v>27</v>
      </c>
      <c r="F27" s="19">
        <v>25</v>
      </c>
      <c r="G27" s="17">
        <v>7346</v>
      </c>
      <c r="H27" s="19">
        <f>F27*G27</f>
        <v>183650</v>
      </c>
      <c r="I27" s="17">
        <f t="shared" si="0"/>
        <v>2015</v>
      </c>
      <c r="J27" s="17">
        <f t="shared" si="1"/>
        <v>3</v>
      </c>
      <c r="K27" s="17" t="str">
        <f t="shared" si="2"/>
        <v>Mars</v>
      </c>
    </row>
    <row r="28" spans="1:11">
      <c r="A28" s="17" t="s">
        <v>29</v>
      </c>
      <c r="B28" s="18">
        <v>42167</v>
      </c>
      <c r="C28" s="17" t="s">
        <v>17</v>
      </c>
      <c r="D28" s="17" t="s">
        <v>15</v>
      </c>
      <c r="E28" s="17" t="s">
        <v>10</v>
      </c>
      <c r="F28" s="19">
        <v>1.5</v>
      </c>
      <c r="G28" s="17">
        <v>6213</v>
      </c>
      <c r="H28" s="19">
        <f t="shared" si="3"/>
        <v>9319.5</v>
      </c>
      <c r="I28" s="17">
        <f t="shared" si="0"/>
        <v>2015</v>
      </c>
      <c r="J28" s="17">
        <f t="shared" si="1"/>
        <v>6</v>
      </c>
      <c r="K28" s="17" t="str">
        <f t="shared" si="2"/>
        <v>Juin</v>
      </c>
    </row>
    <row r="29" spans="1:11">
      <c r="A29" s="17" t="s">
        <v>11</v>
      </c>
      <c r="B29" s="18">
        <v>42385</v>
      </c>
      <c r="C29" s="17" t="s">
        <v>20</v>
      </c>
      <c r="D29" s="17" t="s">
        <v>15</v>
      </c>
      <c r="E29" s="17" t="s">
        <v>10</v>
      </c>
      <c r="F29" s="19">
        <v>1.5</v>
      </c>
      <c r="G29" s="17">
        <v>7645</v>
      </c>
      <c r="H29" s="19">
        <f>F29*G29</f>
        <v>11467.5</v>
      </c>
      <c r="I29" s="17">
        <f t="shared" si="0"/>
        <v>2016</v>
      </c>
      <c r="J29" s="17">
        <f t="shared" si="1"/>
        <v>1</v>
      </c>
      <c r="K29" s="17" t="str">
        <f t="shared" si="2"/>
        <v>Janvier</v>
      </c>
    </row>
    <row r="30" spans="1:11">
      <c r="A30" s="17" t="s">
        <v>23</v>
      </c>
      <c r="B30" s="18">
        <v>42535</v>
      </c>
      <c r="C30" s="17" t="s">
        <v>20</v>
      </c>
      <c r="D30" s="17" t="s">
        <v>13</v>
      </c>
      <c r="E30" s="17" t="s">
        <v>10</v>
      </c>
      <c r="F30" s="19">
        <v>1.5</v>
      </c>
      <c r="G30" s="17">
        <v>8091</v>
      </c>
      <c r="H30" s="19">
        <f t="shared" si="3"/>
        <v>12136.5</v>
      </c>
      <c r="I30" s="17">
        <f t="shared" si="0"/>
        <v>2016</v>
      </c>
      <c r="J30" s="17">
        <f t="shared" si="1"/>
        <v>6</v>
      </c>
      <c r="K30" s="17" t="str">
        <f t="shared" si="2"/>
        <v>Juin</v>
      </c>
    </row>
    <row r="31" spans="1:11">
      <c r="A31" s="17" t="s">
        <v>28</v>
      </c>
      <c r="B31" s="18">
        <v>42394</v>
      </c>
      <c r="C31" s="17" t="s">
        <v>8</v>
      </c>
      <c r="D31" s="17" t="s">
        <v>15</v>
      </c>
      <c r="E31" s="17" t="s">
        <v>18</v>
      </c>
      <c r="F31" s="19">
        <v>3.4</v>
      </c>
      <c r="G31" s="17">
        <v>7819</v>
      </c>
      <c r="H31" s="19">
        <f>F31*G31</f>
        <v>26584.6</v>
      </c>
      <c r="I31" s="17">
        <f t="shared" si="0"/>
        <v>2016</v>
      </c>
      <c r="J31" s="17">
        <f t="shared" si="1"/>
        <v>1</v>
      </c>
      <c r="K31" s="17" t="str">
        <f t="shared" si="2"/>
        <v>Janvier</v>
      </c>
    </row>
    <row r="32" spans="1:11">
      <c r="A32" s="17" t="s">
        <v>19</v>
      </c>
      <c r="B32" s="18">
        <v>42290</v>
      </c>
      <c r="C32" s="17" t="s">
        <v>17</v>
      </c>
      <c r="D32" s="17" t="s">
        <v>9</v>
      </c>
      <c r="E32" s="17" t="s">
        <v>18</v>
      </c>
      <c r="F32" s="19">
        <v>3.4</v>
      </c>
      <c r="G32" s="17">
        <v>8227</v>
      </c>
      <c r="H32" s="19">
        <f t="shared" ref="H32:H50" si="4">F32*G32</f>
        <v>27971.8</v>
      </c>
      <c r="I32" s="17">
        <f t="shared" si="0"/>
        <v>2015</v>
      </c>
      <c r="J32" s="17">
        <f t="shared" si="1"/>
        <v>10</v>
      </c>
      <c r="K32" s="17" t="str">
        <f t="shared" si="2"/>
        <v>Octobre</v>
      </c>
    </row>
    <row r="33" spans="1:11">
      <c r="A33" s="17" t="s">
        <v>32</v>
      </c>
      <c r="B33" s="18">
        <v>42391</v>
      </c>
      <c r="C33" s="17" t="s">
        <v>12</v>
      </c>
      <c r="D33" s="17" t="s">
        <v>15</v>
      </c>
      <c r="E33" s="17" t="s">
        <v>22</v>
      </c>
      <c r="F33" s="19">
        <v>6</v>
      </c>
      <c r="G33" s="17">
        <v>6317</v>
      </c>
      <c r="H33" s="19">
        <f t="shared" si="4"/>
        <v>37902</v>
      </c>
      <c r="I33" s="17">
        <f t="shared" si="0"/>
        <v>2016</v>
      </c>
      <c r="J33" s="17">
        <f t="shared" si="1"/>
        <v>1</v>
      </c>
      <c r="K33" s="17" t="str">
        <f t="shared" si="2"/>
        <v>Janvier</v>
      </c>
    </row>
    <row r="34" spans="1:11">
      <c r="A34" s="17" t="s">
        <v>28</v>
      </c>
      <c r="B34" s="18">
        <v>42052</v>
      </c>
      <c r="C34" s="17" t="s">
        <v>12</v>
      </c>
      <c r="D34" s="17" t="s">
        <v>13</v>
      </c>
      <c r="E34" s="17" t="s">
        <v>25</v>
      </c>
      <c r="F34" s="19">
        <v>21</v>
      </c>
      <c r="G34" s="17">
        <v>9401</v>
      </c>
      <c r="H34" s="19">
        <f>F34*G34</f>
        <v>197421</v>
      </c>
      <c r="I34" s="17">
        <f t="shared" si="0"/>
        <v>2015</v>
      </c>
      <c r="J34" s="17">
        <f t="shared" si="1"/>
        <v>2</v>
      </c>
      <c r="K34" s="17" t="str">
        <f t="shared" si="2"/>
        <v>Février</v>
      </c>
    </row>
    <row r="35" spans="1:11">
      <c r="A35" s="17" t="s">
        <v>29</v>
      </c>
      <c r="B35" s="18">
        <v>42444</v>
      </c>
      <c r="C35" s="17" t="s">
        <v>20</v>
      </c>
      <c r="D35" s="17" t="s">
        <v>15</v>
      </c>
      <c r="E35" s="17" t="s">
        <v>22</v>
      </c>
      <c r="F35" s="19">
        <v>6</v>
      </c>
      <c r="G35" s="17">
        <v>7373</v>
      </c>
      <c r="H35" s="19">
        <f>F35*G35</f>
        <v>44238</v>
      </c>
      <c r="I35" s="17">
        <f t="shared" si="0"/>
        <v>2016</v>
      </c>
      <c r="J35" s="17">
        <f t="shared" si="1"/>
        <v>3</v>
      </c>
      <c r="K35" s="17" t="str">
        <f t="shared" si="2"/>
        <v>Mars</v>
      </c>
    </row>
    <row r="36" spans="1:11">
      <c r="A36" s="17" t="s">
        <v>7</v>
      </c>
      <c r="B36" s="18">
        <v>42188</v>
      </c>
      <c r="C36" s="17" t="s">
        <v>12</v>
      </c>
      <c r="D36" s="17" t="s">
        <v>13</v>
      </c>
      <c r="E36" s="17" t="s">
        <v>31</v>
      </c>
      <c r="F36" s="19">
        <v>12</v>
      </c>
      <c r="G36" s="17">
        <v>9062</v>
      </c>
      <c r="H36" s="19">
        <f t="shared" si="4"/>
        <v>108744</v>
      </c>
      <c r="I36" s="17">
        <f t="shared" si="0"/>
        <v>2015</v>
      </c>
      <c r="J36" s="17">
        <f t="shared" si="1"/>
        <v>7</v>
      </c>
      <c r="K36" s="17" t="str">
        <f t="shared" si="2"/>
        <v>Juillet</v>
      </c>
    </row>
    <row r="37" spans="1:11">
      <c r="A37" s="17" t="s">
        <v>7</v>
      </c>
      <c r="B37" s="18">
        <v>42293</v>
      </c>
      <c r="C37" s="17" t="s">
        <v>24</v>
      </c>
      <c r="D37" s="17" t="s">
        <v>9</v>
      </c>
      <c r="E37" s="17" t="s">
        <v>18</v>
      </c>
      <c r="F37" s="19">
        <v>3.4</v>
      </c>
      <c r="G37" s="17">
        <v>5336</v>
      </c>
      <c r="H37" s="19">
        <f>F37*G37</f>
        <v>18142.399999999998</v>
      </c>
      <c r="I37" s="17">
        <f t="shared" si="0"/>
        <v>2015</v>
      </c>
      <c r="J37" s="17">
        <f t="shared" si="1"/>
        <v>10</v>
      </c>
      <c r="K37" s="17" t="str">
        <f t="shared" si="2"/>
        <v>Octobre</v>
      </c>
    </row>
    <row r="38" spans="1:11">
      <c r="A38" s="17" t="s">
        <v>23</v>
      </c>
      <c r="B38" s="18">
        <v>42246</v>
      </c>
      <c r="C38" s="17" t="s">
        <v>12</v>
      </c>
      <c r="D38" s="17" t="s">
        <v>13</v>
      </c>
      <c r="E38" s="17" t="s">
        <v>18</v>
      </c>
      <c r="F38" s="19">
        <v>3.4</v>
      </c>
      <c r="G38" s="17">
        <v>9165</v>
      </c>
      <c r="H38" s="19">
        <f t="shared" si="4"/>
        <v>31161</v>
      </c>
      <c r="I38" s="17">
        <f t="shared" si="0"/>
        <v>2015</v>
      </c>
      <c r="J38" s="17">
        <f t="shared" si="1"/>
        <v>8</v>
      </c>
      <c r="K38" s="17" t="str">
        <f t="shared" si="2"/>
        <v>Août</v>
      </c>
    </row>
    <row r="39" spans="1:11">
      <c r="A39" s="17" t="s">
        <v>16</v>
      </c>
      <c r="B39" s="18">
        <v>42330</v>
      </c>
      <c r="C39" s="17" t="s">
        <v>20</v>
      </c>
      <c r="D39" s="17" t="s">
        <v>13</v>
      </c>
      <c r="E39" s="17" t="s">
        <v>22</v>
      </c>
      <c r="F39" s="19">
        <v>6</v>
      </c>
      <c r="G39" s="17">
        <v>7700</v>
      </c>
      <c r="H39" s="19">
        <f>F39*G39</f>
        <v>46200</v>
      </c>
      <c r="I39" s="17">
        <f t="shared" si="0"/>
        <v>2015</v>
      </c>
      <c r="J39" s="17">
        <f t="shared" si="1"/>
        <v>11</v>
      </c>
      <c r="K39" s="17" t="str">
        <f t="shared" si="2"/>
        <v>Novembre</v>
      </c>
    </row>
    <row r="40" spans="1:11">
      <c r="A40" s="17" t="s">
        <v>28</v>
      </c>
      <c r="B40" s="18">
        <v>42322</v>
      </c>
      <c r="C40" s="17" t="s">
        <v>24</v>
      </c>
      <c r="D40" s="17" t="s">
        <v>13</v>
      </c>
      <c r="E40" s="17" t="s">
        <v>22</v>
      </c>
      <c r="F40" s="19">
        <v>6</v>
      </c>
      <c r="G40" s="17">
        <v>8407</v>
      </c>
      <c r="H40" s="19">
        <f>F40*G40</f>
        <v>50442</v>
      </c>
      <c r="I40" s="17">
        <f t="shared" si="0"/>
        <v>2015</v>
      </c>
      <c r="J40" s="17">
        <f t="shared" si="1"/>
        <v>11</v>
      </c>
      <c r="K40" s="17" t="str">
        <f t="shared" si="2"/>
        <v>Novembre</v>
      </c>
    </row>
    <row r="41" spans="1:11">
      <c r="A41" s="17" t="s">
        <v>32</v>
      </c>
      <c r="B41" s="18">
        <v>42098</v>
      </c>
      <c r="C41" s="17" t="s">
        <v>24</v>
      </c>
      <c r="D41" s="17" t="s">
        <v>9</v>
      </c>
      <c r="E41" s="17" t="s">
        <v>22</v>
      </c>
      <c r="F41" s="19">
        <v>6</v>
      </c>
      <c r="G41" s="17">
        <v>8489</v>
      </c>
      <c r="H41" s="19">
        <f t="shared" si="4"/>
        <v>50934</v>
      </c>
      <c r="I41" s="17">
        <f t="shared" si="0"/>
        <v>2015</v>
      </c>
      <c r="J41" s="17">
        <f t="shared" si="1"/>
        <v>4</v>
      </c>
      <c r="K41" s="17" t="str">
        <f t="shared" si="2"/>
        <v>Avril</v>
      </c>
    </row>
    <row r="42" spans="1:11">
      <c r="A42" s="17" t="s">
        <v>28</v>
      </c>
      <c r="B42" s="18">
        <v>42252</v>
      </c>
      <c r="C42" s="17" t="s">
        <v>12</v>
      </c>
      <c r="D42" s="17" t="s">
        <v>21</v>
      </c>
      <c r="E42" s="17" t="s">
        <v>22</v>
      </c>
      <c r="F42" s="19">
        <v>6</v>
      </c>
      <c r="G42" s="17">
        <v>9929</v>
      </c>
      <c r="H42" s="19">
        <f t="shared" si="4"/>
        <v>59574</v>
      </c>
      <c r="I42" s="17">
        <f t="shared" si="0"/>
        <v>2015</v>
      </c>
      <c r="J42" s="17">
        <f t="shared" si="1"/>
        <v>9</v>
      </c>
      <c r="K42" s="17" t="str">
        <f t="shared" si="2"/>
        <v>Septembre</v>
      </c>
    </row>
    <row r="43" spans="1:11">
      <c r="A43" s="17" t="s">
        <v>19</v>
      </c>
      <c r="B43" s="18">
        <v>42307</v>
      </c>
      <c r="C43" s="17" t="s">
        <v>8</v>
      </c>
      <c r="D43" s="17" t="s">
        <v>15</v>
      </c>
      <c r="E43" s="17" t="s">
        <v>31</v>
      </c>
      <c r="F43" s="19">
        <v>12</v>
      </c>
      <c r="G43" s="17">
        <v>5463</v>
      </c>
      <c r="H43" s="19">
        <f t="shared" si="4"/>
        <v>65556</v>
      </c>
      <c r="I43" s="17">
        <f t="shared" si="0"/>
        <v>2015</v>
      </c>
      <c r="J43" s="17">
        <f t="shared" si="1"/>
        <v>10</v>
      </c>
      <c r="K43" s="17" t="str">
        <f t="shared" si="2"/>
        <v>Octobre</v>
      </c>
    </row>
    <row r="44" spans="1:11">
      <c r="A44" s="17" t="s">
        <v>23</v>
      </c>
      <c r="B44" s="18">
        <v>42202</v>
      </c>
      <c r="C44" s="17" t="s">
        <v>20</v>
      </c>
      <c r="D44" s="17" t="s">
        <v>13</v>
      </c>
      <c r="E44" s="17" t="s">
        <v>31</v>
      </c>
      <c r="F44" s="19">
        <v>12</v>
      </c>
      <c r="G44" s="17">
        <v>6660</v>
      </c>
      <c r="H44" s="19">
        <f t="shared" si="4"/>
        <v>79920</v>
      </c>
      <c r="I44" s="17">
        <f t="shared" si="0"/>
        <v>2015</v>
      </c>
      <c r="J44" s="17">
        <f t="shared" si="1"/>
        <v>7</v>
      </c>
      <c r="K44" s="17" t="str">
        <f t="shared" si="2"/>
        <v>Juillet</v>
      </c>
    </row>
    <row r="45" spans="1:11">
      <c r="A45" s="17" t="s">
        <v>7</v>
      </c>
      <c r="B45" s="18">
        <v>42514</v>
      </c>
      <c r="C45" s="17" t="s">
        <v>14</v>
      </c>
      <c r="D45" s="17" t="s">
        <v>15</v>
      </c>
      <c r="E45" s="17" t="s">
        <v>31</v>
      </c>
      <c r="F45" s="19">
        <v>12</v>
      </c>
      <c r="G45" s="17">
        <v>7349</v>
      </c>
      <c r="H45" s="19">
        <f t="shared" si="4"/>
        <v>88188</v>
      </c>
      <c r="I45" s="17">
        <f t="shared" si="0"/>
        <v>2016</v>
      </c>
      <c r="J45" s="17">
        <f t="shared" si="1"/>
        <v>5</v>
      </c>
      <c r="K45" s="17" t="str">
        <f t="shared" si="2"/>
        <v>Mai</v>
      </c>
    </row>
    <row r="46" spans="1:11">
      <c r="A46" s="17" t="s">
        <v>30</v>
      </c>
      <c r="B46" s="18">
        <v>42398</v>
      </c>
      <c r="C46" s="17" t="s">
        <v>17</v>
      </c>
      <c r="D46" s="17" t="s">
        <v>21</v>
      </c>
      <c r="E46" s="17" t="s">
        <v>27</v>
      </c>
      <c r="F46" s="19">
        <v>25</v>
      </c>
      <c r="G46" s="17">
        <v>6075</v>
      </c>
      <c r="H46" s="19">
        <f t="shared" si="4"/>
        <v>151875</v>
      </c>
      <c r="I46" s="17">
        <f t="shared" si="0"/>
        <v>2016</v>
      </c>
      <c r="J46" s="17">
        <f t="shared" si="1"/>
        <v>1</v>
      </c>
      <c r="K46" s="17" t="str">
        <f t="shared" si="2"/>
        <v>Janvier</v>
      </c>
    </row>
    <row r="47" spans="1:11">
      <c r="A47" s="17" t="s">
        <v>23</v>
      </c>
      <c r="B47" s="18">
        <v>42477</v>
      </c>
      <c r="C47" s="17" t="s">
        <v>14</v>
      </c>
      <c r="D47" s="17" t="s">
        <v>9</v>
      </c>
      <c r="E47" s="17" t="s">
        <v>27</v>
      </c>
      <c r="F47" s="19">
        <v>25</v>
      </c>
      <c r="G47" s="17">
        <v>6183</v>
      </c>
      <c r="H47" s="19">
        <f t="shared" si="4"/>
        <v>154575</v>
      </c>
      <c r="I47" s="17">
        <f t="shared" si="0"/>
        <v>2016</v>
      </c>
      <c r="J47" s="17">
        <f t="shared" si="1"/>
        <v>4</v>
      </c>
      <c r="K47" s="17" t="str">
        <f t="shared" si="2"/>
        <v>Avril</v>
      </c>
    </row>
    <row r="48" spans="1:11">
      <c r="A48" s="17" t="s">
        <v>19</v>
      </c>
      <c r="B48" s="18">
        <v>42293</v>
      </c>
      <c r="C48" s="17" t="s">
        <v>17</v>
      </c>
      <c r="D48" s="17" t="s">
        <v>9</v>
      </c>
      <c r="E48" s="17" t="s">
        <v>25</v>
      </c>
      <c r="F48" s="19">
        <v>21</v>
      </c>
      <c r="G48" s="17">
        <v>7464</v>
      </c>
      <c r="H48" s="19">
        <f t="shared" si="4"/>
        <v>156744</v>
      </c>
      <c r="I48" s="17">
        <f t="shared" si="0"/>
        <v>2015</v>
      </c>
      <c r="J48" s="17">
        <f t="shared" si="1"/>
        <v>10</v>
      </c>
      <c r="K48" s="17" t="str">
        <f t="shared" si="2"/>
        <v>Octobre</v>
      </c>
    </row>
    <row r="49" spans="1:11">
      <c r="A49" s="17" t="s">
        <v>28</v>
      </c>
      <c r="B49" s="18">
        <v>42430</v>
      </c>
      <c r="C49" s="17" t="s">
        <v>12</v>
      </c>
      <c r="D49" s="17" t="s">
        <v>15</v>
      </c>
      <c r="E49" s="17" t="s">
        <v>27</v>
      </c>
      <c r="F49" s="19">
        <v>25</v>
      </c>
      <c r="G49" s="17">
        <v>6523</v>
      </c>
      <c r="H49" s="19">
        <f t="shared" si="4"/>
        <v>163075</v>
      </c>
      <c r="I49" s="17">
        <f t="shared" si="0"/>
        <v>2016</v>
      </c>
      <c r="J49" s="17">
        <f t="shared" si="1"/>
        <v>3</v>
      </c>
      <c r="K49" s="17" t="str">
        <f t="shared" si="2"/>
        <v>Mars</v>
      </c>
    </row>
    <row r="50" spans="1:11">
      <c r="A50" s="17" t="s">
        <v>28</v>
      </c>
      <c r="B50" s="18">
        <v>42013</v>
      </c>
      <c r="C50" s="17" t="s">
        <v>17</v>
      </c>
      <c r="D50" s="17" t="s">
        <v>15</v>
      </c>
      <c r="E50" s="17" t="s">
        <v>25</v>
      </c>
      <c r="F50" s="19">
        <v>21</v>
      </c>
      <c r="G50" s="17">
        <v>9201</v>
      </c>
      <c r="H50" s="19">
        <f t="shared" si="4"/>
        <v>193221</v>
      </c>
      <c r="I50" s="17">
        <f t="shared" si="0"/>
        <v>2015</v>
      </c>
      <c r="J50" s="17">
        <f t="shared" si="1"/>
        <v>1</v>
      </c>
      <c r="K50" s="17" t="str">
        <f t="shared" si="2"/>
        <v>Janvier</v>
      </c>
    </row>
  </sheetData>
  <printOptions gridLines="1" gridLinesSet="0"/>
  <pageMargins left="0.78740157499999996" right="0.78740157499999996" top="0.984251969" bottom="0.984251969" header="0.4921259845" footer="0.4921259845"/>
  <pageSetup paperSize="9" orientation="portrait" horizontalDpi="4294967292" verticalDpi="360" r:id="rId1"/>
  <headerFooter alignWithMargins="0">
    <oddHeader>&amp;A</oddHeader>
    <oddFooter>Page &amp;P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F3" sqref="F3:G3"/>
    </sheetView>
  </sheetViews>
  <sheetFormatPr baseColWidth="10" defaultColWidth="11.42578125" defaultRowHeight="12.75"/>
  <cols>
    <col min="1" max="1" width="29.28515625" style="2" customWidth="1"/>
    <col min="2" max="2" width="19.140625" style="2" customWidth="1"/>
    <col min="3" max="3" width="29.28515625" style="2" customWidth="1"/>
    <col min="4" max="4" width="45.42578125" style="3" customWidth="1"/>
    <col min="5" max="5" width="11.42578125" style="3"/>
    <col min="6" max="7" width="13.5703125" style="3" customWidth="1"/>
    <col min="8" max="16384" width="11.42578125" style="3"/>
  </cols>
  <sheetData>
    <row r="1" spans="1:7" ht="13.5" thickBot="1">
      <c r="F1" s="11"/>
      <c r="G1" s="11"/>
    </row>
    <row r="2" spans="1:7" ht="16.5" thickBot="1">
      <c r="A2" s="12" t="s">
        <v>34</v>
      </c>
      <c r="B2" s="13"/>
      <c r="C2" s="13"/>
      <c r="D2" s="14"/>
    </row>
    <row r="3" spans="1:7">
      <c r="A3" s="4" t="s">
        <v>35</v>
      </c>
      <c r="B3" s="5" t="s">
        <v>36</v>
      </c>
      <c r="C3" s="5"/>
      <c r="D3" s="6"/>
      <c r="F3" s="11" t="s">
        <v>37</v>
      </c>
      <c r="G3" s="11"/>
    </row>
    <row r="4" spans="1:7">
      <c r="A4" s="7"/>
      <c r="B4" s="5"/>
      <c r="C4" s="5" t="s">
        <v>38</v>
      </c>
      <c r="D4" s="6"/>
    </row>
    <row r="5" spans="1:7">
      <c r="A5" s="7"/>
      <c r="B5" s="5"/>
      <c r="C5" s="5" t="s">
        <v>39</v>
      </c>
      <c r="D5" s="6"/>
    </row>
    <row r="6" spans="1:7" ht="13.5" thickBot="1">
      <c r="A6" s="8"/>
      <c r="B6" s="9"/>
      <c r="C6" s="9"/>
      <c r="D6" s="10"/>
    </row>
    <row r="7" spans="1:7">
      <c r="A7" s="4" t="s">
        <v>40</v>
      </c>
      <c r="B7" s="5" t="s">
        <v>41</v>
      </c>
      <c r="C7" s="5"/>
      <c r="D7" s="6"/>
    </row>
    <row r="8" spans="1:7">
      <c r="A8" s="7"/>
      <c r="B8" s="5"/>
      <c r="C8" s="5" t="s">
        <v>42</v>
      </c>
      <c r="D8" s="6"/>
    </row>
    <row r="9" spans="1:7">
      <c r="A9" s="7"/>
      <c r="B9" s="5"/>
      <c r="C9" s="5" t="s">
        <v>43</v>
      </c>
      <c r="D9" s="6"/>
    </row>
    <row r="10" spans="1:7">
      <c r="A10" s="7"/>
      <c r="B10" s="5"/>
      <c r="C10" s="5"/>
      <c r="D10" s="6"/>
    </row>
    <row r="11" spans="1:7" ht="13.5" thickBot="1">
      <c r="A11" s="8"/>
      <c r="B11" s="9"/>
      <c r="C11" s="9"/>
      <c r="D11" s="10"/>
    </row>
    <row r="12" spans="1:7">
      <c r="A12" s="4" t="s">
        <v>44</v>
      </c>
      <c r="B12" s="5" t="s">
        <v>45</v>
      </c>
      <c r="C12" s="5"/>
      <c r="D12" s="6"/>
    </row>
    <row r="13" spans="1:7">
      <c r="A13" s="7"/>
      <c r="B13" s="5"/>
      <c r="C13" s="5" t="s">
        <v>46</v>
      </c>
      <c r="D13" s="6"/>
    </row>
    <row r="14" spans="1:7">
      <c r="A14" s="7"/>
      <c r="B14" s="5"/>
      <c r="C14" s="5" t="s">
        <v>47</v>
      </c>
      <c r="D14" s="6"/>
    </row>
    <row r="15" spans="1:7">
      <c r="A15" s="7"/>
      <c r="B15" s="5"/>
      <c r="C15" s="5" t="s">
        <v>48</v>
      </c>
      <c r="D15" s="6"/>
    </row>
    <row r="16" spans="1:7">
      <c r="A16" s="7"/>
      <c r="B16" s="5"/>
      <c r="C16" s="5" t="s">
        <v>49</v>
      </c>
      <c r="D16" s="6"/>
    </row>
    <row r="17" spans="1:4">
      <c r="A17" s="7"/>
      <c r="B17" s="5"/>
      <c r="C17" s="5"/>
      <c r="D17" s="6"/>
    </row>
    <row r="18" spans="1:4" ht="13.5" thickBot="1">
      <c r="A18" s="8"/>
      <c r="B18" s="9"/>
      <c r="C18" s="9"/>
      <c r="D18" s="10"/>
    </row>
    <row r="19" spans="1:4">
      <c r="A19" s="4" t="s">
        <v>50</v>
      </c>
      <c r="B19" s="5" t="s">
        <v>51</v>
      </c>
      <c r="C19" s="5"/>
      <c r="D19" s="6" t="s">
        <v>52</v>
      </c>
    </row>
    <row r="20" spans="1:4">
      <c r="A20" s="7"/>
      <c r="B20" s="5"/>
      <c r="C20" s="5" t="s">
        <v>53</v>
      </c>
      <c r="D20" s="6"/>
    </row>
    <row r="21" spans="1:4">
      <c r="A21" s="7"/>
      <c r="B21" s="5"/>
      <c r="C21" s="5" t="s">
        <v>39</v>
      </c>
      <c r="D21" s="6"/>
    </row>
    <row r="22" spans="1:4">
      <c r="A22" s="7"/>
      <c r="B22" s="5"/>
      <c r="C22" s="5" t="s">
        <v>57</v>
      </c>
      <c r="D22" s="6"/>
    </row>
    <row r="23" spans="1:4" ht="13.5" thickBot="1">
      <c r="A23" s="8"/>
      <c r="B23" s="9"/>
      <c r="C23" s="9"/>
      <c r="D23" s="10"/>
    </row>
    <row r="24" spans="1:4">
      <c r="A24" s="4" t="s">
        <v>54</v>
      </c>
      <c r="B24" s="5" t="s">
        <v>55</v>
      </c>
      <c r="C24" s="5"/>
      <c r="D24" s="6"/>
    </row>
    <row r="25" spans="1:4">
      <c r="A25" s="7"/>
      <c r="B25" s="5"/>
      <c r="C25" s="5" t="s">
        <v>53</v>
      </c>
      <c r="D25" s="6"/>
    </row>
    <row r="26" spans="1:4">
      <c r="A26" s="7"/>
      <c r="B26" s="5"/>
      <c r="C26" s="5" t="s">
        <v>39</v>
      </c>
      <c r="D26" s="6"/>
    </row>
    <row r="27" spans="1:4">
      <c r="A27" s="7"/>
      <c r="B27" s="5"/>
      <c r="C27" s="5" t="s">
        <v>56</v>
      </c>
      <c r="D27" s="6"/>
    </row>
    <row r="28" spans="1:4" ht="13.5" thickBot="1">
      <c r="A28" s="8"/>
      <c r="B28" s="9"/>
      <c r="C28" s="9"/>
      <c r="D28" s="10"/>
    </row>
  </sheetData>
  <mergeCells count="3">
    <mergeCell ref="F1:G1"/>
    <mergeCell ref="A2:D2"/>
    <mergeCell ref="F3:G3"/>
  </mergeCells>
  <hyperlinks>
    <hyperlink ref="F3:G3" location="'bdd commandes'!A1" display="RETOUR BBD COMMAND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</vt:i4>
      </vt:variant>
    </vt:vector>
  </HeadingPairs>
  <TitlesOfParts>
    <vt:vector size="7" baseType="lpstr">
      <vt:lpstr>TCD</vt:lpstr>
      <vt:lpstr>TCD2</vt:lpstr>
      <vt:lpstr>TCD3</vt:lpstr>
      <vt:lpstr>TCD4</vt:lpstr>
      <vt:lpstr>bdd commandes</vt:lpstr>
      <vt:lpstr>TCD Commandes</vt:lpstr>
      <vt:lpstr>'bdd commandes'!Criteres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Sieffert sandrine</dc:creator>
  <cp:lastModifiedBy>Sandrine</cp:lastModifiedBy>
  <dcterms:created xsi:type="dcterms:W3CDTF">2013-06-20T13:08:56Z</dcterms:created>
  <dcterms:modified xsi:type="dcterms:W3CDTF">2018-09-26T12:41:55Z</dcterms:modified>
</cp:coreProperties>
</file>