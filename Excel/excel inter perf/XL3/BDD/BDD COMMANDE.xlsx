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XL3\BDD\"/>
    </mc:Choice>
  </mc:AlternateContent>
  <bookViews>
    <workbookView xWindow="480" yWindow="80" windowWidth="17520" windowHeight="6990" tabRatio="714"/>
  </bookViews>
  <sheets>
    <sheet name="bdd commandes" sheetId="1" r:id="rId1"/>
    <sheet name="TCD Commandes" sheetId="2" state="hidden" r:id="rId2"/>
  </sheets>
  <externalReferences>
    <externalReference r:id="rId3"/>
  </externalReferences>
  <definedNames>
    <definedName name="_xlnm._FilterDatabase" localSheetId="0" hidden="1">'bdd commandes'!$A$1:$H$50</definedName>
    <definedName name="CNE">'[1]ID ETUDIANT (2)'!$A$1:$E$5</definedName>
    <definedName name="_xlnm.Criteria" localSheetId="0">'bdd commandes'!$I$16:$I$17</definedName>
    <definedName name="cursource" hidden="1">#N/A</definedName>
    <definedName name="DATA">[1]BDLIRE!$A$3:$C$8</definedName>
    <definedName name="int_ext_sel" hidden="1">1</definedName>
    <definedName name="NOTE">'[1]NOTES (2)'!$A$1:$H$5</definedName>
  </definedNames>
  <calcPr calcId="152511"/>
</workbook>
</file>

<file path=xl/calcChain.xml><?xml version="1.0" encoding="utf-8"?>
<calcChain xmlns="http://schemas.openxmlformats.org/spreadsheetml/2006/main">
  <c r="H50" i="1" l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<sst xmlns="http://schemas.openxmlformats.org/spreadsheetml/2006/main" count="231" uniqueCount="59">
  <si>
    <t>DATE</t>
  </si>
  <si>
    <t>CLIENT</t>
  </si>
  <si>
    <t>SECTEUR</t>
  </si>
  <si>
    <t>PRODUIT</t>
  </si>
  <si>
    <t>PRIX</t>
  </si>
  <si>
    <t>QUANTITE</t>
  </si>
  <si>
    <t>MONTANT</t>
  </si>
  <si>
    <t>Martin</t>
  </si>
  <si>
    <t>Florus</t>
  </si>
  <si>
    <t>Centre</t>
  </si>
  <si>
    <t>Stylos</t>
  </si>
  <si>
    <t>Dupond</t>
  </si>
  <si>
    <t>Muse SA</t>
  </si>
  <si>
    <t>Nord</t>
  </si>
  <si>
    <t>Ifrane</t>
  </si>
  <si>
    <t>Ouest</t>
  </si>
  <si>
    <t>Dupuis</t>
  </si>
  <si>
    <t>Plein-nord</t>
  </si>
  <si>
    <t>Porte-clés</t>
  </si>
  <si>
    <t>Leveque</t>
  </si>
  <si>
    <t>Pubcité</t>
  </si>
  <si>
    <t>Sud</t>
  </si>
  <si>
    <t>Casquettes</t>
  </si>
  <si>
    <t>Balliard</t>
  </si>
  <si>
    <t>Nimbus</t>
  </si>
  <si>
    <t>Calculatrices</t>
  </si>
  <si>
    <t>Ball</t>
  </si>
  <si>
    <t>Montres</t>
  </si>
  <si>
    <t>Marrou</t>
  </si>
  <si>
    <t>Tardi</t>
  </si>
  <si>
    <t>Mar</t>
  </si>
  <si>
    <t>Calendriers</t>
  </si>
  <si>
    <t>Pellieux</t>
  </si>
  <si>
    <t>sieffert</t>
  </si>
  <si>
    <t>TCD A REALISER</t>
  </si>
  <si>
    <t>TCD 1</t>
  </si>
  <si>
    <t>PAR VENDEURS</t>
  </si>
  <si>
    <t>RETOUR BBD COMMANDE</t>
  </si>
  <si>
    <t>Somme des montants</t>
  </si>
  <si>
    <t>Nb de ventes</t>
  </si>
  <si>
    <t>TCD 2</t>
  </si>
  <si>
    <t>PAR SECTEUR</t>
  </si>
  <si>
    <t>Moyenne des ventes</t>
  </si>
  <si>
    <t>Quantité MAXI</t>
  </si>
  <si>
    <t>TCD 3</t>
  </si>
  <si>
    <t>PAR PRODUIT</t>
  </si>
  <si>
    <t>Somme des montant</t>
  </si>
  <si>
    <t>Montant Maxi</t>
  </si>
  <si>
    <t>Montant Mini</t>
  </si>
  <si>
    <t>Part du total en %</t>
  </si>
  <si>
    <t>TCD 4</t>
  </si>
  <si>
    <t>PAR ANNEE ET PAR MOIS</t>
  </si>
  <si>
    <t>Mettre l'année en Filtre</t>
  </si>
  <si>
    <t>Somme des ventes</t>
  </si>
  <si>
    <t>TCD 6</t>
  </si>
  <si>
    <t>PAR CLIENT ET PRODUITS</t>
  </si>
  <si>
    <t>Afficher la marge de 20% des ventes (utiliser le champ calculé)</t>
  </si>
  <si>
    <t>par vendeur Calculer leur prime (2% des ventes par mois) (utiliser le champ calculer)</t>
  </si>
  <si>
    <t>VENDEURS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</si>
</sst>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\ [$€]_-;\-* #,##0.00\ [$€]_-;_-* &quot;-&quot;??\ [$€]_-;_-@_-"/>
    <numFmt numFmtId="165" formatCode="_-* #,##0.00\ _F_-;\-* #,##0.00\ _F_-;_-* &quot;-&quot;??\ _F_-;_-@_-"/>
    <numFmt numFmtId="166" formatCode="_-* #,##0.00\ &quot;F&quot;_-;\-* #,##0.00\ &quot;F&quot;_-;_-* &quot;-&quot;??\ &quot;F&quot;_-;_-@_-"/>
    <numFmt numFmtId="167" formatCode="_ * #,##0.00_)\ &quot;$&quot;_ ;_ * \(#,##0.00\)\ &quot;$&quot;_ ;_ * &quot;-&quot;??_)\ &quot;$&quot;_ ;_ @_ "/>
    <numFmt numFmtId="168" formatCode="0.0%"/>
  </numFmts>
  <fonts count="18">
    <font>
      <sz val="10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color indexed="8"/>
      <name val="Calibri"/>
      <family val="2"/>
    </font>
    <font>
      <b/>
      <sz val="11"/>
      <color indexed="18"/>
      <name val="Vagabond"/>
    </font>
    <font>
      <sz val="11"/>
      <color rgb="FF006100"/>
      <name val="Arial"/>
      <family val="2"/>
    </font>
    <font>
      <b/>
      <i/>
      <sz val="9"/>
      <color indexed="9"/>
      <name val="Courier"/>
      <family val="3"/>
    </font>
    <font>
      <b/>
      <sz val="14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</patternFill>
    </fill>
    <fill>
      <patternFill patternType="solid">
        <fgColor indexed="18"/>
      </patternFill>
    </fill>
    <fill>
      <patternFill patternType="solid">
        <fgColor indexed="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theme="6"/>
      </patternFill>
    </fill>
  </fills>
  <borders count="21">
    <border>
      <left/>
      <right/>
      <top/>
      <bottom/>
      <diagonal/>
    </border>
    <border>
      <left style="thick">
        <color indexed="16"/>
      </left>
      <right style="medium">
        <color indexed="64"/>
      </right>
      <top/>
      <bottom style="medium">
        <color indexed="64"/>
      </bottom>
      <diagonal/>
    </border>
    <border>
      <left style="double">
        <color theme="4"/>
      </left>
      <right style="double">
        <color theme="4"/>
      </right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ck">
        <color indexed="16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medium">
        <color theme="4"/>
      </top>
      <bottom/>
      <diagonal/>
    </border>
    <border>
      <left style="thin">
        <color theme="4"/>
      </left>
      <right style="thin">
        <color theme="4"/>
      </right>
      <top style="medium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41">
    <xf numFmtId="0" fontId="0" fillId="0" borderId="0"/>
    <xf numFmtId="0" fontId="4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4" fillId="0" borderId="0" applyFont="0" applyFill="0" applyBorder="0" applyAlignment="0" applyProtection="0"/>
    <xf numFmtId="0" fontId="1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8" fillId="0" borderId="0"/>
    <xf numFmtId="0" fontId="9" fillId="8" borderId="1"/>
    <xf numFmtId="41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2" borderId="0" applyNumberFormat="0" applyBorder="0" applyAlignment="0" applyProtection="0"/>
    <xf numFmtId="0" fontId="4" fillId="0" borderId="0"/>
    <xf numFmtId="0" fontId="2" fillId="0" borderId="2"/>
    <xf numFmtId="0" fontId="4" fillId="0" borderId="3"/>
    <xf numFmtId="168" fontId="9" fillId="8" borderId="4">
      <alignment horizontal="center"/>
    </xf>
    <xf numFmtId="0" fontId="11" fillId="9" borderId="5">
      <alignment horizontal="center"/>
    </xf>
    <xf numFmtId="0" fontId="12" fillId="10" borderId="0"/>
    <xf numFmtId="0" fontId="13" fillId="0" borderId="0">
      <alignment horizontal="center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6"/>
  </cellStyleXfs>
  <cellXfs count="29">
    <xf numFmtId="0" fontId="0" fillId="0" borderId="0" xfId="0"/>
    <xf numFmtId="0" fontId="4" fillId="0" borderId="0" xfId="1"/>
    <xf numFmtId="0" fontId="4" fillId="11" borderId="0" xfId="1" applyFill="1"/>
    <xf numFmtId="0" fontId="0" fillId="11" borderId="0" xfId="0" applyFill="1"/>
    <xf numFmtId="0" fontId="15" fillId="11" borderId="10" xfId="1" applyFont="1" applyFill="1" applyBorder="1" applyAlignment="1">
      <alignment horizontal="right"/>
    </xf>
    <xf numFmtId="0" fontId="4" fillId="11" borderId="0" xfId="1" applyFill="1" applyBorder="1"/>
    <xf numFmtId="0" fontId="0" fillId="11" borderId="11" xfId="0" applyFill="1" applyBorder="1"/>
    <xf numFmtId="0" fontId="4" fillId="11" borderId="10" xfId="1" applyFill="1" applyBorder="1" applyAlignment="1">
      <alignment horizontal="right"/>
    </xf>
    <xf numFmtId="0" fontId="4" fillId="11" borderId="12" xfId="1" applyFill="1" applyBorder="1" applyAlignment="1">
      <alignment horizontal="right"/>
    </xf>
    <xf numFmtId="0" fontId="4" fillId="11" borderId="13" xfId="1" applyFill="1" applyBorder="1"/>
    <xf numFmtId="0" fontId="0" fillId="11" borderId="14" xfId="0" applyFill="1" applyBorder="1"/>
    <xf numFmtId="0" fontId="16" fillId="13" borderId="15" xfId="1" applyNumberFormat="1" applyFont="1" applyFill="1" applyBorder="1" applyAlignment="1">
      <alignment horizontal="center"/>
    </xf>
    <xf numFmtId="0" fontId="16" fillId="13" borderId="16" xfId="1" applyNumberFormat="1" applyFont="1" applyFill="1" applyBorder="1" applyAlignment="1">
      <alignment horizontal="center"/>
    </xf>
    <xf numFmtId="0" fontId="17" fillId="0" borderId="17" xfId="1" applyNumberFormat="1" applyFont="1" applyBorder="1" applyAlignment="1"/>
    <xf numFmtId="14" fontId="17" fillId="0" borderId="17" xfId="1" applyNumberFormat="1" applyFont="1" applyBorder="1" applyAlignment="1"/>
    <xf numFmtId="164" fontId="17" fillId="0" borderId="17" xfId="3" applyNumberFormat="1" applyFont="1" applyBorder="1"/>
    <xf numFmtId="164" fontId="17" fillId="0" borderId="18" xfId="3" applyNumberFormat="1" applyFont="1" applyBorder="1"/>
    <xf numFmtId="0" fontId="17" fillId="0" borderId="15" xfId="1" applyNumberFormat="1" applyFont="1" applyBorder="1" applyAlignment="1"/>
    <xf numFmtId="14" fontId="17" fillId="0" borderId="15" xfId="1" applyNumberFormat="1" applyFont="1" applyBorder="1" applyAlignment="1"/>
    <xf numFmtId="164" fontId="17" fillId="0" borderId="15" xfId="3" applyNumberFormat="1" applyFont="1" applyBorder="1"/>
    <xf numFmtId="164" fontId="17" fillId="0" borderId="16" xfId="3" applyNumberFormat="1" applyFont="1" applyBorder="1"/>
    <xf numFmtId="0" fontId="17" fillId="0" borderId="19" xfId="1" applyNumberFormat="1" applyFont="1" applyBorder="1" applyAlignment="1"/>
    <xf numFmtId="14" fontId="17" fillId="0" borderId="19" xfId="1" applyNumberFormat="1" applyFont="1" applyBorder="1" applyAlignment="1"/>
    <xf numFmtId="164" fontId="17" fillId="0" borderId="19" xfId="3" applyNumberFormat="1" applyFont="1" applyBorder="1"/>
    <xf numFmtId="164" fontId="17" fillId="0" borderId="20" xfId="3" applyNumberFormat="1" applyFont="1" applyBorder="1"/>
    <xf numFmtId="0" fontId="5" fillId="7" borderId="0" xfId="2" applyFill="1" applyAlignment="1" applyProtection="1">
      <alignment horizontal="center"/>
    </xf>
    <xf numFmtId="0" fontId="14" fillId="12" borderId="7" xfId="1" applyFont="1" applyFill="1" applyBorder="1" applyAlignment="1">
      <alignment horizontal="center"/>
    </xf>
    <xf numFmtId="0" fontId="14" fillId="12" borderId="8" xfId="1" applyFont="1" applyFill="1" applyBorder="1" applyAlignment="1">
      <alignment horizontal="center"/>
    </xf>
    <xf numFmtId="0" fontId="14" fillId="12" borderId="9" xfId="1" applyFont="1" applyFill="1" applyBorder="1" applyAlignment="1">
      <alignment horizontal="center"/>
    </xf>
  </cellXfs>
  <cellStyles count="41">
    <cellStyle name="20 % - Accent1 2" xfId="4"/>
    <cellStyle name="Accent1 2" xfId="5"/>
    <cellStyle name="Accent2 2" xfId="6"/>
    <cellStyle name="Accent3 2" xfId="7"/>
    <cellStyle name="Dezimal [0]" xfId="8"/>
    <cellStyle name="Dezimal_Tabelle1" xfId="9"/>
    <cellStyle name="Euro" xfId="10"/>
    <cellStyle name="Euro 2" xfId="3"/>
    <cellStyle name="Euro 3" xfId="11"/>
    <cellStyle name="Excel Built-in Normal" xfId="12"/>
    <cellStyle name="Lien hypertexte" xfId="2" builtinId="8"/>
    <cellStyle name="ligne" xfId="13"/>
    <cellStyle name="Milliers [0] 2" xfId="14"/>
    <cellStyle name="Milliers 2" xfId="15"/>
    <cellStyle name="Milliers 3" xfId="16"/>
    <cellStyle name="Milliers 4" xfId="17"/>
    <cellStyle name="Monétaire 2" xfId="18"/>
    <cellStyle name="Monétaire 2 2" xfId="19"/>
    <cellStyle name="Monétaire 3" xfId="20"/>
    <cellStyle name="Monétaire 4" xfId="21"/>
    <cellStyle name="Normal" xfId="0" builtinId="0"/>
    <cellStyle name="Normal 2" xfId="1"/>
    <cellStyle name="Normal 3" xfId="22"/>
    <cellStyle name="Normal 4" xfId="23"/>
    <cellStyle name="Normal 5" xfId="24"/>
    <cellStyle name="Normal 6" xfId="25"/>
    <cellStyle name="Normal 7" xfId="26"/>
    <cellStyle name="Pourcentage 2" xfId="27"/>
    <cellStyle name="Pourcentage 3" xfId="28"/>
    <cellStyle name="Pourcentage 4" xfId="29"/>
    <cellStyle name="Satisfaisant 2" xfId="30"/>
    <cellStyle name="Standard_Tabelle1" xfId="31"/>
    <cellStyle name="Style 1" xfId="32"/>
    <cellStyle name="Summen" xfId="33"/>
    <cellStyle name="table" xfId="34"/>
    <cellStyle name="TITCOL" xfId="35"/>
    <cellStyle name="Titel" xfId="36"/>
    <cellStyle name="Untertitel" xfId="37"/>
    <cellStyle name="Währung [0]" xfId="38"/>
    <cellStyle name="Währung_Tabelle1" xfId="39"/>
    <cellStyle name="Zwischensummen" xfId="4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O%20DOLFI%20AVAN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YENNE MAX MIN RANG"/>
      <sheetName val="Liste Adhérents"/>
      <sheetName val="SOUS TOTAUX"/>
      <sheetName val="SI ET OU"/>
      <sheetName val="si - nb - nb val"/>
      <sheetName val="DOUBLONS"/>
      <sheetName val="CALCUL AVEC DATE"/>
      <sheetName val="consolider"/>
      <sheetName val="tcd"/>
      <sheetName val="tcd1"/>
      <sheetName val="TCD2"/>
      <sheetName val="tcd logiciels"/>
      <sheetName val="SI NBVAL"/>
      <sheetName val="nbvide"/>
      <sheetName val="SOMME SI"/>
      <sheetName val="FRAIS SOMME SI"/>
      <sheetName val="NBSI"/>
      <sheetName val="NB SI ENS ET SOMME SI ENS"/>
      <sheetName val="CONCATENER"/>
      <sheetName val="CONCATENER STXT"/>
      <sheetName val="GAUCHE ET NOM PROPRE"/>
      <sheetName val="liste déroulante"/>
      <sheetName val="recherche v"/>
      <sheetName val="RECHERCHEV OU H (2)"/>
      <sheetName val="FORMULAIRE (2)"/>
      <sheetName val="ID ETUDIANT (2)"/>
      <sheetName val="NOTES (2)"/>
      <sheetName val="les plans"/>
      <sheetName val="V CIBLE PRIX VENTE"/>
      <sheetName val="valeur cible SALAIRE"/>
      <sheetName val="POURCENTAGE JOURS PLUIE"/>
      <sheetName val="BDLIRE"/>
      <sheetName val="MAILLOTS DOLLAR"/>
      <sheetName val="dispach de montant"/>
      <sheetName val="planning vacances"/>
      <sheetName val="Fonction Date"/>
      <sheetName val="EST"/>
      <sheetName val="NORD"/>
      <sheetName val="SUD"/>
      <sheetName val="CENT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1">
          <cell r="A1" t="str">
            <v>CNE</v>
          </cell>
          <cell r="B1" t="str">
            <v>N°</v>
          </cell>
          <cell r="C1" t="str">
            <v>NOM/PRENOM</v>
          </cell>
          <cell r="D1" t="str">
            <v>DATE NAISSANCE</v>
          </cell>
          <cell r="E1" t="str">
            <v>VILLE</v>
          </cell>
        </row>
        <row r="2">
          <cell r="A2">
            <v>421001</v>
          </cell>
          <cell r="B2">
            <v>1</v>
          </cell>
          <cell r="C2" t="str">
            <v>SARKOSY Nicolas</v>
          </cell>
          <cell r="D2">
            <v>35348</v>
          </cell>
          <cell r="E2" t="str">
            <v>PARIS</v>
          </cell>
        </row>
        <row r="3">
          <cell r="A3">
            <v>421102</v>
          </cell>
          <cell r="B3">
            <v>2</v>
          </cell>
          <cell r="C3" t="str">
            <v>POTTER Harry</v>
          </cell>
          <cell r="D3">
            <v>35232</v>
          </cell>
          <cell r="E3" t="str">
            <v>LONDRES</v>
          </cell>
        </row>
        <row r="4">
          <cell r="A4">
            <v>421503</v>
          </cell>
          <cell r="B4">
            <v>3</v>
          </cell>
          <cell r="C4" t="str">
            <v>JACKSON Michael</v>
          </cell>
          <cell r="D4">
            <v>34897</v>
          </cell>
          <cell r="E4" t="str">
            <v>NEW YORK</v>
          </cell>
        </row>
        <row r="5">
          <cell r="A5">
            <v>421507</v>
          </cell>
          <cell r="B5">
            <v>4</v>
          </cell>
          <cell r="C5" t="str">
            <v>SUMMER Donna</v>
          </cell>
          <cell r="D5">
            <v>34843</v>
          </cell>
          <cell r="E5" t="str">
            <v>LOS ANGELES</v>
          </cell>
        </row>
      </sheetData>
      <sheetData sheetId="26">
        <row r="1">
          <cell r="A1" t="str">
            <v>CNE</v>
          </cell>
          <cell r="B1" t="str">
            <v>NOM/PRENOM</v>
          </cell>
          <cell r="C1" t="str">
            <v>MATH</v>
          </cell>
          <cell r="D1" t="str">
            <v>Français</v>
          </cell>
          <cell r="E1" t="str">
            <v>GEO</v>
          </cell>
          <cell r="F1" t="str">
            <v>ANGLAIS</v>
          </cell>
          <cell r="G1" t="str">
            <v>EPS</v>
          </cell>
          <cell r="H1" t="str">
            <v>BONUS</v>
          </cell>
        </row>
        <row r="2">
          <cell r="A2">
            <v>421001</v>
          </cell>
          <cell r="B2" t="str">
            <v>SARKOSY Nicolas</v>
          </cell>
          <cell r="C2">
            <v>20</v>
          </cell>
          <cell r="D2">
            <v>2</v>
          </cell>
          <cell r="E2">
            <v>14</v>
          </cell>
          <cell r="F2">
            <v>10</v>
          </cell>
          <cell r="G2">
            <v>12</v>
          </cell>
          <cell r="H2">
            <v>2</v>
          </cell>
        </row>
        <row r="3">
          <cell r="A3">
            <v>421102</v>
          </cell>
          <cell r="B3" t="str">
            <v>POTTER Harry</v>
          </cell>
          <cell r="C3">
            <v>10</v>
          </cell>
          <cell r="D3">
            <v>9</v>
          </cell>
          <cell r="E3">
            <v>5</v>
          </cell>
          <cell r="F3">
            <v>8</v>
          </cell>
          <cell r="G3">
            <v>14</v>
          </cell>
          <cell r="H3">
            <v>3</v>
          </cell>
        </row>
        <row r="4">
          <cell r="A4">
            <v>421503</v>
          </cell>
          <cell r="B4" t="str">
            <v>JACKSON Michael</v>
          </cell>
          <cell r="C4">
            <v>5</v>
          </cell>
          <cell r="D4">
            <v>10</v>
          </cell>
          <cell r="E4">
            <v>11</v>
          </cell>
          <cell r="F4">
            <v>12</v>
          </cell>
          <cell r="G4">
            <v>13</v>
          </cell>
          <cell r="H4">
            <v>2</v>
          </cell>
        </row>
        <row r="5">
          <cell r="A5">
            <v>421507</v>
          </cell>
          <cell r="B5" t="str">
            <v>SUMMER Donna</v>
          </cell>
          <cell r="C5">
            <v>11</v>
          </cell>
          <cell r="D5">
            <v>9</v>
          </cell>
          <cell r="E5">
            <v>8</v>
          </cell>
          <cell r="F5">
            <v>14</v>
          </cell>
          <cell r="G5">
            <v>15</v>
          </cell>
          <cell r="H5">
            <v>3</v>
          </cell>
        </row>
      </sheetData>
      <sheetData sheetId="27"/>
      <sheetData sheetId="28"/>
      <sheetData sheetId="29"/>
      <sheetData sheetId="30"/>
      <sheetData sheetId="31">
        <row r="3">
          <cell r="A3" t="str">
            <v>NOM</v>
          </cell>
          <cell r="B3" t="str">
            <v>PRENOM</v>
          </cell>
          <cell r="C3" t="str">
            <v>VILLE</v>
          </cell>
        </row>
        <row r="4">
          <cell r="A4" t="str">
            <v>JACKSON</v>
          </cell>
          <cell r="B4" t="str">
            <v>MICHAEL</v>
          </cell>
          <cell r="C4" t="str">
            <v>NEW YORK</v>
          </cell>
        </row>
        <row r="5">
          <cell r="A5" t="str">
            <v>SARKOSI</v>
          </cell>
          <cell r="B5" t="str">
            <v>NICOLAS</v>
          </cell>
          <cell r="C5" t="str">
            <v>PARIS</v>
          </cell>
        </row>
        <row r="6">
          <cell r="A6" t="str">
            <v>DUPONT</v>
          </cell>
          <cell r="B6" t="str">
            <v>JEAN</v>
          </cell>
          <cell r="C6" t="str">
            <v>LYON</v>
          </cell>
        </row>
        <row r="7">
          <cell r="A7" t="str">
            <v>HILTON</v>
          </cell>
          <cell r="B7" t="str">
            <v>PARIS</v>
          </cell>
          <cell r="C7" t="str">
            <v>MEXICO</v>
          </cell>
        </row>
        <row r="8">
          <cell r="A8" t="str">
            <v>BARBE</v>
          </cell>
          <cell r="B8" t="str">
            <v>GISELE</v>
          </cell>
          <cell r="C8" t="str">
            <v>PARIS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Thème Office">
  <a:themeElements>
    <a:clrScheme name="Rouge orange">
      <a:dk1>
        <a:sysClr val="windowText" lastClr="000000"/>
      </a:dk1>
      <a:lt1>
        <a:sysClr val="window" lastClr="FFFFFF"/>
      </a:lt1>
      <a:dk2>
        <a:srgbClr val="505046"/>
      </a:dk2>
      <a:lt2>
        <a:srgbClr val="EEECE1"/>
      </a:lt2>
      <a:accent1>
        <a:srgbClr val="E84C22"/>
      </a:accent1>
      <a:accent2>
        <a:srgbClr val="FFBD47"/>
      </a:accent2>
      <a:accent3>
        <a:srgbClr val="B64926"/>
      </a:accent3>
      <a:accent4>
        <a:srgbClr val="FF8427"/>
      </a:accent4>
      <a:accent5>
        <a:srgbClr val="CC9900"/>
      </a:accent5>
      <a:accent6>
        <a:srgbClr val="B22600"/>
      </a:accent6>
      <a:hlink>
        <a:srgbClr val="CC9900"/>
      </a:hlink>
      <a:folHlink>
        <a:srgbClr val="666699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I50"/>
  <sheetViews>
    <sheetView tabSelected="1" zoomScale="85" zoomScaleNormal="85" workbookViewId="0">
      <selection activeCell="A2" sqref="A2"/>
    </sheetView>
  </sheetViews>
  <sheetFormatPr baseColWidth="10" defaultColWidth="11.453125" defaultRowHeight="12.5"/>
  <cols>
    <col min="1" max="8" width="14.1796875" style="1" customWidth="1"/>
    <col min="9" max="16384" width="11.453125" style="1"/>
  </cols>
  <sheetData>
    <row r="1" spans="1:9" ht="13.5" thickBot="1">
      <c r="A1" s="11" t="s">
        <v>58</v>
      </c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2" t="s">
        <v>6</v>
      </c>
    </row>
    <row r="2" spans="1:9">
      <c r="A2" s="13" t="s">
        <v>7</v>
      </c>
      <c r="B2" s="14">
        <v>42155</v>
      </c>
      <c r="C2" s="13" t="s">
        <v>8</v>
      </c>
      <c r="D2" s="13" t="s">
        <v>9</v>
      </c>
      <c r="E2" s="13" t="s">
        <v>10</v>
      </c>
      <c r="F2" s="15">
        <v>1.5</v>
      </c>
      <c r="G2" s="13">
        <v>7695</v>
      </c>
      <c r="H2" s="16">
        <f>F2*G2</f>
        <v>11542.5</v>
      </c>
    </row>
    <row r="3" spans="1:9">
      <c r="A3" s="17" t="s">
        <v>11</v>
      </c>
      <c r="B3" s="18">
        <v>42372</v>
      </c>
      <c r="C3" s="17" t="s">
        <v>12</v>
      </c>
      <c r="D3" s="17" t="s">
        <v>13</v>
      </c>
      <c r="E3" s="17" t="s">
        <v>10</v>
      </c>
      <c r="F3" s="19">
        <v>1.5</v>
      </c>
      <c r="G3" s="17">
        <v>9224</v>
      </c>
      <c r="H3" s="20">
        <f>F3*G3</f>
        <v>13836</v>
      </c>
    </row>
    <row r="4" spans="1:9">
      <c r="A4" s="17" t="s">
        <v>7</v>
      </c>
      <c r="B4" s="18">
        <v>42521</v>
      </c>
      <c r="C4" s="17" t="s">
        <v>14</v>
      </c>
      <c r="D4" s="17" t="s">
        <v>15</v>
      </c>
      <c r="E4" s="17" t="s">
        <v>10</v>
      </c>
      <c r="F4" s="19">
        <v>1.5</v>
      </c>
      <c r="G4" s="17">
        <v>9628</v>
      </c>
      <c r="H4" s="20">
        <f>F4*G4</f>
        <v>14442</v>
      </c>
    </row>
    <row r="5" spans="1:9">
      <c r="A5" s="17" t="s">
        <v>16</v>
      </c>
      <c r="B5" s="18">
        <v>42197</v>
      </c>
      <c r="C5" s="17" t="s">
        <v>17</v>
      </c>
      <c r="D5" s="17" t="s">
        <v>9</v>
      </c>
      <c r="E5" s="17" t="s">
        <v>18</v>
      </c>
      <c r="F5" s="19">
        <v>3.4</v>
      </c>
      <c r="G5" s="17">
        <v>8367</v>
      </c>
      <c r="H5" s="20">
        <f>F5*G5</f>
        <v>28447.8</v>
      </c>
    </row>
    <row r="6" spans="1:9">
      <c r="A6" s="17" t="s">
        <v>19</v>
      </c>
      <c r="B6" s="18">
        <v>42353</v>
      </c>
      <c r="C6" s="17" t="s">
        <v>20</v>
      </c>
      <c r="D6" s="17" t="s">
        <v>21</v>
      </c>
      <c r="E6" s="17" t="s">
        <v>22</v>
      </c>
      <c r="F6" s="19">
        <v>6</v>
      </c>
      <c r="G6" s="17">
        <v>6550</v>
      </c>
      <c r="H6" s="20">
        <f t="shared" ref="H6:H30" si="0">F6*G6</f>
        <v>39300</v>
      </c>
    </row>
    <row r="7" spans="1:9">
      <c r="A7" s="17" t="s">
        <v>23</v>
      </c>
      <c r="B7" s="18">
        <v>42050</v>
      </c>
      <c r="C7" s="17" t="s">
        <v>24</v>
      </c>
      <c r="D7" s="17" t="s">
        <v>9</v>
      </c>
      <c r="E7" s="17" t="s">
        <v>22</v>
      </c>
      <c r="F7" s="19">
        <v>6</v>
      </c>
      <c r="G7" s="17">
        <v>6987</v>
      </c>
      <c r="H7" s="20">
        <f t="shared" si="0"/>
        <v>41922</v>
      </c>
    </row>
    <row r="8" spans="1:9">
      <c r="A8" s="17" t="s">
        <v>11</v>
      </c>
      <c r="B8" s="18">
        <v>42062</v>
      </c>
      <c r="C8" s="17" t="s">
        <v>14</v>
      </c>
      <c r="D8" s="17" t="s">
        <v>15</v>
      </c>
      <c r="E8" s="17" t="s">
        <v>25</v>
      </c>
      <c r="F8" s="19">
        <v>21</v>
      </c>
      <c r="G8" s="17">
        <v>5954</v>
      </c>
      <c r="H8" s="20">
        <f>F8*G8</f>
        <v>125034</v>
      </c>
    </row>
    <row r="9" spans="1:9">
      <c r="A9" s="17" t="s">
        <v>26</v>
      </c>
      <c r="B9" s="18">
        <v>42546</v>
      </c>
      <c r="C9" s="17" t="s">
        <v>8</v>
      </c>
      <c r="D9" s="17" t="s">
        <v>13</v>
      </c>
      <c r="E9" s="17" t="s">
        <v>27</v>
      </c>
      <c r="F9" s="19">
        <v>25</v>
      </c>
      <c r="G9" s="17">
        <v>7329</v>
      </c>
      <c r="H9" s="20">
        <f>F9*G9</f>
        <v>183225</v>
      </c>
    </row>
    <row r="10" spans="1:9">
      <c r="A10" s="17" t="s">
        <v>16</v>
      </c>
      <c r="B10" s="18">
        <v>42287</v>
      </c>
      <c r="C10" s="17" t="s">
        <v>8</v>
      </c>
      <c r="D10" s="17" t="s">
        <v>15</v>
      </c>
      <c r="E10" s="17" t="s">
        <v>10</v>
      </c>
      <c r="F10" s="19">
        <v>1.5</v>
      </c>
      <c r="G10" s="17">
        <v>5293</v>
      </c>
      <c r="H10" s="20">
        <f>F10*G10</f>
        <v>7939.5</v>
      </c>
    </row>
    <row r="11" spans="1:9">
      <c r="A11" s="17" t="s">
        <v>28</v>
      </c>
      <c r="B11" s="18">
        <v>42366</v>
      </c>
      <c r="C11" s="17" t="s">
        <v>20</v>
      </c>
      <c r="D11" s="17" t="s">
        <v>21</v>
      </c>
      <c r="E11" s="17" t="s">
        <v>10</v>
      </c>
      <c r="F11" s="19">
        <v>1.5</v>
      </c>
      <c r="G11" s="17">
        <v>5562</v>
      </c>
      <c r="H11" s="20">
        <f t="shared" si="0"/>
        <v>8343</v>
      </c>
    </row>
    <row r="12" spans="1:9">
      <c r="A12" s="17" t="s">
        <v>29</v>
      </c>
      <c r="B12" s="18">
        <v>42517</v>
      </c>
      <c r="C12" s="17" t="s">
        <v>24</v>
      </c>
      <c r="D12" s="17" t="s">
        <v>15</v>
      </c>
      <c r="E12" s="17" t="s">
        <v>10</v>
      </c>
      <c r="F12" s="19">
        <v>1.5</v>
      </c>
      <c r="G12" s="17">
        <v>6852</v>
      </c>
      <c r="H12" s="20">
        <f>F12*G12</f>
        <v>10278</v>
      </c>
    </row>
    <row r="13" spans="1:9">
      <c r="A13" s="17" t="s">
        <v>7</v>
      </c>
      <c r="B13" s="18">
        <v>42237</v>
      </c>
      <c r="C13" s="17" t="s">
        <v>12</v>
      </c>
      <c r="D13" s="17" t="s">
        <v>13</v>
      </c>
      <c r="E13" s="17" t="s">
        <v>18</v>
      </c>
      <c r="F13" s="19">
        <v>3.4</v>
      </c>
      <c r="G13" s="17">
        <v>5641</v>
      </c>
      <c r="H13" s="20">
        <f t="shared" si="0"/>
        <v>19179.399999999998</v>
      </c>
    </row>
    <row r="14" spans="1:9">
      <c r="A14" s="17" t="s">
        <v>30</v>
      </c>
      <c r="B14" s="18">
        <v>42393</v>
      </c>
      <c r="C14" s="17" t="s">
        <v>17</v>
      </c>
      <c r="D14" s="17" t="s">
        <v>21</v>
      </c>
      <c r="E14" s="17" t="s">
        <v>18</v>
      </c>
      <c r="F14" s="19">
        <v>3.4</v>
      </c>
      <c r="G14" s="17">
        <v>7212</v>
      </c>
      <c r="H14" s="20">
        <f>F14*G14</f>
        <v>24520.799999999999</v>
      </c>
      <c r="I14"/>
    </row>
    <row r="15" spans="1:9">
      <c r="A15" s="17" t="s">
        <v>26</v>
      </c>
      <c r="B15" s="18">
        <v>42044</v>
      </c>
      <c r="C15" s="17" t="s">
        <v>24</v>
      </c>
      <c r="D15" s="17" t="s">
        <v>9</v>
      </c>
      <c r="E15" s="17" t="s">
        <v>22</v>
      </c>
      <c r="F15" s="19">
        <v>6</v>
      </c>
      <c r="G15" s="17">
        <v>5764</v>
      </c>
      <c r="H15" s="20">
        <f t="shared" si="0"/>
        <v>34584</v>
      </c>
      <c r="I15"/>
    </row>
    <row r="16" spans="1:9">
      <c r="A16" s="17" t="s">
        <v>11</v>
      </c>
      <c r="B16" s="18">
        <v>42423</v>
      </c>
      <c r="C16" s="17" t="s">
        <v>14</v>
      </c>
      <c r="D16" s="17" t="s">
        <v>21</v>
      </c>
      <c r="E16" s="17" t="s">
        <v>31</v>
      </c>
      <c r="F16" s="19">
        <v>12</v>
      </c>
      <c r="G16" s="17">
        <v>9886</v>
      </c>
      <c r="H16" s="20">
        <f t="shared" si="0"/>
        <v>118632</v>
      </c>
      <c r="I16"/>
    </row>
    <row r="17" spans="1:9">
      <c r="A17" s="17" t="s">
        <v>32</v>
      </c>
      <c r="B17" s="18">
        <v>42482</v>
      </c>
      <c r="C17" s="17" t="s">
        <v>33</v>
      </c>
      <c r="D17" s="17" t="s">
        <v>15</v>
      </c>
      <c r="E17" s="17" t="s">
        <v>27</v>
      </c>
      <c r="F17" s="19">
        <v>25</v>
      </c>
      <c r="G17" s="17">
        <v>6728</v>
      </c>
      <c r="H17" s="20">
        <f>F17*G17</f>
        <v>168200</v>
      </c>
      <c r="I17"/>
    </row>
    <row r="18" spans="1:9">
      <c r="A18" s="17" t="s">
        <v>28</v>
      </c>
      <c r="B18" s="18">
        <v>42351</v>
      </c>
      <c r="C18" s="17" t="s">
        <v>14</v>
      </c>
      <c r="D18" s="17" t="s">
        <v>9</v>
      </c>
      <c r="E18" s="17" t="s">
        <v>25</v>
      </c>
      <c r="F18" s="19">
        <v>21</v>
      </c>
      <c r="G18" s="17">
        <v>8694</v>
      </c>
      <c r="H18" s="20">
        <f>F18*G18</f>
        <v>182574</v>
      </c>
      <c r="I18"/>
    </row>
    <row r="19" spans="1:9">
      <c r="A19" s="17" t="s">
        <v>11</v>
      </c>
      <c r="B19" s="18">
        <v>42094</v>
      </c>
      <c r="C19" s="17" t="s">
        <v>20</v>
      </c>
      <c r="D19" s="17" t="s">
        <v>15</v>
      </c>
      <c r="E19" s="17" t="s">
        <v>10</v>
      </c>
      <c r="F19" s="19">
        <v>1.5</v>
      </c>
      <c r="G19" s="17">
        <v>5750</v>
      </c>
      <c r="H19" s="20">
        <f>F19*G19</f>
        <v>8625</v>
      </c>
      <c r="I19"/>
    </row>
    <row r="20" spans="1:9">
      <c r="A20" s="17" t="s">
        <v>7</v>
      </c>
      <c r="B20" s="18">
        <v>42181</v>
      </c>
      <c r="C20" s="17" t="s">
        <v>12</v>
      </c>
      <c r="D20" s="17" t="s">
        <v>9</v>
      </c>
      <c r="E20" s="17" t="s">
        <v>10</v>
      </c>
      <c r="F20" s="19">
        <v>1.5</v>
      </c>
      <c r="G20" s="17">
        <v>8639</v>
      </c>
      <c r="H20" s="20">
        <f>F20*G20</f>
        <v>12958.5</v>
      </c>
    </row>
    <row r="21" spans="1:9">
      <c r="A21" s="17" t="s">
        <v>16</v>
      </c>
      <c r="B21" s="18">
        <v>42398</v>
      </c>
      <c r="C21" s="17" t="s">
        <v>12</v>
      </c>
      <c r="D21" s="17" t="s">
        <v>9</v>
      </c>
      <c r="E21" s="17" t="s">
        <v>10</v>
      </c>
      <c r="F21" s="19">
        <v>1.5</v>
      </c>
      <c r="G21" s="17">
        <v>8804</v>
      </c>
      <c r="H21" s="20">
        <f>F21*G21</f>
        <v>13206</v>
      </c>
    </row>
    <row r="22" spans="1:9">
      <c r="A22" s="17" t="s">
        <v>32</v>
      </c>
      <c r="B22" s="18">
        <v>42317</v>
      </c>
      <c r="C22" s="17" t="s">
        <v>17</v>
      </c>
      <c r="D22" s="17" t="s">
        <v>21</v>
      </c>
      <c r="E22" s="17" t="s">
        <v>31</v>
      </c>
      <c r="F22" s="19">
        <v>12</v>
      </c>
      <c r="G22" s="17">
        <v>5136</v>
      </c>
      <c r="H22" s="20">
        <f t="shared" si="0"/>
        <v>61632</v>
      </c>
    </row>
    <row r="23" spans="1:9">
      <c r="A23" s="17" t="s">
        <v>28</v>
      </c>
      <c r="B23" s="18">
        <v>42434</v>
      </c>
      <c r="C23" s="17" t="s">
        <v>20</v>
      </c>
      <c r="D23" s="17" t="s">
        <v>15</v>
      </c>
      <c r="E23" s="17" t="s">
        <v>31</v>
      </c>
      <c r="F23" s="19">
        <v>12</v>
      </c>
      <c r="G23" s="17">
        <v>7017</v>
      </c>
      <c r="H23" s="20">
        <f>F23*G23</f>
        <v>84204</v>
      </c>
    </row>
    <row r="24" spans="1:9">
      <c r="A24" s="17" t="s">
        <v>11</v>
      </c>
      <c r="B24" s="18">
        <v>42387</v>
      </c>
      <c r="C24" s="17" t="s">
        <v>20</v>
      </c>
      <c r="D24" s="17" t="s">
        <v>15</v>
      </c>
      <c r="E24" s="17" t="s">
        <v>10</v>
      </c>
      <c r="F24" s="19">
        <v>1.5</v>
      </c>
      <c r="G24" s="17">
        <v>8611</v>
      </c>
      <c r="H24" s="20">
        <f t="shared" si="0"/>
        <v>12916.5</v>
      </c>
    </row>
    <row r="25" spans="1:9">
      <c r="A25" s="17" t="s">
        <v>26</v>
      </c>
      <c r="B25" s="18">
        <v>42540</v>
      </c>
      <c r="C25" s="17" t="s">
        <v>24</v>
      </c>
      <c r="D25" s="17" t="s">
        <v>13</v>
      </c>
      <c r="E25" s="17" t="s">
        <v>31</v>
      </c>
      <c r="F25" s="19">
        <v>12</v>
      </c>
      <c r="G25" s="17">
        <v>9924</v>
      </c>
      <c r="H25" s="20">
        <f t="shared" si="0"/>
        <v>119088</v>
      </c>
    </row>
    <row r="26" spans="1:9">
      <c r="A26" s="17" t="s">
        <v>7</v>
      </c>
      <c r="B26" s="18">
        <v>42379</v>
      </c>
      <c r="C26" s="17" t="s">
        <v>17</v>
      </c>
      <c r="D26" s="17" t="s">
        <v>9</v>
      </c>
      <c r="E26" s="17" t="s">
        <v>25</v>
      </c>
      <c r="F26" s="19">
        <v>21</v>
      </c>
      <c r="G26" s="17">
        <v>8279</v>
      </c>
      <c r="H26" s="20">
        <f t="shared" si="0"/>
        <v>173859</v>
      </c>
    </row>
    <row r="27" spans="1:9">
      <c r="A27" s="17" t="s">
        <v>30</v>
      </c>
      <c r="B27" s="18">
        <v>42070</v>
      </c>
      <c r="C27" s="17" t="s">
        <v>14</v>
      </c>
      <c r="D27" s="17" t="s">
        <v>15</v>
      </c>
      <c r="E27" s="17" t="s">
        <v>27</v>
      </c>
      <c r="F27" s="19">
        <v>25</v>
      </c>
      <c r="G27" s="17">
        <v>7346</v>
      </c>
      <c r="H27" s="20">
        <f>F27*G27</f>
        <v>183650</v>
      </c>
    </row>
    <row r="28" spans="1:9">
      <c r="A28" s="17" t="s">
        <v>29</v>
      </c>
      <c r="B28" s="18">
        <v>42167</v>
      </c>
      <c r="C28" s="17" t="s">
        <v>17</v>
      </c>
      <c r="D28" s="17" t="s">
        <v>15</v>
      </c>
      <c r="E28" s="17" t="s">
        <v>10</v>
      </c>
      <c r="F28" s="19">
        <v>1.5</v>
      </c>
      <c r="G28" s="17">
        <v>6213</v>
      </c>
      <c r="H28" s="20">
        <f t="shared" si="0"/>
        <v>9319.5</v>
      </c>
    </row>
    <row r="29" spans="1:9">
      <c r="A29" s="17" t="s">
        <v>11</v>
      </c>
      <c r="B29" s="18">
        <v>42385</v>
      </c>
      <c r="C29" s="17" t="s">
        <v>20</v>
      </c>
      <c r="D29" s="17" t="s">
        <v>15</v>
      </c>
      <c r="E29" s="17" t="s">
        <v>10</v>
      </c>
      <c r="F29" s="19">
        <v>1.5</v>
      </c>
      <c r="G29" s="17">
        <v>7645</v>
      </c>
      <c r="H29" s="20">
        <f>F29*G29</f>
        <v>11467.5</v>
      </c>
    </row>
    <row r="30" spans="1:9">
      <c r="A30" s="17" t="s">
        <v>23</v>
      </c>
      <c r="B30" s="18">
        <v>42535</v>
      </c>
      <c r="C30" s="17" t="s">
        <v>20</v>
      </c>
      <c r="D30" s="17" t="s">
        <v>13</v>
      </c>
      <c r="E30" s="17" t="s">
        <v>10</v>
      </c>
      <c r="F30" s="19">
        <v>1.5</v>
      </c>
      <c r="G30" s="17">
        <v>8091</v>
      </c>
      <c r="H30" s="20">
        <f t="shared" si="0"/>
        <v>12136.5</v>
      </c>
    </row>
    <row r="31" spans="1:9">
      <c r="A31" s="17" t="s">
        <v>28</v>
      </c>
      <c r="B31" s="18">
        <v>42394</v>
      </c>
      <c r="C31" s="17" t="s">
        <v>8</v>
      </c>
      <c r="D31" s="17" t="s">
        <v>15</v>
      </c>
      <c r="E31" s="17" t="s">
        <v>18</v>
      </c>
      <c r="F31" s="19">
        <v>3.4</v>
      </c>
      <c r="G31" s="17">
        <v>7819</v>
      </c>
      <c r="H31" s="20">
        <f>F31*G31</f>
        <v>26584.6</v>
      </c>
    </row>
    <row r="32" spans="1:9">
      <c r="A32" s="17" t="s">
        <v>19</v>
      </c>
      <c r="B32" s="18">
        <v>42290</v>
      </c>
      <c r="C32" s="17" t="s">
        <v>17</v>
      </c>
      <c r="D32" s="17" t="s">
        <v>9</v>
      </c>
      <c r="E32" s="17" t="s">
        <v>18</v>
      </c>
      <c r="F32" s="19">
        <v>3.4</v>
      </c>
      <c r="G32" s="17">
        <v>8227</v>
      </c>
      <c r="H32" s="20">
        <f t="shared" ref="H32:H50" si="1">F32*G32</f>
        <v>27971.8</v>
      </c>
    </row>
    <row r="33" spans="1:8">
      <c r="A33" s="17" t="s">
        <v>32</v>
      </c>
      <c r="B33" s="18">
        <v>42391</v>
      </c>
      <c r="C33" s="17" t="s">
        <v>12</v>
      </c>
      <c r="D33" s="17" t="s">
        <v>15</v>
      </c>
      <c r="E33" s="17" t="s">
        <v>22</v>
      </c>
      <c r="F33" s="19">
        <v>6</v>
      </c>
      <c r="G33" s="17">
        <v>6317</v>
      </c>
      <c r="H33" s="20">
        <f t="shared" si="1"/>
        <v>37902</v>
      </c>
    </row>
    <row r="34" spans="1:8">
      <c r="A34" s="17" t="s">
        <v>28</v>
      </c>
      <c r="B34" s="18">
        <v>42052</v>
      </c>
      <c r="C34" s="17" t="s">
        <v>12</v>
      </c>
      <c r="D34" s="17" t="s">
        <v>13</v>
      </c>
      <c r="E34" s="17" t="s">
        <v>25</v>
      </c>
      <c r="F34" s="19">
        <v>21</v>
      </c>
      <c r="G34" s="17">
        <v>9401</v>
      </c>
      <c r="H34" s="20">
        <f>F34*G34</f>
        <v>197421</v>
      </c>
    </row>
    <row r="35" spans="1:8">
      <c r="A35" s="17" t="s">
        <v>29</v>
      </c>
      <c r="B35" s="18">
        <v>42444</v>
      </c>
      <c r="C35" s="17" t="s">
        <v>20</v>
      </c>
      <c r="D35" s="17" t="s">
        <v>15</v>
      </c>
      <c r="E35" s="17" t="s">
        <v>22</v>
      </c>
      <c r="F35" s="19">
        <v>6</v>
      </c>
      <c r="G35" s="17">
        <v>7373</v>
      </c>
      <c r="H35" s="20">
        <f>F35*G35</f>
        <v>44238</v>
      </c>
    </row>
    <row r="36" spans="1:8">
      <c r="A36" s="17" t="s">
        <v>7</v>
      </c>
      <c r="B36" s="18">
        <v>42188</v>
      </c>
      <c r="C36" s="17" t="s">
        <v>12</v>
      </c>
      <c r="D36" s="17" t="s">
        <v>13</v>
      </c>
      <c r="E36" s="17" t="s">
        <v>31</v>
      </c>
      <c r="F36" s="19">
        <v>12</v>
      </c>
      <c r="G36" s="17">
        <v>9062</v>
      </c>
      <c r="H36" s="20">
        <f t="shared" si="1"/>
        <v>108744</v>
      </c>
    </row>
    <row r="37" spans="1:8">
      <c r="A37" s="17" t="s">
        <v>7</v>
      </c>
      <c r="B37" s="18">
        <v>42293</v>
      </c>
      <c r="C37" s="17" t="s">
        <v>24</v>
      </c>
      <c r="D37" s="17" t="s">
        <v>9</v>
      </c>
      <c r="E37" s="17" t="s">
        <v>18</v>
      </c>
      <c r="F37" s="19">
        <v>3.4</v>
      </c>
      <c r="G37" s="17">
        <v>5336</v>
      </c>
      <c r="H37" s="20">
        <f>F37*G37</f>
        <v>18142.399999999998</v>
      </c>
    </row>
    <row r="38" spans="1:8">
      <c r="A38" s="17" t="s">
        <v>23</v>
      </c>
      <c r="B38" s="18">
        <v>42246</v>
      </c>
      <c r="C38" s="17" t="s">
        <v>12</v>
      </c>
      <c r="D38" s="17" t="s">
        <v>13</v>
      </c>
      <c r="E38" s="17" t="s">
        <v>18</v>
      </c>
      <c r="F38" s="19">
        <v>3.4</v>
      </c>
      <c r="G38" s="17">
        <v>9165</v>
      </c>
      <c r="H38" s="20">
        <f t="shared" si="1"/>
        <v>31161</v>
      </c>
    </row>
    <row r="39" spans="1:8">
      <c r="A39" s="17" t="s">
        <v>16</v>
      </c>
      <c r="B39" s="18">
        <v>42330</v>
      </c>
      <c r="C39" s="17" t="s">
        <v>20</v>
      </c>
      <c r="D39" s="17" t="s">
        <v>13</v>
      </c>
      <c r="E39" s="17" t="s">
        <v>22</v>
      </c>
      <c r="F39" s="19">
        <v>6</v>
      </c>
      <c r="G39" s="17">
        <v>7700</v>
      </c>
      <c r="H39" s="20">
        <f>F39*G39</f>
        <v>46200</v>
      </c>
    </row>
    <row r="40" spans="1:8">
      <c r="A40" s="17" t="s">
        <v>28</v>
      </c>
      <c r="B40" s="18">
        <v>42322</v>
      </c>
      <c r="C40" s="17" t="s">
        <v>24</v>
      </c>
      <c r="D40" s="17" t="s">
        <v>13</v>
      </c>
      <c r="E40" s="17" t="s">
        <v>22</v>
      </c>
      <c r="F40" s="19">
        <v>6</v>
      </c>
      <c r="G40" s="17">
        <v>8407</v>
      </c>
      <c r="H40" s="20">
        <f>F40*G40</f>
        <v>50442</v>
      </c>
    </row>
    <row r="41" spans="1:8">
      <c r="A41" s="17" t="s">
        <v>32</v>
      </c>
      <c r="B41" s="18">
        <v>42098</v>
      </c>
      <c r="C41" s="17" t="s">
        <v>24</v>
      </c>
      <c r="D41" s="17" t="s">
        <v>9</v>
      </c>
      <c r="E41" s="17" t="s">
        <v>22</v>
      </c>
      <c r="F41" s="19">
        <v>6</v>
      </c>
      <c r="G41" s="17">
        <v>8489</v>
      </c>
      <c r="H41" s="20">
        <f t="shared" si="1"/>
        <v>50934</v>
      </c>
    </row>
    <row r="42" spans="1:8">
      <c r="A42" s="17" t="s">
        <v>28</v>
      </c>
      <c r="B42" s="18">
        <v>42252</v>
      </c>
      <c r="C42" s="17" t="s">
        <v>12</v>
      </c>
      <c r="D42" s="17" t="s">
        <v>21</v>
      </c>
      <c r="E42" s="17" t="s">
        <v>22</v>
      </c>
      <c r="F42" s="19">
        <v>6</v>
      </c>
      <c r="G42" s="17">
        <v>9929</v>
      </c>
      <c r="H42" s="20">
        <f t="shared" si="1"/>
        <v>59574</v>
      </c>
    </row>
    <row r="43" spans="1:8">
      <c r="A43" s="17" t="s">
        <v>19</v>
      </c>
      <c r="B43" s="18">
        <v>42307</v>
      </c>
      <c r="C43" s="17" t="s">
        <v>8</v>
      </c>
      <c r="D43" s="17" t="s">
        <v>15</v>
      </c>
      <c r="E43" s="17" t="s">
        <v>31</v>
      </c>
      <c r="F43" s="19">
        <v>12</v>
      </c>
      <c r="G43" s="17">
        <v>5463</v>
      </c>
      <c r="H43" s="20">
        <f t="shared" si="1"/>
        <v>65556</v>
      </c>
    </row>
    <row r="44" spans="1:8">
      <c r="A44" s="17" t="s">
        <v>23</v>
      </c>
      <c r="B44" s="18">
        <v>42202</v>
      </c>
      <c r="C44" s="17" t="s">
        <v>20</v>
      </c>
      <c r="D44" s="17" t="s">
        <v>13</v>
      </c>
      <c r="E44" s="17" t="s">
        <v>31</v>
      </c>
      <c r="F44" s="19">
        <v>12</v>
      </c>
      <c r="G44" s="17">
        <v>6660</v>
      </c>
      <c r="H44" s="20">
        <f t="shared" si="1"/>
        <v>79920</v>
      </c>
    </row>
    <row r="45" spans="1:8">
      <c r="A45" s="17" t="s">
        <v>7</v>
      </c>
      <c r="B45" s="18">
        <v>42514</v>
      </c>
      <c r="C45" s="17" t="s">
        <v>14</v>
      </c>
      <c r="D45" s="17" t="s">
        <v>15</v>
      </c>
      <c r="E45" s="17" t="s">
        <v>31</v>
      </c>
      <c r="F45" s="19">
        <v>12</v>
      </c>
      <c r="G45" s="17">
        <v>7349</v>
      </c>
      <c r="H45" s="20">
        <f t="shared" si="1"/>
        <v>88188</v>
      </c>
    </row>
    <row r="46" spans="1:8">
      <c r="A46" s="17" t="s">
        <v>30</v>
      </c>
      <c r="B46" s="18">
        <v>42398</v>
      </c>
      <c r="C46" s="17" t="s">
        <v>17</v>
      </c>
      <c r="D46" s="17" t="s">
        <v>21</v>
      </c>
      <c r="E46" s="17" t="s">
        <v>27</v>
      </c>
      <c r="F46" s="19">
        <v>25</v>
      </c>
      <c r="G46" s="17">
        <v>6075</v>
      </c>
      <c r="H46" s="20">
        <f t="shared" si="1"/>
        <v>151875</v>
      </c>
    </row>
    <row r="47" spans="1:8">
      <c r="A47" s="17" t="s">
        <v>23</v>
      </c>
      <c r="B47" s="18">
        <v>42477</v>
      </c>
      <c r="C47" s="17" t="s">
        <v>14</v>
      </c>
      <c r="D47" s="17" t="s">
        <v>9</v>
      </c>
      <c r="E47" s="17" t="s">
        <v>27</v>
      </c>
      <c r="F47" s="19">
        <v>25</v>
      </c>
      <c r="G47" s="17">
        <v>6183</v>
      </c>
      <c r="H47" s="20">
        <f t="shared" si="1"/>
        <v>154575</v>
      </c>
    </row>
    <row r="48" spans="1:8">
      <c r="A48" s="17" t="s">
        <v>19</v>
      </c>
      <c r="B48" s="18">
        <v>42293</v>
      </c>
      <c r="C48" s="17" t="s">
        <v>17</v>
      </c>
      <c r="D48" s="17" t="s">
        <v>9</v>
      </c>
      <c r="E48" s="17" t="s">
        <v>25</v>
      </c>
      <c r="F48" s="19">
        <v>21</v>
      </c>
      <c r="G48" s="17">
        <v>7464</v>
      </c>
      <c r="H48" s="20">
        <f t="shared" si="1"/>
        <v>156744</v>
      </c>
    </row>
    <row r="49" spans="1:8">
      <c r="A49" s="17" t="s">
        <v>28</v>
      </c>
      <c r="B49" s="18">
        <v>42430</v>
      </c>
      <c r="C49" s="17" t="s">
        <v>12</v>
      </c>
      <c r="D49" s="17" t="s">
        <v>15</v>
      </c>
      <c r="E49" s="17" t="s">
        <v>27</v>
      </c>
      <c r="F49" s="19">
        <v>25</v>
      </c>
      <c r="G49" s="17">
        <v>6523</v>
      </c>
      <c r="H49" s="20">
        <f t="shared" si="1"/>
        <v>163075</v>
      </c>
    </row>
    <row r="50" spans="1:8">
      <c r="A50" s="21" t="s">
        <v>28</v>
      </c>
      <c r="B50" s="22">
        <v>42013</v>
      </c>
      <c r="C50" s="21" t="s">
        <v>17</v>
      </c>
      <c r="D50" s="21" t="s">
        <v>15</v>
      </c>
      <c r="E50" s="21" t="s">
        <v>25</v>
      </c>
      <c r="F50" s="23">
        <v>21</v>
      </c>
      <c r="G50" s="21">
        <v>9201</v>
      </c>
      <c r="H50" s="24">
        <f t="shared" si="1"/>
        <v>193221</v>
      </c>
    </row>
  </sheetData>
  <printOptions gridLines="1" gridLinesSet="0"/>
  <pageMargins left="0.78740157499999996" right="0.78740157499999996" top="0.984251969" bottom="0.984251969" header="0.4921259845" footer="0.4921259845"/>
  <pageSetup paperSize="9" orientation="portrait" horizontalDpi="4294967292" verticalDpi="360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>
      <selection activeCell="F3" sqref="F3:G3"/>
    </sheetView>
  </sheetViews>
  <sheetFormatPr baseColWidth="10" defaultColWidth="11.453125" defaultRowHeight="12.5"/>
  <cols>
    <col min="1" max="1" width="29.26953125" style="2" customWidth="1"/>
    <col min="2" max="2" width="19.1796875" style="2" customWidth="1"/>
    <col min="3" max="3" width="29.26953125" style="2" customWidth="1"/>
    <col min="4" max="4" width="45.453125" style="3" customWidth="1"/>
    <col min="5" max="5" width="11.453125" style="3"/>
    <col min="6" max="7" width="13.54296875" style="3" customWidth="1"/>
    <col min="8" max="16384" width="11.453125" style="3"/>
  </cols>
  <sheetData>
    <row r="1" spans="1:7" ht="13" thickBot="1">
      <c r="F1" s="25"/>
      <c r="G1" s="25"/>
    </row>
    <row r="2" spans="1:7" ht="16" thickBot="1">
      <c r="A2" s="26" t="s">
        <v>34</v>
      </c>
      <c r="B2" s="27"/>
      <c r="C2" s="27"/>
      <c r="D2" s="28"/>
    </row>
    <row r="3" spans="1:7" ht="13">
      <c r="A3" s="4" t="s">
        <v>35</v>
      </c>
      <c r="B3" s="5" t="s">
        <v>36</v>
      </c>
      <c r="C3" s="5"/>
      <c r="D3" s="6"/>
      <c r="F3" s="25" t="s">
        <v>37</v>
      </c>
      <c r="G3" s="25"/>
    </row>
    <row r="4" spans="1:7">
      <c r="A4" s="7"/>
      <c r="B4" s="5"/>
      <c r="C4" s="5" t="s">
        <v>38</v>
      </c>
      <c r="D4" s="6"/>
    </row>
    <row r="5" spans="1:7">
      <c r="A5" s="7"/>
      <c r="B5" s="5"/>
      <c r="C5" s="5" t="s">
        <v>39</v>
      </c>
      <c r="D5" s="6"/>
    </row>
    <row r="6" spans="1:7" ht="13" thickBot="1">
      <c r="A6" s="8"/>
      <c r="B6" s="9"/>
      <c r="C6" s="9"/>
      <c r="D6" s="10"/>
    </row>
    <row r="7" spans="1:7" ht="13">
      <c r="A7" s="4" t="s">
        <v>40</v>
      </c>
      <c r="B7" s="5" t="s">
        <v>41</v>
      </c>
      <c r="C7" s="5"/>
      <c r="D7" s="6"/>
    </row>
    <row r="8" spans="1:7">
      <c r="A8" s="7"/>
      <c r="B8" s="5"/>
      <c r="C8" s="5" t="s">
        <v>42</v>
      </c>
      <c r="D8" s="6"/>
    </row>
    <row r="9" spans="1:7">
      <c r="A9" s="7"/>
      <c r="B9" s="5"/>
      <c r="C9" s="5" t="s">
        <v>43</v>
      </c>
      <c r="D9" s="6"/>
    </row>
    <row r="10" spans="1:7">
      <c r="A10" s="7"/>
      <c r="B10" s="5"/>
      <c r="C10" s="5"/>
      <c r="D10" s="6"/>
    </row>
    <row r="11" spans="1:7" ht="13" thickBot="1">
      <c r="A11" s="8"/>
      <c r="B11" s="9"/>
      <c r="C11" s="9"/>
      <c r="D11" s="10"/>
    </row>
    <row r="12" spans="1:7" ht="13">
      <c r="A12" s="4" t="s">
        <v>44</v>
      </c>
      <c r="B12" s="5" t="s">
        <v>45</v>
      </c>
      <c r="C12" s="5"/>
      <c r="D12" s="6"/>
    </row>
    <row r="13" spans="1:7">
      <c r="A13" s="7"/>
      <c r="B13" s="5"/>
      <c r="C13" s="5" t="s">
        <v>46</v>
      </c>
      <c r="D13" s="6"/>
    </row>
    <row r="14" spans="1:7">
      <c r="A14" s="7"/>
      <c r="B14" s="5"/>
      <c r="C14" s="5" t="s">
        <v>47</v>
      </c>
      <c r="D14" s="6"/>
    </row>
    <row r="15" spans="1:7">
      <c r="A15" s="7"/>
      <c r="B15" s="5"/>
      <c r="C15" s="5" t="s">
        <v>48</v>
      </c>
      <c r="D15" s="6"/>
    </row>
    <row r="16" spans="1:7">
      <c r="A16" s="7"/>
      <c r="B16" s="5"/>
      <c r="C16" s="5" t="s">
        <v>49</v>
      </c>
      <c r="D16" s="6"/>
    </row>
    <row r="17" spans="1:4">
      <c r="A17" s="7"/>
      <c r="B17" s="5"/>
      <c r="C17" s="5"/>
      <c r="D17" s="6"/>
    </row>
    <row r="18" spans="1:4" ht="13" thickBot="1">
      <c r="A18" s="8"/>
      <c r="B18" s="9"/>
      <c r="C18" s="9"/>
      <c r="D18" s="10"/>
    </row>
    <row r="19" spans="1:4" ht="13">
      <c r="A19" s="4" t="s">
        <v>50</v>
      </c>
      <c r="B19" s="5" t="s">
        <v>51</v>
      </c>
      <c r="C19" s="5"/>
      <c r="D19" s="6" t="s">
        <v>52</v>
      </c>
    </row>
    <row r="20" spans="1:4">
      <c r="A20" s="7"/>
      <c r="B20" s="5"/>
      <c r="C20" s="5" t="s">
        <v>53</v>
      </c>
      <c r="D20" s="6"/>
    </row>
    <row r="21" spans="1:4">
      <c r="A21" s="7"/>
      <c r="B21" s="5"/>
      <c r="C21" s="5" t="s">
        <v>39</v>
      </c>
      <c r="D21" s="6"/>
    </row>
    <row r="22" spans="1:4">
      <c r="A22" s="7"/>
      <c r="B22" s="5"/>
      <c r="C22" s="5" t="s">
        <v>57</v>
      </c>
      <c r="D22" s="6"/>
    </row>
    <row r="23" spans="1:4" ht="13" thickBot="1">
      <c r="A23" s="8"/>
      <c r="B23" s="9"/>
      <c r="C23" s="9"/>
      <c r="D23" s="10"/>
    </row>
    <row r="24" spans="1:4" ht="13">
      <c r="A24" s="4" t="s">
        <v>54</v>
      </c>
      <c r="B24" s="5" t="s">
        <v>55</v>
      </c>
      <c r="C24" s="5"/>
      <c r="D24" s="6"/>
    </row>
    <row r="25" spans="1:4">
      <c r="A25" s="7"/>
      <c r="B25" s="5"/>
      <c r="C25" s="5" t="s">
        <v>53</v>
      </c>
      <c r="D25" s="6"/>
    </row>
    <row r="26" spans="1:4">
      <c r="A26" s="7"/>
      <c r="B26" s="5"/>
      <c r="C26" s="5" t="s">
        <v>39</v>
      </c>
      <c r="D26" s="6"/>
    </row>
    <row r="27" spans="1:4">
      <c r="A27" s="7"/>
      <c r="B27" s="5"/>
      <c r="C27" s="5" t="s">
        <v>56</v>
      </c>
      <c r="D27" s="6"/>
    </row>
    <row r="28" spans="1:4" ht="13" thickBot="1">
      <c r="A28" s="8"/>
      <c r="B28" s="9"/>
      <c r="C28" s="9"/>
      <c r="D28" s="10"/>
    </row>
  </sheetData>
  <mergeCells count="3">
    <mergeCell ref="F1:G1"/>
    <mergeCell ref="A2:D2"/>
    <mergeCell ref="F3:G3"/>
  </mergeCells>
  <hyperlinks>
    <hyperlink ref="F3:G3" location="'bdd commandes'!A1" display="RETOUR BBD COMMANDE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bdd commandes</vt:lpstr>
      <vt:lpstr>TCD Commandes</vt:lpstr>
      <vt:lpstr>'bdd commandes'!Criteres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Sieffert sandrine</dc:creator>
  <cp:lastModifiedBy>Trinité</cp:lastModifiedBy>
  <dcterms:created xsi:type="dcterms:W3CDTF">2013-06-20T13:08:56Z</dcterms:created>
  <dcterms:modified xsi:type="dcterms:W3CDTF">2017-12-12T08:19:39Z</dcterms:modified>
</cp:coreProperties>
</file>