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8.xml" ContentType="application/vnd.openxmlformats-officedocument.drawing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XL3\BDD\TCD\"/>
    </mc:Choice>
  </mc:AlternateContent>
  <bookViews>
    <workbookView xWindow="240" yWindow="120" windowWidth="11565" windowHeight="5955" tabRatio="931" firstSheet="2" activeTab="11"/>
  </bookViews>
  <sheets>
    <sheet name="SOMMAIRE" sheetId="12" r:id="rId1"/>
    <sheet name="BDD CAVE" sheetId="13" r:id="rId2"/>
    <sheet name="Tcd cave" sheetId="29" r:id="rId3"/>
    <sheet name="BDD USINES" sheetId="1" r:id="rId4"/>
    <sheet name="Tcd usines" sheetId="31" r:id="rId5"/>
    <sheet name="FICHE EMPLOYE Recherv" sheetId="25" r:id="rId6"/>
    <sheet name="EMPLOYES NOV" sheetId="15" r:id="rId7"/>
    <sheet name="EMPLOYES DEC" sheetId="26" r:id="rId8"/>
    <sheet name="MUSIQUE" sheetId="16" r:id="rId9"/>
    <sheet name="Tcd musique" sheetId="30" r:id="rId10"/>
    <sheet name="REPRESENTANTS" sheetId="18" r:id="rId11"/>
    <sheet name="Tcd fournisseurs" sheetId="27" r:id="rId12"/>
  </sheets>
  <definedNames>
    <definedName name="_xlnm._FilterDatabase" localSheetId="1" hidden="1">'BDD CAVE'!$A$4:$I$25</definedName>
    <definedName name="_xlnm._FilterDatabase" localSheetId="3" hidden="1">'BDD USINES'!$A$11:$K$296</definedName>
    <definedName name="_xlnm._FilterDatabase" localSheetId="8" hidden="1">MUSIQUE!$A$3:$E$183</definedName>
    <definedName name="_xlnm.Criteria" localSheetId="1">'BDD CAVE'!#REF!</definedName>
    <definedName name="DECEMBRE">'EMPLOYES DEC'!$A$3:$H$47</definedName>
    <definedName name="EMPLOYE">'EMPLOYES NOV'!$A$3:$H$44</definedName>
    <definedName name="_xlnm.Extract" localSheetId="1">'BDD CAVE'!#REF!</definedName>
    <definedName name="_xlnm.Extract" localSheetId="8">MUSIQUE!#REF!</definedName>
    <definedName name="_xlnm.Print_Titles" localSheetId="3">'BDD USINES'!$11:$11</definedName>
    <definedName name="novembre">'EMPLOYES NOV'!$A$3:$I$44</definedName>
    <definedName name="Segment_Millésime">#N/A</definedName>
    <definedName name="_xlnm.Print_Area" localSheetId="3">Tableau1[#All]</definedName>
  </definedNames>
  <calcPr calcId="162913"/>
  <pivotCaches>
    <pivotCache cacheId="0" r:id="rId13"/>
    <pivotCache cacheId="1" r:id="rId14"/>
    <pivotCache cacheId="2" r:id="rId15"/>
    <pivotCache cacheId="3" r:id="rId16"/>
  </pivotCaches>
  <extLst>
    <ext xmlns:x14="http://schemas.microsoft.com/office/spreadsheetml/2009/9/main" uri="{BBE1A952-AA13-448e-AADC-164F8A28A991}">
      <x14:slicerCaches>
        <x14:slicerCache r:id="rId17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J196" i="1" l="1"/>
  <c r="I6" i="13" l="1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5" i="13"/>
  <c r="J60" i="1"/>
  <c r="J227" i="1"/>
  <c r="J176" i="1"/>
  <c r="J239" i="1"/>
  <c r="J215" i="1"/>
  <c r="J12" i="1"/>
  <c r="J115" i="1"/>
  <c r="J158" i="1"/>
  <c r="J32" i="1"/>
  <c r="J116" i="1"/>
  <c r="J153" i="1"/>
  <c r="J130" i="1"/>
  <c r="J117" i="1"/>
  <c r="J131" i="1"/>
  <c r="J33" i="1"/>
  <c r="J194" i="1"/>
  <c r="J295" i="1"/>
  <c r="J177" i="1"/>
  <c r="J132" i="1"/>
  <c r="J195" i="1"/>
  <c r="J257" i="1"/>
  <c r="J206" i="1"/>
  <c r="J258" i="1"/>
  <c r="J95" i="1"/>
  <c r="J200" i="1"/>
  <c r="J67" i="1"/>
  <c r="J22" i="1"/>
  <c r="J228" i="1"/>
  <c r="J68" i="1"/>
  <c r="J23" i="1"/>
  <c r="J118" i="1"/>
  <c r="J34" i="1"/>
  <c r="J279" i="1"/>
  <c r="J69" i="1"/>
  <c r="J13" i="1"/>
  <c r="J35" i="1"/>
  <c r="J216" i="1"/>
  <c r="J269" i="1"/>
  <c r="J133" i="1"/>
  <c r="J286" i="1"/>
  <c r="J259" i="1"/>
  <c r="J240" i="1"/>
  <c r="J187" i="1"/>
  <c r="J101" i="1"/>
  <c r="J36" i="1"/>
  <c r="J134" i="1"/>
  <c r="J260" i="1"/>
  <c r="J178" i="1"/>
  <c r="J287" i="1"/>
  <c r="J217" i="1"/>
  <c r="J70" i="1"/>
  <c r="J229" i="1"/>
  <c r="J56" i="1"/>
  <c r="J37" i="1"/>
  <c r="J218" i="1"/>
  <c r="J261" i="1"/>
  <c r="J288" i="1"/>
  <c r="J202" i="1"/>
  <c r="J24" i="1"/>
  <c r="J14" i="1"/>
  <c r="J159" i="1"/>
  <c r="J135" i="1"/>
  <c r="J241" i="1"/>
  <c r="J293" i="1"/>
  <c r="J119" i="1"/>
  <c r="J262" i="1"/>
  <c r="J203" i="1"/>
  <c r="J191" i="1"/>
  <c r="J250" i="1"/>
  <c r="J179" i="1"/>
  <c r="J230" i="1"/>
  <c r="J38" i="1"/>
  <c r="J263" i="1"/>
  <c r="J219" i="1"/>
  <c r="J136" i="1"/>
  <c r="J165" i="1"/>
  <c r="J212" i="1"/>
  <c r="J57" i="1"/>
  <c r="J270" i="1"/>
  <c r="J58" i="1"/>
  <c r="J271" i="1"/>
  <c r="J180" i="1"/>
  <c r="J207" i="1"/>
  <c r="J71" i="1"/>
  <c r="J188" i="1"/>
  <c r="J137" i="1"/>
  <c r="J204" i="1"/>
  <c r="J120" i="1"/>
  <c r="J25" i="1"/>
  <c r="J102" i="1"/>
  <c r="J294" i="1"/>
  <c r="J242" i="1"/>
  <c r="J251" i="1"/>
  <c r="J39" i="1"/>
  <c r="J103" i="1"/>
  <c r="J213" i="1"/>
  <c r="J40" i="1"/>
  <c r="J15" i="1"/>
  <c r="J138" i="1"/>
  <c r="J160" i="1"/>
  <c r="J104" i="1"/>
  <c r="J181" i="1"/>
  <c r="J182" i="1"/>
  <c r="J41" i="1"/>
  <c r="J16" i="1"/>
  <c r="J26" i="1"/>
  <c r="J42" i="1"/>
  <c r="J73" i="1"/>
  <c r="J139" i="1"/>
  <c r="J280" i="1"/>
  <c r="J161" i="1"/>
  <c r="J121" i="1"/>
  <c r="J220" i="1"/>
  <c r="J284" i="1"/>
  <c r="J74" i="1"/>
  <c r="J231" i="1"/>
  <c r="J232" i="1"/>
  <c r="J75" i="1"/>
  <c r="J166" i="1"/>
  <c r="J140" i="1"/>
  <c r="J105" i="1"/>
  <c r="J141" i="1"/>
  <c r="J76" i="1"/>
  <c r="J122" i="1"/>
  <c r="J142" i="1"/>
  <c r="J189" i="1"/>
  <c r="J143" i="1"/>
  <c r="J221" i="1"/>
  <c r="J123" i="1"/>
  <c r="J208" i="1"/>
  <c r="J190" i="1"/>
  <c r="J144" i="1"/>
  <c r="J264" i="1"/>
  <c r="J59" i="1"/>
  <c r="J17" i="1"/>
  <c r="J272" i="1"/>
  <c r="J167" i="1"/>
  <c r="J265" i="1"/>
  <c r="J275" i="1"/>
  <c r="J106" i="1"/>
  <c r="J243" i="1"/>
  <c r="J43" i="1"/>
  <c r="J61" i="1"/>
  <c r="J107" i="1"/>
  <c r="J233" i="1"/>
  <c r="J108" i="1"/>
  <c r="J192" i="1"/>
  <c r="J281" i="1"/>
  <c r="J273" i="1"/>
  <c r="J77" i="1"/>
  <c r="J222" i="1"/>
  <c r="J252" i="1"/>
  <c r="J253" i="1"/>
  <c r="J162" i="1"/>
  <c r="J289" i="1"/>
  <c r="J290" i="1"/>
  <c r="J124" i="1"/>
  <c r="J145" i="1"/>
  <c r="J276" i="1"/>
  <c r="J125" i="1"/>
  <c r="J183" i="1"/>
  <c r="J244" i="1"/>
  <c r="J44" i="1"/>
  <c r="J55" i="1"/>
  <c r="J223" i="1"/>
  <c r="J18" i="1"/>
  <c r="J78" i="1"/>
  <c r="J19" i="1"/>
  <c r="J168" i="1"/>
  <c r="J169" i="1"/>
  <c r="J266" i="1"/>
  <c r="J267" i="1"/>
  <c r="J254" i="1"/>
  <c r="J198" i="1"/>
  <c r="J96" i="1"/>
  <c r="J285" i="1"/>
  <c r="J170" i="1"/>
  <c r="J282" i="1"/>
  <c r="J45" i="1"/>
  <c r="J245" i="1"/>
  <c r="J146" i="1"/>
  <c r="J171" i="1"/>
  <c r="J79" i="1"/>
  <c r="J126" i="1"/>
  <c r="J127" i="1"/>
  <c r="J224" i="1"/>
  <c r="J205" i="1"/>
  <c r="J81" i="1"/>
  <c r="J80" i="1"/>
  <c r="J291" i="1"/>
  <c r="J46" i="1"/>
  <c r="J209" i="1"/>
  <c r="J47" i="1"/>
  <c r="J48" i="1"/>
  <c r="J109" i="1"/>
  <c r="J82" i="1"/>
  <c r="J83" i="1"/>
  <c r="J197" i="1"/>
  <c r="J154" i="1"/>
  <c r="J163" i="1"/>
  <c r="J110" i="1"/>
  <c r="J84" i="1"/>
  <c r="J62" i="1"/>
  <c r="J296" i="1"/>
  <c r="J147" i="1"/>
  <c r="J111" i="1"/>
  <c r="J128" i="1"/>
  <c r="J246" i="1"/>
  <c r="J199" i="1"/>
  <c r="J184" i="1"/>
  <c r="J129" i="1"/>
  <c r="J172" i="1"/>
  <c r="J97" i="1"/>
  <c r="J225" i="1"/>
  <c r="J63" i="1"/>
  <c r="J274" i="1"/>
  <c r="J277" i="1"/>
  <c r="J64" i="1"/>
  <c r="J173" i="1"/>
  <c r="J27" i="1"/>
  <c r="J155" i="1"/>
  <c r="J85" i="1"/>
  <c r="J234" i="1"/>
  <c r="J86" i="1"/>
  <c r="J164" i="1"/>
  <c r="J65" i="1"/>
  <c r="J278" i="1"/>
  <c r="J72" i="1"/>
  <c r="J98" i="1"/>
  <c r="J148" i="1"/>
  <c r="J112" i="1"/>
  <c r="J247" i="1"/>
  <c r="J20" i="1"/>
  <c r="J28" i="1"/>
  <c r="J255" i="1"/>
  <c r="J174" i="1"/>
  <c r="J49" i="1"/>
  <c r="J248" i="1"/>
  <c r="J185" i="1"/>
  <c r="J268" i="1"/>
  <c r="J149" i="1"/>
  <c r="J175" i="1"/>
  <c r="J87" i="1"/>
  <c r="J235" i="1"/>
  <c r="J201" i="1"/>
  <c r="J50" i="1"/>
  <c r="J256" i="1"/>
  <c r="J193" i="1"/>
  <c r="J51" i="1"/>
  <c r="J88" i="1"/>
  <c r="J29" i="1"/>
  <c r="J236" i="1"/>
  <c r="J89" i="1"/>
  <c r="J156" i="1"/>
  <c r="J226" i="1"/>
  <c r="J90" i="1"/>
  <c r="J249" i="1"/>
  <c r="J150" i="1"/>
  <c r="J210" i="1"/>
  <c r="J211" i="1"/>
  <c r="J91" i="1"/>
  <c r="J92" i="1"/>
  <c r="J237" i="1"/>
  <c r="J283" i="1"/>
  <c r="J238" i="1"/>
  <c r="J99" i="1"/>
  <c r="J52" i="1"/>
  <c r="J100" i="1"/>
  <c r="J186" i="1"/>
  <c r="J21" i="1"/>
  <c r="J214" i="1"/>
  <c r="J113" i="1"/>
  <c r="J157" i="1"/>
  <c r="J151" i="1"/>
  <c r="J30" i="1"/>
  <c r="J93" i="1"/>
  <c r="J53" i="1"/>
  <c r="J94" i="1"/>
  <c r="J54" i="1"/>
  <c r="J66" i="1"/>
  <c r="J292" i="1"/>
  <c r="J152" i="1"/>
  <c r="J114" i="1"/>
  <c r="J31" i="1"/>
</calcChain>
</file>

<file path=xl/sharedStrings.xml><?xml version="1.0" encoding="utf-8"?>
<sst xmlns="http://schemas.openxmlformats.org/spreadsheetml/2006/main" count="3410" uniqueCount="862">
  <si>
    <t>NOM</t>
  </si>
  <si>
    <t>PRENOM</t>
  </si>
  <si>
    <t>DIRECTION</t>
  </si>
  <si>
    <t>SITE</t>
  </si>
  <si>
    <t>PIECE</t>
  </si>
  <si>
    <t>SALAIRE</t>
  </si>
  <si>
    <t>sexe</t>
  </si>
  <si>
    <t>AGE</t>
  </si>
  <si>
    <t>ABENHAÏM</t>
  </si>
  <si>
    <t>Myriam</t>
  </si>
  <si>
    <t>CCS DXO</t>
  </si>
  <si>
    <t>Paris</t>
  </si>
  <si>
    <t>pièce 58</t>
  </si>
  <si>
    <t>femme</t>
  </si>
  <si>
    <t>ABSCHEN</t>
  </si>
  <si>
    <t>Paul</t>
  </si>
  <si>
    <t>CCS AGL</t>
  </si>
  <si>
    <t>pièce 74</t>
  </si>
  <si>
    <t>homme</t>
  </si>
  <si>
    <t>ADAMO</t>
  </si>
  <si>
    <t>Stéphane</t>
  </si>
  <si>
    <t>CCS OGT</t>
  </si>
  <si>
    <t>pièce 73</t>
  </si>
  <si>
    <t>AGAPOF</t>
  </si>
  <si>
    <t>Brigitte</t>
  </si>
  <si>
    <t>CFS CO</t>
  </si>
  <si>
    <t>Nice</t>
  </si>
  <si>
    <t>pièce 109</t>
  </si>
  <si>
    <t>ALEMBERT</t>
  </si>
  <si>
    <t>Jean</t>
  </si>
  <si>
    <t>pièce 134</t>
  </si>
  <si>
    <t>AMARA</t>
  </si>
  <si>
    <t>Nicolas</t>
  </si>
  <si>
    <t>pièce 80</t>
  </si>
  <si>
    <t>AMELLAL</t>
  </si>
  <si>
    <t>Jean-Marc</t>
  </si>
  <si>
    <t>pièce 232</t>
  </si>
  <si>
    <t>Viviane</t>
  </si>
  <si>
    <t>CCS DPO</t>
  </si>
  <si>
    <t>Strasbourg</t>
  </si>
  <si>
    <t>Henri</t>
  </si>
  <si>
    <t>inconnu</t>
  </si>
  <si>
    <t>ANGONIN</t>
  </si>
  <si>
    <t>Jean-Pierre</t>
  </si>
  <si>
    <t>CFS FSC</t>
  </si>
  <si>
    <t>pièce 70</t>
  </si>
  <si>
    <t>AZOURA</t>
  </si>
  <si>
    <t>AZRIA</t>
  </si>
  <si>
    <t>Maryse</t>
  </si>
  <si>
    <t>SNPO</t>
  </si>
  <si>
    <t>pièce 233</t>
  </si>
  <si>
    <t>BACH</t>
  </si>
  <si>
    <t>Ginette</t>
  </si>
  <si>
    <t>pièce 90</t>
  </si>
  <si>
    <t>BAH</t>
  </si>
  <si>
    <t>Paule</t>
  </si>
  <si>
    <t>pièce 131</t>
  </si>
  <si>
    <t>BARNAUD</t>
  </si>
  <si>
    <t>Janine</t>
  </si>
  <si>
    <t>CFS ONF</t>
  </si>
  <si>
    <t>Monique</t>
  </si>
  <si>
    <t>Margaret</t>
  </si>
  <si>
    <t>pièce 34</t>
  </si>
  <si>
    <t>BASS</t>
  </si>
  <si>
    <t>Thierry</t>
  </si>
  <si>
    <t>pièce 35</t>
  </si>
  <si>
    <t>BAUDET</t>
  </si>
  <si>
    <t>Arlette</t>
  </si>
  <si>
    <t>pièce 91</t>
  </si>
  <si>
    <t>Michele</t>
  </si>
  <si>
    <t>pièce 96</t>
  </si>
  <si>
    <t>BEAUDEAU</t>
  </si>
  <si>
    <t>Gérard</t>
  </si>
  <si>
    <t>CFS AG</t>
  </si>
  <si>
    <t>pièce 212</t>
  </si>
  <si>
    <t>BEAUMIER</t>
  </si>
  <si>
    <t>Isabelle</t>
  </si>
  <si>
    <t>pièce 17</t>
  </si>
  <si>
    <t>BEDO</t>
  </si>
  <si>
    <t>pièce 219</t>
  </si>
  <si>
    <t>BEETHOVEN</t>
  </si>
  <si>
    <t>BENHAMOU</t>
  </si>
  <si>
    <t>Jeanine</t>
  </si>
  <si>
    <t>BENSIMHON</t>
  </si>
  <si>
    <t>Pascal</t>
  </si>
  <si>
    <t>BENSIMON</t>
  </si>
  <si>
    <t>Elisabeth</t>
  </si>
  <si>
    <t>BÉRAUD</t>
  </si>
  <si>
    <t>Giséle</t>
  </si>
  <si>
    <t>pièce 245</t>
  </si>
  <si>
    <t>BERDUGO</t>
  </si>
  <si>
    <t>Bernadette</t>
  </si>
  <si>
    <t>pièce 64</t>
  </si>
  <si>
    <t>BERTOLO</t>
  </si>
  <si>
    <t>Claudie</t>
  </si>
  <si>
    <t>pièce 238</t>
  </si>
  <si>
    <t>BERTRAND</t>
  </si>
  <si>
    <t>Roger</t>
  </si>
  <si>
    <t>BIDAULT</t>
  </si>
  <si>
    <t>Marie-Reine</t>
  </si>
  <si>
    <t>BINET</t>
  </si>
  <si>
    <t>Jacques</t>
  </si>
  <si>
    <t>Emmanuel</t>
  </si>
  <si>
    <t>pièce 55</t>
  </si>
  <si>
    <t>BLANC</t>
  </si>
  <si>
    <t>BLANCHOT</t>
  </si>
  <si>
    <t>Guy</t>
  </si>
  <si>
    <t>pièce 78</t>
  </si>
  <si>
    <t>BOLLO</t>
  </si>
  <si>
    <t>René</t>
  </si>
  <si>
    <t>pièce 107</t>
  </si>
  <si>
    <t>BONNAY</t>
  </si>
  <si>
    <t>Nadège</t>
  </si>
  <si>
    <t>BOUCHET</t>
  </si>
  <si>
    <t>Micheline</t>
  </si>
  <si>
    <t>BOUDART</t>
  </si>
  <si>
    <t>Martine</t>
  </si>
  <si>
    <t>pièce SEC</t>
  </si>
  <si>
    <t>BOULLICAUD</t>
  </si>
  <si>
    <t>Jean-Paul</t>
  </si>
  <si>
    <t>BOUN</t>
  </si>
  <si>
    <t>CFS  FSC</t>
  </si>
  <si>
    <t>BOUSLAH</t>
  </si>
  <si>
    <t>Fabien</t>
  </si>
  <si>
    <t>pièce 216</t>
  </si>
  <si>
    <t>BOUZCKAR</t>
  </si>
  <si>
    <t>Ghislaine</t>
  </si>
  <si>
    <t>BOVERO</t>
  </si>
  <si>
    <t>Gilbert</t>
  </si>
  <si>
    <t>BRELEUR</t>
  </si>
  <si>
    <t>BRON</t>
  </si>
  <si>
    <t>Géneviéve</t>
  </si>
  <si>
    <t>BRUNET</t>
  </si>
  <si>
    <t>Françoise</t>
  </si>
  <si>
    <t>BSIRI</t>
  </si>
  <si>
    <t>Marie-Rose</t>
  </si>
  <si>
    <t>AFO</t>
  </si>
  <si>
    <t>pièce 67</t>
  </si>
  <si>
    <t>CAILLOT</t>
  </si>
  <si>
    <t>Jocelyne</t>
  </si>
  <si>
    <t>CALVET</t>
  </si>
  <si>
    <t>Christine</t>
  </si>
  <si>
    <t>CAPRON</t>
  </si>
  <si>
    <t>Claude</t>
  </si>
  <si>
    <t>CARRERA</t>
  </si>
  <si>
    <t>Victor</t>
  </si>
  <si>
    <t>pièce 129</t>
  </si>
  <si>
    <t>CHAMBLAS</t>
  </si>
  <si>
    <t>CHARDON</t>
  </si>
  <si>
    <t>Annick</t>
  </si>
  <si>
    <t>CHAUBEAU</t>
  </si>
  <si>
    <t>Louis</t>
  </si>
  <si>
    <t>pièce 83</t>
  </si>
  <si>
    <t>CHAVES</t>
  </si>
  <si>
    <t>pièce 51</t>
  </si>
  <si>
    <t>CHEHMAT</t>
  </si>
  <si>
    <t>CHHUOR</t>
  </si>
  <si>
    <t>Anne-Marie</t>
  </si>
  <si>
    <t>CHI</t>
  </si>
  <si>
    <t>Nicole</t>
  </si>
  <si>
    <t>CHICHE</t>
  </si>
  <si>
    <t>Vincent</t>
  </si>
  <si>
    <t>pièce 95</t>
  </si>
  <si>
    <t>CHIFFLET</t>
  </si>
  <si>
    <t>Ingrid</t>
  </si>
  <si>
    <t>CLAVERIE</t>
  </si>
  <si>
    <t>Chantal</t>
  </si>
  <si>
    <t>COHEN</t>
  </si>
  <si>
    <t>Christian</t>
  </si>
  <si>
    <t>COMTE</t>
  </si>
  <si>
    <t>Martin</t>
  </si>
  <si>
    <t>pièce 110</t>
  </si>
  <si>
    <t>CORBET</t>
  </si>
  <si>
    <t>pièce 104</t>
  </si>
  <si>
    <t>COUDERC</t>
  </si>
  <si>
    <t>pièce 97</t>
  </si>
  <si>
    <t>COUGET</t>
  </si>
  <si>
    <t>Denis</t>
  </si>
  <si>
    <t>pièce 66</t>
  </si>
  <si>
    <t>CRIÉ</t>
  </si>
  <si>
    <t>Michel</t>
  </si>
  <si>
    <t>CROMBEZ</t>
  </si>
  <si>
    <t>Katherine</t>
  </si>
  <si>
    <t>CUCIT</t>
  </si>
  <si>
    <t>CYMBALIST</t>
  </si>
  <si>
    <t>pièce 118</t>
  </si>
  <si>
    <t>DAMBSKI</t>
  </si>
  <si>
    <t>pièce 14</t>
  </si>
  <si>
    <t>DANIEL</t>
  </si>
  <si>
    <t>pièce 255</t>
  </si>
  <si>
    <t>DEAUCOURT</t>
  </si>
  <si>
    <t>DEDIEU</t>
  </si>
  <si>
    <t>Josselaine</t>
  </si>
  <si>
    <t>DEFRANCE</t>
  </si>
  <si>
    <t>Sylvanna</t>
  </si>
  <si>
    <t>DEGRENDEL</t>
  </si>
  <si>
    <t>Hubert</t>
  </si>
  <si>
    <t>DEIXONNE</t>
  </si>
  <si>
    <t>Nadine</t>
  </si>
  <si>
    <t>pièce 133</t>
  </si>
  <si>
    <t>DELAMARRE</t>
  </si>
  <si>
    <t>Jean-Luc</t>
  </si>
  <si>
    <t>DELUC</t>
  </si>
  <si>
    <t>DENIS</t>
  </si>
  <si>
    <t>Claudine</t>
  </si>
  <si>
    <t>pièce 136</t>
  </si>
  <si>
    <t>DESHAYES</t>
  </si>
  <si>
    <t>pièce 138</t>
  </si>
  <si>
    <t>DESROSES</t>
  </si>
  <si>
    <t>DESTAIN</t>
  </si>
  <si>
    <t>Roseline</t>
  </si>
  <si>
    <t>Yolande</t>
  </si>
  <si>
    <t>ATB</t>
  </si>
  <si>
    <t>pièce 53</t>
  </si>
  <si>
    <t>DI</t>
  </si>
  <si>
    <t>pièce 206</t>
  </si>
  <si>
    <t>DINIC</t>
  </si>
  <si>
    <t>DONG</t>
  </si>
  <si>
    <t>Huguette</t>
  </si>
  <si>
    <t>DOUCOURE</t>
  </si>
  <si>
    <t>Jean-Jacques</t>
  </si>
  <si>
    <t>pièce 115</t>
  </si>
  <si>
    <t>DUPRÉ</t>
  </si>
  <si>
    <t>Sophie</t>
  </si>
  <si>
    <t>pièce 62</t>
  </si>
  <si>
    <t>DURAND</t>
  </si>
  <si>
    <t>pièce 253</t>
  </si>
  <si>
    <t>pièce 225</t>
  </si>
  <si>
    <t>DUROC</t>
  </si>
  <si>
    <t>Annie</t>
  </si>
  <si>
    <t>EL KAABI</t>
  </si>
  <si>
    <t>pièce 56</t>
  </si>
  <si>
    <t>FABRE</t>
  </si>
  <si>
    <t>Didier</t>
  </si>
  <si>
    <t>FALZON</t>
  </si>
  <si>
    <t>Patricia</t>
  </si>
  <si>
    <t>pièce 22</t>
  </si>
  <si>
    <t>FARIDI</t>
  </si>
  <si>
    <t>FAUCHEUX</t>
  </si>
  <si>
    <t>pièce 220</t>
  </si>
  <si>
    <t>FAUQUIER</t>
  </si>
  <si>
    <t>Mireille</t>
  </si>
  <si>
    <t>pièce 241</t>
  </si>
  <si>
    <t>FAURE</t>
  </si>
  <si>
    <t>Simone</t>
  </si>
  <si>
    <t>pièce 105</t>
  </si>
  <si>
    <t>FAVRE</t>
  </si>
  <si>
    <t>Dany</t>
  </si>
  <si>
    <t>pièce 60</t>
  </si>
  <si>
    <t>FEDON</t>
  </si>
  <si>
    <t>pièce 132</t>
  </si>
  <si>
    <t>FERNANDEZ</t>
  </si>
  <si>
    <t>Suzanne</t>
  </si>
  <si>
    <t>Yvette</t>
  </si>
  <si>
    <t>FERRAND</t>
  </si>
  <si>
    <t>Danielle</t>
  </si>
  <si>
    <t>FILLEAU</t>
  </si>
  <si>
    <t>Sylvie</t>
  </si>
  <si>
    <t>FITOUSSI</t>
  </si>
  <si>
    <t>Samuel</t>
  </si>
  <si>
    <t>FOURNOL</t>
  </si>
  <si>
    <t>FRANÇOIS</t>
  </si>
  <si>
    <t>pièce S R</t>
  </si>
  <si>
    <t>FRENOIS</t>
  </si>
  <si>
    <t>FRETTE</t>
  </si>
  <si>
    <t>Daniel</t>
  </si>
  <si>
    <t>FRISA</t>
  </si>
  <si>
    <t>GARCIA</t>
  </si>
  <si>
    <t>Ghyslaine</t>
  </si>
  <si>
    <t>GEIL</t>
  </si>
  <si>
    <t>Dominique</t>
  </si>
  <si>
    <t>GENTIL</t>
  </si>
  <si>
    <t>Michelle</t>
  </si>
  <si>
    <t>pièce 227</t>
  </si>
  <si>
    <t>GEORGET</t>
  </si>
  <si>
    <t>Philippe</t>
  </si>
  <si>
    <t>GHAFFAR</t>
  </si>
  <si>
    <t>GHIBAUDO</t>
  </si>
  <si>
    <t>Magdeleine</t>
  </si>
  <si>
    <t>pièce 209</t>
  </si>
  <si>
    <t>GIRARD</t>
  </si>
  <si>
    <t>André</t>
  </si>
  <si>
    <t>pièce 202</t>
  </si>
  <si>
    <t>GIRAUDO</t>
  </si>
  <si>
    <t>GIRON</t>
  </si>
  <si>
    <t>GLYNATSIS</t>
  </si>
  <si>
    <t>Hervé</t>
  </si>
  <si>
    <t>pièce 82</t>
  </si>
  <si>
    <t>GONDOUIN</t>
  </si>
  <si>
    <t>Bernard</t>
  </si>
  <si>
    <t>GORZINSKY</t>
  </si>
  <si>
    <t>Odette</t>
  </si>
  <si>
    <t>GOUILLON</t>
  </si>
  <si>
    <t>GOYER</t>
  </si>
  <si>
    <t>GRAIN</t>
  </si>
  <si>
    <t>GUELT</t>
  </si>
  <si>
    <t>GUILLE</t>
  </si>
  <si>
    <t>GUITTON</t>
  </si>
  <si>
    <t>Francis</t>
  </si>
  <si>
    <t>GUYOT</t>
  </si>
  <si>
    <t>Pierre</t>
  </si>
  <si>
    <t>pièce 239</t>
  </si>
  <si>
    <t>HABRANT</t>
  </si>
  <si>
    <t>Moïse</t>
  </si>
  <si>
    <t>HARAULT</t>
  </si>
  <si>
    <t>Armelle</t>
  </si>
  <si>
    <t>pièce 32</t>
  </si>
  <si>
    <t>HERCLICH</t>
  </si>
  <si>
    <t>HERMANT</t>
  </si>
  <si>
    <t>HERSELIN</t>
  </si>
  <si>
    <t>pièce 20</t>
  </si>
  <si>
    <t>HEURAUX</t>
  </si>
  <si>
    <t>Catherine</t>
  </si>
  <si>
    <t>Franca</t>
  </si>
  <si>
    <t>ILARDO</t>
  </si>
  <si>
    <t>IMMEUBLE</t>
  </si>
  <si>
    <t>JOLIBOIS</t>
  </si>
  <si>
    <t>JOLY</t>
  </si>
  <si>
    <t>JUDITH</t>
  </si>
  <si>
    <t>KAC</t>
  </si>
  <si>
    <t>KARSENTY</t>
  </si>
  <si>
    <t>KILBURG</t>
  </si>
  <si>
    <t>KONGOLO</t>
  </si>
  <si>
    <t>KRIEF</t>
  </si>
  <si>
    <t>KTORZA</t>
  </si>
  <si>
    <t>Juliette</t>
  </si>
  <si>
    <t>LACIRE</t>
  </si>
  <si>
    <t>LADD</t>
  </si>
  <si>
    <t>LAIGUILLON</t>
  </si>
  <si>
    <t>LAM</t>
  </si>
  <si>
    <t>Pierrette</t>
  </si>
  <si>
    <t>pièce 135</t>
  </si>
  <si>
    <t>LAMBERT</t>
  </si>
  <si>
    <t>pièce 240</t>
  </si>
  <si>
    <t>LANLO</t>
  </si>
  <si>
    <t>LAUB</t>
  </si>
  <si>
    <t>pièce 33</t>
  </si>
  <si>
    <t>LE HYARIC</t>
  </si>
  <si>
    <t>LE LOCH</t>
  </si>
  <si>
    <t>pièce S/S</t>
  </si>
  <si>
    <t>LE PREVOST</t>
  </si>
  <si>
    <t>LEBAS</t>
  </si>
  <si>
    <t>Eliane</t>
  </si>
  <si>
    <t>LEBRETON</t>
  </si>
  <si>
    <t>Olivier</t>
  </si>
  <si>
    <t>LEDOUX</t>
  </si>
  <si>
    <t>Madeleine</t>
  </si>
  <si>
    <t>LEE</t>
  </si>
  <si>
    <t>LEFORT</t>
  </si>
  <si>
    <t>LEGRAND</t>
  </si>
  <si>
    <t>LEKA</t>
  </si>
  <si>
    <t>LEMAIRE</t>
  </si>
  <si>
    <t>LEMARIÉ</t>
  </si>
  <si>
    <t>pièce 234</t>
  </si>
  <si>
    <t>LÉVY</t>
  </si>
  <si>
    <t>Denise</t>
  </si>
  <si>
    <t>LOBJOY</t>
  </si>
  <si>
    <t>Patrick</t>
  </si>
  <si>
    <t>pièce 235</t>
  </si>
  <si>
    <t>LOUAPRE</t>
  </si>
  <si>
    <t>Louisette</t>
  </si>
  <si>
    <t>LY</t>
  </si>
  <si>
    <t>Jean-Claude</t>
  </si>
  <si>
    <t>MARECHAL</t>
  </si>
  <si>
    <t>MARINIER</t>
  </si>
  <si>
    <t>Marcel</t>
  </si>
  <si>
    <t>Christiane</t>
  </si>
  <si>
    <t>MARQUEZ</t>
  </si>
  <si>
    <t>Marie-Cecile</t>
  </si>
  <si>
    <t>MARTAUD</t>
  </si>
  <si>
    <t>MARTEL</t>
  </si>
  <si>
    <t>MARTI</t>
  </si>
  <si>
    <t>Anne</t>
  </si>
  <si>
    <t>CFS CHE</t>
  </si>
  <si>
    <t>MARTIN</t>
  </si>
  <si>
    <t>Franz</t>
  </si>
  <si>
    <t>France</t>
  </si>
  <si>
    <t>Laurent</t>
  </si>
  <si>
    <t>Jacqueline</t>
  </si>
  <si>
    <t>pièce 53B</t>
  </si>
  <si>
    <t>MECHARD</t>
  </si>
  <si>
    <t>Véronique</t>
  </si>
  <si>
    <t>MERCIER</t>
  </si>
  <si>
    <t>Evelyne</t>
  </si>
  <si>
    <t>MERLAUD</t>
  </si>
  <si>
    <t>MESROBIAN</t>
  </si>
  <si>
    <t>Joël</t>
  </si>
  <si>
    <t>pièce 12B</t>
  </si>
  <si>
    <t>MIANET</t>
  </si>
  <si>
    <t>Georges</t>
  </si>
  <si>
    <t>MICELI</t>
  </si>
  <si>
    <t>pièce 69</t>
  </si>
  <si>
    <t>MILLET</t>
  </si>
  <si>
    <t>Pasquale</t>
  </si>
  <si>
    <t>pièce 50</t>
  </si>
  <si>
    <t>MOINARD</t>
  </si>
  <si>
    <t>Loïc</t>
  </si>
  <si>
    <t>MOITA</t>
  </si>
  <si>
    <t>Onconnu</t>
  </si>
  <si>
    <t>pièce 222</t>
  </si>
  <si>
    <t>MONTFORT</t>
  </si>
  <si>
    <t>Huong</t>
  </si>
  <si>
    <t>pièce 251</t>
  </si>
  <si>
    <t>NAIMI</t>
  </si>
  <si>
    <t>NICOLLE</t>
  </si>
  <si>
    <t>OBEL</t>
  </si>
  <si>
    <t>Rolande</t>
  </si>
  <si>
    <t>OCLOO</t>
  </si>
  <si>
    <t>Thérése</t>
  </si>
  <si>
    <t>ONG</t>
  </si>
  <si>
    <t>PARINET</t>
  </si>
  <si>
    <t>Jean-Louis</t>
  </si>
  <si>
    <t>PARTOUCHE</t>
  </si>
  <si>
    <t>Robert</t>
  </si>
  <si>
    <t>PAVARD</t>
  </si>
  <si>
    <t>PEDRO</t>
  </si>
  <si>
    <t>PENALVA</t>
  </si>
  <si>
    <t>PERFETTO</t>
  </si>
  <si>
    <t>PERRUCHON</t>
  </si>
  <si>
    <t>Fabrice</t>
  </si>
  <si>
    <t>PESNOT</t>
  </si>
  <si>
    <t>PIDERIT</t>
  </si>
  <si>
    <t>POINSOT</t>
  </si>
  <si>
    <t>pièce 57</t>
  </si>
  <si>
    <t>POISSON</t>
  </si>
  <si>
    <t>PONTALIER</t>
  </si>
  <si>
    <t>POTRIQUET</t>
  </si>
  <si>
    <t>Claudette</t>
  </si>
  <si>
    <t>POUYADOU</t>
  </si>
  <si>
    <t>Josette</t>
  </si>
  <si>
    <t>PUAULT</t>
  </si>
  <si>
    <t>QUINTIN</t>
  </si>
  <si>
    <t>RAGEUL</t>
  </si>
  <si>
    <t>Marielle</t>
  </si>
  <si>
    <t>RAMBEAUD</t>
  </si>
  <si>
    <t>pièce 93</t>
  </si>
  <si>
    <t>RAMOND</t>
  </si>
  <si>
    <t>RAMOS</t>
  </si>
  <si>
    <t>Yvan</t>
  </si>
  <si>
    <t>Luc</t>
  </si>
  <si>
    <t>REMUND</t>
  </si>
  <si>
    <t>RENIER</t>
  </si>
  <si>
    <t>REVERDITO</t>
  </si>
  <si>
    <t>RIDEAU</t>
  </si>
  <si>
    <t>RIEGERT</t>
  </si>
  <si>
    <t>Raymonde</t>
  </si>
  <si>
    <t>RIESI</t>
  </si>
  <si>
    <t>François</t>
  </si>
  <si>
    <t>ROBERT</t>
  </si>
  <si>
    <t>Marie-Josée</t>
  </si>
  <si>
    <t>RODIER</t>
  </si>
  <si>
    <t>Régis</t>
  </si>
  <si>
    <t>ROGUET</t>
  </si>
  <si>
    <t>Colette</t>
  </si>
  <si>
    <t>ROLLAND</t>
  </si>
  <si>
    <t>Nathalie</t>
  </si>
  <si>
    <t>ROSAR</t>
  </si>
  <si>
    <t>Georgette</t>
  </si>
  <si>
    <t>ROSSO</t>
  </si>
  <si>
    <t>ROTENBERG</t>
  </si>
  <si>
    <t>ROULET</t>
  </si>
  <si>
    <t>SAADA</t>
  </si>
  <si>
    <t>SACCHET</t>
  </si>
  <si>
    <t>SAILLANT</t>
  </si>
  <si>
    <t>SAPIENCE</t>
  </si>
  <si>
    <t>Alain</t>
  </si>
  <si>
    <t>Lille</t>
  </si>
  <si>
    <t>SARFATI</t>
  </si>
  <si>
    <t>SAYAVONG</t>
  </si>
  <si>
    <t>Henriette</t>
  </si>
  <si>
    <t>SCHUSTER</t>
  </si>
  <si>
    <t>pièce 72</t>
  </si>
  <si>
    <t>SCOTTI</t>
  </si>
  <si>
    <t>SENG</t>
  </si>
  <si>
    <t>Cécile</t>
  </si>
  <si>
    <t>CFS</t>
  </si>
  <si>
    <t>SENILLE</t>
  </si>
  <si>
    <t>Marthe</t>
  </si>
  <si>
    <t>SENTEX</t>
  </si>
  <si>
    <t>SINSEAU</t>
  </si>
  <si>
    <t>SOK</t>
  </si>
  <si>
    <t>SONG</t>
  </si>
  <si>
    <t>Aline</t>
  </si>
  <si>
    <t>STOEFFLER</t>
  </si>
  <si>
    <t>James</t>
  </si>
  <si>
    <t>SUON</t>
  </si>
  <si>
    <t>William</t>
  </si>
  <si>
    <t>SURENA</t>
  </si>
  <si>
    <t>Adrienne</t>
  </si>
  <si>
    <t>TAIEB</t>
  </si>
  <si>
    <t>Marie-Claire</t>
  </si>
  <si>
    <t>TAN</t>
  </si>
  <si>
    <t>Joelle</t>
  </si>
  <si>
    <t>TANG</t>
  </si>
  <si>
    <t>TARDIF</t>
  </si>
  <si>
    <t>Marie-Paule</t>
  </si>
  <si>
    <t>pièce 21</t>
  </si>
  <si>
    <t>THAO</t>
  </si>
  <si>
    <t>Sylvain</t>
  </si>
  <si>
    <t>THIAM</t>
  </si>
  <si>
    <t>THOQUENNE</t>
  </si>
  <si>
    <t>Lydia</t>
  </si>
  <si>
    <t>UNG</t>
  </si>
  <si>
    <t>Janick</t>
  </si>
  <si>
    <t>VANNAXAY</t>
  </si>
  <si>
    <t>VASSEUR</t>
  </si>
  <si>
    <t>VIAND</t>
  </si>
  <si>
    <t>VIDON</t>
  </si>
  <si>
    <t>pièce 236</t>
  </si>
  <si>
    <t>VINET</t>
  </si>
  <si>
    <t>Marie-José</t>
  </si>
  <si>
    <t>ZANOTI</t>
  </si>
  <si>
    <t>ZAOUI</t>
  </si>
  <si>
    <t>Liliane</t>
  </si>
  <si>
    <t>pièce 201</t>
  </si>
  <si>
    <t>ZENOU</t>
  </si>
  <si>
    <t>ZHOU</t>
  </si>
  <si>
    <t>ZIHOUNE</t>
  </si>
  <si>
    <t>ZOUC</t>
  </si>
  <si>
    <t>Fred</t>
  </si>
  <si>
    <t>date de 
naisssance</t>
  </si>
  <si>
    <t>tranche 
d'âges</t>
  </si>
  <si>
    <t>ROLLAIS</t>
  </si>
  <si>
    <t>FAYARD</t>
  </si>
  <si>
    <t>TAMBURINI</t>
  </si>
  <si>
    <t>BARBACHO</t>
  </si>
  <si>
    <t>LACHAUS</t>
  </si>
  <si>
    <t>HUTOWSKI</t>
  </si>
  <si>
    <t>GUTFREUD</t>
  </si>
  <si>
    <t>GILINGHAM</t>
  </si>
  <si>
    <t>BARANDON</t>
  </si>
  <si>
    <t>BARCHINA</t>
  </si>
  <si>
    <t>CHRISTO</t>
  </si>
  <si>
    <t>DROUVILLE</t>
  </si>
  <si>
    <t>Marie</t>
  </si>
  <si>
    <t>Louise</t>
  </si>
  <si>
    <t>Hélène</t>
  </si>
  <si>
    <t>Jeanne</t>
  </si>
  <si>
    <t>(</t>
  </si>
  <si>
    <t>A)</t>
  </si>
  <si>
    <t>Construire un tableau croisé dynamique pour calculer la moyenne des salaires par âge et par sexe</t>
  </si>
  <si>
    <t>B)</t>
  </si>
  <si>
    <t>Calculer le nombre de personnes par site</t>
  </si>
  <si>
    <t>C)</t>
  </si>
  <si>
    <t>Calculer la répartition du nombre de personnes par site et par sexe</t>
  </si>
  <si>
    <t>D)</t>
  </si>
  <si>
    <t>Calculer la somme des salaires versés par site et par sexe</t>
  </si>
  <si>
    <t>E)</t>
  </si>
  <si>
    <t>Calculer la somme des salires versés par site</t>
  </si>
  <si>
    <t>F)</t>
  </si>
  <si>
    <t>Calculer la moyenne, la valeur max et min et le nombre de personnes par tranche d'âge</t>
  </si>
  <si>
    <t>Nom</t>
  </si>
  <si>
    <t>Pays</t>
  </si>
  <si>
    <t>Région</t>
  </si>
  <si>
    <t>Couleur</t>
  </si>
  <si>
    <t>Millésime</t>
  </si>
  <si>
    <t>Stock</t>
  </si>
  <si>
    <t>Prix</t>
  </si>
  <si>
    <t>Valeur</t>
  </si>
  <si>
    <t>Barolo</t>
  </si>
  <si>
    <t>Italie</t>
  </si>
  <si>
    <t>Piémont</t>
  </si>
  <si>
    <t>rouge</t>
  </si>
  <si>
    <t>Beaujolais</t>
  </si>
  <si>
    <t>Bourgogne</t>
  </si>
  <si>
    <t>Bordeaux</t>
  </si>
  <si>
    <t>blanc</t>
  </si>
  <si>
    <t>Brolio</t>
  </si>
  <si>
    <t>Toscane</t>
  </si>
  <si>
    <t>Chablis</t>
  </si>
  <si>
    <t>Chianti</t>
  </si>
  <si>
    <t>Frascati</t>
  </si>
  <si>
    <t>Rome</t>
  </si>
  <si>
    <t>Freisa</t>
  </si>
  <si>
    <t>Grignolino</t>
  </si>
  <si>
    <t>Madiran</t>
  </si>
  <si>
    <t>Médoc</t>
  </si>
  <si>
    <t>Müller-Turgau</t>
  </si>
  <si>
    <t>Allemagne</t>
  </si>
  <si>
    <t>Moselle</t>
  </si>
  <si>
    <t>Oppenheimer</t>
  </si>
  <si>
    <t>Rhin</t>
  </si>
  <si>
    <t>Ortenau</t>
  </si>
  <si>
    <t>Baden</t>
  </si>
  <si>
    <t>Ravello</t>
  </si>
  <si>
    <t>Salerno</t>
  </si>
  <si>
    <t>rosé</t>
  </si>
  <si>
    <t>Riesling</t>
  </si>
  <si>
    <t>Sauternes</t>
  </si>
  <si>
    <t>Silvaner</t>
  </si>
  <si>
    <t>Soave</t>
  </si>
  <si>
    <t>Vérone</t>
  </si>
  <si>
    <t>Valpolicella</t>
  </si>
  <si>
    <t>Stock 
mini</t>
  </si>
  <si>
    <t>RETOUR AU SOMMAIRE</t>
  </si>
  <si>
    <t>EXERCICE 1 : Cave à vins</t>
  </si>
  <si>
    <t>EXERCICE 2 : Employés de l'usine</t>
  </si>
  <si>
    <t>retour au sommaire</t>
  </si>
  <si>
    <t>Matricule</t>
  </si>
  <si>
    <t>Prenom</t>
  </si>
  <si>
    <t>Adresse</t>
  </si>
  <si>
    <t>Ville</t>
  </si>
  <si>
    <t>Service</t>
  </si>
  <si>
    <t>MANVUSSA</t>
  </si>
  <si>
    <t>ENTENDS</t>
  </si>
  <si>
    <t>GOLAND</t>
  </si>
  <si>
    <t>LACAZE</t>
  </si>
  <si>
    <t>THOMAS</t>
  </si>
  <si>
    <t>MANVUT</t>
  </si>
  <si>
    <t>MENTATION</t>
  </si>
  <si>
    <t>NOCHE</t>
  </si>
  <si>
    <t>VERSAIRE</t>
  </si>
  <si>
    <t>GONZOLA</t>
  </si>
  <si>
    <t>HATOIT</t>
  </si>
  <si>
    <t>SUFY</t>
  </si>
  <si>
    <t>QUICHOTTE</t>
  </si>
  <si>
    <t>ANGILE</t>
  </si>
  <si>
    <t>ATTAN</t>
  </si>
  <si>
    <t>BOTTE</t>
  </si>
  <si>
    <t>LAMENASSE</t>
  </si>
  <si>
    <t>VERITABLE</t>
  </si>
  <si>
    <t>DUPOND</t>
  </si>
  <si>
    <t>LATTE</t>
  </si>
  <si>
    <t>LINGUE</t>
  </si>
  <si>
    <t>NAVAL</t>
  </si>
  <si>
    <t>DUPONT</t>
  </si>
  <si>
    <t>DUTOU</t>
  </si>
  <si>
    <t>INJIEN</t>
  </si>
  <si>
    <t>NANA</t>
  </si>
  <si>
    <t>NIJUP</t>
  </si>
  <si>
    <t>QUIROUL</t>
  </si>
  <si>
    <t>VITTE</t>
  </si>
  <si>
    <t>BULLANT</t>
  </si>
  <si>
    <t>DELAIT</t>
  </si>
  <si>
    <t>DRATE</t>
  </si>
  <si>
    <t>OUTAN</t>
  </si>
  <si>
    <t>TOULEMONDE</t>
  </si>
  <si>
    <t>BRASSUS</t>
  </si>
  <si>
    <t>DUPONDOUR</t>
  </si>
  <si>
    <t>TERIEUR</t>
  </si>
  <si>
    <t>TILLARD</t>
  </si>
  <si>
    <t>BONNOT</t>
  </si>
  <si>
    <t>DEMANGER</t>
  </si>
  <si>
    <t>LINGOT</t>
  </si>
  <si>
    <t>DELPOMME</t>
  </si>
  <si>
    <t>DOLINE</t>
  </si>
  <si>
    <t>NIETTE</t>
  </si>
  <si>
    <t>TOMICK</t>
  </si>
  <si>
    <t>VEUDEUX</t>
  </si>
  <si>
    <t>GONZOLLA</t>
  </si>
  <si>
    <t>Noms</t>
  </si>
  <si>
    <t>Avenue Des Gerards</t>
  </si>
  <si>
    <t>190 Rue De La Lorgnette</t>
  </si>
  <si>
    <t>Boulevard Des Henry</t>
  </si>
  <si>
    <t>3 Avenue De La Louisiane</t>
  </si>
  <si>
    <t>Rue De L'Eglise</t>
  </si>
  <si>
    <t>Rue Des Alli</t>
  </si>
  <si>
    <t>18 Rue Du Fort</t>
  </si>
  <si>
    <t>18 Rue De La Passion</t>
  </si>
  <si>
    <t>Res Des Capucines</t>
  </si>
  <si>
    <t>Boulevard Des Edgards</t>
  </si>
  <si>
    <t>Boulevard Des Sammes</t>
  </si>
  <si>
    <t>45 Rue Des Dons</t>
  </si>
  <si>
    <t>Avenue Des Eve</t>
  </si>
  <si>
    <t>11 Allee Des Charles</t>
  </si>
  <si>
    <t>34 Rue Des Sam</t>
  </si>
  <si>
    <t>135 Allee Jean Jaures</t>
  </si>
  <si>
    <t>67 Rue Du Tisser</t>
  </si>
  <si>
    <t>Rue Des Annies</t>
  </si>
  <si>
    <t>4 Chemin Du Chene Rouvre</t>
  </si>
  <si>
    <t>Rue Du Clocher</t>
  </si>
  <si>
    <t>Rue Des Karl</t>
  </si>
  <si>
    <t>24 Rue Du Faubourg</t>
  </si>
  <si>
    <t>140 Rue Du Tilleul</t>
  </si>
  <si>
    <t>Monts Des Valeriens</t>
  </si>
  <si>
    <t>Le Chateau D'If</t>
  </si>
  <si>
    <t>Rue Des Karoll</t>
  </si>
  <si>
    <t>Ruelle Du Jus</t>
  </si>
  <si>
    <t>123 Avenue Des La Marne</t>
  </si>
  <si>
    <t>Avenue Des Bijoutiers</t>
  </si>
  <si>
    <t>45 Boulevard Des Capucines</t>
  </si>
  <si>
    <t>104 Rue De Malo</t>
  </si>
  <si>
    <t>4 Place De La Republique</t>
  </si>
  <si>
    <t>Avenue Des Daisy</t>
  </si>
  <si>
    <t>Avenue Des Lorent</t>
  </si>
  <si>
    <t>Rue Des Pacome</t>
  </si>
  <si>
    <t>Allee Des Champs</t>
  </si>
  <si>
    <t>15 Avenue Daumesnil</t>
  </si>
  <si>
    <t>17 Bis Avenue Des Chenes</t>
  </si>
  <si>
    <t>45 Rue De Nulpart</t>
  </si>
  <si>
    <t>34 Boulevard Exterieur</t>
  </si>
  <si>
    <t>Place Jean Bart</t>
  </si>
  <si>
    <t>4 Avenue De L'Hotel De Ville</t>
  </si>
  <si>
    <t>34 Boulevard Des Pyrenees</t>
  </si>
  <si>
    <t>18 Quai Courbet</t>
  </si>
  <si>
    <t>13 Rue Du Tilleul</t>
  </si>
  <si>
    <t>46 Rue De Dunkerque</t>
  </si>
  <si>
    <t>Rue Des Lores</t>
  </si>
  <si>
    <t>90 Rue Des Anna</t>
  </si>
  <si>
    <t>23 Rue De Calais</t>
  </si>
  <si>
    <t>25 Rue Pierre Curie</t>
  </si>
  <si>
    <t>87 Rue Saint Jean</t>
  </si>
  <si>
    <t>Code 
postal</t>
  </si>
  <si>
    <t>Comptabilite</t>
  </si>
  <si>
    <t>Recherche</t>
  </si>
  <si>
    <t>Administratif</t>
  </si>
  <si>
    <t>Commercial</t>
  </si>
  <si>
    <t>Production</t>
  </si>
  <si>
    <t>Communication</t>
  </si>
  <si>
    <t>Amiens</t>
  </si>
  <si>
    <t>Calais</t>
  </si>
  <si>
    <t>Cambrai</t>
  </si>
  <si>
    <t>Lyon</t>
  </si>
  <si>
    <t>Marseille</t>
  </si>
  <si>
    <t>Metz</t>
  </si>
  <si>
    <t>Nantes</t>
  </si>
  <si>
    <t>Pau</t>
  </si>
  <si>
    <t>Rodez</t>
  </si>
  <si>
    <t>Toulouse</t>
  </si>
  <si>
    <t>Valence</t>
  </si>
  <si>
    <t>Salaire 
brut</t>
  </si>
  <si>
    <t>Max</t>
  </si>
  <si>
    <t>Thomas</t>
  </si>
  <si>
    <t>Gerard</t>
  </si>
  <si>
    <t>Arnaud</t>
  </si>
  <si>
    <t>Higor</t>
  </si>
  <si>
    <t>Francois</t>
  </si>
  <si>
    <t>Edgard</t>
  </si>
  <si>
    <t>Raymond</t>
  </si>
  <si>
    <t>Oscar</t>
  </si>
  <si>
    <t>Desire</t>
  </si>
  <si>
    <t>Edouard</t>
  </si>
  <si>
    <t>Rene</t>
  </si>
  <si>
    <t>Noemie</t>
  </si>
  <si>
    <t>Yvon</t>
  </si>
  <si>
    <t>Arthur</t>
  </si>
  <si>
    <t>Adam</t>
  </si>
  <si>
    <t>Alex</t>
  </si>
  <si>
    <t>Norbert</t>
  </si>
  <si>
    <t>Pepin</t>
  </si>
  <si>
    <t>Armand</t>
  </si>
  <si>
    <t>Igor</t>
  </si>
  <si>
    <t>EXERCICE 4 : Employés</t>
  </si>
  <si>
    <t>Date</t>
  </si>
  <si>
    <t>Instrument</t>
  </si>
  <si>
    <t>Catégorie</t>
  </si>
  <si>
    <t>C.A journalier</t>
  </si>
  <si>
    <t>Basson</t>
  </si>
  <si>
    <t>Vent</t>
  </si>
  <si>
    <t>Piano à queue</t>
  </si>
  <si>
    <t>Cordes</t>
  </si>
  <si>
    <t>Clairon</t>
  </si>
  <si>
    <t>Clarinette</t>
  </si>
  <si>
    <t>Contrebasse</t>
  </si>
  <si>
    <t>Guitare</t>
  </si>
  <si>
    <t>Cor anglais</t>
  </si>
  <si>
    <t>Hautbois</t>
  </si>
  <si>
    <t>Piano droit</t>
  </si>
  <si>
    <t>Saxophone</t>
  </si>
  <si>
    <t>Saxophone Soprano</t>
  </si>
  <si>
    <t>Saxophone Ténor</t>
  </si>
  <si>
    <t>Trompette</t>
  </si>
  <si>
    <t>Trompette d'harmonie</t>
  </si>
  <si>
    <t>Violon</t>
  </si>
  <si>
    <t>Baryton</t>
  </si>
  <si>
    <t>Cor Anglais</t>
  </si>
  <si>
    <t>Cornet à pistons</t>
  </si>
  <si>
    <t>Grande Flûte</t>
  </si>
  <si>
    <t>Petite flûte</t>
  </si>
  <si>
    <t>Violoncelle</t>
  </si>
  <si>
    <t>Hélicon</t>
  </si>
  <si>
    <t>Cornemuse</t>
  </si>
  <si>
    <t>Lyre</t>
  </si>
  <si>
    <t>Harmonica</t>
  </si>
  <si>
    <t>acordéon</t>
  </si>
  <si>
    <t>Carillon de fanfare</t>
  </si>
  <si>
    <t>Percussion et accessoires</t>
  </si>
  <si>
    <t>Flûte de pan</t>
  </si>
  <si>
    <t>Harmonium</t>
  </si>
  <si>
    <t>Orgue de barbarie</t>
  </si>
  <si>
    <t>Clavecin</t>
  </si>
  <si>
    <t>Mandoline</t>
  </si>
  <si>
    <t>Luth</t>
  </si>
  <si>
    <t>Triangle</t>
  </si>
  <si>
    <t>Banjo</t>
  </si>
  <si>
    <t>Cloches</t>
  </si>
  <si>
    <t>Cithare</t>
  </si>
  <si>
    <t>Harpe</t>
  </si>
  <si>
    <t>Tambour de basques</t>
  </si>
  <si>
    <t>Cymballes</t>
  </si>
  <si>
    <t>Castagnettes</t>
  </si>
  <si>
    <t>Grosse caisse</t>
  </si>
  <si>
    <t>Tambourin</t>
  </si>
  <si>
    <t>Guimbarde</t>
  </si>
  <si>
    <t>Xylophone</t>
  </si>
  <si>
    <t>MOIS</t>
  </si>
  <si>
    <t>PRODUIT</t>
  </si>
  <si>
    <t>REPRESENTANT</t>
  </si>
  <si>
    <t>REGION</t>
  </si>
  <si>
    <t>QUANTITE</t>
  </si>
  <si>
    <t>CA</t>
  </si>
  <si>
    <t>CLIENT</t>
  </si>
  <si>
    <t>Janvier</t>
  </si>
  <si>
    <t>jouets</t>
  </si>
  <si>
    <t>EST</t>
  </si>
  <si>
    <t>CARREFOUR</t>
  </si>
  <si>
    <t>bricolage</t>
  </si>
  <si>
    <t>OUEST</t>
  </si>
  <si>
    <t>AUCHAN</t>
  </si>
  <si>
    <t>librairie</t>
  </si>
  <si>
    <t>CENTRE</t>
  </si>
  <si>
    <t>LECLERC</t>
  </si>
  <si>
    <t>accessoires</t>
  </si>
  <si>
    <t>PAUL</t>
  </si>
  <si>
    <t>STOC</t>
  </si>
  <si>
    <t>NORD</t>
  </si>
  <si>
    <t>CORA</t>
  </si>
  <si>
    <t>alimentaire</t>
  </si>
  <si>
    <t>SUD</t>
  </si>
  <si>
    <t>legumes</t>
  </si>
  <si>
    <t>INTERMARCHE</t>
  </si>
  <si>
    <t>DUPRE</t>
  </si>
  <si>
    <t>Février</t>
  </si>
  <si>
    <t>EXERCICE 5 : MUSIQUE</t>
  </si>
  <si>
    <t>EXERCICE 6 : REPRESENTANTS</t>
  </si>
  <si>
    <t>EXERCICE 7 : FOURNISSEURS</t>
  </si>
  <si>
    <t>Flûte traversière</t>
  </si>
  <si>
    <t>Viole d'amour</t>
  </si>
  <si>
    <t>Décembre</t>
  </si>
  <si>
    <t>chocolat</t>
  </si>
  <si>
    <t>SALDICCO</t>
  </si>
  <si>
    <t>MONOPRIX</t>
  </si>
  <si>
    <t>BANJO</t>
  </si>
  <si>
    <t>MATRICULE</t>
  </si>
  <si>
    <t>ADRESSE</t>
  </si>
  <si>
    <t>CP</t>
  </si>
  <si>
    <t>VILLE</t>
  </si>
  <si>
    <t>SERVICE</t>
  </si>
  <si>
    <t>SORTIS</t>
  </si>
  <si>
    <t>=recherchev(Sélection du code pour lequel on cherche une info;Taper le nom de la base qui contient toutes les infos;N° de colonne où se trouve l'info à récupérer;0)</t>
  </si>
  <si>
    <t>Ca total</t>
  </si>
  <si>
    <t>Total général</t>
  </si>
  <si>
    <t>(Tous)</t>
  </si>
  <si>
    <t>Valeur totale</t>
  </si>
  <si>
    <t>Étiquettes de lignes</t>
  </si>
  <si>
    <t>Dates</t>
  </si>
  <si>
    <t>2015</t>
  </si>
  <si>
    <t>Trimestre1</t>
  </si>
  <si>
    <t>Trimestre2</t>
  </si>
  <si>
    <t>Trimestre3</t>
  </si>
  <si>
    <t>Trimestre4</t>
  </si>
  <si>
    <t>2016</t>
  </si>
  <si>
    <t>Total 2015</t>
  </si>
  <si>
    <t>Total 2016</t>
  </si>
  <si>
    <t>Total salaire</t>
  </si>
  <si>
    <t>Salaire moyen</t>
  </si>
  <si>
    <t>+ gros salaire</t>
  </si>
  <si>
    <t>+ petit salaire</t>
  </si>
  <si>
    <t>Nb employés</t>
  </si>
  <si>
    <t>GREDER</t>
  </si>
  <si>
    <t>CCS</t>
  </si>
  <si>
    <t>Pièce 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</si>
</sst>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#,##0.00\ &quot;F&quot;;[Red]\-#,##0.00\ &quot;F&quot;"/>
    <numFmt numFmtId="165" formatCode="_-* #,##0.00\ &quot;F&quot;_-;\-* #,##0.00\ &quot;F&quot;_-;_-* &quot;-&quot;??\ &quot;F&quot;_-;_-@_-"/>
    <numFmt numFmtId="166" formatCode="_-* #,##0.00\ _F_-;\-* #,##0.00\ _F_-;_-* &quot;-&quot;??\ _F_-;_-@_-"/>
    <numFmt numFmtId="167" formatCode="_-* #,##0.00\ [$€-1]_-;\-* #,##0.00\ [$€-1]_-;_-* &quot;-&quot;??\ [$€-1]_-"/>
    <numFmt numFmtId="168" formatCode="_-* #,##0\ _F_-;\-* #,##0\ _F_-;_-* &quot;-&quot;??\ _F_-;_-@_-"/>
    <numFmt numFmtId="169" formatCode="_-* #,##0\ &quot;F&quot;_-;\-* #,##0\ &quot;F&quot;_-;_-* &quot;-&quot;??\ &quot;F&quot;_-;_-@_-"/>
    <numFmt numFmtId="170" formatCode="#,##0\ &quot;€&quot;"/>
    <numFmt numFmtId="171" formatCode="dd/mm/yy;@"/>
    <numFmt numFmtId="172" formatCode="[$-40C]d\-mmm\-yy;@"/>
  </numFmts>
  <fonts count="23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Formal436 BT"/>
      <family val="4"/>
    </font>
    <font>
      <sz val="12"/>
      <name val="Formal436 BT"/>
      <family val="4"/>
    </font>
    <font>
      <b/>
      <sz val="12"/>
      <color indexed="9"/>
      <name val="Formal436 BT"/>
      <family val="4"/>
    </font>
    <font>
      <u/>
      <sz val="10"/>
      <color indexed="12"/>
      <name val="Arial"/>
      <family val="2"/>
    </font>
    <font>
      <u/>
      <sz val="16"/>
      <color indexed="20"/>
      <name val="Pooh"/>
    </font>
    <font>
      <u/>
      <sz val="16"/>
      <color indexed="9"/>
      <name val="Pooh"/>
    </font>
    <font>
      <sz val="10"/>
      <color indexed="9"/>
      <name val="Formal436 BT"/>
      <family val="4"/>
    </font>
    <font>
      <sz val="12"/>
      <name val="Times New Roman"/>
      <family val="1"/>
    </font>
    <font>
      <b/>
      <u/>
      <sz val="26"/>
      <color indexed="42"/>
      <name val="Summer's Clothesline"/>
    </font>
    <font>
      <u/>
      <sz val="14"/>
      <color indexed="12"/>
      <name val="Formal436 BT"/>
      <family val="4"/>
    </font>
    <font>
      <sz val="8"/>
      <name val="Arial"/>
      <family val="2"/>
    </font>
    <font>
      <sz val="16"/>
      <name val="Arial"/>
      <family val="2"/>
    </font>
    <font>
      <sz val="10"/>
      <color theme="0"/>
      <name val="Arial"/>
      <family val="2"/>
    </font>
    <font>
      <sz val="14"/>
      <color theme="0"/>
      <name val="Formal436 BT"/>
      <family val="4"/>
    </font>
    <font>
      <b/>
      <sz val="14"/>
      <color theme="0"/>
      <name val="Arial"/>
      <family val="2"/>
    </font>
    <font>
      <b/>
      <sz val="10"/>
      <color theme="0"/>
      <name val="Arial"/>
      <family val="2"/>
    </font>
    <font>
      <u/>
      <sz val="14"/>
      <color theme="0"/>
      <name val="Formal436 BT"/>
      <family val="4"/>
    </font>
    <font>
      <sz val="10"/>
      <color theme="1"/>
      <name val="Arial"/>
      <family val="2"/>
    </font>
    <font>
      <sz val="10"/>
      <name val="Wingdings"/>
      <charset val="2"/>
    </font>
    <font>
      <sz val="10"/>
      <name val="Formal436 BT"/>
    </font>
  </fonts>
  <fills count="9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/>
      <bottom style="thin">
        <color indexed="64"/>
      </bottom>
      <diagonal/>
    </border>
    <border>
      <left style="double">
        <color theme="8" tint="0.59996337778862885"/>
      </left>
      <right style="hair">
        <color theme="8" tint="0.59996337778862885"/>
      </right>
      <top style="double">
        <color theme="8" tint="0.59996337778862885"/>
      </top>
      <bottom style="hair">
        <color theme="8" tint="0.59996337778862885"/>
      </bottom>
      <diagonal/>
    </border>
    <border>
      <left style="double">
        <color theme="8" tint="0.59996337778862885"/>
      </left>
      <right style="hair">
        <color theme="8" tint="0.59996337778862885"/>
      </right>
      <top style="hair">
        <color theme="8" tint="0.59996337778862885"/>
      </top>
      <bottom style="hair">
        <color theme="8" tint="0.59996337778862885"/>
      </bottom>
      <diagonal/>
    </border>
    <border>
      <left style="hair">
        <color theme="8" tint="0.59996337778862885"/>
      </left>
      <right style="double">
        <color theme="8" tint="0.59996337778862885"/>
      </right>
      <top style="hair">
        <color theme="8" tint="0.59996337778862885"/>
      </top>
      <bottom style="hair">
        <color theme="8" tint="0.59996337778862885"/>
      </bottom>
      <diagonal/>
    </border>
    <border>
      <left style="double">
        <color theme="8" tint="0.59996337778862885"/>
      </left>
      <right style="hair">
        <color theme="8" tint="0.59996337778862885"/>
      </right>
      <top style="hair">
        <color theme="8" tint="0.59996337778862885"/>
      </top>
      <bottom style="double">
        <color theme="8" tint="0.59996337778862885"/>
      </bottom>
      <diagonal/>
    </border>
    <border>
      <left style="hair">
        <color theme="8" tint="0.59996337778862885"/>
      </left>
      <right style="double">
        <color theme="8" tint="0.59996337778862885"/>
      </right>
      <top style="hair">
        <color theme="8" tint="0.59996337778862885"/>
      </top>
      <bottom style="double">
        <color theme="8" tint="0.59996337778862885"/>
      </bottom>
      <diagonal/>
    </border>
    <border>
      <left style="hair">
        <color theme="8" tint="0.59996337778862885"/>
      </left>
      <right style="double">
        <color theme="8" tint="0.59996337778862885"/>
      </right>
      <top style="double">
        <color theme="8" tint="0.59996337778862885"/>
      </top>
      <bottom style="hair">
        <color theme="8" tint="0.59996337778862885"/>
      </bottom>
      <diagonal/>
    </border>
    <border>
      <left/>
      <right/>
      <top style="thin">
        <color theme="6" tint="0.39997558519241921"/>
      </top>
      <bottom/>
      <diagonal/>
    </border>
  </borders>
  <cellStyleXfs count="6">
    <xf numFmtId="0" fontId="0" fillId="0" borderId="0"/>
    <xf numFmtId="167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0" fillId="0" borderId="0"/>
  </cellStyleXfs>
  <cellXfs count="88">
    <xf numFmtId="0" fontId="0" fillId="0" borderId="0" xfId="0"/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167" fontId="4" fillId="0" borderId="2" xfId="4" applyNumberFormat="1" applyFont="1" applyBorder="1" applyAlignment="1">
      <alignment vertical="center"/>
    </xf>
    <xf numFmtId="167" fontId="4" fillId="0" borderId="2" xfId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3" fillId="0" borderId="0" xfId="5" applyFont="1"/>
    <xf numFmtId="1" fontId="3" fillId="0" borderId="0" xfId="5" applyNumberFormat="1" applyFont="1"/>
    <xf numFmtId="0" fontId="3" fillId="0" borderId="3" xfId="5" applyFont="1" applyBorder="1"/>
    <xf numFmtId="1" fontId="3" fillId="0" borderId="3" xfId="5" applyNumberFormat="1" applyFont="1" applyBorder="1"/>
    <xf numFmtId="0" fontId="9" fillId="4" borderId="3" xfId="5" applyFont="1" applyFill="1" applyBorder="1" applyAlignment="1">
      <alignment vertical="center"/>
    </xf>
    <xf numFmtId="0" fontId="3" fillId="0" borderId="0" xfId="5" applyFont="1" applyAlignment="1">
      <alignment vertical="center"/>
    </xf>
    <xf numFmtId="167" fontId="3" fillId="0" borderId="3" xfId="5" applyNumberFormat="1" applyFont="1" applyBorder="1"/>
    <xf numFmtId="0" fontId="9" fillId="4" borderId="3" xfId="5" applyFont="1" applyFill="1" applyBorder="1" applyAlignment="1">
      <alignment horizontal="center" vertical="center"/>
    </xf>
    <xf numFmtId="1" fontId="9" fillId="4" borderId="3" xfId="5" applyNumberFormat="1" applyFont="1" applyFill="1" applyBorder="1" applyAlignment="1">
      <alignment horizontal="center" vertical="center" wrapText="1"/>
    </xf>
    <xf numFmtId="0" fontId="9" fillId="4" borderId="3" xfId="5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165" fontId="0" fillId="0" borderId="0" xfId="4" applyFont="1"/>
    <xf numFmtId="168" fontId="0" fillId="0" borderId="1" xfId="3" applyNumberFormat="1" applyFont="1" applyBorder="1" applyAlignment="1">
      <alignment vertical="center"/>
    </xf>
    <xf numFmtId="0" fontId="12" fillId="0" borderId="4" xfId="2" applyFont="1" applyBorder="1" applyAlignment="1" applyProtection="1">
      <alignment horizontal="center"/>
    </xf>
    <xf numFmtId="167" fontId="0" fillId="0" borderId="1" xfId="1" applyFont="1" applyBorder="1" applyAlignment="1">
      <alignment vertical="center"/>
    </xf>
    <xf numFmtId="171" fontId="3" fillId="0" borderId="0" xfId="0" applyNumberFormat="1" applyFont="1"/>
    <xf numFmtId="172" fontId="3" fillId="0" borderId="0" xfId="0" applyNumberFormat="1" applyFont="1"/>
    <xf numFmtId="0" fontId="2" fillId="0" borderId="1" xfId="0" applyFont="1" applyBorder="1" applyAlignment="1">
      <alignment vertical="center"/>
    </xf>
    <xf numFmtId="0" fontId="15" fillId="6" borderId="0" xfId="0" applyFont="1" applyFill="1"/>
    <xf numFmtId="0" fontId="16" fillId="6" borderId="0" xfId="0" applyFont="1" applyFill="1"/>
    <xf numFmtId="0" fontId="15" fillId="6" borderId="5" xfId="0" applyFont="1" applyFill="1" applyBorder="1"/>
    <xf numFmtId="0" fontId="15" fillId="6" borderId="6" xfId="0" applyFont="1" applyFill="1" applyBorder="1"/>
    <xf numFmtId="0" fontId="15" fillId="6" borderId="7" xfId="0" applyFont="1" applyFill="1" applyBorder="1"/>
    <xf numFmtId="0" fontId="15" fillId="6" borderId="7" xfId="0" applyFont="1" applyFill="1" applyBorder="1" applyAlignment="1">
      <alignment horizontal="left"/>
    </xf>
    <xf numFmtId="0" fontId="15" fillId="6" borderId="8" xfId="0" applyFont="1" applyFill="1" applyBorder="1"/>
    <xf numFmtId="0" fontId="15" fillId="6" borderId="9" xfId="0" applyFont="1" applyFill="1" applyBorder="1" applyAlignment="1">
      <alignment horizontal="left"/>
    </xf>
    <xf numFmtId="0" fontId="17" fillId="6" borderId="10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18" fillId="6" borderId="1" xfId="0" applyFont="1" applyFill="1" applyBorder="1" applyAlignment="1">
      <alignment horizontal="center" vertical="center"/>
    </xf>
    <xf numFmtId="168" fontId="18" fillId="6" borderId="1" xfId="3" applyNumberFormat="1" applyFont="1" applyFill="1" applyBorder="1" applyAlignment="1">
      <alignment horizontal="center" vertical="center"/>
    </xf>
    <xf numFmtId="169" fontId="18" fillId="6" borderId="1" xfId="4" applyNumberFormat="1" applyFont="1" applyFill="1" applyBorder="1" applyAlignment="1">
      <alignment horizontal="center" vertical="center"/>
    </xf>
    <xf numFmtId="170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Fill="1" applyBorder="1" applyAlignment="1"/>
    <xf numFmtId="0" fontId="3" fillId="0" borderId="0" xfId="0" applyFont="1" applyFill="1" applyBorder="1"/>
    <xf numFmtId="164" fontId="3" fillId="0" borderId="0" xfId="0" applyNumberFormat="1" applyFont="1" applyFill="1" applyBorder="1"/>
    <xf numFmtId="15" fontId="3" fillId="0" borderId="0" xfId="0" applyNumberFormat="1" applyFont="1" applyFill="1" applyBorder="1"/>
    <xf numFmtId="0" fontId="3" fillId="0" borderId="0" xfId="0" applyFont="1" applyFill="1" applyBorder="1" applyAlignment="1">
      <alignment horizontal="center"/>
    </xf>
    <xf numFmtId="171" fontId="3" fillId="0" borderId="0" xfId="0" applyNumberFormat="1" applyFont="1" applyFill="1" applyBorder="1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171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2" fillId="0" borderId="0" xfId="0" applyFont="1" applyFill="1" applyAlignment="1"/>
    <xf numFmtId="0" fontId="22" fillId="0" borderId="0" xfId="0" applyFont="1" applyFill="1"/>
    <xf numFmtId="164" fontId="22" fillId="0" borderId="0" xfId="0" applyNumberFormat="1" applyFont="1" applyFill="1"/>
    <xf numFmtId="15" fontId="22" fillId="0" borderId="0" xfId="0" applyNumberFormat="1" applyFont="1" applyFill="1"/>
    <xf numFmtId="0" fontId="22" fillId="0" borderId="0" xfId="0" applyFont="1" applyFill="1" applyAlignment="1">
      <alignment horizontal="center"/>
    </xf>
    <xf numFmtId="0" fontId="20" fillId="7" borderId="11" xfId="0" applyFont="1" applyFill="1" applyBorder="1" applyAlignment="1">
      <alignment horizontal="center" vertical="center"/>
    </xf>
    <xf numFmtId="0" fontId="20" fillId="7" borderId="11" xfId="0" applyFont="1" applyFill="1" applyBorder="1" applyAlignment="1">
      <alignment vertical="center"/>
    </xf>
    <xf numFmtId="0" fontId="20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vertical="center"/>
    </xf>
    <xf numFmtId="14" fontId="20" fillId="7" borderId="11" xfId="0" applyNumberFormat="1" applyFont="1" applyFill="1" applyBorder="1" applyAlignment="1">
      <alignment vertical="center"/>
    </xf>
    <xf numFmtId="14" fontId="20" fillId="0" borderId="11" xfId="0" applyNumberFormat="1" applyFont="1" applyBorder="1" applyAlignment="1">
      <alignment vertical="center"/>
    </xf>
    <xf numFmtId="167" fontId="20" fillId="7" borderId="11" xfId="1" applyNumberFormat="1" applyFont="1" applyFill="1" applyBorder="1" applyAlignment="1">
      <alignment vertical="center"/>
    </xf>
    <xf numFmtId="167" fontId="20" fillId="0" borderId="11" xfId="1" applyNumberFormat="1" applyFont="1" applyBorder="1" applyAlignment="1">
      <alignment vertical="center"/>
    </xf>
    <xf numFmtId="0" fontId="18" fillId="8" borderId="0" xfId="0" applyFont="1" applyFill="1" applyBorder="1" applyAlignment="1">
      <alignment horizontal="center" vertical="center"/>
    </xf>
    <xf numFmtId="165" fontId="18" fillId="8" borderId="0" xfId="4" applyNumberFormat="1" applyFont="1" applyFill="1" applyBorder="1" applyAlignment="1">
      <alignment horizontal="center" vertical="center"/>
    </xf>
    <xf numFmtId="0" fontId="19" fillId="6" borderId="0" xfId="2" applyFont="1" applyFill="1" applyAlignment="1" applyProtection="1">
      <alignment horizontal="left"/>
    </xf>
    <xf numFmtId="0" fontId="15" fillId="6" borderId="0" xfId="0" applyFont="1" applyFill="1" applyAlignment="1">
      <alignment horizontal="left"/>
    </xf>
    <xf numFmtId="0" fontId="8" fillId="3" borderId="0" xfId="2" applyFont="1" applyFill="1" applyAlignment="1" applyProtection="1">
      <alignment horizontal="center"/>
    </xf>
    <xf numFmtId="0" fontId="7" fillId="2" borderId="0" xfId="2" applyFont="1" applyFill="1" applyAlignment="1" applyProtection="1">
      <alignment horizontal="center"/>
    </xf>
    <xf numFmtId="0" fontId="3" fillId="0" borderId="0" xfId="0" applyFont="1" applyAlignment="1">
      <alignment horizontal="left" vertical="top" wrapText="1"/>
    </xf>
    <xf numFmtId="171" fontId="3" fillId="0" borderId="0" xfId="0" applyNumberFormat="1" applyFont="1" applyAlignment="1">
      <alignment horizontal="left" vertical="top" wrapText="1"/>
    </xf>
    <xf numFmtId="49" fontId="14" fillId="0" borderId="0" xfId="0" applyNumberFormat="1" applyFont="1" applyAlignment="1">
      <alignment horizontal="center" wrapText="1"/>
    </xf>
    <xf numFmtId="0" fontId="11" fillId="5" borderId="0" xfId="2" applyFont="1" applyFill="1" applyAlignment="1" applyProtection="1">
      <alignment horizontal="center"/>
    </xf>
    <xf numFmtId="0" fontId="12" fillId="0" borderId="0" xfId="2" applyFont="1" applyAlignment="1" applyProtection="1">
      <alignment horizontal="center"/>
    </xf>
    <xf numFmtId="0" fontId="12" fillId="0" borderId="4" xfId="2" applyFont="1" applyBorder="1" applyAlignment="1" applyProtection="1">
      <alignment horizontal="center"/>
    </xf>
  </cellXfs>
  <cellStyles count="6">
    <cellStyle name="Euro" xfId="1"/>
    <cellStyle name="Lien hypertexte" xfId="2" builtinId="8"/>
    <cellStyle name="Milliers" xfId="3" builtinId="3"/>
    <cellStyle name="Monétaire" xfId="4" builtinId="4"/>
    <cellStyle name="Normal" xfId="0" builtinId="0"/>
    <cellStyle name="Normal_Employes" xf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7" formatCode="_-* #,##0.00\ [$€-1]_-;\-* #,##0.00\ [$€-1]_-;_-* &quot;-&quot;??\ [$€-1]_-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ormal436 BT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ormal436 BT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ormal436 BT"/>
        <scheme val="none"/>
      </font>
      <numFmt numFmtId="20" formatCode="dd\-mmm\-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ormal436 BT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ormal436 BT"/>
        <scheme val="none"/>
      </font>
      <numFmt numFmtId="164" formatCode="#,##0.00\ &quot;F&quot;;[Red]\-#,##0.00\ &quot;F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ormal436 BT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ormal436 BT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ormal436 BT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ormal436 BT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ormal436 BT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ormal436 BT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ormal436 BT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[exo 1.xlsx]Tcd cave!Tableau croisé dynamique2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'Tcd cave'!$B$3:$B$4</c:f>
              <c:strCache>
                <c:ptCount val="1"/>
                <c:pt idx="0">
                  <c:v>blanc</c:v>
                </c:pt>
              </c:strCache>
            </c:strRef>
          </c:tx>
          <c:invertIfNegative val="0"/>
          <c:cat>
            <c:strRef>
              <c:f>'Tcd cave'!$A$5:$A$8</c:f>
              <c:strCache>
                <c:ptCount val="3"/>
                <c:pt idx="0">
                  <c:v>Allemagne</c:v>
                </c:pt>
                <c:pt idx="1">
                  <c:v>France</c:v>
                </c:pt>
                <c:pt idx="2">
                  <c:v>Italie</c:v>
                </c:pt>
              </c:strCache>
            </c:strRef>
          </c:cat>
          <c:val>
            <c:numRef>
              <c:f>'Tcd cave'!$B$5:$B$8</c:f>
              <c:numCache>
                <c:formatCode>#\ ##0\ "€"</c:formatCode>
                <c:ptCount val="3"/>
                <c:pt idx="0">
                  <c:v>1244.4000000000001</c:v>
                </c:pt>
                <c:pt idx="1">
                  <c:v>907.8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5-49A9-8166-342416E6191F}"/>
            </c:ext>
          </c:extLst>
        </c:ser>
        <c:ser>
          <c:idx val="1"/>
          <c:order val="1"/>
          <c:tx>
            <c:strRef>
              <c:f>'Tcd cave'!$C$3:$C$4</c:f>
              <c:strCache>
                <c:ptCount val="1"/>
                <c:pt idx="0">
                  <c:v>rouge</c:v>
                </c:pt>
              </c:strCache>
            </c:strRef>
          </c:tx>
          <c:invertIfNegative val="0"/>
          <c:cat>
            <c:strRef>
              <c:f>'Tcd cave'!$A$5:$A$8</c:f>
              <c:strCache>
                <c:ptCount val="3"/>
                <c:pt idx="0">
                  <c:v>Allemagne</c:v>
                </c:pt>
                <c:pt idx="1">
                  <c:v>France</c:v>
                </c:pt>
                <c:pt idx="2">
                  <c:v>Italie</c:v>
                </c:pt>
              </c:strCache>
            </c:strRef>
          </c:cat>
          <c:val>
            <c:numRef>
              <c:f>'Tcd cave'!$C$5:$C$8</c:f>
              <c:numCache>
                <c:formatCode>#\ ##0\ "€"</c:formatCode>
                <c:ptCount val="3"/>
                <c:pt idx="1">
                  <c:v>976</c:v>
                </c:pt>
                <c:pt idx="2">
                  <c:v>1186.2999999999997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75-49A9-8166-342416E61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46634112"/>
        <c:axId val="46635648"/>
        <c:axId val="0"/>
      </c:bar3DChart>
      <c:catAx>
        <c:axId val="466341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6635648"/>
        <c:crosses val="autoZero"/>
        <c:auto val="1"/>
        <c:lblAlgn val="ctr"/>
        <c:lblOffset val="100"/>
        <c:noMultiLvlLbl val="0"/>
      </c:catAx>
      <c:valAx>
        <c:axId val="46635648"/>
        <c:scaling>
          <c:orientation val="minMax"/>
        </c:scaling>
        <c:delete val="0"/>
        <c:axPos val="l"/>
        <c:majorGridlines/>
        <c:numFmt formatCode="#\ ##0\ &quot;€&quot;" sourceLinked="1"/>
        <c:majorTickMark val="out"/>
        <c:minorTickMark val="none"/>
        <c:tickLblPos val="nextTo"/>
        <c:crossAx val="46634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wmf"/><Relationship Id="rId1" Type="http://schemas.openxmlformats.org/officeDocument/2006/relationships/image" Target="../media/image10.w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emf"/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1</xdr:row>
      <xdr:rowOff>19050</xdr:rowOff>
    </xdr:from>
    <xdr:to>
      <xdr:col>6</xdr:col>
      <xdr:colOff>657225</xdr:colOff>
      <xdr:row>6</xdr:row>
      <xdr:rowOff>76200</xdr:rowOff>
    </xdr:to>
    <xdr:sp macro="" textlink="">
      <xdr:nvSpPr>
        <xdr:cNvPr id="2049" name="WordArt 1"/>
        <xdr:cNvSpPr>
          <a:spLocks noChangeArrowheads="1" noChangeShapeType="1" noTextEdit="1"/>
        </xdr:cNvSpPr>
      </xdr:nvSpPr>
      <xdr:spPr bwMode="auto">
        <a:xfrm>
          <a:off x="1562100" y="180975"/>
          <a:ext cx="3667125" cy="8667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 rtl="0"/>
          <a:r>
            <a:rPr lang="fr-FR" sz="3600" b="1" kern="10" cap="all" spc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</a:effectLst>
              <a:latin typeface="BackToSchool"/>
            </a:rPr>
            <a:t>BASES DE DONNEES</a:t>
          </a:r>
        </a:p>
        <a:p>
          <a:pPr algn="ctr" rtl="0"/>
          <a:r>
            <a:rPr lang="fr-FR" sz="3600" b="1" kern="10" cap="all" spc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</a:effectLst>
              <a:latin typeface="BackToSchool"/>
            </a:rPr>
            <a:t>TABLEAUX CROISES</a:t>
          </a:r>
        </a:p>
      </xdr:txBody>
    </xdr:sp>
    <xdr:clientData/>
  </xdr:twoCellAnchor>
  <xdr:twoCellAnchor editAs="oneCell">
    <xdr:from>
      <xdr:col>6</xdr:col>
      <xdr:colOff>704850</xdr:colOff>
      <xdr:row>7</xdr:row>
      <xdr:rowOff>123825</xdr:rowOff>
    </xdr:from>
    <xdr:to>
      <xdr:col>8</xdr:col>
      <xdr:colOff>190500</xdr:colOff>
      <xdr:row>11</xdr:row>
      <xdr:rowOff>114300</xdr:rowOff>
    </xdr:to>
    <xdr:pic>
      <xdr:nvPicPr>
        <xdr:cNvPr id="2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257300"/>
          <a:ext cx="10096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561975</xdr:colOff>
      <xdr:row>12</xdr:row>
      <xdr:rowOff>0</xdr:rowOff>
    </xdr:from>
    <xdr:to>
      <xdr:col>6</xdr:col>
      <xdr:colOff>619125</xdr:colOff>
      <xdr:row>15</xdr:row>
      <xdr:rowOff>114300</xdr:rowOff>
    </xdr:to>
    <xdr:pic>
      <xdr:nvPicPr>
        <xdr:cNvPr id="222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1975" y="2076450"/>
          <a:ext cx="81915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361950</xdr:colOff>
      <xdr:row>11</xdr:row>
      <xdr:rowOff>95250</xdr:rowOff>
    </xdr:from>
    <xdr:to>
      <xdr:col>8</xdr:col>
      <xdr:colOff>742950</xdr:colOff>
      <xdr:row>15</xdr:row>
      <xdr:rowOff>57150</xdr:rowOff>
    </xdr:to>
    <xdr:pic>
      <xdr:nvPicPr>
        <xdr:cNvPr id="222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5950" y="1943100"/>
          <a:ext cx="11430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200025</xdr:colOff>
      <xdr:row>0</xdr:row>
      <xdr:rowOff>0</xdr:rowOff>
    </xdr:from>
    <xdr:to>
      <xdr:col>7</xdr:col>
      <xdr:colOff>190500</xdr:colOff>
      <xdr:row>3</xdr:row>
      <xdr:rowOff>38100</xdr:rowOff>
    </xdr:to>
    <xdr:pic>
      <xdr:nvPicPr>
        <xdr:cNvPr id="3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7725" y="0"/>
          <a:ext cx="1038225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428625</xdr:colOff>
      <xdr:row>1</xdr:row>
      <xdr:rowOff>171450</xdr:rowOff>
    </xdr:from>
    <xdr:to>
      <xdr:col>0</xdr:col>
      <xdr:colOff>1038225</xdr:colOff>
      <xdr:row>2</xdr:row>
      <xdr:rowOff>38100</xdr:rowOff>
    </xdr:to>
    <xdr:pic>
      <xdr:nvPicPr>
        <xdr:cNvPr id="3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28625"/>
          <a:ext cx="6096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57150</xdr:rowOff>
    </xdr:from>
    <xdr:to>
      <xdr:col>4</xdr:col>
      <xdr:colOff>619124</xdr:colOff>
      <xdr:row>1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illési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llési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4" y="57150"/>
              <a:ext cx="3476625" cy="609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peuvent être utilisés au moins dans Excel 2010.
Si la forme a été modifiée dans une version antérieure d’Excel, ou si le classeur a été enregistré dans Excel 2003 ou une version antérieure, le segment ne peut pas être utilisé.</a:t>
              </a:r>
            </a:p>
          </xdr:txBody>
        </xdr:sp>
      </mc:Fallback>
    </mc:AlternateContent>
    <xdr:clientData/>
  </xdr:twoCellAnchor>
  <xdr:twoCellAnchor>
    <xdr:from>
      <xdr:col>0</xdr:col>
      <xdr:colOff>33337</xdr:colOff>
      <xdr:row>9</xdr:row>
      <xdr:rowOff>71437</xdr:rowOff>
    </xdr:from>
    <xdr:to>
      <xdr:col>6</xdr:col>
      <xdr:colOff>280987</xdr:colOff>
      <xdr:row>26</xdr:row>
      <xdr:rowOff>61912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0</xdr:row>
      <xdr:rowOff>57150</xdr:rowOff>
    </xdr:from>
    <xdr:to>
      <xdr:col>6</xdr:col>
      <xdr:colOff>857250</xdr:colOff>
      <xdr:row>3</xdr:row>
      <xdr:rowOff>47625</xdr:rowOff>
    </xdr:to>
    <xdr:pic>
      <xdr:nvPicPr>
        <xdr:cNvPr id="113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57150"/>
          <a:ext cx="6000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638175</xdr:colOff>
      <xdr:row>3</xdr:row>
      <xdr:rowOff>114300</xdr:rowOff>
    </xdr:from>
    <xdr:to>
      <xdr:col>10</xdr:col>
      <xdr:colOff>95250</xdr:colOff>
      <xdr:row>10</xdr:row>
      <xdr:rowOff>114300</xdr:rowOff>
    </xdr:to>
    <xdr:pic>
      <xdr:nvPicPr>
        <xdr:cNvPr id="113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95325"/>
          <a:ext cx="76200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1</xdr:row>
      <xdr:rowOff>114300</xdr:rowOff>
    </xdr:from>
    <xdr:to>
      <xdr:col>3</xdr:col>
      <xdr:colOff>409575</xdr:colOff>
      <xdr:row>1</xdr:row>
      <xdr:rowOff>762000</xdr:rowOff>
    </xdr:to>
    <xdr:pic>
      <xdr:nvPicPr>
        <xdr:cNvPr id="5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542925"/>
          <a:ext cx="8096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1104900</xdr:colOff>
      <xdr:row>1</xdr:row>
      <xdr:rowOff>76200</xdr:rowOff>
    </xdr:from>
    <xdr:to>
      <xdr:col>4</xdr:col>
      <xdr:colOff>228600</xdr:colOff>
      <xdr:row>1</xdr:row>
      <xdr:rowOff>790575</xdr:rowOff>
    </xdr:to>
    <xdr:pic>
      <xdr:nvPicPr>
        <xdr:cNvPr id="5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8050" y="504825"/>
          <a:ext cx="9048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1</xdr:row>
      <xdr:rowOff>114300</xdr:rowOff>
    </xdr:from>
    <xdr:to>
      <xdr:col>3</xdr:col>
      <xdr:colOff>409575</xdr:colOff>
      <xdr:row>1</xdr:row>
      <xdr:rowOff>762000</xdr:rowOff>
    </xdr:to>
    <xdr:pic>
      <xdr:nvPicPr>
        <xdr:cNvPr id="19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542925"/>
          <a:ext cx="8096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1104900</xdr:colOff>
      <xdr:row>1</xdr:row>
      <xdr:rowOff>76200</xdr:rowOff>
    </xdr:from>
    <xdr:to>
      <xdr:col>4</xdr:col>
      <xdr:colOff>228600</xdr:colOff>
      <xdr:row>1</xdr:row>
      <xdr:rowOff>790575</xdr:rowOff>
    </xdr:to>
    <xdr:pic>
      <xdr:nvPicPr>
        <xdr:cNvPr id="19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8050" y="504825"/>
          <a:ext cx="9048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85725</xdr:rowOff>
    </xdr:from>
    <xdr:to>
      <xdr:col>1</xdr:col>
      <xdr:colOff>371475</xdr:colOff>
      <xdr:row>1</xdr:row>
      <xdr:rowOff>361950</xdr:rowOff>
    </xdr:to>
    <xdr:pic>
      <xdr:nvPicPr>
        <xdr:cNvPr id="8284" name="Picture 1" descr="j0232487[1]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4141747">
          <a:off x="452437" y="-4762"/>
          <a:ext cx="5048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352425</xdr:colOff>
      <xdr:row>1</xdr:row>
      <xdr:rowOff>19050</xdr:rowOff>
    </xdr:from>
    <xdr:to>
      <xdr:col>7</xdr:col>
      <xdr:colOff>95250</xdr:colOff>
      <xdr:row>2</xdr:row>
      <xdr:rowOff>219075</xdr:rowOff>
    </xdr:to>
    <xdr:pic>
      <xdr:nvPicPr>
        <xdr:cNvPr id="8285" name="Picture 2" descr="j0232493[1]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3788196">
          <a:off x="5762625" y="-47625"/>
          <a:ext cx="67627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152400</xdr:rowOff>
    </xdr:from>
    <xdr:to>
      <xdr:col>1</xdr:col>
      <xdr:colOff>590550</xdr:colOff>
      <xdr:row>1</xdr:row>
      <xdr:rowOff>942975</xdr:rowOff>
    </xdr:to>
    <xdr:pic>
      <xdr:nvPicPr>
        <xdr:cNvPr id="6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962509">
          <a:off x="200025" y="152400"/>
          <a:ext cx="10382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638175</xdr:colOff>
      <xdr:row>0</xdr:row>
      <xdr:rowOff>133350</xdr:rowOff>
    </xdr:from>
    <xdr:to>
      <xdr:col>6</xdr:col>
      <xdr:colOff>180975</xdr:colOff>
      <xdr:row>2</xdr:row>
      <xdr:rowOff>0</xdr:rowOff>
    </xdr:to>
    <xdr:pic>
      <xdr:nvPicPr>
        <xdr:cNvPr id="623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" y="133350"/>
          <a:ext cx="11620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BASE%20DE%20DONNEES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ORPORATION" refreshedDate="42621.588579398151" createdVersion="1" refreshedVersion="4" recordCount="99" upgradeOnRefresh="1">
  <cacheSource type="worksheet">
    <worksheetSource ref="A3:G102" sheet="FOURNISSEURS"/>
  </cacheSource>
  <cacheFields count="7">
    <cacheField name="MOIS" numFmtId="0">
      <sharedItems/>
    </cacheField>
    <cacheField name="PRODUIT" numFmtId="0">
      <sharedItems count="6">
        <s v="accessoires"/>
        <s v="alimentaire"/>
        <s v="bricolage"/>
        <s v="jouets"/>
        <s v="legumes"/>
        <s v="librairie"/>
      </sharedItems>
    </cacheField>
    <cacheField name="REPRESENTANT" numFmtId="0">
      <sharedItems count="5">
        <s v="MARTIN"/>
        <s v="DURAND"/>
        <s v="DUPONT"/>
        <s v="DUPRE"/>
        <s v="PAUL"/>
      </sharedItems>
    </cacheField>
    <cacheField name="REGION" numFmtId="0">
      <sharedItems count="5">
        <s v="CENTRE"/>
        <s v="NORD"/>
        <s v="OUEST"/>
        <s v="EST"/>
        <s v="SUD"/>
      </sharedItems>
    </cacheField>
    <cacheField name="QUANTITE" numFmtId="168">
      <sharedItems containsSemiMixedTypes="0" containsString="0" containsNumber="1" containsInteger="1" minValue="1100" maxValue="4000"/>
    </cacheField>
    <cacheField name="CA" numFmtId="167">
      <sharedItems containsSemiMixedTypes="0" containsString="0" containsNumber="1" containsInteger="1" minValue="120000" maxValue="300000"/>
    </cacheField>
    <cacheField name="CLIENT" numFmtId="0">
      <sharedItems count="6">
        <s v="AUCHAN"/>
        <s v="CARREFOUR"/>
        <s v="CORA"/>
        <s v="INTERMARCHE"/>
        <s v="LECLERC"/>
        <s v="STO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CORPORATION" refreshedDate="42621.633153472219" createdVersion="4" refreshedVersion="4" recordCount="21">
  <cacheSource type="worksheet">
    <worksheetSource ref="A4:I25" sheet="BDD CAVE"/>
  </cacheSource>
  <cacheFields count="9">
    <cacheField name="Nom" numFmtId="0">
      <sharedItems/>
    </cacheField>
    <cacheField name="Pays" numFmtId="0">
      <sharedItems count="3">
        <s v="Italie"/>
        <s v="France"/>
        <s v="Allemagne"/>
      </sharedItems>
    </cacheField>
    <cacheField name="Région" numFmtId="0">
      <sharedItems/>
    </cacheField>
    <cacheField name="Couleur" numFmtId="0">
      <sharedItems count="3">
        <s v="rouge"/>
        <s v="blanc"/>
        <s v="rosé"/>
      </sharedItems>
    </cacheField>
    <cacheField name="Millésime" numFmtId="0">
      <sharedItems containsSemiMixedTypes="0" containsString="0" containsNumber="1" containsInteger="1" minValue="1991" maxValue="1993" count="3">
        <n v="1991"/>
        <n v="1992"/>
        <n v="1993"/>
      </sharedItems>
    </cacheField>
    <cacheField name="Stock" numFmtId="0">
      <sharedItems containsSemiMixedTypes="0" containsString="0" containsNumber="1" containsInteger="1" minValue="120" maxValue="340"/>
    </cacheField>
    <cacheField name="Stock _x000a_mini" numFmtId="0">
      <sharedItems containsSemiMixedTypes="0" containsString="0" containsNumber="1" containsInteger="1" minValue="100" maxValue="300"/>
    </cacheField>
    <cacheField name="Prix" numFmtId="167">
      <sharedItems containsSemiMixedTypes="0" containsString="0" containsNumber="1" minValue="1.6" maxValue="5.34"/>
    </cacheField>
    <cacheField name="Valeur" numFmtId="167">
      <sharedItems containsSemiMixedTypes="0" containsString="0" containsNumber="1" minValue="249.60000000000002" maxValue="1326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CORPORATION" refreshedDate="42621.640556018516" createdVersion="4" refreshedVersion="4" minRefreshableVersion="3" recordCount="180">
  <cacheSource type="worksheet">
    <worksheetSource ref="A3:E183" sheet="MUSIQUE" r:id="rId2"/>
  </cacheSource>
  <cacheFields count="7">
    <cacheField name="Date" numFmtId="14">
      <sharedItems containsSemiMixedTypes="0" containsNonDate="0" containsDate="1" containsString="0" minDate="2015-01-02T00:00:00" maxDate="2016-12-29T00:00:00" count="155">
        <d v="2016-02-11T00:00:00"/>
        <d v="2016-05-17T00:00:00"/>
        <d v="2015-12-22T00:00:00"/>
        <d v="2015-01-10T00:00:00"/>
        <d v="2016-03-20T00:00:00"/>
        <d v="2015-09-18T00:00:00"/>
        <d v="2016-12-19T00:00:00"/>
        <d v="2016-09-02T00:00:00"/>
        <d v="2016-12-14T00:00:00"/>
        <d v="2016-12-28T00:00:00"/>
        <d v="2016-02-26T00:00:00"/>
        <d v="2016-08-21T00:00:00"/>
        <d v="2015-03-19T00:00:00"/>
        <d v="2015-04-12T00:00:00"/>
        <d v="2015-12-15T00:00:00"/>
        <d v="2015-12-27T00:00:00"/>
        <d v="2016-04-27T00:00:00"/>
        <d v="2016-10-24T00:00:00"/>
        <d v="2015-04-04T00:00:00"/>
        <d v="2016-01-08T00:00:00"/>
        <d v="2016-04-19T00:00:00"/>
        <d v="2016-06-18T00:00:00"/>
        <d v="2015-02-12T00:00:00"/>
        <d v="2016-06-04T00:00:00"/>
        <d v="2015-10-25T00:00:00"/>
        <d v="2015-02-15T00:00:00"/>
        <d v="2015-03-14T00:00:00"/>
        <d v="2016-08-19T00:00:00"/>
        <d v="2015-01-02T00:00:00"/>
        <d v="2015-02-08T00:00:00"/>
        <d v="2015-12-01T00:00:00"/>
        <d v="2016-12-15T00:00:00"/>
        <d v="2016-12-16T00:00:00"/>
        <d v="2016-04-03T00:00:00"/>
        <d v="2016-07-20T00:00:00"/>
        <d v="2015-12-16T00:00:00"/>
        <d v="2015-12-28T00:00:00"/>
        <d v="2016-06-03T00:00:00"/>
        <d v="2016-06-16T00:00:00"/>
        <d v="2016-10-08T00:00:00"/>
        <d v="2015-03-31T00:00:00"/>
        <d v="2015-04-24T00:00:00"/>
        <d v="2015-12-17T00:00:00"/>
        <d v="2016-04-02T00:00:00"/>
        <d v="2016-08-16T00:00:00"/>
        <d v="2015-03-16T00:00:00"/>
        <d v="2015-04-14T00:00:00"/>
        <d v="2015-02-28T00:00:00"/>
        <d v="2016-12-18T00:00:00"/>
        <d v="2015-03-17T00:00:00"/>
        <d v="2015-04-23T00:00:00"/>
        <d v="2015-07-06T00:00:00"/>
        <d v="2016-07-30T00:00:00"/>
        <d v="2016-11-26T00:00:00"/>
        <d v="2016-12-17T00:00:00"/>
        <d v="2016-12-21T00:00:00"/>
        <d v="2015-08-16T00:00:00"/>
        <d v="2015-12-23T00:00:00"/>
        <d v="2016-01-04T00:00:00"/>
        <d v="2016-10-05T00:00:00"/>
        <d v="2015-08-12T00:00:00"/>
        <d v="2016-06-26T00:00:00"/>
        <d v="2016-10-23T00:00:00"/>
        <d v="2016-12-05T00:00:00"/>
        <d v="2016-12-13T00:00:00"/>
        <d v="2016-12-20T00:00:00"/>
        <d v="2016-12-22T00:00:00"/>
        <d v="2016-01-10T00:00:00"/>
        <d v="2015-12-24T00:00:00"/>
        <d v="2016-11-11T00:00:00"/>
        <d v="2015-05-30T00:00:00"/>
        <d v="2016-07-13T00:00:00"/>
        <d v="2016-11-09T00:00:00"/>
        <d v="2016-12-23T00:00:00"/>
        <d v="2016-09-06T00:00:00"/>
        <d v="2016-11-03T00:00:00"/>
        <d v="2015-03-23T00:00:00"/>
        <d v="2015-04-16T00:00:00"/>
        <d v="2015-12-29T00:00:00"/>
        <d v="2016-01-07T00:00:00"/>
        <d v="2016-02-28T00:00:00"/>
        <d v="2016-02-27T00:00:00"/>
        <d v="2015-07-04T00:00:00"/>
        <d v="2015-01-06T00:00:00"/>
        <d v="2015-02-11T00:00:00"/>
        <d v="2016-09-04T00:00:00"/>
        <d v="2016-09-05T00:00:00"/>
        <d v="2016-08-29T00:00:00"/>
        <d v="2015-12-18T00:00:00"/>
        <d v="2016-06-09T00:00:00"/>
        <d v="2016-10-06T00:00:00"/>
        <d v="2016-10-29T00:00:00"/>
        <d v="2016-12-26T00:00:00"/>
        <d v="2015-04-08T00:00:00"/>
        <d v="2016-01-25T00:00:00"/>
        <d v="2016-05-06T00:00:00"/>
        <d v="2016-12-11T00:00:00"/>
        <d v="2015-08-14T00:00:00"/>
        <d v="2015-09-16T00:00:00"/>
        <d v="2015-01-14T00:00:00"/>
        <d v="2015-02-19T00:00:00"/>
        <d v="2016-09-07T00:00:00"/>
        <d v="2016-01-26T00:00:00"/>
        <d v="2016-03-14T00:00:00"/>
        <d v="2016-07-04T00:00:00"/>
        <d v="2015-09-17T00:00:00"/>
        <d v="2015-01-18T00:00:00"/>
        <d v="2015-02-23T00:00:00"/>
        <d v="2015-02-02T00:00:00"/>
        <d v="2016-05-01T00:00:00"/>
        <d v="2016-01-20T00:00:00"/>
        <d v="2016-06-02T00:00:00"/>
        <d v="2015-12-19T00:00:00"/>
        <d v="2015-12-25T00:00:00"/>
        <d v="2016-03-21T00:00:00"/>
        <d v="2016-04-15T00:00:00"/>
        <d v="2016-03-30T00:00:00"/>
        <d v="2016-07-23T00:00:00"/>
        <d v="2015-12-20T00:00:00"/>
        <d v="2016-05-23T00:00:00"/>
        <d v="2016-09-19T00:00:00"/>
        <d v="2016-09-22T00:00:00"/>
        <d v="2016-12-27T00:00:00"/>
        <d v="2015-01-22T00:00:00"/>
        <d v="2015-09-19T00:00:00"/>
        <d v="2015-09-20T00:00:00"/>
        <d v="2015-09-21T00:00:00"/>
        <d v="2015-01-26T00:00:00"/>
        <d v="2015-01-30T00:00:00"/>
        <d v="2015-02-03T00:00:00"/>
        <d v="2015-02-27T00:00:00"/>
        <d v="2015-03-03T00:00:00"/>
        <d v="2015-03-07T00:00:00"/>
        <d v="2015-03-11T00:00:00"/>
        <d v="2015-09-22T00:00:00"/>
        <d v="2015-10-15T00:00:00"/>
        <d v="2015-02-07T00:00:00"/>
        <d v="2015-03-15T00:00:00"/>
        <d v="2015-11-04T00:00:00"/>
        <d v="2015-11-14T00:00:00"/>
        <d v="2015-11-24T00:00:00"/>
        <d v="2016-08-05T00:00:00"/>
        <d v="2015-12-30T00:00:00"/>
        <d v="2016-11-25T00:00:00"/>
        <d v="2016-05-10T00:00:00"/>
        <d v="2016-10-25T00:00:00"/>
        <d v="2015-03-27T00:00:00"/>
        <d v="2015-04-20T00:00:00"/>
        <d v="2015-12-21T00:00:00"/>
        <d v="2016-02-13T00:00:00"/>
        <d v="2016-03-16T00:00:00"/>
        <d v="2016-07-10T00:00:00"/>
        <d v="2015-12-04T00:00:00"/>
        <d v="2015-12-14T00:00:00"/>
        <d v="2015-12-31T00:00:00"/>
      </sharedItems>
      <fieldGroup par="6" base="0">
        <rangePr groupBy="months" startDate="2015-01-02T00:00:00" endDate="2016-12-29T00:00:00"/>
        <groupItems count="14">
          <s v="&lt;02/01/2015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9/12/2016"/>
        </groupItems>
      </fieldGroup>
    </cacheField>
    <cacheField name="Pays" numFmtId="0">
      <sharedItems count="3">
        <s v="Allemagne"/>
        <s v="France"/>
        <s v="Italie"/>
      </sharedItems>
    </cacheField>
    <cacheField name="Instrument" numFmtId="0">
      <sharedItems/>
    </cacheField>
    <cacheField name="Catégorie" numFmtId="0">
      <sharedItems/>
    </cacheField>
    <cacheField name="C.A journalier" numFmtId="167">
      <sharedItems containsSemiMixedTypes="0" containsString="0" containsNumber="1" containsInteger="1" minValue="265" maxValue="75000"/>
    </cacheField>
    <cacheField name="Trimestres" numFmtId="0" databaseField="0">
      <fieldGroup base="0">
        <rangePr groupBy="quarters" startDate="2015-01-02T00:00:00" endDate="2016-12-29T00:00:00"/>
        <groupItems count="6">
          <s v="&lt;02/01/2015"/>
          <s v="Trimestre1"/>
          <s v="Trimestre2"/>
          <s v="Trimestre3"/>
          <s v="Trimestre4"/>
          <s v="&gt;29/12/2016"/>
        </groupItems>
      </fieldGroup>
    </cacheField>
    <cacheField name="Années" numFmtId="0" databaseField="0">
      <fieldGroup base="0">
        <rangePr groupBy="years" startDate="2015-01-02T00:00:00" endDate="2016-12-29T00:00:00"/>
        <groupItems count="4">
          <s v="&lt;02/01/2015"/>
          <s v="2015"/>
          <s v="2016"/>
          <s v="&gt;29/12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CORPORATION" refreshedDate="42622.362720370373" createdVersion="4" refreshedVersion="4" minRefreshableVersion="3" recordCount="285">
  <cacheSource type="worksheet">
    <worksheetSource ref="A11:K296" sheet="BDD USINES"/>
  </cacheSource>
  <cacheFields count="11">
    <cacheField name="NOM" numFmtId="0">
      <sharedItems/>
    </cacheField>
    <cacheField name="PRENOM" numFmtId="0">
      <sharedItems/>
    </cacheField>
    <cacheField name="(" numFmtId="0">
      <sharedItems containsSemiMixedTypes="0" containsString="0" containsNumber="1" containsInteger="1" minValue="3002" maxValue="3998"/>
    </cacheField>
    <cacheField name="DIRECTION" numFmtId="0">
      <sharedItems/>
    </cacheField>
    <cacheField name="SITE" numFmtId="0">
      <sharedItems count="4">
        <s v="Lille"/>
        <s v="Nice"/>
        <s v="Paris"/>
        <s v="Strasbourg"/>
      </sharedItems>
    </cacheField>
    <cacheField name="PIECE" numFmtId="0">
      <sharedItems/>
    </cacheField>
    <cacheField name="SALAIRE" numFmtId="164">
      <sharedItems containsSemiMixedTypes="0" containsString="0" containsNumber="1" minValue="6164.4" maxValue="27235"/>
    </cacheField>
    <cacheField name="sexe" numFmtId="0">
      <sharedItems count="2">
        <s v="homme"/>
        <s v="femme"/>
      </sharedItems>
    </cacheField>
    <cacheField name="date de _x000a_naisssance" numFmtId="0">
      <sharedItems containsSemiMixedTypes="0" containsNonDate="0" containsDate="1" containsString="0" minDate="1945-12-24T00:00:00" maxDate="1980-04-14T00:00:00"/>
    </cacheField>
    <cacheField name="AGE" numFmtId="0">
      <sharedItems containsSemiMixedTypes="0" containsString="0" containsNumber="1" containsInteger="1" minValue="36" maxValue="70"/>
    </cacheField>
    <cacheField name="tranche _x000a_d'âg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s v="Février"/>
    <x v="0"/>
    <x v="0"/>
    <x v="0"/>
    <n v="1500"/>
    <n v="150000"/>
    <x v="0"/>
  </r>
  <r>
    <s v="Janvier"/>
    <x v="1"/>
    <x v="1"/>
    <x v="0"/>
    <n v="2300"/>
    <n v="230000"/>
    <x v="0"/>
  </r>
  <r>
    <s v="Janvier"/>
    <x v="2"/>
    <x v="0"/>
    <x v="0"/>
    <n v="2600"/>
    <n v="120000"/>
    <x v="0"/>
  </r>
  <r>
    <s v="Janvier"/>
    <x v="3"/>
    <x v="0"/>
    <x v="0"/>
    <n v="1500"/>
    <n v="160000"/>
    <x v="0"/>
  </r>
  <r>
    <s v="Février"/>
    <x v="4"/>
    <x v="1"/>
    <x v="0"/>
    <n v="3500"/>
    <n v="200000"/>
    <x v="0"/>
  </r>
  <r>
    <s v="Janvier"/>
    <x v="5"/>
    <x v="1"/>
    <x v="0"/>
    <n v="2300"/>
    <n v="230000"/>
    <x v="0"/>
  </r>
  <r>
    <s v="Février"/>
    <x v="2"/>
    <x v="0"/>
    <x v="1"/>
    <n v="2610"/>
    <n v="150000"/>
    <x v="0"/>
  </r>
  <r>
    <s v="Février"/>
    <x v="4"/>
    <x v="0"/>
    <x v="1"/>
    <n v="2610"/>
    <n v="150000"/>
    <x v="0"/>
  </r>
  <r>
    <s v="Janvier"/>
    <x v="5"/>
    <x v="0"/>
    <x v="1"/>
    <n v="1500"/>
    <n v="120000"/>
    <x v="0"/>
  </r>
  <r>
    <s v="Février"/>
    <x v="1"/>
    <x v="1"/>
    <x v="2"/>
    <n v="1100"/>
    <n v="130000"/>
    <x v="0"/>
  </r>
  <r>
    <s v="Janvier"/>
    <x v="2"/>
    <x v="1"/>
    <x v="2"/>
    <n v="3000"/>
    <n v="200000"/>
    <x v="0"/>
  </r>
  <r>
    <s v="Janvier"/>
    <x v="2"/>
    <x v="1"/>
    <x v="2"/>
    <n v="1100"/>
    <n v="230000"/>
    <x v="0"/>
  </r>
  <r>
    <s v="Février"/>
    <x v="2"/>
    <x v="0"/>
    <x v="0"/>
    <n v="4000"/>
    <n v="230000"/>
    <x v="1"/>
  </r>
  <r>
    <s v="Janvier"/>
    <x v="4"/>
    <x v="0"/>
    <x v="0"/>
    <n v="2300"/>
    <n v="300000"/>
    <x v="1"/>
  </r>
  <r>
    <s v="Janvier"/>
    <x v="5"/>
    <x v="0"/>
    <x v="0"/>
    <n v="2300"/>
    <n v="300000"/>
    <x v="1"/>
  </r>
  <r>
    <s v="Février"/>
    <x v="0"/>
    <x v="2"/>
    <x v="3"/>
    <n v="2500"/>
    <n v="164000"/>
    <x v="1"/>
  </r>
  <r>
    <s v="Février"/>
    <x v="0"/>
    <x v="0"/>
    <x v="3"/>
    <n v="1100"/>
    <n v="120000"/>
    <x v="1"/>
  </r>
  <r>
    <s v="Janvier"/>
    <x v="1"/>
    <x v="2"/>
    <x v="3"/>
    <n v="2500"/>
    <n v="164000"/>
    <x v="1"/>
  </r>
  <r>
    <s v="Janvier"/>
    <x v="1"/>
    <x v="0"/>
    <x v="3"/>
    <n v="1100"/>
    <n v="300000"/>
    <x v="1"/>
  </r>
  <r>
    <s v="Janvier"/>
    <x v="3"/>
    <x v="2"/>
    <x v="3"/>
    <n v="2500"/>
    <n v="130000"/>
    <x v="1"/>
  </r>
  <r>
    <s v="Janvier"/>
    <x v="3"/>
    <x v="0"/>
    <x v="3"/>
    <n v="2500"/>
    <n v="230000"/>
    <x v="1"/>
  </r>
  <r>
    <s v="Février"/>
    <x v="2"/>
    <x v="0"/>
    <x v="1"/>
    <n v="1500"/>
    <n v="130000"/>
    <x v="1"/>
  </r>
  <r>
    <s v="Février"/>
    <x v="4"/>
    <x v="0"/>
    <x v="1"/>
    <n v="1300"/>
    <n v="154000"/>
    <x v="1"/>
  </r>
  <r>
    <s v="Janvier"/>
    <x v="5"/>
    <x v="0"/>
    <x v="1"/>
    <n v="1500"/>
    <n v="230000"/>
    <x v="1"/>
  </r>
  <r>
    <s v="Janvier"/>
    <x v="1"/>
    <x v="2"/>
    <x v="4"/>
    <n v="2300"/>
    <n v="130000"/>
    <x v="1"/>
  </r>
  <r>
    <s v="Février"/>
    <x v="2"/>
    <x v="2"/>
    <x v="4"/>
    <n v="1300"/>
    <n v="150000"/>
    <x v="1"/>
  </r>
  <r>
    <s v="Février"/>
    <x v="2"/>
    <x v="0"/>
    <x v="4"/>
    <n v="1200"/>
    <n v="154000"/>
    <x v="1"/>
  </r>
  <r>
    <s v="Janvier"/>
    <x v="3"/>
    <x v="0"/>
    <x v="4"/>
    <n v="4000"/>
    <n v="130000"/>
    <x v="1"/>
  </r>
  <r>
    <s v="Janvier"/>
    <x v="4"/>
    <x v="2"/>
    <x v="4"/>
    <n v="1300"/>
    <n v="164000"/>
    <x v="1"/>
  </r>
  <r>
    <s v="Janvier"/>
    <x v="0"/>
    <x v="0"/>
    <x v="3"/>
    <n v="2500"/>
    <n v="200000"/>
    <x v="2"/>
  </r>
  <r>
    <s v="Janvier"/>
    <x v="2"/>
    <x v="0"/>
    <x v="3"/>
    <n v="2600"/>
    <n v="164000"/>
    <x v="2"/>
  </r>
  <r>
    <s v="Février"/>
    <x v="3"/>
    <x v="0"/>
    <x v="3"/>
    <n v="2500"/>
    <n v="200000"/>
    <x v="2"/>
  </r>
  <r>
    <s v="Janvier"/>
    <x v="2"/>
    <x v="0"/>
    <x v="1"/>
    <n v="1300"/>
    <n v="200000"/>
    <x v="2"/>
  </r>
  <r>
    <s v="Janvier"/>
    <x v="3"/>
    <x v="0"/>
    <x v="1"/>
    <n v="2500"/>
    <n v="164000"/>
    <x v="2"/>
  </r>
  <r>
    <s v="Février"/>
    <x v="5"/>
    <x v="0"/>
    <x v="1"/>
    <n v="1300"/>
    <n v="136400"/>
    <x v="2"/>
  </r>
  <r>
    <s v="Février"/>
    <x v="1"/>
    <x v="3"/>
    <x v="2"/>
    <n v="3000"/>
    <n v="136400"/>
    <x v="2"/>
  </r>
  <r>
    <s v="Janvier"/>
    <x v="4"/>
    <x v="3"/>
    <x v="2"/>
    <n v="1500"/>
    <n v="136400"/>
    <x v="2"/>
  </r>
  <r>
    <s v="Janvier"/>
    <x v="5"/>
    <x v="3"/>
    <x v="2"/>
    <n v="3000"/>
    <n v="136400"/>
    <x v="2"/>
  </r>
  <r>
    <s v="Février"/>
    <x v="0"/>
    <x v="3"/>
    <x v="4"/>
    <n v="2300"/>
    <n v="136400"/>
    <x v="2"/>
  </r>
  <r>
    <s v="Janvier"/>
    <x v="1"/>
    <x v="3"/>
    <x v="4"/>
    <n v="1500"/>
    <n v="200000"/>
    <x v="2"/>
  </r>
  <r>
    <s v="Février"/>
    <x v="2"/>
    <x v="3"/>
    <x v="4"/>
    <n v="1500"/>
    <n v="136400"/>
    <x v="2"/>
  </r>
  <r>
    <s v="Février"/>
    <x v="2"/>
    <x v="2"/>
    <x v="0"/>
    <n v="1200"/>
    <n v="160000"/>
    <x v="3"/>
  </r>
  <r>
    <s v="Janvier"/>
    <x v="4"/>
    <x v="2"/>
    <x v="0"/>
    <n v="1500"/>
    <n v="230000"/>
    <x v="3"/>
  </r>
  <r>
    <s v="Février"/>
    <x v="5"/>
    <x v="2"/>
    <x v="0"/>
    <n v="1500"/>
    <n v="130000"/>
    <x v="3"/>
  </r>
  <r>
    <s v="Janvier"/>
    <x v="1"/>
    <x v="3"/>
    <x v="3"/>
    <n v="2610"/>
    <n v="300000"/>
    <x v="3"/>
  </r>
  <r>
    <s v="Janvier"/>
    <x v="2"/>
    <x v="3"/>
    <x v="3"/>
    <n v="1500"/>
    <n v="160000"/>
    <x v="3"/>
  </r>
  <r>
    <s v="Février"/>
    <x v="3"/>
    <x v="3"/>
    <x v="3"/>
    <n v="1500"/>
    <n v="150000"/>
    <x v="3"/>
  </r>
  <r>
    <s v="Janvier"/>
    <x v="1"/>
    <x v="0"/>
    <x v="1"/>
    <n v="2300"/>
    <n v="230000"/>
    <x v="3"/>
  </r>
  <r>
    <s v="Janvier"/>
    <x v="2"/>
    <x v="3"/>
    <x v="1"/>
    <n v="2610"/>
    <n v="150000"/>
    <x v="3"/>
  </r>
  <r>
    <s v="Février"/>
    <x v="2"/>
    <x v="0"/>
    <x v="1"/>
    <n v="2600"/>
    <n v="160000"/>
    <x v="3"/>
  </r>
  <r>
    <s v="Janvier"/>
    <x v="4"/>
    <x v="3"/>
    <x v="1"/>
    <n v="1500"/>
    <n v="300000"/>
    <x v="3"/>
  </r>
  <r>
    <s v="Janvier"/>
    <x v="4"/>
    <x v="0"/>
    <x v="1"/>
    <n v="2600"/>
    <n v="160000"/>
    <x v="3"/>
  </r>
  <r>
    <s v="Février"/>
    <x v="5"/>
    <x v="3"/>
    <x v="1"/>
    <n v="2610"/>
    <n v="150000"/>
    <x v="3"/>
  </r>
  <r>
    <s v="Février"/>
    <x v="1"/>
    <x v="0"/>
    <x v="2"/>
    <n v="1300"/>
    <n v="160000"/>
    <x v="3"/>
  </r>
  <r>
    <s v="Janvier"/>
    <x v="4"/>
    <x v="0"/>
    <x v="2"/>
    <n v="1100"/>
    <n v="230000"/>
    <x v="3"/>
  </r>
  <r>
    <s v="Février"/>
    <x v="5"/>
    <x v="0"/>
    <x v="2"/>
    <n v="1300"/>
    <n v="150000"/>
    <x v="3"/>
  </r>
  <r>
    <s v="Janvier"/>
    <x v="1"/>
    <x v="2"/>
    <x v="4"/>
    <n v="1300"/>
    <n v="160000"/>
    <x v="3"/>
  </r>
  <r>
    <s v="Janvier"/>
    <x v="2"/>
    <x v="2"/>
    <x v="4"/>
    <n v="3500"/>
    <n v="130000"/>
    <x v="3"/>
  </r>
  <r>
    <s v="Février"/>
    <x v="1"/>
    <x v="2"/>
    <x v="0"/>
    <n v="2300"/>
    <n v="230000"/>
    <x v="4"/>
  </r>
  <r>
    <s v="Février"/>
    <x v="2"/>
    <x v="2"/>
    <x v="0"/>
    <n v="1200"/>
    <n v="130000"/>
    <x v="4"/>
  </r>
  <r>
    <s v="Janvier"/>
    <x v="2"/>
    <x v="2"/>
    <x v="0"/>
    <n v="2300"/>
    <n v="230000"/>
    <x v="4"/>
  </r>
  <r>
    <s v="Janvier"/>
    <x v="2"/>
    <x v="1"/>
    <x v="0"/>
    <n v="1500"/>
    <n v="150000"/>
    <x v="4"/>
  </r>
  <r>
    <s v="Janvier"/>
    <x v="4"/>
    <x v="2"/>
    <x v="0"/>
    <n v="1200"/>
    <n v="230000"/>
    <x v="4"/>
  </r>
  <r>
    <s v="Février"/>
    <x v="4"/>
    <x v="1"/>
    <x v="0"/>
    <n v="1300"/>
    <n v="150000"/>
    <x v="4"/>
  </r>
  <r>
    <s v="Janvier"/>
    <x v="5"/>
    <x v="2"/>
    <x v="0"/>
    <n v="4000"/>
    <n v="130000"/>
    <x v="4"/>
  </r>
  <r>
    <s v="Février"/>
    <x v="5"/>
    <x v="2"/>
    <x v="0"/>
    <n v="3000"/>
    <n v="130000"/>
    <x v="4"/>
  </r>
  <r>
    <s v="Février"/>
    <x v="5"/>
    <x v="1"/>
    <x v="0"/>
    <n v="1300"/>
    <n v="160000"/>
    <x v="4"/>
  </r>
  <r>
    <s v="Janvier"/>
    <x v="0"/>
    <x v="1"/>
    <x v="3"/>
    <n v="2500"/>
    <n v="150000"/>
    <x v="4"/>
  </r>
  <r>
    <s v="Février"/>
    <x v="1"/>
    <x v="1"/>
    <x v="3"/>
    <n v="2500"/>
    <n v="160000"/>
    <x v="4"/>
  </r>
  <r>
    <s v="Janvier"/>
    <x v="2"/>
    <x v="1"/>
    <x v="3"/>
    <n v="2500"/>
    <n v="160000"/>
    <x v="4"/>
  </r>
  <r>
    <s v="Janvier"/>
    <x v="0"/>
    <x v="4"/>
    <x v="1"/>
    <n v="1500"/>
    <n v="164000"/>
    <x v="4"/>
  </r>
  <r>
    <s v="Février"/>
    <x v="1"/>
    <x v="4"/>
    <x v="1"/>
    <n v="1500"/>
    <n v="150000"/>
    <x v="4"/>
  </r>
  <r>
    <s v="Février"/>
    <x v="3"/>
    <x v="4"/>
    <x v="1"/>
    <n v="3500"/>
    <n v="160000"/>
    <x v="4"/>
  </r>
  <r>
    <s v="Février"/>
    <x v="1"/>
    <x v="1"/>
    <x v="2"/>
    <n v="1500"/>
    <n v="150000"/>
    <x v="4"/>
  </r>
  <r>
    <s v="Janvier"/>
    <x v="1"/>
    <x v="1"/>
    <x v="2"/>
    <n v="3500"/>
    <n v="136000"/>
    <x v="4"/>
  </r>
  <r>
    <s v="Janvier"/>
    <x v="2"/>
    <x v="1"/>
    <x v="2"/>
    <n v="1500"/>
    <n v="200000"/>
    <x v="4"/>
  </r>
  <r>
    <s v="Février"/>
    <x v="2"/>
    <x v="1"/>
    <x v="2"/>
    <n v="3500"/>
    <n v="136000"/>
    <x v="4"/>
  </r>
  <r>
    <s v="Janvier"/>
    <x v="2"/>
    <x v="4"/>
    <x v="2"/>
    <n v="1500"/>
    <n v="160000"/>
    <x v="4"/>
  </r>
  <r>
    <s v="Février"/>
    <x v="4"/>
    <x v="1"/>
    <x v="2"/>
    <n v="1500"/>
    <n v="136000"/>
    <x v="4"/>
  </r>
  <r>
    <s v="Février"/>
    <x v="4"/>
    <x v="4"/>
    <x v="2"/>
    <n v="3000"/>
    <n v="150000"/>
    <x v="4"/>
  </r>
  <r>
    <s v="Janvier"/>
    <x v="5"/>
    <x v="1"/>
    <x v="2"/>
    <n v="1300"/>
    <n v="150000"/>
    <x v="4"/>
  </r>
  <r>
    <s v="Février"/>
    <x v="5"/>
    <x v="4"/>
    <x v="2"/>
    <n v="3000"/>
    <n v="150000"/>
    <x v="4"/>
  </r>
  <r>
    <s v="Février"/>
    <x v="1"/>
    <x v="4"/>
    <x v="0"/>
    <n v="2610"/>
    <n v="150000"/>
    <x v="5"/>
  </r>
  <r>
    <s v="Février"/>
    <x v="2"/>
    <x v="4"/>
    <x v="0"/>
    <n v="2500"/>
    <n v="200000"/>
    <x v="5"/>
  </r>
  <r>
    <s v="Janvier"/>
    <x v="3"/>
    <x v="4"/>
    <x v="0"/>
    <n v="2500"/>
    <n v="200000"/>
    <x v="5"/>
  </r>
  <r>
    <s v="Janvier"/>
    <x v="0"/>
    <x v="4"/>
    <x v="3"/>
    <n v="1500"/>
    <n v="150000"/>
    <x v="5"/>
  </r>
  <r>
    <s v="Février"/>
    <x v="4"/>
    <x v="4"/>
    <x v="3"/>
    <n v="1200"/>
    <n v="136000"/>
    <x v="5"/>
  </r>
  <r>
    <s v="Janvier"/>
    <x v="5"/>
    <x v="4"/>
    <x v="3"/>
    <n v="1200"/>
    <n v="200000"/>
    <x v="5"/>
  </r>
  <r>
    <s v="Janvier"/>
    <x v="1"/>
    <x v="4"/>
    <x v="1"/>
    <n v="1500"/>
    <n v="154000"/>
    <x v="5"/>
  </r>
  <r>
    <s v="Janvier"/>
    <x v="2"/>
    <x v="4"/>
    <x v="1"/>
    <n v="2300"/>
    <n v="200000"/>
    <x v="5"/>
  </r>
  <r>
    <s v="Février"/>
    <x v="2"/>
    <x v="4"/>
    <x v="1"/>
    <n v="1500"/>
    <n v="154000"/>
    <x v="5"/>
  </r>
  <r>
    <s v="Février"/>
    <x v="4"/>
    <x v="4"/>
    <x v="1"/>
    <n v="2600"/>
    <n v="154000"/>
    <x v="5"/>
  </r>
  <r>
    <s v="Janvier"/>
    <x v="5"/>
    <x v="4"/>
    <x v="1"/>
    <n v="1300"/>
    <n v="200000"/>
    <x v="5"/>
  </r>
  <r>
    <s v="Janvier"/>
    <x v="5"/>
    <x v="4"/>
    <x v="1"/>
    <n v="2600"/>
    <n v="154000"/>
    <x v="5"/>
  </r>
  <r>
    <s v="Janvier"/>
    <x v="0"/>
    <x v="4"/>
    <x v="4"/>
    <n v="4000"/>
    <n v="120000"/>
    <x v="5"/>
  </r>
  <r>
    <s v="Janvier"/>
    <x v="2"/>
    <x v="4"/>
    <x v="4"/>
    <n v="2300"/>
    <n v="300000"/>
    <x v="5"/>
  </r>
  <r>
    <s v="Février"/>
    <x v="3"/>
    <x v="4"/>
    <x v="4"/>
    <n v="1100"/>
    <n v="136000"/>
    <x v="5"/>
  </r>
  <r>
    <s v="Janvier"/>
    <x v="4"/>
    <x v="4"/>
    <x v="4"/>
    <n v="2300"/>
    <n v="120000"/>
    <x v="5"/>
  </r>
  <r>
    <s v="Février"/>
    <x v="5"/>
    <x v="4"/>
    <x v="4"/>
    <n v="1500"/>
    <n v="136000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">
  <r>
    <s v="Barolo"/>
    <x v="0"/>
    <s v="Piémont"/>
    <x v="0"/>
    <x v="0"/>
    <n v="300"/>
    <n v="200"/>
    <n v="2.0299999999999998"/>
    <n v="608.99999999999989"/>
  </r>
  <r>
    <s v="Beaujolais"/>
    <x v="1"/>
    <s v="Bourgogne"/>
    <x v="0"/>
    <x v="1"/>
    <n v="200"/>
    <n v="220"/>
    <n v="4.2699999999999996"/>
    <n v="853.99999999999989"/>
  </r>
  <r>
    <s v="Bordeaux"/>
    <x v="1"/>
    <s v="Bordeaux"/>
    <x v="1"/>
    <x v="2"/>
    <n v="260"/>
    <n v="200"/>
    <n v="2.4500000000000002"/>
    <n v="637"/>
  </r>
  <r>
    <s v="Bourgogne"/>
    <x v="1"/>
    <s v="Bourgogne"/>
    <x v="1"/>
    <x v="2"/>
    <n v="230"/>
    <n v="170"/>
    <n v="2.83"/>
    <n v="650.9"/>
  </r>
  <r>
    <s v="Brolio"/>
    <x v="0"/>
    <s v="Toscane"/>
    <x v="0"/>
    <x v="0"/>
    <n v="230"/>
    <n v="200"/>
    <n v="2.5099999999999998"/>
    <n v="577.29999999999995"/>
  </r>
  <r>
    <s v="Chablis"/>
    <x v="1"/>
    <s v="Bourgogne"/>
    <x v="1"/>
    <x v="1"/>
    <n v="230"/>
    <n v="150"/>
    <n v="3.63"/>
    <n v="834.9"/>
  </r>
  <r>
    <s v="Chianti"/>
    <x v="0"/>
    <s v="Toscane"/>
    <x v="0"/>
    <x v="2"/>
    <n v="120"/>
    <n v="100"/>
    <n v="2.67"/>
    <n v="320.39999999999998"/>
  </r>
  <r>
    <s v="Frascati"/>
    <x v="0"/>
    <s v="Rome"/>
    <x v="1"/>
    <x v="2"/>
    <n v="230"/>
    <n v="280"/>
    <n v="2.0299999999999998"/>
    <n v="466.9"/>
  </r>
  <r>
    <s v="Freisa"/>
    <x v="0"/>
    <s v="Piémont"/>
    <x v="0"/>
    <x v="2"/>
    <n v="120"/>
    <n v="100"/>
    <n v="2.08"/>
    <n v="249.60000000000002"/>
  </r>
  <r>
    <s v="Grignolino"/>
    <x v="0"/>
    <s v="Piémont"/>
    <x v="0"/>
    <x v="2"/>
    <n v="230"/>
    <n v="250"/>
    <n v="2.2400000000000002"/>
    <n v="515.20000000000005"/>
  </r>
  <r>
    <s v="Madiran"/>
    <x v="1"/>
    <s v="Madiran"/>
    <x v="0"/>
    <x v="0"/>
    <n v="200"/>
    <n v="250"/>
    <n v="4.88"/>
    <n v="976"/>
  </r>
  <r>
    <s v="Médoc"/>
    <x v="1"/>
    <s v="Bordeaux"/>
    <x v="0"/>
    <x v="2"/>
    <n v="300"/>
    <n v="250"/>
    <n v="4.42"/>
    <n v="1326"/>
  </r>
  <r>
    <s v="Müller-Turgau"/>
    <x v="2"/>
    <s v="Moselle"/>
    <x v="1"/>
    <x v="0"/>
    <n v="340"/>
    <n v="300"/>
    <n v="3.66"/>
    <n v="1244.4000000000001"/>
  </r>
  <r>
    <s v="Oppenheimer"/>
    <x v="2"/>
    <s v="Rhin"/>
    <x v="1"/>
    <x v="2"/>
    <n v="300"/>
    <n v="250"/>
    <n v="2.67"/>
    <n v="801"/>
  </r>
  <r>
    <s v="Ortenau"/>
    <x v="2"/>
    <s v="Baden"/>
    <x v="0"/>
    <x v="2"/>
    <n v="340"/>
    <n v="300"/>
    <n v="2.13"/>
    <n v="724.19999999999993"/>
  </r>
  <r>
    <s v="Ravello"/>
    <x v="0"/>
    <s v="Salerno"/>
    <x v="2"/>
    <x v="1"/>
    <n v="200"/>
    <n v="150"/>
    <n v="3.15"/>
    <n v="630"/>
  </r>
  <r>
    <s v="Riesling"/>
    <x v="2"/>
    <s v="Moselle"/>
    <x v="1"/>
    <x v="2"/>
    <n v="200"/>
    <n v="200"/>
    <n v="2.9"/>
    <n v="580"/>
  </r>
  <r>
    <s v="Sauternes"/>
    <x v="1"/>
    <s v="Bordeaux"/>
    <x v="1"/>
    <x v="0"/>
    <n v="170"/>
    <n v="190"/>
    <n v="5.34"/>
    <n v="907.8"/>
  </r>
  <r>
    <s v="Silvaner"/>
    <x v="2"/>
    <s v="Rhin"/>
    <x v="1"/>
    <x v="2"/>
    <n v="230"/>
    <n v="200"/>
    <n v="1.6"/>
    <n v="368"/>
  </r>
  <r>
    <s v="Soave"/>
    <x v="0"/>
    <s v="Vérone"/>
    <x v="1"/>
    <x v="2"/>
    <n v="170"/>
    <n v="200"/>
    <n v="2.08"/>
    <n v="353.6"/>
  </r>
  <r>
    <s v="Valpolicella"/>
    <x v="0"/>
    <s v="Vérone"/>
    <x v="0"/>
    <x v="2"/>
    <n v="300"/>
    <n v="250"/>
    <n v="3.09"/>
    <n v="92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80">
  <r>
    <x v="0"/>
    <x v="0"/>
    <s v="acordéon"/>
    <s v="Vent"/>
    <n v="50000"/>
  </r>
  <r>
    <x v="1"/>
    <x v="0"/>
    <s v="Banjo"/>
    <s v="Cordes"/>
    <n v="10256"/>
  </r>
  <r>
    <x v="2"/>
    <x v="0"/>
    <s v="Baryton"/>
    <s v="Vent"/>
    <n v="35000"/>
  </r>
  <r>
    <x v="3"/>
    <x v="0"/>
    <s v="Basson"/>
    <s v="Vent"/>
    <n v="22460"/>
  </r>
  <r>
    <x v="4"/>
    <x v="0"/>
    <s v="Basson"/>
    <s v="Vent"/>
    <n v="21560"/>
  </r>
  <r>
    <x v="5"/>
    <x v="1"/>
    <s v="Basson"/>
    <s v="Vent"/>
    <n v="19560"/>
  </r>
  <r>
    <x v="6"/>
    <x v="2"/>
    <s v="Banjo"/>
    <s v="Cordes"/>
    <n v="50000"/>
  </r>
  <r>
    <x v="7"/>
    <x v="1"/>
    <s v="Basson"/>
    <s v="Vent"/>
    <n v="19560"/>
  </r>
  <r>
    <x v="8"/>
    <x v="1"/>
    <s v="Basson"/>
    <s v="Vent"/>
    <n v="21500"/>
  </r>
  <r>
    <x v="9"/>
    <x v="1"/>
    <s v="Basson"/>
    <s v="Vent"/>
    <n v="20632"/>
  </r>
  <r>
    <x v="10"/>
    <x v="0"/>
    <s v="Carillon de fanfare"/>
    <s v="Percussion et accessoires"/>
    <n v="7900"/>
  </r>
  <r>
    <x v="11"/>
    <x v="0"/>
    <s v="Carillon de fanfare"/>
    <s v="Percussion et accessoires"/>
    <n v="8600"/>
  </r>
  <r>
    <x v="12"/>
    <x v="1"/>
    <s v="Carillon de fanfare"/>
    <s v="Percussion et accessoires"/>
    <n v="8900"/>
  </r>
  <r>
    <x v="13"/>
    <x v="1"/>
    <s v="Carillon de fanfare"/>
    <s v="Percussion et accessoires"/>
    <n v="8600"/>
  </r>
  <r>
    <x v="14"/>
    <x v="1"/>
    <s v="Carillon de fanfare"/>
    <s v="Percussion et accessoires"/>
    <n v="7952"/>
  </r>
  <r>
    <x v="15"/>
    <x v="1"/>
    <s v="Carillon de fanfare"/>
    <s v="Percussion et accessoires"/>
    <n v="7690"/>
  </r>
  <r>
    <x v="0"/>
    <x v="1"/>
    <s v="Carillon de fanfare"/>
    <s v="Percussion et accessoires"/>
    <n v="7900"/>
  </r>
  <r>
    <x v="16"/>
    <x v="1"/>
    <s v="Carillon de fanfare"/>
    <s v="Percussion et accessoires"/>
    <n v="8450"/>
  </r>
  <r>
    <x v="17"/>
    <x v="0"/>
    <s v="Castagnettes"/>
    <s v="Percussion et accessoires"/>
    <n v="510"/>
  </r>
  <r>
    <x v="18"/>
    <x v="1"/>
    <s v="Castagnettes"/>
    <s v="Percussion et accessoires"/>
    <n v="510"/>
  </r>
  <r>
    <x v="19"/>
    <x v="1"/>
    <s v="Castagnettes"/>
    <s v="Percussion et accessoires"/>
    <n v="510"/>
  </r>
  <r>
    <x v="20"/>
    <x v="1"/>
    <s v="Castagnettes"/>
    <s v="Percussion et accessoires"/>
    <n v="510"/>
  </r>
  <r>
    <x v="21"/>
    <x v="0"/>
    <s v="Cithare"/>
    <s v="Cordes"/>
    <n v="25000"/>
  </r>
  <r>
    <x v="2"/>
    <x v="1"/>
    <s v="Cithare"/>
    <s v="Cordes"/>
    <n v="25600"/>
  </r>
  <r>
    <x v="22"/>
    <x v="0"/>
    <s v="Clairon"/>
    <s v="Vent"/>
    <n v="5600"/>
  </r>
  <r>
    <x v="23"/>
    <x v="0"/>
    <s v="Clairon"/>
    <s v="Vent"/>
    <n v="5400"/>
  </r>
  <r>
    <x v="24"/>
    <x v="1"/>
    <s v="Clairon"/>
    <s v="Vent"/>
    <n v="5690"/>
  </r>
  <r>
    <x v="25"/>
    <x v="0"/>
    <s v="Clarinette"/>
    <s v="Vent"/>
    <n v="25600"/>
  </r>
  <r>
    <x v="26"/>
    <x v="0"/>
    <s v="Clarinette"/>
    <s v="Vent"/>
    <n v="25600"/>
  </r>
  <r>
    <x v="27"/>
    <x v="0"/>
    <s v="Clarinette"/>
    <s v="Vent"/>
    <n v="25600"/>
  </r>
  <r>
    <x v="28"/>
    <x v="1"/>
    <s v="Clarinette"/>
    <s v="Vent"/>
    <n v="24900"/>
  </r>
  <r>
    <x v="29"/>
    <x v="1"/>
    <s v="Clarinette"/>
    <s v="Vent"/>
    <n v="24900"/>
  </r>
  <r>
    <x v="30"/>
    <x v="1"/>
    <s v="Clarinette"/>
    <s v="Vent"/>
    <n v="24900"/>
  </r>
  <r>
    <x v="31"/>
    <x v="1"/>
    <s v="Clarinette"/>
    <s v="Vent"/>
    <n v="24900"/>
  </r>
  <r>
    <x v="32"/>
    <x v="1"/>
    <s v="Clarinette"/>
    <s v="Vent"/>
    <n v="24900"/>
  </r>
  <r>
    <x v="33"/>
    <x v="0"/>
    <s v="Clavecin"/>
    <s v="Cordes"/>
    <n v="75000"/>
  </r>
  <r>
    <x v="34"/>
    <x v="0"/>
    <s v="Clavecin"/>
    <s v="Cordes"/>
    <n v="75000"/>
  </r>
  <r>
    <x v="35"/>
    <x v="1"/>
    <s v="Clavecin"/>
    <s v="Cordes"/>
    <n v="75000"/>
  </r>
  <r>
    <x v="36"/>
    <x v="1"/>
    <s v="Clavecin"/>
    <s v="Cordes"/>
    <n v="75000"/>
  </r>
  <r>
    <x v="37"/>
    <x v="1"/>
    <s v="Clavecin"/>
    <s v="Cordes"/>
    <n v="75000"/>
  </r>
  <r>
    <x v="38"/>
    <x v="0"/>
    <s v="Cloches"/>
    <s v="Percussion et accessoires"/>
    <n v="1200"/>
  </r>
  <r>
    <x v="39"/>
    <x v="0"/>
    <s v="Cloches"/>
    <s v="Percussion et accessoires"/>
    <n v="1200"/>
  </r>
  <r>
    <x v="40"/>
    <x v="1"/>
    <s v="Cloches"/>
    <s v="Percussion et accessoires"/>
    <n v="905"/>
  </r>
  <r>
    <x v="41"/>
    <x v="1"/>
    <s v="Cloches"/>
    <s v="Percussion et accessoires"/>
    <n v="905"/>
  </r>
  <r>
    <x v="42"/>
    <x v="1"/>
    <s v="Cloches"/>
    <s v="Percussion et accessoires"/>
    <n v="905"/>
  </r>
  <r>
    <x v="43"/>
    <x v="1"/>
    <s v="Cloches"/>
    <s v="Percussion et accessoires"/>
    <n v="905"/>
  </r>
  <r>
    <x v="44"/>
    <x v="1"/>
    <s v="Cloches"/>
    <s v="Percussion et accessoires"/>
    <n v="905"/>
  </r>
  <r>
    <x v="45"/>
    <x v="0"/>
    <s v="Contrebasse"/>
    <s v="Cordes"/>
    <n v="36000"/>
  </r>
  <r>
    <x v="46"/>
    <x v="0"/>
    <s v="Contrebasse"/>
    <s v="Cordes"/>
    <n v="36000"/>
  </r>
  <r>
    <x v="47"/>
    <x v="0"/>
    <s v="Contrebasse"/>
    <s v="Cordes"/>
    <n v="36000"/>
  </r>
  <r>
    <x v="48"/>
    <x v="0"/>
    <s v="Contrebasse"/>
    <s v="Cordes"/>
    <n v="36000"/>
  </r>
  <r>
    <x v="49"/>
    <x v="1"/>
    <s v="Contrebasse"/>
    <s v="Cordes"/>
    <n v="34500"/>
  </r>
  <r>
    <x v="50"/>
    <x v="1"/>
    <s v="Contrebasse"/>
    <s v="Cordes"/>
    <n v="34500"/>
  </r>
  <r>
    <x v="51"/>
    <x v="1"/>
    <s v="Contrebasse"/>
    <s v="Cordes"/>
    <n v="34500"/>
  </r>
  <r>
    <x v="52"/>
    <x v="1"/>
    <s v="Contrebasse"/>
    <s v="Cordes"/>
    <n v="34500"/>
  </r>
  <r>
    <x v="53"/>
    <x v="1"/>
    <s v="Contrebasse"/>
    <s v="Cordes"/>
    <n v="34500"/>
  </r>
  <r>
    <x v="54"/>
    <x v="1"/>
    <s v="Contrebasse"/>
    <s v="Cordes"/>
    <n v="32450"/>
  </r>
  <r>
    <x v="48"/>
    <x v="1"/>
    <s v="Contrebasse"/>
    <s v="Cordes"/>
    <n v="32450"/>
  </r>
  <r>
    <x v="55"/>
    <x v="1"/>
    <s v="Contrebasse"/>
    <s v="Cordes"/>
    <n v="32450"/>
  </r>
  <r>
    <x v="56"/>
    <x v="0"/>
    <s v="Cor anglais"/>
    <s v="Vent"/>
    <n v="26500"/>
  </r>
  <r>
    <x v="57"/>
    <x v="0"/>
    <s v="Cor anglais"/>
    <s v="Vent"/>
    <n v="26500"/>
  </r>
  <r>
    <x v="58"/>
    <x v="0"/>
    <s v="Cor anglais"/>
    <s v="Vent"/>
    <n v="26500"/>
  </r>
  <r>
    <x v="59"/>
    <x v="0"/>
    <s v="Cor anglais"/>
    <s v="Vent"/>
    <n v="26500"/>
  </r>
  <r>
    <x v="60"/>
    <x v="1"/>
    <s v="Cor anglais"/>
    <s v="Vent"/>
    <n v="22980"/>
  </r>
  <r>
    <x v="57"/>
    <x v="1"/>
    <s v="Cor anglais"/>
    <s v="Vent"/>
    <n v="22980"/>
  </r>
  <r>
    <x v="61"/>
    <x v="1"/>
    <s v="Cor anglais"/>
    <s v="Vent"/>
    <n v="22980"/>
  </r>
  <r>
    <x v="44"/>
    <x v="1"/>
    <s v="Cor anglais"/>
    <s v="Vent"/>
    <n v="22980"/>
  </r>
  <r>
    <x v="62"/>
    <x v="1"/>
    <s v="Cor anglais"/>
    <s v="Vent"/>
    <n v="22980"/>
  </r>
  <r>
    <x v="63"/>
    <x v="1"/>
    <s v="Cor anglais"/>
    <s v="Vent"/>
    <n v="22980"/>
  </r>
  <r>
    <x v="64"/>
    <x v="1"/>
    <s v="Cor anglais"/>
    <s v="Vent"/>
    <n v="22980"/>
  </r>
  <r>
    <x v="6"/>
    <x v="1"/>
    <s v="Cor anglais"/>
    <s v="Vent"/>
    <n v="22980"/>
  </r>
  <r>
    <x v="65"/>
    <x v="1"/>
    <s v="Cor anglais"/>
    <s v="Vent"/>
    <n v="22980"/>
  </r>
  <r>
    <x v="66"/>
    <x v="1"/>
    <s v="Cor anglais"/>
    <s v="Vent"/>
    <n v="22980"/>
  </r>
  <r>
    <x v="67"/>
    <x v="0"/>
    <s v="Cornemuse"/>
    <s v="Vent"/>
    <n v="21000"/>
  </r>
  <r>
    <x v="68"/>
    <x v="0"/>
    <s v="Cornet à pistons"/>
    <s v="Vent"/>
    <n v="17890"/>
  </r>
  <r>
    <x v="69"/>
    <x v="0"/>
    <s v="Cornet à pistons"/>
    <s v="Vent"/>
    <n v="17890"/>
  </r>
  <r>
    <x v="70"/>
    <x v="1"/>
    <s v="Cornet à pistons"/>
    <s v="Vent"/>
    <n v="17890"/>
  </r>
  <r>
    <x v="71"/>
    <x v="1"/>
    <s v="Cornet à pistons"/>
    <s v="Vent"/>
    <n v="17890"/>
  </r>
  <r>
    <x v="72"/>
    <x v="1"/>
    <s v="Cornet à pistons"/>
    <s v="Vent"/>
    <n v="17890"/>
  </r>
  <r>
    <x v="73"/>
    <x v="1"/>
    <s v="Cornet à pistons"/>
    <s v="Vent"/>
    <n v="17890"/>
  </r>
  <r>
    <x v="74"/>
    <x v="0"/>
    <s v="Cymballes"/>
    <s v="Percussion et accessoires"/>
    <n v="5200"/>
  </r>
  <r>
    <x v="75"/>
    <x v="0"/>
    <s v="Cymballes"/>
    <s v="Percussion et accessoires"/>
    <n v="5200"/>
  </r>
  <r>
    <x v="76"/>
    <x v="1"/>
    <s v="Cymballes"/>
    <s v="Percussion et accessoires"/>
    <n v="5200"/>
  </r>
  <r>
    <x v="77"/>
    <x v="1"/>
    <s v="Cymballes"/>
    <s v="Percussion et accessoires"/>
    <n v="5200"/>
  </r>
  <r>
    <x v="78"/>
    <x v="1"/>
    <s v="Cymballes"/>
    <s v="Percussion et accessoires"/>
    <n v="5200"/>
  </r>
  <r>
    <x v="79"/>
    <x v="1"/>
    <s v="Cymballes"/>
    <s v="Percussion et accessoires"/>
    <n v="5200"/>
  </r>
  <r>
    <x v="80"/>
    <x v="1"/>
    <s v="Cymballes"/>
    <s v="Percussion et accessoires"/>
    <n v="5200"/>
  </r>
  <r>
    <x v="81"/>
    <x v="0"/>
    <s v="Flûte de pan"/>
    <s v="Vent"/>
    <n v="680"/>
  </r>
  <r>
    <x v="70"/>
    <x v="0"/>
    <s v="Flûte traversière"/>
    <s v="Vent"/>
    <n v="24000"/>
  </r>
  <r>
    <x v="82"/>
    <x v="0"/>
    <s v="Flûte traversière"/>
    <s v="Vent"/>
    <n v="24000"/>
  </r>
  <r>
    <x v="83"/>
    <x v="1"/>
    <s v="Flûte traversière"/>
    <s v="Vent"/>
    <n v="24000"/>
  </r>
  <r>
    <x v="84"/>
    <x v="1"/>
    <s v="Flûte traversière"/>
    <s v="Vent"/>
    <n v="24000"/>
  </r>
  <r>
    <x v="85"/>
    <x v="1"/>
    <s v="Flûte traversière"/>
    <s v="Vent"/>
    <n v="24000"/>
  </r>
  <r>
    <x v="86"/>
    <x v="1"/>
    <s v="Flûte traversière"/>
    <s v="Vent"/>
    <n v="24000"/>
  </r>
  <r>
    <x v="36"/>
    <x v="0"/>
    <s v="Grande Flûte"/>
    <s v="Vent"/>
    <n v="21560"/>
  </r>
  <r>
    <x v="87"/>
    <x v="0"/>
    <s v="Grande Flûte"/>
    <s v="Vent"/>
    <n v="21560"/>
  </r>
  <r>
    <x v="88"/>
    <x v="1"/>
    <s v="Grande Flûte"/>
    <s v="Vent"/>
    <n v="21560"/>
  </r>
  <r>
    <x v="89"/>
    <x v="1"/>
    <s v="Grande Flûte"/>
    <s v="Vent"/>
    <n v="21560"/>
  </r>
  <r>
    <x v="90"/>
    <x v="1"/>
    <s v="Grande Flûte"/>
    <s v="Vent"/>
    <n v="21560"/>
  </r>
  <r>
    <x v="91"/>
    <x v="1"/>
    <s v="Grande Flûte"/>
    <s v="Vent"/>
    <n v="21560"/>
  </r>
  <r>
    <x v="92"/>
    <x v="1"/>
    <s v="Grande Flûte"/>
    <s v="Vent"/>
    <n v="21560"/>
  </r>
  <r>
    <x v="72"/>
    <x v="0"/>
    <s v="Grosse caisse"/>
    <s v="Percussion et accessoires"/>
    <n v="22300"/>
  </r>
  <r>
    <x v="93"/>
    <x v="1"/>
    <s v="Grosse caisse"/>
    <s v="Percussion et accessoires"/>
    <n v="22300"/>
  </r>
  <r>
    <x v="94"/>
    <x v="1"/>
    <s v="Grosse caisse"/>
    <s v="Percussion et accessoires"/>
    <n v="22300"/>
  </r>
  <r>
    <x v="95"/>
    <x v="1"/>
    <s v="Grosse caisse"/>
    <s v="Percussion et accessoires"/>
    <n v="22300"/>
  </r>
  <r>
    <x v="96"/>
    <x v="0"/>
    <s v="Guimbarde"/>
    <s v="Percussion et accessoires"/>
    <n v="22300"/>
  </r>
  <r>
    <x v="97"/>
    <x v="0"/>
    <s v="Guitare"/>
    <s v="Cordes"/>
    <n v="5400"/>
  </r>
  <r>
    <x v="98"/>
    <x v="0"/>
    <s v="Guitare"/>
    <s v="Cordes"/>
    <n v="5400"/>
  </r>
  <r>
    <x v="3"/>
    <x v="1"/>
    <s v="Guitare"/>
    <s v="Cordes"/>
    <n v="5400"/>
  </r>
  <r>
    <x v="99"/>
    <x v="1"/>
    <s v="Guitare"/>
    <s v="Cordes"/>
    <n v="5400"/>
  </r>
  <r>
    <x v="25"/>
    <x v="1"/>
    <s v="Guitare"/>
    <s v="Cordes"/>
    <n v="5400"/>
  </r>
  <r>
    <x v="100"/>
    <x v="1"/>
    <s v="Guitare"/>
    <s v="Cordes"/>
    <n v="5400"/>
  </r>
  <r>
    <x v="74"/>
    <x v="1"/>
    <s v="Guitare"/>
    <s v="Cordes"/>
    <n v="5400"/>
  </r>
  <r>
    <x v="101"/>
    <x v="1"/>
    <s v="Guitare"/>
    <s v="Cordes"/>
    <n v="5400"/>
  </r>
  <r>
    <x v="102"/>
    <x v="0"/>
    <s v="Harmonica"/>
    <s v="Vent"/>
    <n v="265"/>
  </r>
  <r>
    <x v="103"/>
    <x v="0"/>
    <s v="Harmonium"/>
    <s v="Vent"/>
    <n v="55000"/>
  </r>
  <r>
    <x v="104"/>
    <x v="0"/>
    <s v="Harpe"/>
    <s v="Cordes"/>
    <n v="36000"/>
  </r>
  <r>
    <x v="68"/>
    <x v="1"/>
    <s v="Harpe"/>
    <s v="Cordes"/>
    <n v="36000"/>
  </r>
  <r>
    <x v="105"/>
    <x v="0"/>
    <s v="Hautbois"/>
    <s v="Vent"/>
    <n v="19860"/>
  </r>
  <r>
    <x v="106"/>
    <x v="1"/>
    <s v="Hautbois"/>
    <s v="Vent"/>
    <n v="19860"/>
  </r>
  <r>
    <x v="107"/>
    <x v="1"/>
    <s v="Hautbois"/>
    <s v="Vent"/>
    <n v="19860"/>
  </r>
  <r>
    <x v="108"/>
    <x v="0"/>
    <s v="Hélicon"/>
    <s v="Vent"/>
    <n v="8960"/>
  </r>
  <r>
    <x v="109"/>
    <x v="0"/>
    <s v="Luth"/>
    <s v="Cordes"/>
    <n v="45000"/>
  </r>
  <r>
    <x v="110"/>
    <x v="0"/>
    <s v="Lyre"/>
    <s v="Cordes"/>
    <n v="15600"/>
  </r>
  <r>
    <x v="111"/>
    <x v="0"/>
    <s v="Lyre"/>
    <s v="Cordes"/>
    <n v="15600"/>
  </r>
  <r>
    <x v="112"/>
    <x v="1"/>
    <s v="Lyre"/>
    <s v="Cordes"/>
    <n v="15600"/>
  </r>
  <r>
    <x v="113"/>
    <x v="1"/>
    <s v="Lyre"/>
    <s v="Cordes"/>
    <n v="15600"/>
  </r>
  <r>
    <x v="114"/>
    <x v="1"/>
    <s v="Lyre"/>
    <s v="Cordes"/>
    <n v="15600"/>
  </r>
  <r>
    <x v="115"/>
    <x v="0"/>
    <s v="Mandoline"/>
    <s v="Cordes"/>
    <n v="16200"/>
  </r>
  <r>
    <x v="116"/>
    <x v="0"/>
    <s v="Orgue de barbarie"/>
    <s v="Vent"/>
    <n v="1987"/>
  </r>
  <r>
    <x v="78"/>
    <x v="0"/>
    <s v="Petite flûte"/>
    <s v="Vent"/>
    <n v="450"/>
  </r>
  <r>
    <x v="117"/>
    <x v="0"/>
    <s v="Petite flûte"/>
    <s v="Vent"/>
    <n v="450"/>
  </r>
  <r>
    <x v="118"/>
    <x v="1"/>
    <s v="Petite flûte"/>
    <s v="Vent"/>
    <n v="450"/>
  </r>
  <r>
    <x v="119"/>
    <x v="1"/>
    <s v="Petite flûte"/>
    <s v="Vent"/>
    <n v="450"/>
  </r>
  <r>
    <x v="120"/>
    <x v="1"/>
    <s v="Petite flûte"/>
    <s v="Vent"/>
    <n v="450"/>
  </r>
  <r>
    <x v="121"/>
    <x v="1"/>
    <s v="Petite flûte"/>
    <s v="Vent"/>
    <n v="450"/>
  </r>
  <r>
    <x v="122"/>
    <x v="1"/>
    <s v="Petite flûte"/>
    <s v="Vent"/>
    <n v="450"/>
  </r>
  <r>
    <x v="123"/>
    <x v="0"/>
    <s v="Piano à queue"/>
    <s v="Cordes"/>
    <n v="25120"/>
  </r>
  <r>
    <x v="5"/>
    <x v="0"/>
    <s v="Piano à queue"/>
    <s v="Cordes"/>
    <n v="25120"/>
  </r>
  <r>
    <x v="124"/>
    <x v="0"/>
    <s v="Piano à queue"/>
    <s v="Cordes"/>
    <n v="25120"/>
  </r>
  <r>
    <x v="125"/>
    <x v="0"/>
    <s v="Piano à queue"/>
    <s v="Cordes"/>
    <n v="25120"/>
  </r>
  <r>
    <x v="126"/>
    <x v="0"/>
    <s v="Piano à queue"/>
    <s v="Cordes"/>
    <n v="25120"/>
  </r>
  <r>
    <x v="127"/>
    <x v="1"/>
    <s v="Piano à queue"/>
    <s v="Cordes"/>
    <n v="25120"/>
  </r>
  <r>
    <x v="128"/>
    <x v="1"/>
    <s v="Piano à queue"/>
    <s v="Cordes"/>
    <n v="25120"/>
  </r>
  <r>
    <x v="129"/>
    <x v="1"/>
    <s v="Piano à queue"/>
    <s v="Cordes"/>
    <n v="25120"/>
  </r>
  <r>
    <x v="130"/>
    <x v="1"/>
    <s v="Piano à queue"/>
    <s v="Cordes"/>
    <n v="25120"/>
  </r>
  <r>
    <x v="131"/>
    <x v="1"/>
    <s v="Piano à queue"/>
    <s v="Cordes"/>
    <n v="25120"/>
  </r>
  <r>
    <x v="132"/>
    <x v="1"/>
    <s v="Piano à queue"/>
    <s v="Cordes"/>
    <n v="25120"/>
  </r>
  <r>
    <x v="133"/>
    <x v="1"/>
    <s v="Piano à queue"/>
    <s v="Cordes"/>
    <n v="25120"/>
  </r>
  <r>
    <x v="134"/>
    <x v="0"/>
    <s v="Piano droit"/>
    <s v="Cordes"/>
    <n v="12360"/>
  </r>
  <r>
    <x v="135"/>
    <x v="0"/>
    <s v="Piano droit"/>
    <s v="Cordes"/>
    <n v="12360"/>
  </r>
  <r>
    <x v="24"/>
    <x v="0"/>
    <s v="Piano droit"/>
    <s v="Cordes"/>
    <n v="12360"/>
  </r>
  <r>
    <x v="136"/>
    <x v="1"/>
    <s v="Piano droit"/>
    <s v="Cordes"/>
    <n v="12360"/>
  </r>
  <r>
    <x v="137"/>
    <x v="1"/>
    <s v="Piano droit"/>
    <s v="Cordes"/>
    <n v="12360"/>
  </r>
  <r>
    <x v="138"/>
    <x v="0"/>
    <s v="Saxophone"/>
    <s v="Vent"/>
    <n v="12600"/>
  </r>
  <r>
    <x v="139"/>
    <x v="0"/>
    <s v="Saxophone Soprano"/>
    <s v="Vent"/>
    <n v="10230"/>
  </r>
  <r>
    <x v="140"/>
    <x v="0"/>
    <s v="Saxophone Ténor"/>
    <s v="Vent"/>
    <n v="13250"/>
  </r>
  <r>
    <x v="141"/>
    <x v="0"/>
    <s v="Tambour de basques"/>
    <s v="Percussion et accessoires"/>
    <n v="986"/>
  </r>
  <r>
    <x v="142"/>
    <x v="1"/>
    <s v="Tambour de basques"/>
    <s v="Percussion et accessoires"/>
    <n v="958"/>
  </r>
  <r>
    <x v="143"/>
    <x v="0"/>
    <s v="Tambourin"/>
    <s v="Percussion et accessoires"/>
    <n v="650"/>
  </r>
  <r>
    <x v="144"/>
    <x v="0"/>
    <s v="Triangle"/>
    <s v="Percussion et accessoires"/>
    <n v="560"/>
  </r>
  <r>
    <x v="121"/>
    <x v="0"/>
    <s v="Triangle"/>
    <s v="Percussion et accessoires"/>
    <n v="560"/>
  </r>
  <r>
    <x v="145"/>
    <x v="0"/>
    <s v="Triangle"/>
    <s v="Percussion et accessoires"/>
    <n v="560"/>
  </r>
  <r>
    <x v="146"/>
    <x v="1"/>
    <s v="Triangle"/>
    <s v="Percussion et accessoires"/>
    <n v="560"/>
  </r>
  <r>
    <x v="147"/>
    <x v="1"/>
    <s v="Triangle"/>
    <s v="Percussion et accessoires"/>
    <n v="560"/>
  </r>
  <r>
    <x v="148"/>
    <x v="1"/>
    <s v="Triangle"/>
    <s v="Percussion et accessoires"/>
    <n v="560"/>
  </r>
  <r>
    <x v="149"/>
    <x v="1"/>
    <s v="Triangle"/>
    <s v="Percussion et accessoires"/>
    <n v="560"/>
  </r>
  <r>
    <x v="150"/>
    <x v="1"/>
    <s v="Triangle"/>
    <s v="Percussion et accessoires"/>
    <n v="560"/>
  </r>
  <r>
    <x v="151"/>
    <x v="1"/>
    <s v="Triangle"/>
    <s v="Percussion et accessoires"/>
    <n v="560"/>
  </r>
  <r>
    <x v="152"/>
    <x v="0"/>
    <s v="Trompette"/>
    <s v="Vent"/>
    <n v="1680"/>
  </r>
  <r>
    <x v="153"/>
    <x v="0"/>
    <s v="Trompette"/>
    <s v="Vent"/>
    <n v="1680"/>
  </r>
  <r>
    <x v="35"/>
    <x v="0"/>
    <s v="Trompette"/>
    <s v="Vent"/>
    <n v="1680"/>
  </r>
  <r>
    <x v="42"/>
    <x v="0"/>
    <s v="Trompette d'harmonie"/>
    <s v="Vent"/>
    <n v="2600"/>
  </r>
  <r>
    <x v="88"/>
    <x v="0"/>
    <s v="Viole d'amour"/>
    <s v="Cordes"/>
    <n v="45000"/>
  </r>
  <r>
    <x v="112"/>
    <x v="0"/>
    <s v="Violon"/>
    <s v="Cordes"/>
    <n v="26000"/>
  </r>
  <r>
    <x v="118"/>
    <x v="0"/>
    <s v="Violon"/>
    <s v="Cordes"/>
    <n v="26000"/>
  </r>
  <r>
    <x v="148"/>
    <x v="0"/>
    <s v="Violon"/>
    <s v="Cordes"/>
    <n v="26000"/>
  </r>
  <r>
    <x v="142"/>
    <x v="0"/>
    <s v="Violon"/>
    <s v="Cordes"/>
    <n v="26000"/>
  </r>
  <r>
    <x v="154"/>
    <x v="0"/>
    <s v="Violoncelle"/>
    <s v="Cordes"/>
    <n v="32000"/>
  </r>
  <r>
    <x v="122"/>
    <x v="0"/>
    <s v="Xylophone"/>
    <s v="Percussion et accessoires"/>
    <n v="11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85">
  <r>
    <s v="SAPIENCE"/>
    <s v="Alain"/>
    <n v="3035"/>
    <s v="CCS AGL"/>
    <x v="0"/>
    <s v="pièce 70"/>
    <n v="15484.55"/>
    <x v="0"/>
    <d v="1960-03-09T00:00:00"/>
    <n v="56"/>
    <m/>
  </r>
  <r>
    <s v="SONG"/>
    <s v="Aline"/>
    <n v="3980"/>
    <s v="CCS AGL"/>
    <x v="0"/>
    <s v="pièce 50"/>
    <n v="12610.66"/>
    <x v="1"/>
    <d v="1954-03-16T00:00:00"/>
    <n v="62"/>
    <m/>
  </r>
  <r>
    <s v="STOEFFLER"/>
    <s v="James"/>
    <n v="3181"/>
    <s v="CCS AGL"/>
    <x v="0"/>
    <s v="pièce 73"/>
    <n v="16065.92"/>
    <x v="0"/>
    <d v="1966-01-19T00:00:00"/>
    <n v="50"/>
    <m/>
  </r>
  <r>
    <s v="AGAPOF"/>
    <s v="Brigitte"/>
    <n v="3033"/>
    <s v="CFS CO"/>
    <x v="1"/>
    <s v="pièce 109"/>
    <n v="6501.11"/>
    <x v="1"/>
    <d v="1970-03-24T00:00:00"/>
    <n v="46"/>
    <m/>
  </r>
  <r>
    <s v="HERMANT"/>
    <s v="Jean-Pierre"/>
    <n v="3998"/>
    <s v="CFS CO"/>
    <x v="1"/>
    <s v="pièce 70"/>
    <n v="15553.04"/>
    <x v="0"/>
    <d v="1948-11-19T00:00:00"/>
    <n v="67"/>
    <m/>
  </r>
  <r>
    <s v="AMELLAL"/>
    <s v="Jean-Marc"/>
    <n v="3766"/>
    <s v="CFS CO"/>
    <x v="1"/>
    <s v="pièce 232"/>
    <n v="10598.14"/>
    <x v="0"/>
    <d v="1953-01-19T00:00:00"/>
    <n v="63"/>
    <m/>
  </r>
  <r>
    <s v="ANGONIN"/>
    <s v="Jean-Pierre"/>
    <n v="3419"/>
    <s v="CFS FSC"/>
    <x v="1"/>
    <s v="pièce 70"/>
    <n v="15446.76"/>
    <x v="0"/>
    <d v="1952-09-19T00:00:00"/>
    <n v="63"/>
    <m/>
  </r>
  <r>
    <s v="AZOURA"/>
    <s v="Marie"/>
    <n v="3127"/>
    <s v="CCS DXO"/>
    <x v="1"/>
    <s v="inconnu"/>
    <n v="20635.11"/>
    <x v="1"/>
    <d v="1955-04-13T00:00:00"/>
    <n v="61"/>
    <m/>
  </r>
  <r>
    <s v="BACH"/>
    <s v="Ginette"/>
    <n v="3147"/>
    <s v="CFS CO"/>
    <x v="1"/>
    <s v="pièce 90"/>
    <n v="18924.919999999998"/>
    <x v="1"/>
    <d v="1953-01-20T00:00:00"/>
    <n v="63"/>
    <m/>
  </r>
  <r>
    <s v="BARANDON"/>
    <s v="Margaret"/>
    <n v="3280"/>
    <s v="CFS FSC"/>
    <x v="1"/>
    <s v="pièce 34"/>
    <n v="12122.64"/>
    <x v="1"/>
    <d v="1979-01-26T00:00:00"/>
    <n v="37"/>
    <m/>
  </r>
  <r>
    <s v="BARBACHO"/>
    <s v="Jeanine"/>
    <n v="3590"/>
    <s v="CFS CO"/>
    <x v="1"/>
    <s v="inconnu"/>
    <n v="20843.810000000001"/>
    <x v="1"/>
    <d v="1949-05-12T00:00:00"/>
    <n v="67"/>
    <m/>
  </r>
  <r>
    <s v="BAUDET"/>
    <s v="Arlette"/>
    <n v="3632"/>
    <s v="CFS FSC"/>
    <x v="1"/>
    <s v="pièce 91"/>
    <n v="18942.97"/>
    <x v="1"/>
    <d v="1953-12-11T00:00:00"/>
    <n v="62"/>
    <m/>
  </r>
  <r>
    <s v="BEAUDEAU"/>
    <s v="Gérard"/>
    <n v="3541"/>
    <s v="CFS AG"/>
    <x v="1"/>
    <s v="pièce 212"/>
    <n v="9360.2000000000007"/>
    <x v="0"/>
    <d v="1972-04-04T00:00:00"/>
    <n v="44"/>
    <m/>
  </r>
  <r>
    <s v="BEAUMIER"/>
    <s v="Isabelle"/>
    <n v="3595"/>
    <s v="CFS AG"/>
    <x v="1"/>
    <s v="pièce 17"/>
    <n v="8635.34"/>
    <x v="1"/>
    <d v="1965-12-09T00:00:00"/>
    <n v="50"/>
    <m/>
  </r>
  <r>
    <s v="BEDO"/>
    <s v="Jean"/>
    <n v="3008"/>
    <s v="CFS ONF"/>
    <x v="1"/>
    <s v="pièce 219"/>
    <n v="9687.41"/>
    <x v="0"/>
    <d v="1972-09-01T00:00:00"/>
    <n v="44"/>
    <m/>
  </r>
  <r>
    <s v="BENHAMOU"/>
    <s v="Jeanine"/>
    <n v="3486"/>
    <s v="CFS CO"/>
    <x v="1"/>
    <s v="pièce 58"/>
    <n v="13232.19"/>
    <x v="1"/>
    <d v="1964-07-24T00:00:00"/>
    <n v="52"/>
    <m/>
  </r>
  <r>
    <s v="BÉRAUD"/>
    <s v="Giséle"/>
    <n v="3141"/>
    <s v="CFS CO"/>
    <x v="1"/>
    <s v="pièce 245"/>
    <n v="11393.43"/>
    <x v="1"/>
    <d v="1969-07-11T00:00:00"/>
    <n v="47"/>
    <m/>
  </r>
  <r>
    <s v="CHHUOR"/>
    <s v="Anne-Marie"/>
    <n v="3247"/>
    <s v="CFS AG"/>
    <x v="1"/>
    <s v="inconnu"/>
    <n v="20750.740000000002"/>
    <x v="1"/>
    <d v="1946-03-02T00:00:00"/>
    <n v="70"/>
    <m/>
  </r>
  <r>
    <s v="BERTOLO"/>
    <s v="Claudie"/>
    <n v="3012"/>
    <s v="CFS CO"/>
    <x v="1"/>
    <s v="pièce 238"/>
    <n v="11016.74"/>
    <x v="1"/>
    <d v="1947-04-17T00:00:00"/>
    <n v="69"/>
    <m/>
  </r>
  <r>
    <s v="BINET"/>
    <s v="Jacques"/>
    <n v="3023"/>
    <s v="CFS CO"/>
    <x v="1"/>
    <s v="pièce 64"/>
    <n v="14550.42"/>
    <x v="0"/>
    <d v="1975-07-23T00:00:00"/>
    <n v="41"/>
    <m/>
  </r>
  <r>
    <s v="BINET"/>
    <s v="Emmanuel"/>
    <n v="3703"/>
    <s v="CFS CO"/>
    <x v="1"/>
    <s v="pièce 55"/>
    <n v="12821.88"/>
    <x v="0"/>
    <d v="1950-08-23T00:00:00"/>
    <n v="66"/>
    <m/>
  </r>
  <r>
    <s v="BLANC"/>
    <s v="Giséle"/>
    <n v="3650"/>
    <s v="CFS CO"/>
    <x v="1"/>
    <s v="pièce 90"/>
    <n v="18567.61"/>
    <x v="1"/>
    <d v="1946-02-17T00:00:00"/>
    <n v="70"/>
    <m/>
  </r>
  <r>
    <s v="BLANCHOT"/>
    <s v="Guy"/>
    <n v="3089"/>
    <s v="CFS FSC"/>
    <x v="1"/>
    <s v="pièce 78"/>
    <n v="16814.810000000001"/>
    <x v="0"/>
    <d v="1948-06-01T00:00:00"/>
    <n v="68"/>
    <m/>
  </r>
  <r>
    <s v="BOLLO"/>
    <s v="René"/>
    <n v="3568"/>
    <s v="CFS CO"/>
    <x v="1"/>
    <s v="pièce 107"/>
    <n v="6372.99"/>
    <x v="0"/>
    <d v="1967-10-12T00:00:00"/>
    <n v="48"/>
    <m/>
  </r>
  <r>
    <s v="BOULLICAUD"/>
    <s v="Jean-Paul"/>
    <n v="3095"/>
    <s v="CFS FSC"/>
    <x v="1"/>
    <s v="pièce 73"/>
    <n v="15624.63"/>
    <x v="0"/>
    <d v="1969-10-29T00:00:00"/>
    <n v="46"/>
    <m/>
  </r>
  <r>
    <s v="BOUN"/>
    <s v="Jeanine"/>
    <n v="3080"/>
    <s v="CFS  FSC"/>
    <x v="1"/>
    <s v="pièce 64"/>
    <n v="14847.91"/>
    <x v="1"/>
    <d v="1959-01-03T00:00:00"/>
    <n v="57"/>
    <m/>
  </r>
  <r>
    <s v="BOUSLAH"/>
    <s v="Fabien"/>
    <n v="3111"/>
    <s v="CFS AG"/>
    <x v="1"/>
    <s v="pièce 216"/>
    <n v="9485.69"/>
    <x v="0"/>
    <d v="1952-05-14T00:00:00"/>
    <n v="64"/>
    <m/>
  </r>
  <r>
    <s v="BOVERO"/>
    <s v="Gilbert"/>
    <n v="3456"/>
    <s v="CFS CO"/>
    <x v="1"/>
    <s v="pièce 80"/>
    <n v="17663.28"/>
    <x v="0"/>
    <d v="1953-11-26T00:00:00"/>
    <n v="62"/>
    <m/>
  </r>
  <r>
    <s v="BRELEUR"/>
    <s v="Jacques"/>
    <n v="3002"/>
    <s v="CFS AG"/>
    <x v="1"/>
    <s v="pièce 80"/>
    <n v="17372.38"/>
    <x v="0"/>
    <d v="1971-12-26T00:00:00"/>
    <n v="44"/>
    <m/>
  </r>
  <r>
    <s v="BRON"/>
    <s v="Géneviéve"/>
    <n v="3009"/>
    <s v="CFS CO"/>
    <x v="1"/>
    <s v="pièce 64"/>
    <n v="14127.65"/>
    <x v="1"/>
    <d v="1958-03-09T00:00:00"/>
    <n v="58"/>
    <m/>
  </r>
  <r>
    <s v="BRUNET"/>
    <s v="Françoise"/>
    <n v="3715"/>
    <s v="CFS CO"/>
    <x v="1"/>
    <s v="pièce 131"/>
    <n v="7297.33"/>
    <x v="1"/>
    <d v="1976-10-11T00:00:00"/>
    <n v="39"/>
    <m/>
  </r>
  <r>
    <s v="CAILLOT"/>
    <s v="Jocelyne"/>
    <n v="3021"/>
    <s v="CFS FSC"/>
    <x v="1"/>
    <s v="pièce 73"/>
    <n v="15858.29"/>
    <x v="1"/>
    <d v="1950-01-22T00:00:00"/>
    <n v="66"/>
    <m/>
  </r>
  <r>
    <s v="CALVET"/>
    <s v="Christine"/>
    <n v="3666"/>
    <s v="CFS FSC"/>
    <x v="1"/>
    <s v="pièce 80"/>
    <n v="17451.78"/>
    <x v="1"/>
    <d v="1969-04-02T00:00:00"/>
    <n v="47"/>
    <m/>
  </r>
  <r>
    <s v="MARTIN"/>
    <s v="Franz"/>
    <n v="3120"/>
    <s v="CFS CO"/>
    <x v="1"/>
    <s v="pièce 255"/>
    <n v="11838.84"/>
    <x v="0"/>
    <d v="1949-11-02T00:00:00"/>
    <n v="66"/>
    <m/>
  </r>
  <r>
    <s v="MIANET"/>
    <s v="Georges"/>
    <n v="3110"/>
    <s v="CFS FSC"/>
    <x v="1"/>
    <s v="pièce 83"/>
    <n v="18009.169999999998"/>
    <x v="0"/>
    <d v="1949-11-02T00:00:00"/>
    <n v="66"/>
    <m/>
  </r>
  <r>
    <s v="CHARDON"/>
    <s v="Annick"/>
    <n v="3129"/>
    <s v="CFS AG"/>
    <x v="1"/>
    <s v="pièce 78"/>
    <n v="16881.939999999999"/>
    <x v="1"/>
    <d v="1972-08-20T00:00:00"/>
    <n v="44"/>
    <m/>
  </r>
  <r>
    <s v="CHAUBEAU"/>
    <s v="Louis"/>
    <n v="3171"/>
    <s v="CFS FSC"/>
    <x v="1"/>
    <s v="pièce 83"/>
    <n v="18069.400000000001"/>
    <x v="0"/>
    <d v="1976-11-01T00:00:00"/>
    <n v="39"/>
    <m/>
  </r>
  <r>
    <s v="CHIFFLET"/>
    <s v="Ingrid"/>
    <n v="3417"/>
    <s v="CFS CO"/>
    <x v="1"/>
    <s v="pièce 96"/>
    <n v="19650.72"/>
    <x v="1"/>
    <d v="1970-03-21T00:00:00"/>
    <n v="46"/>
    <m/>
  </r>
  <r>
    <s v="CHRISTO"/>
    <s v="Giséle"/>
    <n v="3185"/>
    <s v="CFS CO"/>
    <x v="1"/>
    <s v="pièce 83"/>
    <n v="17854.95"/>
    <x v="1"/>
    <d v="1978-06-06T00:00:00"/>
    <n v="38"/>
    <m/>
  </r>
  <r>
    <s v="CLAVERIE"/>
    <s v="Chantal"/>
    <n v="3168"/>
    <s v="CFS CO"/>
    <x v="1"/>
    <s v="pièce 64"/>
    <n v="13861.87"/>
    <x v="1"/>
    <d v="1953-05-28T00:00:00"/>
    <n v="63"/>
    <m/>
  </r>
  <r>
    <s v="COHEN"/>
    <s v="Gérard"/>
    <n v="3087"/>
    <s v="CFS AG"/>
    <x v="1"/>
    <s v="pièce 73"/>
    <n v="15624.15"/>
    <x v="0"/>
    <d v="1972-02-05T00:00:00"/>
    <n v="44"/>
    <m/>
  </r>
  <r>
    <s v="COHEN"/>
    <s v="Christian"/>
    <n v="3173"/>
    <s v="CFS FSC"/>
    <x v="1"/>
    <s v="pièce 58"/>
    <n v="12986.66"/>
    <x v="0"/>
    <d v="1964-09-30T00:00:00"/>
    <n v="51"/>
    <m/>
  </r>
  <r>
    <s v="COUDERC"/>
    <s v="Louise"/>
    <n v="3627"/>
    <s v="CFS CO"/>
    <x v="1"/>
    <s v="pièce 97"/>
    <n v="20065.580000000002"/>
    <x v="1"/>
    <d v="1958-08-13T00:00:00"/>
    <n v="58"/>
    <m/>
  </r>
  <r>
    <s v="COUGET"/>
    <s v="Denis"/>
    <n v="3730"/>
    <s v="CFS ONF"/>
    <x v="1"/>
    <s v="pièce 66"/>
    <n v="15187.79"/>
    <x v="1"/>
    <d v="1968-11-09T00:00:00"/>
    <n v="47"/>
    <m/>
  </r>
  <r>
    <s v="CROMBEZ"/>
    <s v="Katherine"/>
    <n v="3200"/>
    <s v="CFS FSC"/>
    <x v="1"/>
    <s v="pièce 80"/>
    <n v="17486.900000000001"/>
    <x v="1"/>
    <d v="1971-09-17T00:00:00"/>
    <n v="44"/>
    <m/>
  </r>
  <r>
    <s v="CUCIT"/>
    <s v="Louise"/>
    <n v="3794"/>
    <s v="CFS CO"/>
    <x v="1"/>
    <s v="pièce 35"/>
    <n v="12207.02"/>
    <x v="1"/>
    <d v="1967-11-15T00:00:00"/>
    <n v="48"/>
    <m/>
  </r>
  <r>
    <s v="CYMBALIST"/>
    <s v="Gérard"/>
    <n v="3270"/>
    <s v="CFS CO"/>
    <x v="1"/>
    <s v="pièce 118"/>
    <n v="7057.17"/>
    <x v="0"/>
    <d v="1954-04-25T00:00:00"/>
    <n v="62"/>
    <m/>
  </r>
  <r>
    <s v="DEAUCOURT"/>
    <s v="Christine"/>
    <n v="3082"/>
    <s v="CFS CO"/>
    <x v="1"/>
    <s v="pièce 97"/>
    <n v="20081.28"/>
    <x v="1"/>
    <d v="1948-09-30T00:00:00"/>
    <n v="67"/>
    <m/>
  </r>
  <r>
    <s v="DEDIEU"/>
    <s v="Josselaine"/>
    <n v="3712"/>
    <s v="CFS FSC"/>
    <x v="1"/>
    <s v="pièce 78"/>
    <n v="16978.28"/>
    <x v="1"/>
    <d v="1973-02-03T00:00:00"/>
    <n v="43"/>
    <m/>
  </r>
  <r>
    <s v="DEGRENDEL"/>
    <s v="Hubert"/>
    <n v="3780"/>
    <s v="CFS ONF"/>
    <x v="1"/>
    <s v="pièce 73"/>
    <n v="16018.92"/>
    <x v="0"/>
    <d v="1972-09-24T00:00:00"/>
    <n v="43"/>
    <m/>
  </r>
  <r>
    <s v="DELAMARRE"/>
    <s v="Jean-Luc"/>
    <n v="3108"/>
    <s v="CFS CO"/>
    <x v="1"/>
    <s v="pièce 118"/>
    <n v="6859.76"/>
    <x v="0"/>
    <d v="1966-05-14T00:00:00"/>
    <n v="50"/>
    <m/>
  </r>
  <r>
    <s v="DENIS"/>
    <s v="Claudine"/>
    <n v="3669"/>
    <s v="CFS AG"/>
    <x v="1"/>
    <s v="pièce 136"/>
    <n v="7913.25"/>
    <x v="1"/>
    <d v="1958-12-12T00:00:00"/>
    <n v="57"/>
    <m/>
  </r>
  <r>
    <s v="DESHAYES"/>
    <s v="Isabelle"/>
    <n v="3822"/>
    <s v="CFS AG"/>
    <x v="1"/>
    <s v="pièce 138"/>
    <n v="8135.96"/>
    <x v="1"/>
    <d v="1954-04-27T00:00:00"/>
    <n v="62"/>
    <m/>
  </r>
  <r>
    <s v="DINIC"/>
    <s v="François"/>
    <n v="3113"/>
    <s v="CFS FSC"/>
    <x v="1"/>
    <s v="pièce 96"/>
    <n v="7850"/>
    <x v="0"/>
    <d v="1978-09-07T00:00:00"/>
    <n v="38"/>
    <m/>
  </r>
  <r>
    <s v="DONG"/>
    <s v="Huguette"/>
    <n v="3647"/>
    <s v="CFS ONF"/>
    <x v="1"/>
    <s v="pièce 74"/>
    <n v="16403.86"/>
    <x v="1"/>
    <d v="1970-06-14T00:00:00"/>
    <n v="46"/>
    <m/>
  </r>
  <r>
    <s v="DOUCOURE"/>
    <s v="Jean-Jacques"/>
    <n v="3114"/>
    <s v="CFS ONF"/>
    <x v="1"/>
    <s v="pièce 115"/>
    <n v="6841.79"/>
    <x v="0"/>
    <d v="1970-12-31T00:00:00"/>
    <n v="45"/>
    <m/>
  </r>
  <r>
    <s v="DURAND"/>
    <s v="Ginette"/>
    <n v="3637"/>
    <s v="CFS CO"/>
    <x v="1"/>
    <s v="pièce 97"/>
    <n v="20488.72"/>
    <x v="1"/>
    <d v="1952-02-19T00:00:00"/>
    <n v="64"/>
    <m/>
  </r>
  <r>
    <s v="DURAND"/>
    <s v="Jean-Pierre"/>
    <n v="3592"/>
    <s v="CFS CO"/>
    <x v="1"/>
    <s v="pièce 253"/>
    <n v="11573.08"/>
    <x v="0"/>
    <d v="1967-05-19T00:00:00"/>
    <n v="49"/>
    <m/>
  </r>
  <r>
    <s v="HERSELIN"/>
    <s v="Brigitte"/>
    <n v="3991"/>
    <s v="CFS FSC"/>
    <x v="1"/>
    <s v="pièce 20"/>
    <n v="8940.91"/>
    <x v="1"/>
    <d v="1948-03-23T00:00:00"/>
    <n v="68"/>
    <m/>
  </r>
  <r>
    <s v="DUROC"/>
    <s v="Annie"/>
    <n v="3819"/>
    <s v="CFS FSC"/>
    <x v="1"/>
    <s v="pièce 64"/>
    <n v="14794.54"/>
    <x v="1"/>
    <d v="1945-12-24T00:00:00"/>
    <n v="70"/>
    <m/>
  </r>
  <r>
    <s v="FABRE"/>
    <s v="Didier"/>
    <n v="3717"/>
    <s v="CFS CO"/>
    <x v="1"/>
    <s v="inconnu"/>
    <n v="20981.38"/>
    <x v="0"/>
    <d v="1956-06-22T00:00:00"/>
    <n v="60"/>
    <m/>
  </r>
  <r>
    <s v="FAVRE"/>
    <s v="Dany"/>
    <n v="3118"/>
    <s v="CFS AG"/>
    <x v="1"/>
    <s v="pièce 60"/>
    <n v="13524.85"/>
    <x v="1"/>
    <d v="1947-03-10T00:00:00"/>
    <n v="69"/>
    <m/>
  </r>
  <r>
    <s v="FAYARD"/>
    <s v="Luc"/>
    <n v="3004"/>
    <s v="CFS AG"/>
    <x v="1"/>
    <s v="pièce 35"/>
    <n v="12343.81"/>
    <x v="0"/>
    <d v="1949-11-16T00:00:00"/>
    <n v="66"/>
    <m/>
  </r>
  <r>
    <s v="FEDON"/>
    <s v="Claude"/>
    <n v="3157"/>
    <s v="CCS DXO"/>
    <x v="1"/>
    <s v="pièce 132"/>
    <n v="7516.32"/>
    <x v="1"/>
    <d v="1948-01-22T00:00:00"/>
    <n v="68"/>
    <m/>
  </r>
  <r>
    <s v="FERRAND"/>
    <s v="Danielle"/>
    <n v="3122"/>
    <s v="CFS AG"/>
    <x v="1"/>
    <s v="pièce 60"/>
    <n v="13665.11"/>
    <x v="1"/>
    <d v="1975-07-13T00:00:00"/>
    <n v="41"/>
    <m/>
  </r>
  <r>
    <s v="FRANÇOIS"/>
    <s v="Anne-Marie"/>
    <n v="3093"/>
    <s v="CFS AG"/>
    <x v="1"/>
    <s v="pièce S R"/>
    <n v="20499.29"/>
    <x v="1"/>
    <d v="1975-12-02T00:00:00"/>
    <n v="40"/>
    <m/>
  </r>
  <r>
    <s v="FRENOIS"/>
    <s v="Giséle"/>
    <n v="3007"/>
    <s v="CFS ONF"/>
    <x v="1"/>
    <s v="inconnu"/>
    <n v="20744.77"/>
    <x v="1"/>
    <d v="1950-03-31T00:00:00"/>
    <n v="66"/>
    <m/>
  </r>
  <r>
    <s v="FRETTE"/>
    <s v="Daniel"/>
    <n v="3969"/>
    <s v="CFS ONF"/>
    <x v="1"/>
    <s v="pièce 133"/>
    <n v="7524.02"/>
    <x v="0"/>
    <d v="1968-10-16T00:00:00"/>
    <n v="47"/>
    <m/>
  </r>
  <r>
    <s v="FRISA"/>
    <s v="Brigitte"/>
    <n v="3112"/>
    <s v="CFS FSC"/>
    <x v="1"/>
    <s v="pièce 110"/>
    <n v="6616.3"/>
    <x v="1"/>
    <d v="1969-06-17T00:00:00"/>
    <n v="47"/>
    <m/>
  </r>
  <r>
    <s v="VINET"/>
    <s v="Marie-José"/>
    <n v="3559"/>
    <s v="CCS DXO"/>
    <x v="1"/>
    <s v="pièce 95"/>
    <n v="19521.53"/>
    <x v="1"/>
    <d v="1948-03-23T00:00:00"/>
    <n v="68"/>
    <m/>
  </r>
  <r>
    <s v="GEIL"/>
    <s v="Dominique"/>
    <n v="3145"/>
    <s v="CFS CO"/>
    <x v="1"/>
    <s v="pièce 97"/>
    <n v="20188.98"/>
    <x v="0"/>
    <d v="1957-05-06T00:00:00"/>
    <n v="59"/>
    <m/>
  </r>
  <r>
    <s v="GHAFFAR"/>
    <s v="Ghislaine"/>
    <n v="3657"/>
    <s v="CFS CO"/>
    <x v="1"/>
    <s v="pièce 73"/>
    <n v="16127.13"/>
    <x v="1"/>
    <d v="1954-05-31T00:00:00"/>
    <n v="62"/>
    <m/>
  </r>
  <r>
    <s v="GILINGHAM"/>
    <s v="Magdeleine"/>
    <n v="3617"/>
    <s v="CFS FSC"/>
    <x v="1"/>
    <s v="pièce 209"/>
    <n v="9230.2000000000007"/>
    <x v="1"/>
    <d v="1952-11-08T00:00:00"/>
    <n v="63"/>
    <m/>
  </r>
  <r>
    <s v="GIRARD"/>
    <s v="André"/>
    <n v="3116"/>
    <s v="CFS AG"/>
    <x v="1"/>
    <s v="pièce 202"/>
    <n v="9110.65"/>
    <x v="0"/>
    <d v="1954-01-21T00:00:00"/>
    <n v="62"/>
    <m/>
  </r>
  <r>
    <s v="GIRAUDO"/>
    <s v="Jean"/>
    <n v="3448"/>
    <s v="CFS ONF"/>
    <x v="1"/>
    <s v="pièce 138"/>
    <n v="7994.24"/>
    <x v="0"/>
    <d v="1959-08-28T00:00:00"/>
    <n v="57"/>
    <m/>
  </r>
  <r>
    <s v="GIRON"/>
    <s v="Anne-Marie"/>
    <n v="3085"/>
    <s v="CFS AG"/>
    <x v="1"/>
    <s v="pièce 90"/>
    <n v="18874.39"/>
    <x v="1"/>
    <d v="1954-03-22T00:00:00"/>
    <n v="62"/>
    <m/>
  </r>
  <r>
    <s v="GLYNATSIS"/>
    <s v="Hervé"/>
    <n v="3679"/>
    <s v="CFS FSC"/>
    <x v="1"/>
    <s v="pièce 82"/>
    <n v="17751.490000000002"/>
    <x v="1"/>
    <d v="1968-03-09T00:00:00"/>
    <n v="48"/>
    <m/>
  </r>
  <r>
    <s v="GONDOUIN"/>
    <s v="Bernard"/>
    <n v="3824"/>
    <s v="CFS FSC"/>
    <x v="1"/>
    <s v="pièce 60"/>
    <n v="13583.54"/>
    <x v="0"/>
    <d v="1953-02-15T00:00:00"/>
    <n v="63"/>
    <m/>
  </r>
  <r>
    <s v="GOUILLON"/>
    <s v="Chantal"/>
    <n v="3175"/>
    <s v="CFS FSC"/>
    <x v="1"/>
    <s v="pièce 255"/>
    <n v="12019.26"/>
    <x v="1"/>
    <d v="1959-08-26T00:00:00"/>
    <n v="57"/>
    <m/>
  </r>
  <r>
    <s v="GOYER"/>
    <s v="Brigitte"/>
    <n v="3126"/>
    <s v="CFS FSC"/>
    <x v="1"/>
    <s v="pièce 34"/>
    <n v="12104.06"/>
    <x v="1"/>
    <d v="1954-01-29T00:00:00"/>
    <n v="62"/>
    <m/>
  </r>
  <r>
    <s v="GRAIN"/>
    <s v="Françoise"/>
    <n v="3151"/>
    <s v="CFS CO"/>
    <x v="1"/>
    <s v="pièce 80"/>
    <n v="17112.169999999998"/>
    <x v="1"/>
    <d v="1972-02-09T00:00:00"/>
    <n v="44"/>
    <m/>
  </r>
  <r>
    <s v="GUILLE"/>
    <s v="Jean"/>
    <n v="3143"/>
    <s v="CFS ONF"/>
    <x v="1"/>
    <s v="pièce 232"/>
    <n v="10597.31"/>
    <x v="0"/>
    <d v="1946-01-24T00:00:00"/>
    <n v="70"/>
    <m/>
  </r>
  <r>
    <s v="GUITTON"/>
    <s v="Francis"/>
    <n v="3140"/>
    <s v="CFS CO"/>
    <x v="1"/>
    <s v="pièce 216"/>
    <n v="9382.1200000000008"/>
    <x v="0"/>
    <d v="1973-04-28T00:00:00"/>
    <n v="43"/>
    <m/>
  </r>
  <r>
    <s v="GUTFREUD"/>
    <s v="Dominique"/>
    <n v="3675"/>
    <s v="CFS CO"/>
    <x v="1"/>
    <s v="pièce 131"/>
    <n v="7350.36"/>
    <x v="1"/>
    <d v="1957-06-12T00:00:00"/>
    <n v="59"/>
    <m/>
  </r>
  <r>
    <s v="HARAULT"/>
    <s v="Armelle"/>
    <n v="3078"/>
    <s v="CFS FSC"/>
    <x v="1"/>
    <s v="pièce 32"/>
    <n v="12032.11"/>
    <x v="1"/>
    <d v="1952-04-20T00:00:00"/>
    <n v="64"/>
    <m/>
  </r>
  <r>
    <s v="ZAOUI"/>
    <s v="Liliane"/>
    <n v="3096"/>
    <s v="CFS FSC"/>
    <x v="1"/>
    <s v="pièce 201"/>
    <n v="9091.08"/>
    <x v="1"/>
    <d v="1948-03-23T00:00:00"/>
    <n v="68"/>
    <m/>
  </r>
  <r>
    <s v="AMELLAL"/>
    <s v="Henri"/>
    <n v="3132"/>
    <s v="CFS CO"/>
    <x v="1"/>
    <s v="inconnu"/>
    <n v="20998.11"/>
    <x v="0"/>
    <d v="1947-12-25T00:00:00"/>
    <n v="68"/>
    <m/>
  </r>
  <r>
    <s v="HEURAUX"/>
    <s v="Catherine"/>
    <n v="3685"/>
    <s v="CFS FSC"/>
    <x v="1"/>
    <s v="pièce 78"/>
    <n v="16872.68"/>
    <x v="1"/>
    <d v="1949-03-28T00:00:00"/>
    <n v="67"/>
    <m/>
  </r>
  <r>
    <s v="HUTOWSKI"/>
    <s v="Franca"/>
    <n v="3691"/>
    <s v="CFS CO"/>
    <x v="1"/>
    <s v="pièce 212"/>
    <n v="9281.7800000000007"/>
    <x v="1"/>
    <d v="1951-11-02T00:00:00"/>
    <n v="64"/>
    <m/>
  </r>
  <r>
    <s v="JOLY"/>
    <s v="Daniel"/>
    <n v="3156"/>
    <s v="CFS CO"/>
    <x v="1"/>
    <s v="pièce 96"/>
    <n v="19579.900000000001"/>
    <x v="0"/>
    <d v="1975-07-14T00:00:00"/>
    <n v="41"/>
    <m/>
  </r>
  <r>
    <s v="JUDITH"/>
    <s v="Hélène"/>
    <n v="3070"/>
    <s v="SNPO"/>
    <x v="1"/>
    <s v="pièce 35"/>
    <n v="12355.29"/>
    <x v="1"/>
    <d v="1973-02-26T00:00:00"/>
    <n v="43"/>
    <m/>
  </r>
  <r>
    <s v="KAC"/>
    <s v="Christine"/>
    <n v="3169"/>
    <s v="CFS CO"/>
    <x v="1"/>
    <s v="pièce 219"/>
    <n v="9497.1200000000008"/>
    <x v="1"/>
    <d v="1950-05-03T00:00:00"/>
    <n v="66"/>
    <m/>
  </r>
  <r>
    <s v="KARSENTY"/>
    <s v="Christian"/>
    <n v="3248"/>
    <s v="CFS FSC"/>
    <x v="1"/>
    <s v="pièce 107"/>
    <n v="6393.8"/>
    <x v="0"/>
    <d v="1968-02-18T00:00:00"/>
    <n v="48"/>
    <m/>
  </r>
  <r>
    <s v="KONGOLO"/>
    <s v="Bernard"/>
    <n v="3144"/>
    <s v="CFS FSC"/>
    <x v="1"/>
    <s v="pièce 115"/>
    <n v="6664.93"/>
    <x v="0"/>
    <d v="1970-09-14T00:00:00"/>
    <n v="45"/>
    <m/>
  </r>
  <r>
    <s v="KRIEF"/>
    <s v="Arlette"/>
    <n v="3676"/>
    <s v="CFS FSC"/>
    <x v="1"/>
    <s v="pièce 64"/>
    <n v="14470.6"/>
    <x v="1"/>
    <d v="1955-12-03T00:00:00"/>
    <n v="60"/>
    <m/>
  </r>
  <r>
    <s v="KTORZA"/>
    <s v="Juliette"/>
    <n v="3056"/>
    <s v="CFS FSC"/>
    <x v="1"/>
    <s v="pièce 35"/>
    <n v="12173.67"/>
    <x v="1"/>
    <d v="1977-03-07T00:00:00"/>
    <n v="39"/>
    <m/>
  </r>
  <r>
    <s v="LACHAUS"/>
    <s v="Annie"/>
    <n v="3668"/>
    <s v="CFS CO"/>
    <x v="1"/>
    <s v="pièce 20"/>
    <n v="8908.85"/>
    <x v="1"/>
    <d v="1976-09-12T00:00:00"/>
    <n v="39"/>
    <m/>
  </r>
  <r>
    <s v="LADD"/>
    <s v="Claude"/>
    <n v="3130"/>
    <s v="CFS CO"/>
    <x v="1"/>
    <s v="pièce 233"/>
    <n v="10777.4"/>
    <x v="1"/>
    <d v="1953-11-09T00:00:00"/>
    <n v="62"/>
    <m/>
  </r>
  <r>
    <s v="LAMBERT"/>
    <s v="Géneviéve"/>
    <n v="3153"/>
    <s v="CFS CO"/>
    <x v="1"/>
    <s v="pièce 240"/>
    <n v="11098.92"/>
    <x v="1"/>
    <d v="1958-05-10T00:00:00"/>
    <n v="58"/>
    <m/>
  </r>
  <r>
    <s v="LANLO"/>
    <s v="Catherine"/>
    <n v="3695"/>
    <s v="CFS FSC"/>
    <x v="1"/>
    <s v="pièce 138"/>
    <n v="8053.04"/>
    <x v="1"/>
    <d v="1969-10-08T00:00:00"/>
    <n v="46"/>
    <m/>
  </r>
  <r>
    <s v="BARNAUD"/>
    <s v="Janine"/>
    <n v="3725"/>
    <s v="CFS ONF"/>
    <x v="1"/>
    <s v="pièce 58"/>
    <n v="13211.56"/>
    <x v="1"/>
    <d v="1947-10-23T00:00:00"/>
    <n v="68"/>
    <m/>
  </r>
  <r>
    <s v="LE HYARIC"/>
    <s v="Hélène"/>
    <n v="3703"/>
    <s v="CCS DXO"/>
    <x v="1"/>
    <s v="pièce 73"/>
    <n v="15660.05"/>
    <x v="1"/>
    <d v="1968-05-04T00:00:00"/>
    <n v="48"/>
    <m/>
  </r>
  <r>
    <s v="BOUZCKAR"/>
    <s v="Ghislaine"/>
    <n v="3801"/>
    <s v="CFS CO"/>
    <x v="1"/>
    <s v="pièce 35"/>
    <n v="23504"/>
    <x v="1"/>
    <d v="1948-07-27T00:00:00"/>
    <n v="68"/>
    <m/>
  </r>
  <r>
    <s v="LE PREVOST"/>
    <s v="Giséle"/>
    <n v="3204"/>
    <s v="CFS CO"/>
    <x v="1"/>
    <s v="pièce 97"/>
    <n v="20254.84"/>
    <x v="1"/>
    <d v="1949-09-30T00:00:00"/>
    <n v="66"/>
    <m/>
  </r>
  <r>
    <s v="LEBAS"/>
    <s v="Eliane"/>
    <n v="3105"/>
    <s v="CFS CO"/>
    <x v="1"/>
    <s v="pièce 70"/>
    <n v="15522.69"/>
    <x v="1"/>
    <d v="1946-03-17T00:00:00"/>
    <n v="70"/>
    <m/>
  </r>
  <r>
    <s v="LEDOUX"/>
    <s v="Madeleine"/>
    <n v="3722"/>
    <s v="CFS FSC"/>
    <x v="1"/>
    <s v="pièce 109"/>
    <n v="6483.13"/>
    <x v="1"/>
    <d v="1956-12-31T00:00:00"/>
    <n v="59"/>
    <m/>
  </r>
  <r>
    <s v="LEFORT"/>
    <s v="Françoise"/>
    <n v="3164"/>
    <s v="CFS CO"/>
    <x v="1"/>
    <s v="pièce 64"/>
    <n v="13944.55"/>
    <x v="1"/>
    <d v="1972-01-20T00:00:00"/>
    <n v="44"/>
    <m/>
  </r>
  <r>
    <s v="LEKA"/>
    <s v="Bernadette"/>
    <n v="3010"/>
    <s v="CFS FSC"/>
    <x v="1"/>
    <s v="pièce 73"/>
    <n v="15723.23"/>
    <x v="1"/>
    <d v="1963-03-04T00:00:00"/>
    <n v="53"/>
    <m/>
  </r>
  <r>
    <s v="LEMARIÉ"/>
    <s v="Hervé"/>
    <n v="3037"/>
    <s v="CFS ONF"/>
    <x v="1"/>
    <s v="pièce 234"/>
    <n v="10931.05"/>
    <x v="0"/>
    <d v="1975-10-02T00:00:00"/>
    <n v="40"/>
    <m/>
  </r>
  <r>
    <s v="LÉVY"/>
    <s v="Denise"/>
    <n v="3844"/>
    <s v="CFS CO"/>
    <x v="1"/>
    <s v="pièce 78"/>
    <n v="17045.2"/>
    <x v="1"/>
    <d v="1956-12-04T00:00:00"/>
    <n v="59"/>
    <m/>
  </r>
  <r>
    <s v="MERCIER"/>
    <s v="Evelyne"/>
    <n v="3117"/>
    <s v="CFS AG"/>
    <x v="1"/>
    <s v="inconnu"/>
    <n v="20701.900000000001"/>
    <x v="1"/>
    <d v="1947-10-20T00:00:00"/>
    <n v="68"/>
    <m/>
  </r>
  <r>
    <s v="LY"/>
    <s v="Jean-Claude"/>
    <n v="3123"/>
    <s v="CFS ONF"/>
    <x v="1"/>
    <s v="pièce 64"/>
    <n v="13834.66"/>
    <x v="0"/>
    <d v="1970-01-15T00:00:00"/>
    <n v="46"/>
    <m/>
  </r>
  <r>
    <s v="MARECHAL"/>
    <s v="Géneviéve"/>
    <n v="3206"/>
    <s v="CFS CO"/>
    <x v="1"/>
    <s v="pièce 20"/>
    <n v="8845.89"/>
    <x v="1"/>
    <d v="1954-04-03T00:00:00"/>
    <n v="62"/>
    <m/>
  </r>
  <r>
    <s v="MARINIER"/>
    <s v="Marcel"/>
    <n v="3131"/>
    <s v="CFS FSC"/>
    <x v="1"/>
    <s v="pièce 74"/>
    <n v="16387.22"/>
    <x v="0"/>
    <d v="1957-05-02T00:00:00"/>
    <n v="59"/>
    <m/>
  </r>
  <r>
    <s v="MARINIER"/>
    <s v="Christiane"/>
    <n v="3986"/>
    <s v="CFS FSC"/>
    <x v="1"/>
    <s v="pièce 83"/>
    <n v="18328.28"/>
    <x v="1"/>
    <d v="1950-07-05T00:00:00"/>
    <n v="66"/>
    <m/>
  </r>
  <r>
    <s v="MARTAUD"/>
    <s v="Daniel"/>
    <n v="3086"/>
    <s v="CFS FSC"/>
    <x v="1"/>
    <s v="pièce 129"/>
    <n v="7095.37"/>
    <x v="0"/>
    <d v="1953-07-30T00:00:00"/>
    <n v="63"/>
    <m/>
  </r>
  <r>
    <s v="MARTEL"/>
    <s v="Jean-Claude"/>
    <n v="3591"/>
    <s v="CFS ONF"/>
    <x v="1"/>
    <s v="pièce 58"/>
    <n v="12927.11"/>
    <x v="0"/>
    <d v="1967-10-07T00:00:00"/>
    <n v="48"/>
    <m/>
  </r>
  <r>
    <s v="MARTI"/>
    <s v="Anne"/>
    <n v="3596"/>
    <s v="CFS CHE"/>
    <x v="1"/>
    <s v="pièce 96"/>
    <n v="19755.02"/>
    <x v="1"/>
    <d v="1965-01-27T00:00:00"/>
    <n v="51"/>
    <m/>
  </r>
  <r>
    <s v="MARTIN"/>
    <s v="France"/>
    <n v="3913"/>
    <s v="CFS CO"/>
    <x v="1"/>
    <s v="pièce 131"/>
    <n v="7369.79"/>
    <x v="1"/>
    <d v="1949-10-06T00:00:00"/>
    <n v="66"/>
    <m/>
  </r>
  <r>
    <s v="MARTIN"/>
    <s v="Laurent"/>
    <n v="3638"/>
    <s v="CFS ONF"/>
    <x v="1"/>
    <s v="pièce 115"/>
    <n v="6838.16"/>
    <x v="0"/>
    <d v="1977-08-24T00:00:00"/>
    <n v="39"/>
    <m/>
  </r>
  <r>
    <s v="BENSIMON"/>
    <s v="Elisabeth"/>
    <n v="3287"/>
    <s v="CFS FSC"/>
    <x v="1"/>
    <s v="pièce 58"/>
    <n v="13033.62"/>
    <x v="1"/>
    <d v="1947-04-22T00:00:00"/>
    <n v="69"/>
    <m/>
  </r>
  <r>
    <s v="MERLAUD"/>
    <s v="Jacqueline"/>
    <n v="3057"/>
    <s v="CFS AG"/>
    <x v="1"/>
    <s v="pièce 110"/>
    <n v="6571.47"/>
    <x v="1"/>
    <d v="1947-11-25T00:00:00"/>
    <n v="68"/>
    <m/>
  </r>
  <r>
    <s v="MESROBIAN"/>
    <s v="Joël"/>
    <n v="3154"/>
    <s v="CFS CO"/>
    <x v="1"/>
    <s v="pièce 12B"/>
    <n v="7210.55"/>
    <x v="0"/>
    <d v="1952-01-08T00:00:00"/>
    <n v="64"/>
    <m/>
  </r>
  <r>
    <s v="CHEHMAT"/>
    <s v="Jocelyne"/>
    <n v="3062"/>
    <s v="CFS FSC"/>
    <x v="1"/>
    <s v="pièce 51"/>
    <n v="12712.16"/>
    <x v="1"/>
    <d v="1947-03-12T00:00:00"/>
    <n v="69"/>
    <m/>
  </r>
  <r>
    <s v="MOINARD"/>
    <s v="Loïc"/>
    <n v="3150"/>
    <s v="CFS CO"/>
    <x v="1"/>
    <s v="pièce 241"/>
    <n v="11180.79"/>
    <x v="0"/>
    <d v="1955-11-19T00:00:00"/>
    <n v="60"/>
    <m/>
  </r>
  <r>
    <s v="MOITA"/>
    <s v="Jeanne"/>
    <n v="3626"/>
    <s v="Onconnu"/>
    <x v="1"/>
    <s v="pièce 222"/>
    <n v="10000"/>
    <x v="1"/>
    <d v="1952-04-27T00:00:00"/>
    <n v="64"/>
    <m/>
  </r>
  <r>
    <s v="MONTFORT"/>
    <s v="Huong"/>
    <n v="3584"/>
    <s v="CFS ONF"/>
    <x v="1"/>
    <s v="pièce 251"/>
    <n v="11561.13"/>
    <x v="0"/>
    <d v="1950-07-16T00:00:00"/>
    <n v="66"/>
    <m/>
  </r>
  <r>
    <s v="DUPRÉ"/>
    <s v="Sophie"/>
    <n v="3075"/>
    <s v="CFS AG"/>
    <x v="1"/>
    <s v="pièce 62"/>
    <n v="13755.92"/>
    <x v="1"/>
    <d v="1947-09-26T00:00:00"/>
    <n v="68"/>
    <m/>
  </r>
  <r>
    <s v="NICOLLE"/>
    <s v="Françoise"/>
    <n v="3032"/>
    <s v="CFS CO"/>
    <x v="1"/>
    <s v="pièce 64"/>
    <n v="14569.63"/>
    <x v="1"/>
    <d v="1980-04-13T00:00:00"/>
    <n v="36"/>
    <m/>
  </r>
  <r>
    <s v="ONG"/>
    <s v="Daniel"/>
    <n v="3764"/>
    <s v="CFS FSC"/>
    <x v="1"/>
    <s v="pièce 90"/>
    <n v="18798.93"/>
    <x v="0"/>
    <d v="1953-04-12T00:00:00"/>
    <n v="63"/>
    <m/>
  </r>
  <r>
    <s v="PARINET"/>
    <s v="Jean-Louis"/>
    <n v="3881"/>
    <s v="CFS FSC"/>
    <x v="1"/>
    <s v="pièce 109"/>
    <n v="6508.08"/>
    <x v="0"/>
    <d v="1970-01-07T00:00:00"/>
    <n v="46"/>
    <m/>
  </r>
  <r>
    <s v="PAVARD"/>
    <s v="Annie"/>
    <n v="3073"/>
    <s v="CFS FSC"/>
    <x v="1"/>
    <s v="pièce 78"/>
    <n v="16991.62"/>
    <x v="1"/>
    <d v="1958-02-04T00:00:00"/>
    <n v="58"/>
    <m/>
  </r>
  <r>
    <s v="PEDRO"/>
    <s v="Francis"/>
    <n v="3630"/>
    <s v="CFS CO"/>
    <x v="1"/>
    <s v="pièce 253"/>
    <n v="11567.12"/>
    <x v="0"/>
    <d v="1952-10-05T00:00:00"/>
    <n v="63"/>
    <m/>
  </r>
  <r>
    <s v="PENALVA"/>
    <s v="Isabelle"/>
    <n v="3413"/>
    <s v="CFS ONF"/>
    <x v="1"/>
    <s v="pièce 83"/>
    <n v="17832.099999999999"/>
    <x v="1"/>
    <d v="1957-05-31T00:00:00"/>
    <n v="59"/>
    <m/>
  </r>
  <r>
    <s v="PERRUCHON"/>
    <s v="Fabrice"/>
    <n v="3128"/>
    <s v="CFS CO"/>
    <x v="1"/>
    <s v="pièce 12B"/>
    <n v="7233.96"/>
    <x v="0"/>
    <d v="1968-02-20T00:00:00"/>
    <n v="48"/>
    <m/>
  </r>
  <r>
    <s v="DURAND"/>
    <s v="François"/>
    <n v="3667"/>
    <s v="CFS CO"/>
    <x v="1"/>
    <s v="pièce 225"/>
    <n v="10088.36"/>
    <x v="0"/>
    <d v="1947-10-13T00:00:00"/>
    <n v="68"/>
    <m/>
  </r>
  <r>
    <s v="PIDERIT"/>
    <s v="Claude"/>
    <n v="3552"/>
    <s v="CFS FSC"/>
    <x v="1"/>
    <s v="pièce 96"/>
    <n v="19955.68"/>
    <x v="1"/>
    <d v="1972-12-15T00:00:00"/>
    <n v="43"/>
    <m/>
  </r>
  <r>
    <s v="POISSON"/>
    <s v="Daniel"/>
    <n v="3733"/>
    <s v="CFS FSC"/>
    <x v="1"/>
    <s v="pièce 219"/>
    <n v="9660.0300000000007"/>
    <x v="0"/>
    <d v="1949-03-01T00:00:00"/>
    <n v="67"/>
    <m/>
  </r>
  <r>
    <s v="POTRIQUET"/>
    <s v="Claudette"/>
    <n v="3139"/>
    <s v="CFS CO"/>
    <x v="1"/>
    <s v="pièce 60"/>
    <n v="13405.46"/>
    <x v="1"/>
    <d v="1946-09-25T00:00:00"/>
    <n v="69"/>
    <m/>
  </r>
  <r>
    <s v="POUYADOU"/>
    <s v="Josette"/>
    <n v="3015"/>
    <s v="CFS AG"/>
    <x v="1"/>
    <s v="pièce 83"/>
    <n v="18220.09"/>
    <x v="1"/>
    <d v="1955-01-07T00:00:00"/>
    <n v="61"/>
    <m/>
  </r>
  <r>
    <s v="PUAULT"/>
    <s v="Françoise"/>
    <n v="3103"/>
    <s v="CFS CO"/>
    <x v="1"/>
    <s v="pièce 64"/>
    <n v="14369.68"/>
    <x v="1"/>
    <d v="1949-10-21T00:00:00"/>
    <n v="66"/>
    <m/>
  </r>
  <r>
    <s v="RAMBEAUD"/>
    <s v="Christian"/>
    <n v="3198"/>
    <s v="CFS CO"/>
    <x v="1"/>
    <s v="pièce 93"/>
    <n v="18971.62"/>
    <x v="0"/>
    <d v="1955-12-25T00:00:00"/>
    <n v="60"/>
    <m/>
  </r>
  <r>
    <s v="REVERDITO"/>
    <s v="Jeanne"/>
    <n v="3125"/>
    <s v="SNPO"/>
    <x v="1"/>
    <s v="pièce 219"/>
    <n v="9679.08"/>
    <x v="1"/>
    <d v="1952-04-13T00:00:00"/>
    <n v="64"/>
    <m/>
  </r>
  <r>
    <s v="VIAND"/>
    <s v="Monique"/>
    <n v="3081"/>
    <s v="CFS FSC"/>
    <x v="1"/>
    <s v="pièce 232"/>
    <n v="10501.25"/>
    <x v="1"/>
    <d v="1947-02-15T00:00:00"/>
    <n v="69"/>
    <m/>
  </r>
  <r>
    <s v="RIESI"/>
    <s v="François"/>
    <n v="3629"/>
    <s v="CFS CO"/>
    <x v="1"/>
    <s v="pièce 80"/>
    <n v="17492.509999999998"/>
    <x v="0"/>
    <d v="1946-11-29T00:00:00"/>
    <n v="69"/>
    <m/>
  </r>
  <r>
    <s v="ROBERT"/>
    <s v="Marie-Josée"/>
    <n v="3017"/>
    <s v="CCS DXO"/>
    <x v="1"/>
    <s v="pièce 78"/>
    <n v="16624.86"/>
    <x v="1"/>
    <d v="1971-04-21T00:00:00"/>
    <n v="45"/>
    <m/>
  </r>
  <r>
    <s v="ROGUET"/>
    <s v="Daniel"/>
    <n v="3166"/>
    <s v="CFS AG"/>
    <x v="1"/>
    <s v="pièce 73"/>
    <n v="15966.44"/>
    <x v="0"/>
    <d v="1970-01-11T00:00:00"/>
    <n v="46"/>
    <m/>
  </r>
  <r>
    <s v="ROLLAIS"/>
    <s v="Colette"/>
    <n v="3663"/>
    <s v="CFS AG"/>
    <x v="1"/>
    <s v="pièce 64"/>
    <n v="14593.66"/>
    <x v="1"/>
    <d v="1957-12-11T00:00:00"/>
    <n v="58"/>
    <m/>
  </r>
  <r>
    <s v="ROSAR"/>
    <s v="Georgette"/>
    <n v="3121"/>
    <s v="CFS CO"/>
    <x v="1"/>
    <s v="pièce 62"/>
    <n v="13725.44"/>
    <x v="1"/>
    <d v="1954-06-15T00:00:00"/>
    <n v="62"/>
    <m/>
  </r>
  <r>
    <s v="BERDUGO"/>
    <s v="Bernadette"/>
    <n v="3710"/>
    <s v="CFS FSC"/>
    <x v="1"/>
    <s v="pièce 64"/>
    <n v="14652.57"/>
    <x v="1"/>
    <d v="1950-03-31T00:00:00"/>
    <n v="66"/>
    <m/>
  </r>
  <r>
    <s v="ROULET"/>
    <s v="Christiane"/>
    <n v="3185"/>
    <s v="CFS FSC"/>
    <x v="1"/>
    <s v="pièce 212"/>
    <n v="9329.84"/>
    <x v="1"/>
    <d v="1969-04-18T00:00:00"/>
    <n v="47"/>
    <m/>
  </r>
  <r>
    <s v="GARCIA"/>
    <s v="Ghyslaine"/>
    <n v="3243"/>
    <s v="CFS CO"/>
    <x v="1"/>
    <s v="pièce 78"/>
    <n v="16845.23"/>
    <x v="1"/>
    <d v="1950-09-07T00:00:00"/>
    <n v="66"/>
    <m/>
  </r>
  <r>
    <s v="SAILLANT"/>
    <s v="Claude"/>
    <n v="3890"/>
    <s v="SNPO"/>
    <x v="1"/>
    <s v="pièce 50"/>
    <n v="12580.24"/>
    <x v="1"/>
    <d v="1971-02-28T00:00:00"/>
    <n v="45"/>
    <m/>
  </r>
  <r>
    <s v="VIDON"/>
    <s v="Louise"/>
    <n v="3018"/>
    <s v="CFS FSC"/>
    <x v="1"/>
    <s v="pièce 236"/>
    <n v="10994.09"/>
    <x v="1"/>
    <d v="1949-12-15T00:00:00"/>
    <n v="66"/>
    <m/>
  </r>
  <r>
    <s v="SCHUSTER"/>
    <s v="Bernadette"/>
    <n v="3031"/>
    <s v="CFS FSC"/>
    <x v="1"/>
    <s v="pièce 72"/>
    <n v="15577.86"/>
    <x v="1"/>
    <d v="1947-03-28T00:00:00"/>
    <n v="69"/>
    <m/>
  </r>
  <r>
    <s v="SCOTTI"/>
    <s v="Georgette"/>
    <n v="3502"/>
    <s v="CFS CO"/>
    <x v="1"/>
    <s v="pièce 64"/>
    <n v="14154.99"/>
    <x v="1"/>
    <d v="1968-11-17T00:00:00"/>
    <n v="47"/>
    <m/>
  </r>
  <r>
    <s v="SENG"/>
    <s v="Cécile"/>
    <n v="3045"/>
    <s v="CFS"/>
    <x v="1"/>
    <s v="pièce 14"/>
    <n v="8306.9"/>
    <x v="1"/>
    <d v="1949-11-29T00:00:00"/>
    <n v="66"/>
    <m/>
  </r>
  <r>
    <s v="SINSEAU"/>
    <s v="Annie"/>
    <n v="3051"/>
    <s v="CFS AG"/>
    <x v="1"/>
    <s v="pièce 64"/>
    <n v="14415.27"/>
    <x v="1"/>
    <d v="1950-03-06T00:00:00"/>
    <n v="66"/>
    <m/>
  </r>
  <r>
    <s v="CAPRON"/>
    <s v="Claude"/>
    <n v="3162"/>
    <s v="CFS CO"/>
    <x v="1"/>
    <s v="pièce 64"/>
    <n v="14258.45"/>
    <x v="0"/>
    <d v="1949-08-24T00:00:00"/>
    <n v="67"/>
    <m/>
  </r>
  <r>
    <s v="TAMBURINI"/>
    <s v="Marie-Claire"/>
    <n v="3102"/>
    <s v="CFS FSC"/>
    <x v="1"/>
    <s v="pièce 239"/>
    <n v="11043.7"/>
    <x v="1"/>
    <d v="1968-11-20T00:00:00"/>
    <n v="47"/>
    <m/>
  </r>
  <r>
    <s v="TAN"/>
    <s v="Joelle"/>
    <n v="3608"/>
    <s v="CFS FSC"/>
    <x v="1"/>
    <s v="pièce 227"/>
    <n v="10136.040000000001"/>
    <x v="1"/>
    <d v="1975-06-28T00:00:00"/>
    <n v="41"/>
    <m/>
  </r>
  <r>
    <s v="TANG"/>
    <s v="Armelle"/>
    <n v="3733"/>
    <s v="CFS FSC"/>
    <x v="1"/>
    <s v="pièce 209"/>
    <n v="9210.6"/>
    <x v="1"/>
    <d v="1950-10-04T00:00:00"/>
    <n v="65"/>
    <m/>
  </r>
  <r>
    <s v="THIAM"/>
    <s v="Anne-Marie"/>
    <n v="3019"/>
    <s v="CFS FSC"/>
    <x v="1"/>
    <s v="pièce 136"/>
    <n v="7964"/>
    <x v="1"/>
    <d v="1957-09-26T00:00:00"/>
    <n v="58"/>
    <m/>
  </r>
  <r>
    <s v="THOQUENNE"/>
    <s v="Lydia"/>
    <n v="3864"/>
    <s v="CFS CO"/>
    <x v="1"/>
    <s v="pièce 133"/>
    <n v="7587.38"/>
    <x v="1"/>
    <d v="1946-08-06T00:00:00"/>
    <n v="70"/>
    <m/>
  </r>
  <r>
    <s v="UNG"/>
    <s v="Janick"/>
    <n v="3982"/>
    <s v="CFS FSC"/>
    <x v="1"/>
    <s v="pièce 232"/>
    <n v="10477.629999999999"/>
    <x v="1"/>
    <d v="1951-09-25T00:00:00"/>
    <n v="64"/>
    <m/>
  </r>
  <r>
    <s v="VANNAXAY"/>
    <s v="Francis"/>
    <n v="3333"/>
    <s v="CFS CO"/>
    <x v="1"/>
    <s v="pièce 90"/>
    <n v="18929.98"/>
    <x v="0"/>
    <d v="1955-07-10T00:00:00"/>
    <n v="61"/>
    <m/>
  </r>
  <r>
    <s v="VASSEUR"/>
    <s v="Christiane"/>
    <n v="3064"/>
    <s v="CFS FSC"/>
    <x v="1"/>
    <s v="pièce 60"/>
    <n v="13363.49"/>
    <x v="1"/>
    <d v="1954-04-29T00:00:00"/>
    <n v="62"/>
    <m/>
  </r>
  <r>
    <s v="PESNOT"/>
    <s v="Laurent"/>
    <n v="3142"/>
    <s v="CFS CO"/>
    <x v="1"/>
    <s v="pièce 136"/>
    <n v="7939.64"/>
    <x v="0"/>
    <d v="1949-07-04T00:00:00"/>
    <n v="67"/>
    <m/>
  </r>
  <r>
    <s v="SAYAVONG"/>
    <s v="Henriette"/>
    <n v="3628"/>
    <s v="CFS FSC"/>
    <x v="1"/>
    <s v="pièce 62"/>
    <n v="13718.18"/>
    <x v="1"/>
    <d v="1949-09-23T00:00:00"/>
    <n v="66"/>
    <m/>
  </r>
  <r>
    <s v="BIDAULT"/>
    <s v="Marie-Reine"/>
    <n v="3733"/>
    <s v="CFS FSC"/>
    <x v="1"/>
    <s v="pièce 245"/>
    <n v="11483.7"/>
    <x v="1"/>
    <d v="1948-06-26T00:00:00"/>
    <n v="68"/>
    <m/>
  </r>
  <r>
    <s v="MARTIN"/>
    <s v="Jacqueline"/>
    <n v="3943"/>
    <s v="CFS AG"/>
    <x v="1"/>
    <s v="pièce 53B"/>
    <n v="12769.41"/>
    <x v="1"/>
    <d v="1948-06-13T00:00:00"/>
    <n v="68"/>
    <m/>
  </r>
  <r>
    <s v="NAIMI"/>
    <s v="Chantal"/>
    <n v="3644"/>
    <s v="CFS FSC"/>
    <x v="1"/>
    <s v="pièce 14"/>
    <n v="8322.5400000000009"/>
    <x v="1"/>
    <d v="1948-12-09T00:00:00"/>
    <n v="67"/>
    <m/>
  </r>
  <r>
    <s v="ZIHOUNE"/>
    <s v="Christiane"/>
    <n v="3671"/>
    <s v="CFS FSC"/>
    <x v="1"/>
    <s v="pièce 115"/>
    <n v="6664.8"/>
    <x v="1"/>
    <d v="1954-06-01T00:00:00"/>
    <n v="62"/>
    <m/>
  </r>
  <r>
    <s v="ZOUC"/>
    <s v="Fred"/>
    <n v="3185"/>
    <s v="CFS CO"/>
    <x v="1"/>
    <s v="pièce 83"/>
    <n v="18203.810000000001"/>
    <x v="0"/>
    <d v="1951-10-09T00:00:00"/>
    <n v="64"/>
    <m/>
  </r>
  <r>
    <s v="ABENHAÏM"/>
    <s v="Myriam"/>
    <n v="3091"/>
    <s v="CCS DXO"/>
    <x v="2"/>
    <s v="pièce 58"/>
    <n v="13197.46"/>
    <x v="1"/>
    <d v="1947-10-30T00:00:00"/>
    <n v="68"/>
    <m/>
  </r>
  <r>
    <s v="ABSCHEN"/>
    <s v="Paul"/>
    <n v="3186"/>
    <s v="CCS AGL"/>
    <x v="2"/>
    <s v="pièce 74"/>
    <n v="16230.3"/>
    <x v="0"/>
    <d v="1968-11-11T00:00:00"/>
    <n v="47"/>
    <m/>
  </r>
  <r>
    <s v="ADAMO"/>
    <s v="Stéphane"/>
    <n v="3055"/>
    <s v="CCS OGT"/>
    <x v="2"/>
    <s v="pièce 73"/>
    <n v="16036.97"/>
    <x v="0"/>
    <d v="1957-12-16T00:00:00"/>
    <n v="58"/>
    <m/>
  </r>
  <r>
    <s v="ALEMBERT"/>
    <s v="Jean"/>
    <n v="3408"/>
    <s v="CCS DXO"/>
    <x v="2"/>
    <s v="pièce 134"/>
    <n v="7765.85"/>
    <x v="0"/>
    <d v="1968-01-13T00:00:00"/>
    <n v="48"/>
    <m/>
  </r>
  <r>
    <s v="LE LOCH"/>
    <s v="Nicole"/>
    <n v="3104"/>
    <s v="CCS AGL"/>
    <x v="2"/>
    <s v="pièce S/S"/>
    <n v="20559.25"/>
    <x v="1"/>
    <d v="1946-03-02T00:00:00"/>
    <n v="70"/>
    <m/>
  </r>
  <r>
    <s v="AZRIA"/>
    <s v="Maryse"/>
    <n v="3060"/>
    <s v="SNPO"/>
    <x v="2"/>
    <s v="pièce 233"/>
    <n v="10824.67"/>
    <x v="1"/>
    <d v="1954-01-22T00:00:00"/>
    <n v="62"/>
    <m/>
  </r>
  <r>
    <s v="BAH"/>
    <s v="Paule"/>
    <n v="3795"/>
    <s v="CCS AGL"/>
    <x v="2"/>
    <s v="pièce 131"/>
    <n v="7272.69"/>
    <x v="1"/>
    <d v="1953-11-29T00:00:00"/>
    <n v="62"/>
    <m/>
  </r>
  <r>
    <s v="BARCHINA"/>
    <s v="Monique"/>
    <n v="3070"/>
    <s v="SNPO"/>
    <x v="2"/>
    <s v="pièce 232"/>
    <n v="10537.74"/>
    <x v="1"/>
    <d v="1961-06-04T00:00:00"/>
    <n v="55"/>
    <m/>
  </r>
  <r>
    <s v="RIEGERT"/>
    <s v="Raymonde"/>
    <n v="3079"/>
    <s v="CCS DXO"/>
    <x v="2"/>
    <s v="pièce 78"/>
    <n v="16712.830000000002"/>
    <x v="1"/>
    <d v="1946-03-02T00:00:00"/>
    <n v="70"/>
    <m/>
  </r>
  <r>
    <s v="BAUDET"/>
    <s v="Michele"/>
    <n v="3880"/>
    <s v="CCS DXO"/>
    <x v="2"/>
    <s v="pièce 96"/>
    <n v="19573.41"/>
    <x v="1"/>
    <d v="1961-04-04T00:00:00"/>
    <n v="55"/>
    <m/>
  </r>
  <r>
    <s v="BEETHOVEN"/>
    <s v="Michele"/>
    <n v="3013"/>
    <s v="SNPO"/>
    <x v="2"/>
    <s v="pièce 131"/>
    <n v="7418.36"/>
    <x v="1"/>
    <d v="1951-02-23T00:00:00"/>
    <n v="65"/>
    <m/>
  </r>
  <r>
    <s v="BENSIMHON"/>
    <s v="Pascal"/>
    <n v="3636"/>
    <s v="CCS AGL"/>
    <x v="2"/>
    <s v="pièce 73"/>
    <n v="15882.28"/>
    <x v="0"/>
    <d v="1950-08-29T00:00:00"/>
    <n v="66"/>
    <m/>
  </r>
  <r>
    <s v="AMARA"/>
    <s v="Nicolas"/>
    <n v="3098"/>
    <s v="CCS AGL"/>
    <x v="2"/>
    <s v="pièce 80"/>
    <n v="27235"/>
    <x v="0"/>
    <d v="1946-03-02T00:00:00"/>
    <n v="70"/>
    <m/>
  </r>
  <r>
    <s v="BERTRAND"/>
    <s v="Roger"/>
    <n v="3626"/>
    <s v="CCS OGT"/>
    <x v="2"/>
    <s v="pièce 58"/>
    <n v="13065.95"/>
    <x v="0"/>
    <d v="1953-01-11T00:00:00"/>
    <n v="63"/>
    <m/>
  </r>
  <r>
    <s v="FAURE"/>
    <s v="Simone"/>
    <n v="3983"/>
    <s v="CCS OGT"/>
    <x v="2"/>
    <s v="pièce 105"/>
    <n v="6325.15"/>
    <x v="1"/>
    <d v="1946-03-02T00:00:00"/>
    <n v="70"/>
    <m/>
  </r>
  <r>
    <s v="BONNAY"/>
    <s v="Nadège"/>
    <n v="3214"/>
    <s v="SNPO"/>
    <x v="2"/>
    <s v="pièce 35"/>
    <n v="12287.69"/>
    <x v="1"/>
    <d v="1972-09-27T00:00:00"/>
    <n v="43"/>
    <m/>
  </r>
  <r>
    <s v="BOUCHET"/>
    <s v="Micheline"/>
    <n v="3170"/>
    <s v="CCS DXO"/>
    <x v="2"/>
    <s v="pièce 64"/>
    <n v="13834.41"/>
    <x v="1"/>
    <d v="1953-12-20T00:00:00"/>
    <n v="62"/>
    <m/>
  </r>
  <r>
    <s v="BOUCHET"/>
    <s v="Nadège"/>
    <n v="3059"/>
    <s v="CCS DXO"/>
    <x v="2"/>
    <s v="pièce 73"/>
    <n v="15948.14"/>
    <x v="1"/>
    <d v="1977-05-21T00:00:00"/>
    <n v="39"/>
    <m/>
  </r>
  <r>
    <s v="BOUDART"/>
    <s v="Martine"/>
    <n v="3586"/>
    <s v="CCS DXO"/>
    <x v="2"/>
    <s v="pièce SEC"/>
    <n v="20569.8"/>
    <x v="1"/>
    <d v="1972-05-28T00:00:00"/>
    <n v="44"/>
    <m/>
  </r>
  <r>
    <s v="FERNANDEZ"/>
    <s v="Suzanne"/>
    <n v="3984"/>
    <s v="CCS AGL"/>
    <x v="2"/>
    <s v="inconnu"/>
    <n v="20947.330000000002"/>
    <x v="1"/>
    <d v="1949-11-02T00:00:00"/>
    <n v="66"/>
    <m/>
  </r>
  <r>
    <s v="BSIRI"/>
    <s v="Marie-Rose"/>
    <n v="3769"/>
    <s v="AFO"/>
    <x v="2"/>
    <s v="pièce 67"/>
    <n v="15248.4"/>
    <x v="1"/>
    <d v="1968-09-01T00:00:00"/>
    <n v="48"/>
    <m/>
  </r>
  <r>
    <s v="CHAMBLAS"/>
    <s v="Paule"/>
    <n v="3657"/>
    <s v="CCS AGL"/>
    <x v="2"/>
    <s v="pièce 232"/>
    <n v="10449.92"/>
    <x v="1"/>
    <d v="1968-03-05T00:00:00"/>
    <n v="48"/>
    <m/>
  </r>
  <r>
    <s v="CHAVES"/>
    <s v="Thierry"/>
    <n v="3879"/>
    <s v="AFO"/>
    <x v="2"/>
    <s v="pièce 51"/>
    <n v="12687.17"/>
    <x v="0"/>
    <d v="1965-05-02T00:00:00"/>
    <n v="51"/>
    <m/>
  </r>
  <r>
    <s v="SURENA"/>
    <s v="Adrienne"/>
    <n v="3569"/>
    <s v="CCS AGL"/>
    <x v="2"/>
    <s v="pièce 78"/>
    <n v="16564.27"/>
    <x v="1"/>
    <d v="1949-11-02T00:00:00"/>
    <n v="66"/>
    <m/>
  </r>
  <r>
    <s v="TAIEB"/>
    <s v="Michel"/>
    <n v="3185"/>
    <s v="CCS DXO"/>
    <x v="2"/>
    <s v="pièce 66"/>
    <n v="14950.4"/>
    <x v="0"/>
    <d v="1949-11-02T00:00:00"/>
    <n v="66"/>
    <m/>
  </r>
  <r>
    <s v="CHI"/>
    <s v="Nicole"/>
    <n v="3778"/>
    <s v="CCS AGL"/>
    <x v="2"/>
    <s v="pièce 80"/>
    <n v="17046.79"/>
    <x v="1"/>
    <d v="1956-04-01T00:00:00"/>
    <n v="60"/>
    <m/>
  </r>
  <r>
    <s v="COMTE"/>
    <s v="Martin"/>
    <n v="3054"/>
    <s v="AFO"/>
    <x v="2"/>
    <s v="pièce 110"/>
    <n v="6659.39"/>
    <x v="0"/>
    <d v="1960-09-06T00:00:00"/>
    <n v="56"/>
    <m/>
  </r>
  <r>
    <s v="CORBET"/>
    <s v="Thérése"/>
    <n v="3149"/>
    <s v="AFO"/>
    <x v="2"/>
    <s v="pièce 104"/>
    <n v="6164.4"/>
    <x v="1"/>
    <d v="1970-11-04T00:00:00"/>
    <n v="45"/>
    <m/>
  </r>
  <r>
    <s v="DAMBSKI"/>
    <s v="René"/>
    <n v="3076"/>
    <s v="SNPO"/>
    <x v="2"/>
    <s v="pièce 14"/>
    <n v="8332.08"/>
    <x v="0"/>
    <d v="1956-12-27T00:00:00"/>
    <n v="59"/>
    <m/>
  </r>
  <r>
    <s v="DANIEL"/>
    <s v="Louise"/>
    <n v="3633"/>
    <s v="CFS FSC"/>
    <x v="2"/>
    <s v="pièce 255"/>
    <n v="11600.02"/>
    <x v="1"/>
    <d v="1967-08-08T00:00:00"/>
    <n v="49"/>
    <m/>
  </r>
  <r>
    <s v="DEFRANCE"/>
    <s v="Sylvanna"/>
    <n v="3005"/>
    <s v="CCS OGT"/>
    <x v="2"/>
    <s v="pièce 74"/>
    <n v="16406.46"/>
    <x v="1"/>
    <d v="1949-05-27T00:00:00"/>
    <n v="67"/>
    <m/>
  </r>
  <r>
    <s v="DEIXONNE"/>
    <s v="Nadine"/>
    <n v="3631"/>
    <s v="CCS DXO"/>
    <x v="2"/>
    <s v="pièce 133"/>
    <n v="7539.83"/>
    <x v="1"/>
    <d v="1958-02-02T00:00:00"/>
    <n v="58"/>
    <m/>
  </r>
  <r>
    <s v="DELUC"/>
    <s v="Pascal"/>
    <n v="3068"/>
    <s v="CCS DXO"/>
    <x v="2"/>
    <s v="pièce 97"/>
    <n v="19994.91"/>
    <x v="0"/>
    <d v="1950-09-02T00:00:00"/>
    <n v="66"/>
    <m/>
  </r>
  <r>
    <s v="DESROSES"/>
    <s v="Martine"/>
    <n v="3119"/>
    <s v="AFO"/>
    <x v="2"/>
    <s v="pièce 95"/>
    <n v="19196.21"/>
    <x v="1"/>
    <d v="1965-05-27T00:00:00"/>
    <n v="51"/>
    <m/>
  </r>
  <r>
    <s v="DESTAIN"/>
    <s v="Roseline"/>
    <n v="3152"/>
    <s v="CCS DXO"/>
    <x v="2"/>
    <s v="pièce 255"/>
    <n v="11830.22"/>
    <x v="1"/>
    <d v="1953-02-27T00:00:00"/>
    <n v="63"/>
    <m/>
  </r>
  <r>
    <s v="DI"/>
    <s v="Nadine"/>
    <n v="3727"/>
    <s v="CCS DXO"/>
    <x v="2"/>
    <s v="pièce 206"/>
    <n v="9121.43"/>
    <x v="1"/>
    <d v="1952-04-25T00:00:00"/>
    <n v="64"/>
    <m/>
  </r>
  <r>
    <s v="CRIÉ"/>
    <s v="Michel"/>
    <n v="3946"/>
    <s v="CCS DXO"/>
    <x v="2"/>
    <s v="pièce 90"/>
    <n v="18745.23"/>
    <x v="0"/>
    <d v="1948-03-23T00:00:00"/>
    <n v="68"/>
    <m/>
  </r>
  <r>
    <s v="EL KAABI"/>
    <s v="Nicole"/>
    <n v="3172"/>
    <s v="CCS AGL"/>
    <x v="2"/>
    <s v="pièce 56"/>
    <n v="12901.68"/>
    <x v="1"/>
    <d v="1954-02-25T00:00:00"/>
    <n v="62"/>
    <m/>
  </r>
  <r>
    <s v="FALZON"/>
    <s v="Patricia"/>
    <n v="3673"/>
    <s v="CCS AGL"/>
    <x v="2"/>
    <s v="pièce 22"/>
    <n v="9807.73"/>
    <x v="1"/>
    <d v="1951-11-08T00:00:00"/>
    <n v="64"/>
    <m/>
  </r>
  <r>
    <s v="FARIDI"/>
    <s v="Thérése"/>
    <n v="3861"/>
    <s v="AFO"/>
    <x v="2"/>
    <s v="inconnu"/>
    <n v="20593.169999999998"/>
    <x v="1"/>
    <d v="1958-07-15T00:00:00"/>
    <n v="58"/>
    <m/>
  </r>
  <r>
    <s v="FAUCHEUX"/>
    <s v="Michel"/>
    <n v="3557"/>
    <s v="CCS AGL"/>
    <x v="2"/>
    <s v="pièce 220"/>
    <n v="9848.66"/>
    <x v="0"/>
    <d v="1958-02-27T00:00:00"/>
    <n v="58"/>
    <m/>
  </r>
  <r>
    <s v="FAUQUIER"/>
    <s v="Mireille"/>
    <n v="3417"/>
    <s v="CCS AGL"/>
    <x v="2"/>
    <s v="pièce 241"/>
    <n v="11356.82"/>
    <x v="1"/>
    <d v="1947-10-12T00:00:00"/>
    <n v="68"/>
    <m/>
  </r>
  <r>
    <s v="LAUB"/>
    <s v="Nicole"/>
    <n v="3733"/>
    <s v="CCS AGL"/>
    <x v="2"/>
    <s v="pièce 33"/>
    <n v="12040.29"/>
    <x v="1"/>
    <d v="1948-03-23T00:00:00"/>
    <n v="68"/>
    <m/>
  </r>
  <r>
    <s v="LOUAPRE"/>
    <s v="Louisette"/>
    <n v="3135"/>
    <s v="SNPO"/>
    <x v="2"/>
    <s v="pièce 95"/>
    <n v="19057.96"/>
    <x v="1"/>
    <d v="1948-03-23T00:00:00"/>
    <n v="68"/>
    <m/>
  </r>
  <r>
    <s v="FILLEAU"/>
    <s v="Sylvie"/>
    <n v="3137"/>
    <s v="CCS OGT"/>
    <x v="2"/>
    <s v="pièce 90"/>
    <n v="18686.79"/>
    <x v="1"/>
    <d v="1955-12-17T00:00:00"/>
    <n v="60"/>
    <m/>
  </r>
  <r>
    <s v="FITOUSSI"/>
    <s v="Samuel"/>
    <n v="3554"/>
    <s v="CCS OGT"/>
    <x v="2"/>
    <s v="inconnu"/>
    <n v="20750.52"/>
    <x v="0"/>
    <d v="1953-04-17T00:00:00"/>
    <n v="63"/>
    <m/>
  </r>
  <r>
    <s v="FOURNOL"/>
    <s v="Michele"/>
    <n v="3182"/>
    <s v="CCS DXO"/>
    <x v="2"/>
    <s v="pièce 95"/>
    <n v="19027.830000000002"/>
    <x v="1"/>
    <d v="1967-10-27T00:00:00"/>
    <n v="48"/>
    <m/>
  </r>
  <r>
    <s v="GENTIL"/>
    <s v="Michelle"/>
    <n v="3581"/>
    <s v="CCS DXO"/>
    <x v="2"/>
    <s v="pièce 227"/>
    <n v="10337.31"/>
    <x v="1"/>
    <d v="1954-02-17T00:00:00"/>
    <n v="62"/>
    <m/>
  </r>
  <r>
    <s v="GEORGET"/>
    <s v="Philippe"/>
    <n v="3099"/>
    <s v="CCS AGL"/>
    <x v="2"/>
    <s v="pièce 255"/>
    <n v="11704.55"/>
    <x v="0"/>
    <d v="1952-02-23T00:00:00"/>
    <n v="64"/>
    <m/>
  </r>
  <r>
    <s v="GHIBAUDO"/>
    <s v="Nicole"/>
    <n v="3882"/>
    <s v="CCS AGL"/>
    <x v="2"/>
    <s v="pièce 17"/>
    <n v="8578.16"/>
    <x v="1"/>
    <d v="1949-11-24T00:00:00"/>
    <n v="66"/>
    <m/>
  </r>
  <r>
    <s v="GORZINSKY"/>
    <s v="Odette"/>
    <n v="3589"/>
    <s v="CCS AGL"/>
    <x v="2"/>
    <s v="pièce 96"/>
    <n v="19575.28"/>
    <x v="1"/>
    <d v="1966-07-24T00:00:00"/>
    <n v="50"/>
    <m/>
  </r>
  <r>
    <s v="GUELT"/>
    <s v="Monique"/>
    <n v="3874"/>
    <s v="CCS AGL"/>
    <x v="2"/>
    <s v="pièce 78"/>
    <n v="16821.009999999998"/>
    <x v="1"/>
    <d v="1949-07-16T00:00:00"/>
    <n v="67"/>
    <m/>
  </r>
  <r>
    <s v="GUYOT"/>
    <s v="Pierre"/>
    <n v="3711"/>
    <s v="CCS DXO"/>
    <x v="2"/>
    <s v="pièce 239"/>
    <n v="11061.89"/>
    <x v="0"/>
    <d v="1972-05-20T00:00:00"/>
    <n v="44"/>
    <m/>
  </r>
  <r>
    <s v="HABRANT"/>
    <s v="Moïse"/>
    <n v="3115"/>
    <s v="SNPO"/>
    <x v="2"/>
    <s v="pièce 66"/>
    <n v="14977.21"/>
    <x v="0"/>
    <d v="1973-10-20T00:00:00"/>
    <n v="42"/>
    <m/>
  </r>
  <r>
    <s v="HERCLICH"/>
    <s v="Myriam"/>
    <n v="3954"/>
    <s v="CCS DXO"/>
    <x v="2"/>
    <s v="pièce 95"/>
    <n v="19319.900000000001"/>
    <x v="1"/>
    <d v="1970-07-26T00:00:00"/>
    <n v="46"/>
    <m/>
  </r>
  <r>
    <s v="ILARDO"/>
    <s v="Sylvie"/>
    <n v="3071"/>
    <s v="SNPO"/>
    <x v="2"/>
    <s v="pièce 96"/>
    <n v="19600.95"/>
    <x v="1"/>
    <d v="1969-05-16T00:00:00"/>
    <n v="47"/>
    <m/>
  </r>
  <r>
    <s v="IMMEUBLE"/>
    <s v="Sylvie"/>
    <n v="3040"/>
    <s v="CCS OGT"/>
    <x v="2"/>
    <s v="pièce 206"/>
    <n v="9120.66"/>
    <x v="1"/>
    <d v="1952-05-11T00:00:00"/>
    <n v="64"/>
    <m/>
  </r>
  <r>
    <s v="JOLIBOIS"/>
    <s v="Michele"/>
    <n v="3022"/>
    <s v="SNPO"/>
    <x v="2"/>
    <s v="pièce 95"/>
    <n v="19391.580000000002"/>
    <x v="1"/>
    <d v="1960-05-20T00:00:00"/>
    <n v="56"/>
    <m/>
  </r>
  <r>
    <s v="KILBURG"/>
    <s v="Sylvie"/>
    <n v="3593"/>
    <s v="SNPO"/>
    <x v="2"/>
    <s v="pièce 95"/>
    <n v="19359.349999999999"/>
    <x v="1"/>
    <d v="1971-02-05T00:00:00"/>
    <n v="45"/>
    <m/>
  </r>
  <r>
    <s v="LAIGUILLON"/>
    <s v="Michelle"/>
    <n v="3551"/>
    <s v="CCS DXO"/>
    <x v="2"/>
    <s v="pièce 96"/>
    <n v="19750.150000000001"/>
    <x v="1"/>
    <d v="1974-01-24T00:00:00"/>
    <n v="42"/>
    <m/>
  </r>
  <r>
    <s v="LAM"/>
    <s v="Pierrette"/>
    <n v="3718"/>
    <s v="CCS DXO"/>
    <x v="2"/>
    <s v="pièce 135"/>
    <n v="7896.74"/>
    <x v="1"/>
    <d v="1953-09-09T00:00:00"/>
    <n v="63"/>
    <m/>
  </r>
  <r>
    <s v="LEBRETON"/>
    <s v="Olivier"/>
    <n v="3124"/>
    <s v="SNPO"/>
    <x v="2"/>
    <s v="pièce 118"/>
    <n v="7046.35"/>
    <x v="0"/>
    <d v="1957-03-07T00:00:00"/>
    <n v="59"/>
    <m/>
  </r>
  <r>
    <s v="LEE"/>
    <s v="Monique"/>
    <n v="3055"/>
    <s v="SNPO"/>
    <x v="2"/>
    <s v="pièce 232"/>
    <n v="10388.879999999999"/>
    <x v="1"/>
    <d v="1972-03-31T00:00:00"/>
    <n v="44"/>
    <m/>
  </r>
  <r>
    <s v="LEGRAND"/>
    <s v="Stéphane"/>
    <n v="3136"/>
    <s v="CCS OGT"/>
    <x v="2"/>
    <s v="pièce 80"/>
    <n v="17577.900000000001"/>
    <x v="0"/>
    <d v="1971-02-10T00:00:00"/>
    <n v="45"/>
    <m/>
  </r>
  <r>
    <s v="LEMAIRE"/>
    <s v="Philippe"/>
    <n v="3626"/>
    <s v="CCS AGL"/>
    <x v="2"/>
    <s v="pièce 80"/>
    <n v="17363.88"/>
    <x v="0"/>
    <d v="1951-08-19T00:00:00"/>
    <n v="65"/>
    <m/>
  </r>
  <r>
    <s v="LOBJOY"/>
    <s v="Patrick"/>
    <n v="3063"/>
    <s v="CCS AGL"/>
    <x v="2"/>
    <s v="pièce 235"/>
    <n v="10993.25"/>
    <x v="0"/>
    <d v="1975-06-18T00:00:00"/>
    <n v="41"/>
    <m/>
  </r>
  <r>
    <s v="MARQUEZ"/>
    <s v="Marie-Cecile"/>
    <n v="3626"/>
    <s v="SNPO"/>
    <x v="2"/>
    <s v="pièce 97"/>
    <n v="20196.169999999998"/>
    <x v="1"/>
    <d v="1953-07-24T00:00:00"/>
    <n v="63"/>
    <m/>
  </r>
  <r>
    <s v="SACCHET"/>
    <s v="Thérése"/>
    <n v="3025"/>
    <s v="AFO"/>
    <x v="2"/>
    <s v="pièce 245"/>
    <n v="11512.82"/>
    <x v="1"/>
    <d v="1948-03-18T00:00:00"/>
    <n v="68"/>
    <m/>
  </r>
  <r>
    <s v="SARFATI"/>
    <s v="Pascal"/>
    <n v="3963"/>
    <s v="SNPO"/>
    <x v="2"/>
    <s v="pièce 118"/>
    <n v="6935.24"/>
    <x v="0"/>
    <d v="1947-10-28T00:00:00"/>
    <n v="68"/>
    <m/>
  </r>
  <r>
    <s v="MIANET"/>
    <s v="Thérése"/>
    <n v="3148"/>
    <s v="AFO"/>
    <x v="2"/>
    <s v="pièce 104"/>
    <n v="6218.73"/>
    <x v="1"/>
    <d v="1950-08-14T00:00:00"/>
    <n v="66"/>
    <m/>
  </r>
  <r>
    <s v="MICELI"/>
    <s v="Stéphane"/>
    <n v="3588"/>
    <s v="CCS OGT"/>
    <x v="2"/>
    <s v="pièce 69"/>
    <n v="15276.08"/>
    <x v="0"/>
    <d v="1962-05-22T00:00:00"/>
    <n v="54"/>
    <m/>
  </r>
  <r>
    <s v="MILLET"/>
    <s v="Pasquale"/>
    <n v="3618"/>
    <s v="CCS AGL"/>
    <x v="2"/>
    <s v="pièce 50"/>
    <n v="12358.23"/>
    <x v="0"/>
    <d v="1955-01-20T00:00:00"/>
    <n v="61"/>
    <m/>
  </r>
  <r>
    <s v="OBEL"/>
    <s v="Rolande"/>
    <n v="3723"/>
    <s v="SNPO"/>
    <x v="2"/>
    <s v="pièce 222"/>
    <n v="10022.629999999999"/>
    <x v="1"/>
    <d v="1954-08-01T00:00:00"/>
    <n v="62"/>
    <m/>
  </r>
  <r>
    <s v="OCLOO"/>
    <s v="Thérése"/>
    <n v="3067"/>
    <s v="SNPO"/>
    <x v="2"/>
    <s v="pièce 97"/>
    <n v="20409.72"/>
    <x v="1"/>
    <d v="1952-04-07T00:00:00"/>
    <n v="64"/>
    <m/>
  </r>
  <r>
    <s v="PARTOUCHE"/>
    <s v="Robert"/>
    <n v="3670"/>
    <s v="CCS OGT"/>
    <x v="2"/>
    <s v="pièce 95"/>
    <n v="19004.669999999998"/>
    <x v="0"/>
    <d v="1963-03-20T00:00:00"/>
    <n v="53"/>
    <m/>
  </r>
  <r>
    <s v="PERFETTO"/>
    <s v="Pascal"/>
    <n v="3420"/>
    <s v="CCS AGL"/>
    <x v="2"/>
    <s v="pièce 83"/>
    <n v="18024.310000000001"/>
    <x v="0"/>
    <d v="1951-05-14T00:00:00"/>
    <n v="65"/>
    <m/>
  </r>
  <r>
    <s v="POINSOT"/>
    <s v="Pierre"/>
    <n v="3409"/>
    <s v="CCS DXO"/>
    <x v="2"/>
    <s v="pièce 57"/>
    <n v="12926.92"/>
    <x v="0"/>
    <d v="1974-02-01T00:00:00"/>
    <n v="42"/>
    <m/>
  </r>
  <r>
    <s v="PONTALIER"/>
    <s v="Thierry"/>
    <n v="3765"/>
    <s v="CCS DXO"/>
    <x v="2"/>
    <s v="pièce 14"/>
    <n v="8360.74"/>
    <x v="0"/>
    <d v="1957-03-28T00:00:00"/>
    <n v="59"/>
    <m/>
  </r>
  <r>
    <s v="QUINTIN"/>
    <s v="Martine"/>
    <n v="3083"/>
    <s v="CCS DXO"/>
    <x v="2"/>
    <s v="pièce 134"/>
    <n v="7716.69"/>
    <x v="1"/>
    <d v="1968-09-12T00:00:00"/>
    <n v="47"/>
    <m/>
  </r>
  <r>
    <s v="RAGEUL"/>
    <s v="Marielle"/>
    <n v="3917"/>
    <s v="AFO"/>
    <x v="2"/>
    <s v="pièce 129"/>
    <n v="7134.87"/>
    <x v="1"/>
    <d v="1950-01-31T00:00:00"/>
    <n v="66"/>
    <m/>
  </r>
  <r>
    <s v="REMUND"/>
    <s v="Marthe"/>
    <n v="3182"/>
    <s v="AFO"/>
    <x v="2"/>
    <s v="pièce 20"/>
    <n v="8778.02"/>
    <x v="1"/>
    <d v="1950-10-09T00:00:00"/>
    <n v="65"/>
    <m/>
  </r>
  <r>
    <s v="RENIER"/>
    <s v="Monique"/>
    <n v="3208"/>
    <s v="CCS DXO"/>
    <x v="2"/>
    <s v="pièce 107"/>
    <n v="6385.74"/>
    <x v="1"/>
    <d v="1954-08-05T00:00:00"/>
    <n v="62"/>
    <m/>
  </r>
  <r>
    <s v="RIDEAU"/>
    <s v="Paul"/>
    <n v="3174"/>
    <s v="CCS AGL"/>
    <x v="2"/>
    <s v="pièce 80"/>
    <n v="17070.91"/>
    <x v="0"/>
    <d v="1969-11-01T00:00:00"/>
    <n v="46"/>
    <m/>
  </r>
  <r>
    <s v="RODIER"/>
    <s v="Régis"/>
    <n v="3916"/>
    <s v="SNPO"/>
    <x v="2"/>
    <s v="pièce 132"/>
    <n v="7451.7"/>
    <x v="0"/>
    <d v="1948-04-01T00:00:00"/>
    <n v="68"/>
    <m/>
  </r>
  <r>
    <s v="ROLLAND"/>
    <s v="Nathalie"/>
    <n v="3077"/>
    <s v="CCS AGL"/>
    <x v="2"/>
    <s v="pièce 80"/>
    <n v="17496.3"/>
    <x v="1"/>
    <d v="1972-06-18T00:00:00"/>
    <n v="44"/>
    <m/>
  </r>
  <r>
    <s v="ROSSO"/>
    <s v="Robert"/>
    <n v="3165"/>
    <s v="CCS OGT"/>
    <x v="2"/>
    <s v="pièce 20"/>
    <n v="8838.44"/>
    <x v="0"/>
    <d v="1957-08-20T00:00:00"/>
    <n v="59"/>
    <m/>
  </r>
  <r>
    <s v="SAADA"/>
    <s v="Martine"/>
    <n v="3563"/>
    <s v="CCS AGL"/>
    <x v="2"/>
    <s v="pièce 233"/>
    <n v="10704.17"/>
    <x v="1"/>
    <d v="1964-03-22T00:00:00"/>
    <n v="52"/>
    <m/>
  </r>
  <r>
    <s v="ROTENBERG"/>
    <s v="Michel"/>
    <n v="3024"/>
    <s v="CCS DXO"/>
    <x v="2"/>
    <s v="pièce 74"/>
    <n v="16305.31"/>
    <x v="0"/>
    <d v="1950-07-19T00:00:00"/>
    <n v="66"/>
    <m/>
  </r>
  <r>
    <s v="SENILLE"/>
    <s v="Marthe"/>
    <n v="3160"/>
    <s v="CCS DXO"/>
    <x v="2"/>
    <s v="pièce 66"/>
    <n v="15228.89"/>
    <x v="1"/>
    <d v="1955-06-23T00:00:00"/>
    <n v="61"/>
    <m/>
  </r>
  <r>
    <s v="SENTEX"/>
    <s v="Stéphane"/>
    <n v="3066"/>
    <s v="CCS OGT"/>
    <x v="2"/>
    <s v="pièce 64"/>
    <n v="14345.97"/>
    <x v="0"/>
    <d v="1968-02-25T00:00:00"/>
    <n v="48"/>
    <m/>
  </r>
  <r>
    <s v="SOK"/>
    <s v="Myriam"/>
    <n v="3155"/>
    <s v="SNPO"/>
    <x v="2"/>
    <s v="inconnu"/>
    <n v="20821.400000000001"/>
    <x v="1"/>
    <d v="1970-03-25T00:00:00"/>
    <n v="46"/>
    <m/>
  </r>
  <r>
    <s v="ZANOTI"/>
    <s v="Monique"/>
    <n v="3161"/>
    <s v="SNPO"/>
    <x v="2"/>
    <s v="pièce 66"/>
    <n v="15102.11"/>
    <x v="1"/>
    <d v="1950-08-04T00:00:00"/>
    <n v="66"/>
    <m/>
  </r>
  <r>
    <s v="TAN"/>
    <s v="Nathalie"/>
    <n v="3733"/>
    <s v="AFO"/>
    <x v="2"/>
    <s v="pièce 50"/>
    <n v="12422.47"/>
    <x v="1"/>
    <d v="1968-11-10T00:00:00"/>
    <n v="47"/>
    <m/>
  </r>
  <r>
    <s v="TARDIF"/>
    <s v="Marie-Paule"/>
    <n v="3641"/>
    <s v="SNPO"/>
    <x v="2"/>
    <s v="pièce 21"/>
    <n v="9252.8799999999992"/>
    <x v="1"/>
    <d v="1948-08-24T00:00:00"/>
    <n v="68"/>
    <m/>
  </r>
  <r>
    <s v="THAO"/>
    <s v="Sylvain"/>
    <n v="3779"/>
    <s v="CCS AGL"/>
    <x v="2"/>
    <s v="inconnu"/>
    <n v="20682.189999999999"/>
    <x v="0"/>
    <d v="1951-01-30T00:00:00"/>
    <n v="65"/>
    <m/>
  </r>
  <r>
    <s v="UNG"/>
    <s v="Martine"/>
    <n v="3703"/>
    <s v="CCS DXO"/>
    <x v="2"/>
    <s v="pièce 64"/>
    <n v="13803.31"/>
    <x v="1"/>
    <d v="1967-06-26T00:00:00"/>
    <n v="49"/>
    <m/>
  </r>
  <r>
    <s v="ZENOU"/>
    <s v="Robert"/>
    <n v="3703"/>
    <s v="CCS OGT"/>
    <x v="2"/>
    <s v="pièce 234"/>
    <n v="10962.94"/>
    <x v="0"/>
    <d v="1949-05-26T00:00:00"/>
    <n v="67"/>
    <m/>
  </r>
  <r>
    <s v="ZHOU"/>
    <s v="Philippe"/>
    <n v="3585"/>
    <s v="CCS AGL"/>
    <x v="2"/>
    <s v="pièce 66"/>
    <n v="15235.79"/>
    <x v="0"/>
    <d v="1977-06-13T00:00:00"/>
    <n v="39"/>
    <m/>
  </r>
  <r>
    <s v="AMELLAL"/>
    <s v="Viviane"/>
    <n v="3421"/>
    <s v="CCS DPO"/>
    <x v="3"/>
    <s v="pièce 80"/>
    <n v="17480.689999999999"/>
    <x v="1"/>
    <d v="1956-05-20T00:00:00"/>
    <n v="60"/>
    <m/>
  </r>
  <r>
    <s v="BASS"/>
    <s v="Thierry"/>
    <n v="3090"/>
    <s v="CCS DPO"/>
    <x v="3"/>
    <s v="pièce 35"/>
    <n v="12212.25"/>
    <x v="0"/>
    <d v="1958-02-04T00:00:00"/>
    <n v="58"/>
    <m/>
  </r>
  <r>
    <s v="CHICHE"/>
    <s v="Vincent"/>
    <n v="3041"/>
    <s v="CCS DPO"/>
    <x v="3"/>
    <s v="pièce 95"/>
    <n v="19285.599999999999"/>
    <x v="0"/>
    <d v="1953-10-07T00:00:00"/>
    <n v="62"/>
    <m/>
  </r>
  <r>
    <s v="CARRERA"/>
    <s v="Victor"/>
    <n v="3016"/>
    <s v="CCS DPO"/>
    <x v="3"/>
    <s v="pièce 129"/>
    <n v="7060.88"/>
    <x v="0"/>
    <d v="1948-03-23T00:00:00"/>
    <n v="68"/>
    <m/>
  </r>
  <r>
    <s v="DROUVILLE"/>
    <s v="Yolande"/>
    <n v="3259"/>
    <s v="ATB"/>
    <x v="3"/>
    <s v="pièce 53"/>
    <n v="12720.76"/>
    <x v="1"/>
    <d v="1947-02-08T00:00:00"/>
    <n v="69"/>
    <m/>
  </r>
  <r>
    <s v="FERNANDEZ"/>
    <s v="Yvette"/>
    <n v="3736"/>
    <s v="CCS AGL"/>
    <x v="3"/>
    <s v="pièce 78"/>
    <n v="16859.03"/>
    <x v="1"/>
    <d v="1954-04-04T00:00:00"/>
    <n v="62"/>
    <m/>
  </r>
  <r>
    <s v="LACIRE"/>
    <s v="Vincent"/>
    <n v="3607"/>
    <s v="CCS DPO"/>
    <x v="3"/>
    <s v="pièce 78"/>
    <n v="16977.18"/>
    <x v="0"/>
    <d v="1953-05-12T00:00:00"/>
    <n v="63"/>
    <m/>
  </r>
  <r>
    <s v="MECHARD"/>
    <s v="Véronique"/>
    <n v="3611"/>
    <s v="CCS DPO"/>
    <x v="3"/>
    <s v="inconnu"/>
    <n v="20879.54"/>
    <x v="1"/>
    <d v="1965-12-14T00:00:00"/>
    <n v="50"/>
    <m/>
  </r>
  <r>
    <s v="RAMOND"/>
    <s v="Vincent"/>
    <n v="3092"/>
    <s v="CCS DPO"/>
    <x v="3"/>
    <s v="pièce 17"/>
    <n v="8435.25"/>
    <x v="0"/>
    <d v="1949-01-01T00:00:00"/>
    <n v="67"/>
    <m/>
  </r>
  <r>
    <s v="RAMOS"/>
    <s v="Yvan"/>
    <n v="3703"/>
    <s v="CCS DPO"/>
    <x v="3"/>
    <s v="pièce 73"/>
    <n v="15720.31"/>
    <x v="0"/>
    <d v="1974-02-23T00:00:00"/>
    <n v="42"/>
    <m/>
  </r>
  <r>
    <s v="ROBERT"/>
    <s v="Viviane"/>
    <n v="3531"/>
    <s v="CCS DPO"/>
    <x v="3"/>
    <s v="pièce 222"/>
    <n v="9896.7099999999991"/>
    <x v="1"/>
    <d v="1957-06-27T00:00:00"/>
    <n v="59"/>
    <m/>
  </r>
  <r>
    <s v="SUON"/>
    <s v="William"/>
    <n v="3133"/>
    <s v="CCS DPO"/>
    <x v="3"/>
    <s v="pièce S/S"/>
    <n v="20500.91"/>
    <x v="0"/>
    <d v="1965-12-07T00:00:00"/>
    <n v="50"/>
    <m/>
  </r>
  <r>
    <s v="GREDER"/>
    <s v="Véronique"/>
    <n v="3133"/>
    <s v="CCS"/>
    <x v="1"/>
    <s v="Pièce 78"/>
    <n v="20000"/>
    <x v="1"/>
    <d v="1962-05-09T00:00:00"/>
    <n v="5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2" cacheId="1" dataOnRows="1" applyNumberFormats="0" applyBorderFormats="0" applyFontFormats="0" applyPatternFormats="0" applyAlignmentFormats="0" applyWidthHeightFormats="1" dataCaption="Données" updatedVersion="4" minRefreshableVersion="3" showMemberPropertyTips="0" useAutoFormatting="1" itemPrintTitles="1" createdVersion="4" indent="0" compact="0" compactData="0" gridDropZones="1" chartFormat="1">
  <location ref="A3:D8" firstHeaderRow="1" firstDataRow="2" firstDataCol="1"/>
  <pivotFields count="9">
    <pivotField compact="0" outline="0" subtotalTop="0" showAll="0" includeNewItemsInFilter="1"/>
    <pivotField axis="axisRow" compact="0" outline="0" subtotalTop="0" showAll="0" includeNewItemsInFilter="1">
      <items count="4">
        <item x="2"/>
        <item x="1"/>
        <item x="0"/>
        <item t="default"/>
      </items>
    </pivotField>
    <pivotField compact="0" outline="0" subtotalTop="0" showAll="0" includeNewItemsInFilter="1"/>
    <pivotField axis="axisCol" compact="0" outline="0" subtotalTop="0" showAll="0" includeNewItemsInFilter="1">
      <items count="4">
        <item x="1"/>
        <item x="2"/>
        <item x="0"/>
        <item t="default"/>
      </items>
    </pivotField>
    <pivotField compact="0" outline="0" subtotalTop="0" showAll="0" includeNewItemsInFilter="1">
      <items count="4">
        <item x="0"/>
        <item h="1" x="1"/>
        <item h="1"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numFmtId="167" outline="0" subtotalTop="0" showAll="0" includeNewItemsInFilter="1"/>
    <pivotField dataField="1" compact="0" numFmtId="167" outline="0" subtotalTop="0" showAll="0" includeNewItemsInFilter="1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2"/>
    </i>
    <i t="grand">
      <x/>
    </i>
  </colItems>
  <dataFields count="1">
    <dataField name="Valeur totale" fld="8" baseField="1" baseItem="0" numFmtId="17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Medium3" showRowHeaders="1" showColHeaders="1" showRowStripes="1" showColStripes="1" showLastColumn="1"/>
</pivotTableDefinition>
</file>

<file path=xl/pivotTables/pivotTable2.xml><?xml version="1.0" encoding="utf-8"?>
<pivotTableDefinition xmlns="http://schemas.openxmlformats.org/spreadsheetml/2006/main" name="Tableau croisé dynamique4" cacheId="3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>
  <location ref="A3:F16" firstHeaderRow="0" firstDataRow="1" firstDataCol="1"/>
  <pivotFields count="11">
    <pivotField dataField="1"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numFmtId="164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2">
    <field x="4"/>
    <field x="7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salaire" fld="6" baseField="4" baseItem="0" numFmtId="170"/>
    <dataField name="Salaire moyen" fld="6" subtotal="average" baseField="4" baseItem="0" numFmtId="170"/>
    <dataField name="+ gros salaire" fld="6" subtotal="max" baseField="4" baseItem="0" numFmtId="170"/>
    <dataField name="+ petit salaire" fld="6" subtotal="min" baseField="4" baseItem="0" numFmtId="170"/>
    <dataField name="Nb employés" fld="0" subtotal="count" baseField="4" baseItem="0"/>
  </dataFields>
  <pivotTableStyleInfo name="PivotStyleMedium5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dynamique3" cacheId="2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 rowHeaderCaption="Dates" colHeaderCaption="Pays">
  <location ref="A3:E17" firstHeaderRow="1" firstDataRow="2" firstDataCol="1"/>
  <pivotFields count="7">
    <pivotField axis="axisRow"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ubtotalTop="0" showAll="0">
      <items count="4">
        <item x="0"/>
        <item x="1"/>
        <item x="2"/>
        <item t="default"/>
      </items>
    </pivotField>
    <pivotField subtotalTop="0" showAll="0"/>
    <pivotField subtotalTop="0" showAll="0"/>
    <pivotField dataField="1" numFmtId="167" subtotalTop="0" showAll="0"/>
    <pivotField axis="axisRow" subtotalTop="0" showAll="0">
      <items count="7">
        <item x="0"/>
        <item sd="0" x="1"/>
        <item sd="0" x="2"/>
        <item sd="0" x="3"/>
        <item sd="0" x="4"/>
        <item x="5"/>
        <item t="default"/>
      </items>
    </pivotField>
    <pivotField axis="axisRow" subtotalTop="0" showAll="0">
      <items count="5">
        <item x="0"/>
        <item x="1"/>
        <item x="2"/>
        <item x="3"/>
        <item t="default"/>
      </items>
    </pivotField>
  </pivotFields>
  <rowFields count="3">
    <field x="6"/>
    <field x="5"/>
    <field x="0"/>
  </rowFields>
  <rowItems count="13">
    <i>
      <x v="1"/>
    </i>
    <i r="1">
      <x v="1"/>
    </i>
    <i r="1">
      <x v="2"/>
    </i>
    <i r="1">
      <x v="3"/>
    </i>
    <i r="1">
      <x v="4"/>
    </i>
    <i t="default">
      <x v="1"/>
    </i>
    <i>
      <x v="2"/>
    </i>
    <i r="1">
      <x v="1"/>
    </i>
    <i r="1">
      <x v="2"/>
    </i>
    <i r="1">
      <x v="3"/>
    </i>
    <i r="1">
      <x v="4"/>
    </i>
    <i t="default"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a total" fld="4" baseField="0" baseItem="0" numFmtId="170"/>
  </dataField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eau croisé dynamique1" cacheId="0" dataOnRows="1" applyNumberFormats="0" applyBorderFormats="0" applyFontFormats="0" applyPatternFormats="0" applyAlignmentFormats="0" applyWidthHeightFormats="1" dataCaption="Données" updatedVersion="4" showMemberPropertyTips="0" useAutoFormatting="1" itemPrintTitles="1" createdVersion="1" indent="0" compact="0" compactData="0" gridDropZones="1" chartFormat="1">
  <location ref="A4:G12" firstHeaderRow="1" firstDataRow="2" firstDataCol="1" rowPageCount="2" colPageCount="1"/>
  <pivotFields count="7"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2"/>
        <item x="3"/>
        <item x="4"/>
        <item x="5"/>
        <item t="default"/>
      </items>
    </pivotField>
    <pivotField axis="axisPage" compact="0" outline="0" subtotalTop="0" showAll="0" includeNewItemsInFilter="1">
      <items count="6">
        <item x="2"/>
        <item x="3"/>
        <item x="1"/>
        <item x="0"/>
        <item x="4"/>
        <item t="default"/>
      </items>
    </pivotField>
    <pivotField axis="axisCol" compact="0" outline="0" subtotalTop="0" showAll="0" includeNewItemsInFilter="1">
      <items count="6">
        <item x="0"/>
        <item x="3"/>
        <item x="1"/>
        <item x="2"/>
        <item x="4"/>
        <item t="default"/>
      </items>
    </pivotField>
    <pivotField compact="0" numFmtId="168" outline="0" subtotalTop="0" showAll="0" includeNewItemsInFilter="1"/>
    <pivotField dataField="1" compact="0" numFmtId="167" outline="0" subtotalTop="0" showAll="0" includeNewItemsInFilter="1"/>
    <pivotField axis="axisRow" compact="0" outline="0" subtotalTop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2" hier="-1"/>
    <pageField fld="1" hier="-1"/>
  </pageFields>
  <dataFields count="1">
    <dataField name="Ca total" fld="5" baseField="0" baseItem="2420808" numFmtId="17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1" showColStripes="1" showLastColumn="1"/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Millésime" sourceName="Millésime">
  <pivotTables>
    <pivotTable tabId="29" name="Tableau croisé dynamique2"/>
  </pivotTables>
  <data>
    <tabular pivotCacheId="1">
      <items count="3">
        <i x="0" s="1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illésime" cache="Segment_Millésime" caption="Millésime" columnCount="3" style="SlicerStyleLight2" rowHeight="225425"/>
</slicers>
</file>

<file path=xl/tables/table1.xml><?xml version="1.0" encoding="utf-8"?>
<table xmlns="http://schemas.openxmlformats.org/spreadsheetml/2006/main" id="1" name="Tableau1" displayName="Tableau1" ref="A11:K296" totalsRowShown="0" headerRowDxfId="18">
  <autoFilter ref="A11:K296"/>
  <sortState ref="A12:K296">
    <sortCondition descending="1" ref="J14"/>
  </sortState>
  <tableColumns count="11">
    <tableColumn id="1" name="NOM" dataDxfId="17"/>
    <tableColumn id="2" name="PRENOM" dataDxfId="16"/>
    <tableColumn id="3" name="(" dataDxfId="15"/>
    <tableColumn id="4" name="DIRECTION" dataDxfId="14"/>
    <tableColumn id="5" name="SITE" dataDxfId="13"/>
    <tableColumn id="6" name="PIECE" dataDxfId="12"/>
    <tableColumn id="7" name="SALAIRE" dataDxfId="11"/>
    <tableColumn id="8" name="sexe" dataDxfId="10"/>
    <tableColumn id="9" name="date de _x000a_naisssance" dataDxfId="9"/>
    <tableColumn id="10" name="AGE" dataDxfId="8">
      <calculatedColumnFormula>DATEDIF(I12,TODAY(),"y")</calculatedColumnFormula>
    </tableColumn>
    <tableColumn id="11" name="tranche _x000a_d'âges" dataDxfId="7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3" name="Tableau3" displayName="Tableau3" ref="A3:E183" totalsRowShown="0" headerRowDxfId="6" tableBorderDxfId="5">
  <autoFilter ref="A3:E183"/>
  <tableColumns count="5">
    <tableColumn id="1" name="Date" dataDxfId="4"/>
    <tableColumn id="2" name="Pays" dataDxfId="3"/>
    <tableColumn id="3" name="Instrument" dataDxfId="2"/>
    <tableColumn id="4" name="Catégorie" dataDxfId="1"/>
    <tableColumn id="5" name="C.A journalier" dataDxfId="0" dataCellStyle="Eur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Véro">
      <a:dk1>
        <a:sysClr val="windowText" lastClr="000000"/>
      </a:dk1>
      <a:lt1>
        <a:srgbClr val="EDF5F7"/>
      </a:lt1>
      <a:dk2>
        <a:srgbClr val="676A55"/>
      </a:dk2>
      <a:lt2>
        <a:srgbClr val="EAEBDE"/>
      </a:lt2>
      <a:accent1>
        <a:srgbClr val="E2C5FF"/>
      </a:accent1>
      <a:accent2>
        <a:srgbClr val="B0CCB0"/>
      </a:accent2>
      <a:accent3>
        <a:srgbClr val="A8CDD7"/>
      </a:accent3>
      <a:accent4>
        <a:srgbClr val="C0BEAF"/>
      </a:accent4>
      <a:accent5>
        <a:srgbClr val="CEC597"/>
      </a:accent5>
      <a:accent6>
        <a:srgbClr val="E8B7B7"/>
      </a:accent6>
      <a:hlink>
        <a:srgbClr val="AAC7AC"/>
      </a:hlink>
      <a:folHlink>
        <a:srgbClr val="365339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10"/>
  </sheetPr>
  <dimension ref="A1:J26"/>
  <sheetViews>
    <sheetView showGridLines="0" showRowColHeaders="0" workbookViewId="0">
      <selection activeCell="B15" sqref="B15:H15"/>
    </sheetView>
  </sheetViews>
  <sheetFormatPr baseColWidth="10" defaultRowHeight="12.75"/>
  <sheetData>
    <row r="1" spans="1:10">
      <c r="A1" s="33"/>
      <c r="B1" s="33"/>
      <c r="C1" s="33"/>
      <c r="D1" s="33"/>
      <c r="E1" s="33"/>
      <c r="F1" s="33"/>
      <c r="G1" s="33"/>
      <c r="H1" s="33"/>
      <c r="I1" s="33"/>
      <c r="J1" s="33"/>
    </row>
    <row r="2" spans="1:10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>
      <c r="A3" s="33"/>
      <c r="B3" s="33"/>
      <c r="C3" s="33"/>
      <c r="D3" s="33"/>
      <c r="E3" s="33"/>
      <c r="F3" s="33"/>
      <c r="G3" s="33"/>
      <c r="H3" s="33"/>
      <c r="I3" s="33"/>
      <c r="J3" s="33"/>
    </row>
    <row r="4" spans="1:10">
      <c r="A4" s="33"/>
      <c r="B4" s="33"/>
      <c r="C4" s="33"/>
      <c r="D4" s="33"/>
      <c r="E4" s="33"/>
      <c r="F4" s="33"/>
      <c r="G4" s="33"/>
      <c r="H4" s="33"/>
      <c r="I4" s="33"/>
      <c r="J4" s="33"/>
    </row>
    <row r="5" spans="1:10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0">
      <c r="A6" s="33"/>
      <c r="B6" s="33"/>
      <c r="C6" s="33"/>
      <c r="D6" s="33"/>
      <c r="E6" s="33"/>
      <c r="F6" s="33"/>
      <c r="G6" s="33"/>
      <c r="H6" s="33"/>
      <c r="I6" s="33"/>
      <c r="J6" s="33"/>
    </row>
    <row r="7" spans="1:10">
      <c r="A7" s="33"/>
      <c r="B7" s="33"/>
      <c r="C7" s="33"/>
      <c r="D7" s="33"/>
      <c r="E7" s="33"/>
      <c r="F7" s="33"/>
      <c r="G7" s="33"/>
      <c r="H7" s="33"/>
      <c r="I7" s="33"/>
      <c r="J7" s="33"/>
    </row>
    <row r="8" spans="1:10">
      <c r="A8" s="33"/>
      <c r="B8" s="33"/>
      <c r="C8" s="33"/>
      <c r="D8" s="33"/>
      <c r="E8" s="33"/>
      <c r="F8" s="33"/>
      <c r="G8" s="33"/>
      <c r="H8" s="33"/>
      <c r="I8" s="33"/>
      <c r="J8" s="33"/>
    </row>
    <row r="9" spans="1:10">
      <c r="A9" s="33"/>
      <c r="B9" s="33"/>
      <c r="C9" s="33"/>
      <c r="D9" s="33"/>
      <c r="E9" s="33"/>
      <c r="F9" s="33"/>
      <c r="G9" s="33"/>
      <c r="H9" s="33"/>
      <c r="I9" s="33"/>
      <c r="J9" s="33"/>
    </row>
    <row r="10" spans="1:10">
      <c r="A10" s="33"/>
      <c r="B10" s="33"/>
      <c r="C10" s="33"/>
      <c r="D10" s="33"/>
      <c r="E10" s="33"/>
      <c r="F10" s="33"/>
      <c r="G10" s="33"/>
      <c r="H10" s="33"/>
      <c r="I10" s="33"/>
      <c r="J10" s="33"/>
    </row>
    <row r="11" spans="1:10" ht="18">
      <c r="A11" s="33"/>
      <c r="B11" s="78" t="s">
        <v>595</v>
      </c>
      <c r="C11" s="78"/>
      <c r="D11" s="78"/>
      <c r="E11" s="78"/>
      <c r="F11" s="78"/>
      <c r="G11" s="78"/>
      <c r="H11" s="78"/>
      <c r="I11" s="33"/>
      <c r="J11" s="33"/>
    </row>
    <row r="12" spans="1:10" ht="18">
      <c r="A12" s="33"/>
      <c r="B12" s="78" t="s">
        <v>596</v>
      </c>
      <c r="C12" s="78"/>
      <c r="D12" s="78"/>
      <c r="E12" s="78"/>
      <c r="F12" s="78"/>
      <c r="G12" s="78"/>
      <c r="H12" s="78"/>
      <c r="I12" s="33"/>
      <c r="J12" s="33"/>
    </row>
    <row r="13" spans="1:10" ht="18">
      <c r="A13" s="33"/>
      <c r="B13" s="78" t="s">
        <v>742</v>
      </c>
      <c r="C13" s="78"/>
      <c r="D13" s="78"/>
      <c r="E13" s="78"/>
      <c r="F13" s="78"/>
      <c r="G13" s="78"/>
      <c r="H13" s="78"/>
      <c r="I13" s="33"/>
      <c r="J13" s="33"/>
    </row>
    <row r="14" spans="1:10" ht="18">
      <c r="A14" s="33"/>
      <c r="B14" s="78" t="s">
        <v>823</v>
      </c>
      <c r="C14" s="78"/>
      <c r="D14" s="78"/>
      <c r="E14" s="78"/>
      <c r="F14" s="78"/>
      <c r="G14" s="78"/>
      <c r="H14" s="78"/>
      <c r="I14" s="33"/>
      <c r="J14" s="33"/>
    </row>
    <row r="15" spans="1:10" ht="18">
      <c r="A15" s="34"/>
      <c r="B15" s="78" t="s">
        <v>824</v>
      </c>
      <c r="C15" s="78"/>
      <c r="D15" s="78"/>
      <c r="E15" s="78"/>
      <c r="F15" s="78"/>
      <c r="G15" s="78"/>
      <c r="H15" s="78"/>
      <c r="I15" s="33"/>
      <c r="J15" s="33"/>
    </row>
    <row r="16" spans="1:10" ht="18">
      <c r="A16" s="34"/>
      <c r="B16" s="78" t="s">
        <v>825</v>
      </c>
      <c r="C16" s="78"/>
      <c r="D16" s="78"/>
      <c r="E16" s="78"/>
      <c r="F16" s="78"/>
      <c r="G16" s="78"/>
      <c r="H16" s="78"/>
      <c r="I16" s="33"/>
      <c r="J16" s="33"/>
    </row>
    <row r="17" spans="1:10">
      <c r="A17" s="33"/>
      <c r="B17" s="79"/>
      <c r="C17" s="79"/>
      <c r="D17" s="79"/>
      <c r="E17" s="79"/>
      <c r="F17" s="79"/>
      <c r="G17" s="79"/>
      <c r="H17" s="79"/>
      <c r="I17" s="33"/>
      <c r="J17" s="33"/>
    </row>
    <row r="18" spans="1:10">
      <c r="A18" s="33"/>
      <c r="B18" s="79"/>
      <c r="C18" s="79"/>
      <c r="D18" s="79"/>
      <c r="E18" s="79"/>
      <c r="F18" s="79"/>
      <c r="G18" s="79"/>
      <c r="H18" s="79"/>
      <c r="I18" s="33"/>
      <c r="J18" s="33"/>
    </row>
    <row r="19" spans="1:10">
      <c r="A19" s="33"/>
      <c r="B19" s="79"/>
      <c r="C19" s="79"/>
      <c r="D19" s="79"/>
      <c r="E19" s="79"/>
      <c r="F19" s="79"/>
      <c r="G19" s="79"/>
      <c r="H19" s="79"/>
      <c r="I19" s="33"/>
      <c r="J19" s="33"/>
    </row>
    <row r="20" spans="1:10">
      <c r="A20" s="33"/>
      <c r="B20" s="79"/>
      <c r="C20" s="79"/>
      <c r="D20" s="79"/>
      <c r="E20" s="79"/>
      <c r="F20" s="79"/>
      <c r="G20" s="79"/>
      <c r="H20" s="79"/>
      <c r="I20" s="33"/>
      <c r="J20" s="33"/>
    </row>
    <row r="21" spans="1:10">
      <c r="A21" s="33"/>
      <c r="B21" s="79"/>
      <c r="C21" s="79"/>
      <c r="D21" s="79"/>
      <c r="E21" s="79"/>
      <c r="F21" s="79"/>
      <c r="G21" s="79"/>
      <c r="H21" s="79"/>
      <c r="I21" s="33"/>
      <c r="J21" s="33"/>
    </row>
    <row r="22" spans="1:10">
      <c r="A22" s="33"/>
      <c r="B22" s="79"/>
      <c r="C22" s="79"/>
      <c r="D22" s="79"/>
      <c r="E22" s="79"/>
      <c r="F22" s="79"/>
      <c r="G22" s="79"/>
      <c r="H22" s="79"/>
      <c r="I22" s="33"/>
      <c r="J22" s="33"/>
    </row>
    <row r="23" spans="1:10">
      <c r="A23" s="33"/>
      <c r="B23" s="33"/>
      <c r="C23" s="33"/>
      <c r="D23" s="33"/>
      <c r="E23" s="33"/>
      <c r="F23" s="33"/>
      <c r="G23" s="33"/>
      <c r="H23" s="33"/>
      <c r="I23" s="33"/>
      <c r="J23" s="33"/>
    </row>
    <row r="24" spans="1:10">
      <c r="A24" s="33"/>
      <c r="B24" s="33"/>
      <c r="C24" s="33"/>
      <c r="D24" s="33"/>
      <c r="E24" s="33"/>
      <c r="F24" s="33"/>
      <c r="G24" s="33"/>
      <c r="H24" s="33"/>
      <c r="I24" s="33"/>
      <c r="J24" s="33"/>
    </row>
    <row r="25" spans="1:10">
      <c r="A25" s="33"/>
      <c r="B25" s="33"/>
      <c r="C25" s="33"/>
      <c r="D25" s="33"/>
      <c r="E25" s="33"/>
      <c r="F25" s="33"/>
      <c r="G25" s="33"/>
      <c r="H25" s="33"/>
      <c r="I25" s="33"/>
      <c r="J25" s="33"/>
    </row>
    <row r="26" spans="1:10">
      <c r="A26" s="33"/>
      <c r="B26" s="33"/>
      <c r="C26" s="33"/>
      <c r="D26" s="33"/>
      <c r="E26" s="33"/>
      <c r="F26" s="33"/>
      <c r="G26" s="33"/>
      <c r="H26" s="33"/>
      <c r="I26" s="33"/>
      <c r="J26" s="33"/>
    </row>
  </sheetData>
  <mergeCells count="12">
    <mergeCell ref="B22:H22"/>
    <mergeCell ref="B18:H18"/>
    <mergeCell ref="B19:H19"/>
    <mergeCell ref="B20:H20"/>
    <mergeCell ref="B21:H21"/>
    <mergeCell ref="B14:H14"/>
    <mergeCell ref="B15:H15"/>
    <mergeCell ref="B16:H16"/>
    <mergeCell ref="B17:H17"/>
    <mergeCell ref="B11:H11"/>
    <mergeCell ref="B12:H12"/>
    <mergeCell ref="B13:H13"/>
  </mergeCells>
  <phoneticPr fontId="0" type="noConversion"/>
  <hyperlinks>
    <hyperlink ref="B11:H11" location="CAVE!A1" display="EXERCICE 1 : Cave à vins"/>
    <hyperlink ref="B12:H12" location="USINES!A1" display="EXERCICE 2 : Employés de l'usine"/>
    <hyperlink ref="B13:H13" location="EMPLOYES!A1" display="EXERCICE 4 : Employés"/>
    <hyperlink ref="B14:H14" location="MUSIQUE!A1" display="EXERCICE 5 : MUSIQUE"/>
    <hyperlink ref="B15:H15" location="REPRESENTANTS!A1" display="EXERCICE 6 : REPRESENTANTS"/>
    <hyperlink ref="B16:H16" location="FOURNISSEURS!A1" display="EXERCICE 7 : FOURNISSEURS"/>
  </hyperlinks>
  <pageMargins left="0.78740157499999996" right="0.78740157499999996" top="0.984251969" bottom="0.984251969" header="0.4921259845" footer="0.4921259845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indexed="61"/>
  </sheetPr>
  <dimension ref="A1:I25"/>
  <sheetViews>
    <sheetView showGridLines="0" workbookViewId="0">
      <selection activeCell="C12" sqref="C12"/>
    </sheetView>
  </sheetViews>
  <sheetFormatPr baseColWidth="10" defaultRowHeight="15"/>
  <cols>
    <col min="1" max="1" width="17" style="7" bestFit="1" customWidth="1"/>
    <col min="2" max="2" width="13" style="7" bestFit="1" customWidth="1"/>
    <col min="3" max="3" width="13.28515625" style="7" bestFit="1" customWidth="1"/>
    <col min="4" max="4" width="10.85546875" style="7" bestFit="1" customWidth="1"/>
    <col min="5" max="5" width="12.7109375" style="7" bestFit="1" customWidth="1"/>
    <col min="6" max="7" width="7.85546875" style="7" bestFit="1" customWidth="1"/>
    <col min="8" max="8" width="9.140625" style="7" bestFit="1" customWidth="1"/>
    <col min="9" max="9" width="13.7109375" style="7" bestFit="1" customWidth="1"/>
    <col min="10" max="16384" width="11.42578125" style="7"/>
  </cols>
  <sheetData>
    <row r="1" spans="1:9" ht="20.25">
      <c r="A1" s="80" t="s">
        <v>594</v>
      </c>
      <c r="B1" s="80"/>
      <c r="C1" s="80"/>
      <c r="D1" s="80"/>
      <c r="E1" s="80"/>
    </row>
    <row r="2" spans="1:9" ht="59.25" customHeight="1"/>
    <row r="4" spans="1:9" ht="29.25" customHeight="1">
      <c r="A4" s="12" t="s">
        <v>551</v>
      </c>
      <c r="B4" s="12" t="s">
        <v>552</v>
      </c>
      <c r="C4" s="12" t="s">
        <v>553</v>
      </c>
      <c r="D4" s="12" t="s">
        <v>554</v>
      </c>
      <c r="E4" s="12" t="s">
        <v>555</v>
      </c>
      <c r="F4" s="12" t="s">
        <v>556</v>
      </c>
      <c r="G4" s="13" t="s">
        <v>593</v>
      </c>
      <c r="H4" s="12" t="s">
        <v>557</v>
      </c>
      <c r="I4" s="12" t="s">
        <v>558</v>
      </c>
    </row>
    <row r="5" spans="1:9" s="8" customFormat="1" ht="20.100000000000001" customHeight="1">
      <c r="A5" s="9" t="s">
        <v>559</v>
      </c>
      <c r="B5" s="9" t="s">
        <v>560</v>
      </c>
      <c r="C5" s="9" t="s">
        <v>561</v>
      </c>
      <c r="D5" s="9" t="s">
        <v>562</v>
      </c>
      <c r="E5" s="9">
        <v>1991</v>
      </c>
      <c r="F5" s="9">
        <v>300</v>
      </c>
      <c r="G5" s="9">
        <v>200</v>
      </c>
      <c r="H5" s="10">
        <v>2.0299999999999998</v>
      </c>
      <c r="I5" s="11">
        <f>H5*F5</f>
        <v>608.99999999999989</v>
      </c>
    </row>
    <row r="6" spans="1:9" ht="20.100000000000001" customHeight="1">
      <c r="A6" s="9" t="s">
        <v>563</v>
      </c>
      <c r="B6" s="9" t="s">
        <v>376</v>
      </c>
      <c r="C6" s="9" t="s">
        <v>564</v>
      </c>
      <c r="D6" s="9" t="s">
        <v>562</v>
      </c>
      <c r="E6" s="9">
        <v>1992</v>
      </c>
      <c r="F6" s="9">
        <v>200</v>
      </c>
      <c r="G6" s="9">
        <v>220</v>
      </c>
      <c r="H6" s="10">
        <v>4.2699999999999996</v>
      </c>
      <c r="I6" s="11">
        <f t="shared" ref="I6:I25" si="0">H6*F6</f>
        <v>853.99999999999989</v>
      </c>
    </row>
    <row r="7" spans="1:9" ht="20.100000000000001" customHeight="1">
      <c r="A7" s="9" t="s">
        <v>565</v>
      </c>
      <c r="B7" s="9" t="s">
        <v>376</v>
      </c>
      <c r="C7" s="9" t="s">
        <v>565</v>
      </c>
      <c r="D7" s="9" t="s">
        <v>566</v>
      </c>
      <c r="E7" s="9">
        <v>1993</v>
      </c>
      <c r="F7" s="9">
        <v>260</v>
      </c>
      <c r="G7" s="9">
        <v>200</v>
      </c>
      <c r="H7" s="10">
        <v>2.4500000000000002</v>
      </c>
      <c r="I7" s="11">
        <f t="shared" si="0"/>
        <v>637</v>
      </c>
    </row>
    <row r="8" spans="1:9" ht="20.100000000000001" customHeight="1">
      <c r="A8" s="9" t="s">
        <v>564</v>
      </c>
      <c r="B8" s="9" t="s">
        <v>376</v>
      </c>
      <c r="C8" s="9" t="s">
        <v>564</v>
      </c>
      <c r="D8" s="9" t="s">
        <v>566</v>
      </c>
      <c r="E8" s="9">
        <v>1993</v>
      </c>
      <c r="F8" s="9">
        <v>230</v>
      </c>
      <c r="G8" s="9">
        <v>170</v>
      </c>
      <c r="H8" s="10">
        <v>2.83</v>
      </c>
      <c r="I8" s="11">
        <f t="shared" si="0"/>
        <v>650.9</v>
      </c>
    </row>
    <row r="9" spans="1:9" ht="20.100000000000001" customHeight="1">
      <c r="A9" s="9" t="s">
        <v>567</v>
      </c>
      <c r="B9" s="9" t="s">
        <v>560</v>
      </c>
      <c r="C9" s="9" t="s">
        <v>568</v>
      </c>
      <c r="D9" s="9" t="s">
        <v>562</v>
      </c>
      <c r="E9" s="9">
        <v>1991</v>
      </c>
      <c r="F9" s="9">
        <v>230</v>
      </c>
      <c r="G9" s="9">
        <v>200</v>
      </c>
      <c r="H9" s="10">
        <v>2.5099999999999998</v>
      </c>
      <c r="I9" s="11">
        <f t="shared" si="0"/>
        <v>577.29999999999995</v>
      </c>
    </row>
    <row r="10" spans="1:9" ht="20.100000000000001" customHeight="1">
      <c r="A10" s="9" t="s">
        <v>569</v>
      </c>
      <c r="B10" s="9" t="s">
        <v>376</v>
      </c>
      <c r="C10" s="9" t="s">
        <v>564</v>
      </c>
      <c r="D10" s="9" t="s">
        <v>566</v>
      </c>
      <c r="E10" s="9">
        <v>1992</v>
      </c>
      <c r="F10" s="9">
        <v>230</v>
      </c>
      <c r="G10" s="9">
        <v>150</v>
      </c>
      <c r="H10" s="10">
        <v>3.63</v>
      </c>
      <c r="I10" s="11">
        <f t="shared" si="0"/>
        <v>834.9</v>
      </c>
    </row>
    <row r="11" spans="1:9" ht="20.100000000000001" customHeight="1">
      <c r="A11" s="9" t="s">
        <v>570</v>
      </c>
      <c r="B11" s="9" t="s">
        <v>560</v>
      </c>
      <c r="C11" s="9" t="s">
        <v>568</v>
      </c>
      <c r="D11" s="9" t="s">
        <v>562</v>
      </c>
      <c r="E11" s="9">
        <v>1993</v>
      </c>
      <c r="F11" s="9">
        <v>120</v>
      </c>
      <c r="G11" s="9">
        <v>100</v>
      </c>
      <c r="H11" s="10">
        <v>2.67</v>
      </c>
      <c r="I11" s="11">
        <f t="shared" si="0"/>
        <v>320.39999999999998</v>
      </c>
    </row>
    <row r="12" spans="1:9" ht="20.100000000000001" customHeight="1">
      <c r="A12" s="9" t="s">
        <v>571</v>
      </c>
      <c r="B12" s="9" t="s">
        <v>560</v>
      </c>
      <c r="C12" s="9" t="s">
        <v>572</v>
      </c>
      <c r="D12" s="9" t="s">
        <v>566</v>
      </c>
      <c r="E12" s="9">
        <v>1993</v>
      </c>
      <c r="F12" s="9">
        <v>230</v>
      </c>
      <c r="G12" s="9">
        <v>280</v>
      </c>
      <c r="H12" s="10">
        <v>2.0299999999999998</v>
      </c>
      <c r="I12" s="11">
        <f t="shared" si="0"/>
        <v>466.9</v>
      </c>
    </row>
    <row r="13" spans="1:9" ht="20.100000000000001" customHeight="1">
      <c r="A13" s="9" t="s">
        <v>573</v>
      </c>
      <c r="B13" s="9" t="s">
        <v>560</v>
      </c>
      <c r="C13" s="9" t="s">
        <v>561</v>
      </c>
      <c r="D13" s="9" t="s">
        <v>562</v>
      </c>
      <c r="E13" s="9">
        <v>1993</v>
      </c>
      <c r="F13" s="9">
        <v>120</v>
      </c>
      <c r="G13" s="9">
        <v>100</v>
      </c>
      <c r="H13" s="10">
        <v>2.08</v>
      </c>
      <c r="I13" s="11">
        <f t="shared" si="0"/>
        <v>249.60000000000002</v>
      </c>
    </row>
    <row r="14" spans="1:9" ht="20.100000000000001" customHeight="1">
      <c r="A14" s="9" t="s">
        <v>574</v>
      </c>
      <c r="B14" s="9" t="s">
        <v>560</v>
      </c>
      <c r="C14" s="9" t="s">
        <v>561</v>
      </c>
      <c r="D14" s="9" t="s">
        <v>562</v>
      </c>
      <c r="E14" s="9">
        <v>1993</v>
      </c>
      <c r="F14" s="9">
        <v>230</v>
      </c>
      <c r="G14" s="9">
        <v>250</v>
      </c>
      <c r="H14" s="10">
        <v>2.2400000000000002</v>
      </c>
      <c r="I14" s="11">
        <f t="shared" si="0"/>
        <v>515.20000000000005</v>
      </c>
    </row>
    <row r="15" spans="1:9" ht="20.100000000000001" customHeight="1">
      <c r="A15" s="9" t="s">
        <v>575</v>
      </c>
      <c r="B15" s="9" t="s">
        <v>376</v>
      </c>
      <c r="C15" s="9" t="s">
        <v>575</v>
      </c>
      <c r="D15" s="9" t="s">
        <v>562</v>
      </c>
      <c r="E15" s="9">
        <v>1991</v>
      </c>
      <c r="F15" s="9">
        <v>200</v>
      </c>
      <c r="G15" s="9">
        <v>250</v>
      </c>
      <c r="H15" s="10">
        <v>4.88</v>
      </c>
      <c r="I15" s="11">
        <f t="shared" si="0"/>
        <v>976</v>
      </c>
    </row>
    <row r="16" spans="1:9" ht="20.100000000000001" customHeight="1">
      <c r="A16" s="9" t="s">
        <v>576</v>
      </c>
      <c r="B16" s="9" t="s">
        <v>376</v>
      </c>
      <c r="C16" s="9" t="s">
        <v>565</v>
      </c>
      <c r="D16" s="9" t="s">
        <v>562</v>
      </c>
      <c r="E16" s="9">
        <v>1993</v>
      </c>
      <c r="F16" s="9">
        <v>300</v>
      </c>
      <c r="G16" s="9">
        <v>250</v>
      </c>
      <c r="H16" s="10">
        <v>4.42</v>
      </c>
      <c r="I16" s="11">
        <f t="shared" si="0"/>
        <v>1326</v>
      </c>
    </row>
    <row r="17" spans="1:9" ht="20.100000000000001" customHeight="1">
      <c r="A17" s="9" t="s">
        <v>577</v>
      </c>
      <c r="B17" s="9" t="s">
        <v>578</v>
      </c>
      <c r="C17" s="9" t="s">
        <v>579</v>
      </c>
      <c r="D17" s="9" t="s">
        <v>566</v>
      </c>
      <c r="E17" s="9">
        <v>1991</v>
      </c>
      <c r="F17" s="9">
        <v>340</v>
      </c>
      <c r="G17" s="9">
        <v>300</v>
      </c>
      <c r="H17" s="10">
        <v>3.66</v>
      </c>
      <c r="I17" s="11">
        <f t="shared" si="0"/>
        <v>1244.4000000000001</v>
      </c>
    </row>
    <row r="18" spans="1:9" ht="20.100000000000001" customHeight="1">
      <c r="A18" s="9" t="s">
        <v>580</v>
      </c>
      <c r="B18" s="9" t="s">
        <v>578</v>
      </c>
      <c r="C18" s="9" t="s">
        <v>581</v>
      </c>
      <c r="D18" s="9" t="s">
        <v>566</v>
      </c>
      <c r="E18" s="9">
        <v>1993</v>
      </c>
      <c r="F18" s="9">
        <v>300</v>
      </c>
      <c r="G18" s="9">
        <v>250</v>
      </c>
      <c r="H18" s="10">
        <v>2.67</v>
      </c>
      <c r="I18" s="11">
        <f t="shared" si="0"/>
        <v>801</v>
      </c>
    </row>
    <row r="19" spans="1:9" ht="20.100000000000001" customHeight="1">
      <c r="A19" s="9" t="s">
        <v>582</v>
      </c>
      <c r="B19" s="9" t="s">
        <v>578</v>
      </c>
      <c r="C19" s="9" t="s">
        <v>583</v>
      </c>
      <c r="D19" s="9" t="s">
        <v>562</v>
      </c>
      <c r="E19" s="9">
        <v>1993</v>
      </c>
      <c r="F19" s="9">
        <v>340</v>
      </c>
      <c r="G19" s="9">
        <v>300</v>
      </c>
      <c r="H19" s="10">
        <v>2.13</v>
      </c>
      <c r="I19" s="11">
        <f t="shared" si="0"/>
        <v>724.19999999999993</v>
      </c>
    </row>
    <row r="20" spans="1:9" ht="20.100000000000001" customHeight="1">
      <c r="A20" s="9" t="s">
        <v>584</v>
      </c>
      <c r="B20" s="9" t="s">
        <v>560</v>
      </c>
      <c r="C20" s="9" t="s">
        <v>585</v>
      </c>
      <c r="D20" s="9" t="s">
        <v>586</v>
      </c>
      <c r="E20" s="9">
        <v>1992</v>
      </c>
      <c r="F20" s="9">
        <v>200</v>
      </c>
      <c r="G20" s="9">
        <v>150</v>
      </c>
      <c r="H20" s="10">
        <v>3.15</v>
      </c>
      <c r="I20" s="11">
        <f t="shared" si="0"/>
        <v>630</v>
      </c>
    </row>
    <row r="21" spans="1:9" ht="20.100000000000001" customHeight="1">
      <c r="A21" s="9" t="s">
        <v>587</v>
      </c>
      <c r="B21" s="9" t="s">
        <v>578</v>
      </c>
      <c r="C21" s="9" t="s">
        <v>579</v>
      </c>
      <c r="D21" s="9" t="s">
        <v>566</v>
      </c>
      <c r="E21" s="9">
        <v>1993</v>
      </c>
      <c r="F21" s="9">
        <v>200</v>
      </c>
      <c r="G21" s="9">
        <v>200</v>
      </c>
      <c r="H21" s="10">
        <v>2.9</v>
      </c>
      <c r="I21" s="11">
        <f t="shared" si="0"/>
        <v>580</v>
      </c>
    </row>
    <row r="22" spans="1:9" ht="20.100000000000001" customHeight="1">
      <c r="A22" s="9" t="s">
        <v>588</v>
      </c>
      <c r="B22" s="9" t="s">
        <v>376</v>
      </c>
      <c r="C22" s="9" t="s">
        <v>565</v>
      </c>
      <c r="D22" s="9" t="s">
        <v>566</v>
      </c>
      <c r="E22" s="9">
        <v>1991</v>
      </c>
      <c r="F22" s="9">
        <v>170</v>
      </c>
      <c r="G22" s="9">
        <v>190</v>
      </c>
      <c r="H22" s="10">
        <v>5.34</v>
      </c>
      <c r="I22" s="11">
        <f t="shared" si="0"/>
        <v>907.8</v>
      </c>
    </row>
    <row r="23" spans="1:9" ht="20.100000000000001" customHeight="1">
      <c r="A23" s="9" t="s">
        <v>589</v>
      </c>
      <c r="B23" s="9" t="s">
        <v>578</v>
      </c>
      <c r="C23" s="9" t="s">
        <v>581</v>
      </c>
      <c r="D23" s="9" t="s">
        <v>566</v>
      </c>
      <c r="E23" s="9">
        <v>1993</v>
      </c>
      <c r="F23" s="9">
        <v>230</v>
      </c>
      <c r="G23" s="9">
        <v>200</v>
      </c>
      <c r="H23" s="10">
        <v>1.6</v>
      </c>
      <c r="I23" s="11">
        <f t="shared" si="0"/>
        <v>368</v>
      </c>
    </row>
    <row r="24" spans="1:9" ht="20.100000000000001" customHeight="1">
      <c r="A24" s="9" t="s">
        <v>590</v>
      </c>
      <c r="B24" s="9" t="s">
        <v>560</v>
      </c>
      <c r="C24" s="9" t="s">
        <v>591</v>
      </c>
      <c r="D24" s="9" t="s">
        <v>566</v>
      </c>
      <c r="E24" s="9">
        <v>1993</v>
      </c>
      <c r="F24" s="9">
        <v>170</v>
      </c>
      <c r="G24" s="9">
        <v>200</v>
      </c>
      <c r="H24" s="10">
        <v>2.08</v>
      </c>
      <c r="I24" s="11">
        <f t="shared" si="0"/>
        <v>353.6</v>
      </c>
    </row>
    <row r="25" spans="1:9" ht="20.100000000000001" customHeight="1">
      <c r="A25" s="9" t="s">
        <v>592</v>
      </c>
      <c r="B25" s="9" t="s">
        <v>560</v>
      </c>
      <c r="C25" s="9" t="s">
        <v>591</v>
      </c>
      <c r="D25" s="9" t="s">
        <v>562</v>
      </c>
      <c r="E25" s="9">
        <v>1993</v>
      </c>
      <c r="F25" s="9">
        <v>300</v>
      </c>
      <c r="G25" s="9">
        <v>250</v>
      </c>
      <c r="H25" s="10">
        <v>3.09</v>
      </c>
      <c r="I25" s="11">
        <f t="shared" si="0"/>
        <v>927</v>
      </c>
    </row>
  </sheetData>
  <autoFilter ref="A4:I25"/>
  <mergeCells count="1">
    <mergeCell ref="A1:E1"/>
  </mergeCells>
  <phoneticPr fontId="0" type="noConversion"/>
  <conditionalFormatting sqref="I5:I2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{F7F325DA-230E-4EBA-A007-9976E89CC142}</x14:id>
        </ext>
      </extLst>
    </cfRule>
  </conditionalFormatting>
  <hyperlinks>
    <hyperlink ref="A1:E1" location="SOMMAIRE!A1" display="RETOUR AU SOMMAIRE"/>
  </hyperlinks>
  <pageMargins left="0.78740157499999996" right="0.78740157499999996" top="0.984251969" bottom="0.984251969" header="0.4921259845" footer="0.4921259845"/>
  <headerFooter alignWithMargins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F325DA-230E-4EBA-A007-9976E89CC14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I5:I25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showGridLines="0" workbookViewId="0">
      <selection activeCell="J19" sqref="J19"/>
    </sheetView>
  </sheetViews>
  <sheetFormatPr baseColWidth="10" defaultRowHeight="12.75"/>
  <cols>
    <col min="1" max="1" width="13.140625" customWidth="1"/>
    <col min="2" max="3" width="9.5703125" customWidth="1"/>
    <col min="4" max="4" width="11.5703125" customWidth="1"/>
    <col min="5" max="5" width="11.5703125" bestFit="1" customWidth="1"/>
  </cols>
  <sheetData>
    <row r="1" spans="1:4" ht="48" customHeight="1"/>
    <row r="3" spans="1:4">
      <c r="A3" s="48" t="s">
        <v>843</v>
      </c>
      <c r="B3" s="48" t="s">
        <v>554</v>
      </c>
    </row>
    <row r="4" spans="1:4">
      <c r="A4" s="48" t="s">
        <v>552</v>
      </c>
      <c r="B4" t="s">
        <v>566</v>
      </c>
      <c r="C4" t="s">
        <v>562</v>
      </c>
      <c r="D4" t="s">
        <v>841</v>
      </c>
    </row>
    <row r="5" spans="1:4">
      <c r="A5" t="s">
        <v>578</v>
      </c>
      <c r="B5" s="47">
        <v>1244.4000000000001</v>
      </c>
      <c r="C5" s="47"/>
      <c r="D5" s="47">
        <v>1244.4000000000001</v>
      </c>
    </row>
    <row r="6" spans="1:4">
      <c r="A6" t="s">
        <v>376</v>
      </c>
      <c r="B6" s="47">
        <v>907.8</v>
      </c>
      <c r="C6" s="47">
        <v>976</v>
      </c>
      <c r="D6" s="47">
        <v>1883.8</v>
      </c>
    </row>
    <row r="7" spans="1:4">
      <c r="A7" t="s">
        <v>560</v>
      </c>
      <c r="B7" s="47"/>
      <c r="C7" s="47">
        <v>1186.2999999999997</v>
      </c>
      <c r="D7" s="47">
        <v>1186.2999999999997</v>
      </c>
    </row>
    <row r="8" spans="1:4">
      <c r="A8" t="s">
        <v>841</v>
      </c>
      <c r="B8" s="47">
        <v>2152.1999999999998</v>
      </c>
      <c r="C8" s="47">
        <v>2162.2999999999997</v>
      </c>
      <c r="D8" s="47">
        <v>4314.5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tabColor indexed="46"/>
    <pageSetUpPr fitToPage="1"/>
  </sheetPr>
  <dimension ref="A1:N296"/>
  <sheetViews>
    <sheetView showGridLines="0" workbookViewId="0">
      <selection activeCell="F16" sqref="F16"/>
    </sheetView>
  </sheetViews>
  <sheetFormatPr baseColWidth="10" defaultRowHeight="12.75"/>
  <cols>
    <col min="1" max="1" width="12.85546875" style="1" bestFit="1" customWidth="1"/>
    <col min="2" max="2" width="12.42578125" style="1" bestFit="1" customWidth="1"/>
    <col min="3" max="3" width="5.140625" style="1" customWidth="1"/>
    <col min="4" max="4" width="12.85546875" style="1" customWidth="1"/>
    <col min="5" max="5" width="11.28515625" style="1" bestFit="1" customWidth="1"/>
    <col min="6" max="6" width="9.7109375" style="1" bestFit="1" customWidth="1"/>
    <col min="7" max="7" width="13.42578125" style="1" bestFit="1" customWidth="1"/>
    <col min="8" max="8" width="7.7109375" style="1" bestFit="1" customWidth="1"/>
    <col min="9" max="9" width="12.42578125" style="30" bestFit="1" customWidth="1"/>
    <col min="10" max="10" width="7.140625" style="1" customWidth="1"/>
    <col min="11" max="11" width="9" style="5" bestFit="1" customWidth="1"/>
    <col min="12" max="13" width="11.42578125" style="1"/>
    <col min="14" max="14" width="11.42578125" style="2"/>
    <col min="15" max="16384" width="11.42578125" style="1"/>
  </cols>
  <sheetData>
    <row r="1" spans="1:14" ht="20.25">
      <c r="A1" s="81" t="s">
        <v>594</v>
      </c>
      <c r="B1" s="81"/>
      <c r="C1" s="81"/>
      <c r="D1" s="81"/>
      <c r="E1" s="81"/>
    </row>
    <row r="4" spans="1:14">
      <c r="A4" s="6" t="s">
        <v>539</v>
      </c>
      <c r="B4" s="82" t="s">
        <v>540</v>
      </c>
      <c r="C4" s="82"/>
      <c r="D4" s="82"/>
      <c r="E4" s="82"/>
      <c r="F4" s="82"/>
      <c r="G4" s="82"/>
      <c r="H4" s="82"/>
      <c r="I4" s="83"/>
      <c r="J4" s="82"/>
      <c r="K4" s="82"/>
      <c r="N4" s="1"/>
    </row>
    <row r="5" spans="1:14">
      <c r="A5" s="6" t="s">
        <v>541</v>
      </c>
      <c r="B5" s="82" t="s">
        <v>542</v>
      </c>
      <c r="C5" s="82"/>
      <c r="D5" s="82"/>
      <c r="E5" s="82"/>
      <c r="F5" s="82"/>
      <c r="G5" s="82"/>
      <c r="H5" s="82"/>
      <c r="I5" s="83"/>
      <c r="J5" s="82"/>
      <c r="K5" s="82"/>
      <c r="N5" s="1"/>
    </row>
    <row r="6" spans="1:14">
      <c r="A6" s="6" t="s">
        <v>543</v>
      </c>
      <c r="B6" s="82" t="s">
        <v>544</v>
      </c>
      <c r="C6" s="82"/>
      <c r="D6" s="82"/>
      <c r="E6" s="82"/>
      <c r="F6" s="82"/>
      <c r="G6" s="82"/>
      <c r="H6" s="82"/>
      <c r="I6" s="83"/>
      <c r="J6" s="82"/>
      <c r="K6" s="82"/>
      <c r="N6" s="1"/>
    </row>
    <row r="7" spans="1:14">
      <c r="A7" s="6" t="s">
        <v>545</v>
      </c>
      <c r="B7" s="82" t="s">
        <v>546</v>
      </c>
      <c r="C7" s="82"/>
      <c r="D7" s="82"/>
      <c r="E7" s="82"/>
      <c r="F7" s="82"/>
      <c r="G7" s="82"/>
      <c r="H7" s="82"/>
      <c r="I7" s="83"/>
      <c r="J7" s="82"/>
      <c r="K7" s="82"/>
      <c r="N7" s="1"/>
    </row>
    <row r="8" spans="1:14">
      <c r="A8" s="6" t="s">
        <v>547</v>
      </c>
      <c r="B8" s="82" t="s">
        <v>548</v>
      </c>
      <c r="C8" s="82"/>
      <c r="D8" s="82"/>
      <c r="E8" s="82"/>
      <c r="F8" s="82"/>
      <c r="G8" s="82"/>
      <c r="H8" s="82"/>
      <c r="I8" s="83"/>
      <c r="J8" s="82"/>
      <c r="K8" s="82"/>
      <c r="N8" s="1"/>
    </row>
    <row r="9" spans="1:14">
      <c r="A9" s="6" t="s">
        <v>549</v>
      </c>
      <c r="B9" s="82" t="s">
        <v>550</v>
      </c>
      <c r="C9" s="82"/>
      <c r="D9" s="82"/>
      <c r="E9" s="82"/>
      <c r="F9" s="82"/>
      <c r="G9" s="82"/>
      <c r="H9" s="82"/>
      <c r="I9" s="83"/>
      <c r="J9" s="82"/>
      <c r="K9" s="82"/>
      <c r="N9" s="1"/>
    </row>
    <row r="11" spans="1:14" s="3" customFormat="1" ht="25.5">
      <c r="A11" s="58" t="s">
        <v>0</v>
      </c>
      <c r="B11" s="59" t="s">
        <v>1</v>
      </c>
      <c r="C11" s="60" t="s">
        <v>538</v>
      </c>
      <c r="D11" s="59" t="s">
        <v>2</v>
      </c>
      <c r="E11" s="59" t="s">
        <v>3</v>
      </c>
      <c r="F11" s="59" t="s">
        <v>4</v>
      </c>
      <c r="G11" s="59" t="s">
        <v>5</v>
      </c>
      <c r="H11" s="59" t="s">
        <v>6</v>
      </c>
      <c r="I11" s="61" t="s">
        <v>520</v>
      </c>
      <c r="J11" s="59" t="s">
        <v>7</v>
      </c>
      <c r="K11" s="62" t="s">
        <v>521</v>
      </c>
      <c r="N11" s="4"/>
    </row>
    <row r="12" spans="1:14">
      <c r="A12" s="52" t="s">
        <v>31</v>
      </c>
      <c r="B12" s="53" t="s">
        <v>32</v>
      </c>
      <c r="C12" s="53">
        <v>3098</v>
      </c>
      <c r="D12" s="53" t="s">
        <v>16</v>
      </c>
      <c r="E12" s="53" t="s">
        <v>11</v>
      </c>
      <c r="F12" s="53" t="s">
        <v>33</v>
      </c>
      <c r="G12" s="54">
        <v>27235</v>
      </c>
      <c r="H12" s="53" t="s">
        <v>18</v>
      </c>
      <c r="I12" s="57">
        <v>16863</v>
      </c>
      <c r="J12" s="53">
        <f t="shared" ref="J12:J75" ca="1" si="0">DATEDIF(I12,TODAY(),"y")</f>
        <v>70</v>
      </c>
      <c r="K12" s="56"/>
    </row>
    <row r="13" spans="1:14">
      <c r="A13" s="52" t="s">
        <v>104</v>
      </c>
      <c r="B13" s="53" t="s">
        <v>88</v>
      </c>
      <c r="C13" s="53">
        <v>3650</v>
      </c>
      <c r="D13" s="53" t="s">
        <v>25</v>
      </c>
      <c r="E13" s="53" t="s">
        <v>26</v>
      </c>
      <c r="F13" s="53" t="s">
        <v>53</v>
      </c>
      <c r="G13" s="54">
        <v>18567.61</v>
      </c>
      <c r="H13" s="53" t="s">
        <v>13</v>
      </c>
      <c r="I13" s="55">
        <v>16850</v>
      </c>
      <c r="J13" s="53">
        <f t="shared" ca="1" si="0"/>
        <v>70</v>
      </c>
      <c r="K13" s="56"/>
    </row>
    <row r="14" spans="1:14">
      <c r="A14" s="52" t="s">
        <v>156</v>
      </c>
      <c r="B14" s="53" t="s">
        <v>157</v>
      </c>
      <c r="C14" s="53">
        <v>3247</v>
      </c>
      <c r="D14" s="53" t="s">
        <v>73</v>
      </c>
      <c r="E14" s="53" t="s">
        <v>26</v>
      </c>
      <c r="F14" s="53" t="s">
        <v>41</v>
      </c>
      <c r="G14" s="54">
        <v>20750.740000000002</v>
      </c>
      <c r="H14" s="53" t="s">
        <v>13</v>
      </c>
      <c r="I14" s="57">
        <v>16863</v>
      </c>
      <c r="J14" s="53">
        <f t="shared" ca="1" si="0"/>
        <v>70</v>
      </c>
      <c r="K14" s="56"/>
    </row>
    <row r="15" spans="1:14">
      <c r="A15" s="52" t="s">
        <v>228</v>
      </c>
      <c r="B15" s="53" t="s">
        <v>229</v>
      </c>
      <c r="C15" s="53">
        <v>3819</v>
      </c>
      <c r="D15" s="53" t="s">
        <v>44</v>
      </c>
      <c r="E15" s="53" t="s">
        <v>26</v>
      </c>
      <c r="F15" s="53" t="s">
        <v>92</v>
      </c>
      <c r="G15" s="54">
        <v>14794.54</v>
      </c>
      <c r="H15" s="53" t="s">
        <v>13</v>
      </c>
      <c r="I15" s="55">
        <v>16795</v>
      </c>
      <c r="J15" s="53">
        <f t="shared" ca="1" si="0"/>
        <v>70</v>
      </c>
      <c r="K15" s="56"/>
    </row>
    <row r="16" spans="1:14">
      <c r="A16" s="52" t="s">
        <v>243</v>
      </c>
      <c r="B16" s="53" t="s">
        <v>244</v>
      </c>
      <c r="C16" s="53">
        <v>3983</v>
      </c>
      <c r="D16" s="53" t="s">
        <v>21</v>
      </c>
      <c r="E16" s="53" t="s">
        <v>11</v>
      </c>
      <c r="F16" s="53" t="s">
        <v>245</v>
      </c>
      <c r="G16" s="54">
        <v>6325.15</v>
      </c>
      <c r="H16" s="53" t="s">
        <v>13</v>
      </c>
      <c r="I16" s="57">
        <v>16863</v>
      </c>
      <c r="J16" s="53">
        <f t="shared" ca="1" si="0"/>
        <v>70</v>
      </c>
      <c r="K16" s="56"/>
    </row>
    <row r="17" spans="1:12">
      <c r="A17" s="52" t="s">
        <v>296</v>
      </c>
      <c r="B17" s="53" t="s">
        <v>29</v>
      </c>
      <c r="C17" s="53">
        <v>3143</v>
      </c>
      <c r="D17" s="53" t="s">
        <v>59</v>
      </c>
      <c r="E17" s="53" t="s">
        <v>26</v>
      </c>
      <c r="F17" s="53" t="s">
        <v>36</v>
      </c>
      <c r="G17" s="54">
        <v>10597.31</v>
      </c>
      <c r="H17" s="53" t="s">
        <v>18</v>
      </c>
      <c r="I17" s="55">
        <v>16826</v>
      </c>
      <c r="J17" s="53">
        <f t="shared" ca="1" si="0"/>
        <v>70</v>
      </c>
      <c r="K17" s="56"/>
      <c r="L17" s="31"/>
    </row>
    <row r="18" spans="1:12">
      <c r="A18" s="52" t="s">
        <v>338</v>
      </c>
      <c r="B18" s="53" t="s">
        <v>159</v>
      </c>
      <c r="C18" s="53">
        <v>3104</v>
      </c>
      <c r="D18" s="53" t="s">
        <v>16</v>
      </c>
      <c r="E18" s="53" t="s">
        <v>11</v>
      </c>
      <c r="F18" s="53" t="s">
        <v>339</v>
      </c>
      <c r="G18" s="54">
        <v>20559.25</v>
      </c>
      <c r="H18" s="53" t="s">
        <v>13</v>
      </c>
      <c r="I18" s="57">
        <v>16863</v>
      </c>
      <c r="J18" s="53">
        <f t="shared" ca="1" si="0"/>
        <v>70</v>
      </c>
      <c r="K18" s="56"/>
    </row>
    <row r="19" spans="1:12">
      <c r="A19" s="52" t="s">
        <v>341</v>
      </c>
      <c r="B19" s="53" t="s">
        <v>342</v>
      </c>
      <c r="C19" s="53">
        <v>3105</v>
      </c>
      <c r="D19" s="53" t="s">
        <v>25</v>
      </c>
      <c r="E19" s="53" t="s">
        <v>26</v>
      </c>
      <c r="F19" s="53" t="s">
        <v>45</v>
      </c>
      <c r="G19" s="54">
        <v>15522.69</v>
      </c>
      <c r="H19" s="53" t="s">
        <v>13</v>
      </c>
      <c r="I19" s="55">
        <v>16878</v>
      </c>
      <c r="J19" s="53">
        <f t="shared" ca="1" si="0"/>
        <v>70</v>
      </c>
      <c r="K19" s="56"/>
    </row>
    <row r="20" spans="1:12">
      <c r="A20" s="52" t="s">
        <v>444</v>
      </c>
      <c r="B20" s="53" t="s">
        <v>445</v>
      </c>
      <c r="C20" s="53">
        <v>3079</v>
      </c>
      <c r="D20" s="53" t="s">
        <v>10</v>
      </c>
      <c r="E20" s="53" t="s">
        <v>11</v>
      </c>
      <c r="F20" s="53" t="s">
        <v>107</v>
      </c>
      <c r="G20" s="54">
        <v>16712.830000000002</v>
      </c>
      <c r="H20" s="53" t="s">
        <v>13</v>
      </c>
      <c r="I20" s="57">
        <v>16863</v>
      </c>
      <c r="J20" s="53">
        <f t="shared" ca="1" si="0"/>
        <v>70</v>
      </c>
      <c r="K20" s="56"/>
    </row>
    <row r="21" spans="1:12">
      <c r="A21" s="52" t="s">
        <v>500</v>
      </c>
      <c r="B21" s="53" t="s">
        <v>501</v>
      </c>
      <c r="C21" s="53">
        <v>3864</v>
      </c>
      <c r="D21" s="53" t="s">
        <v>25</v>
      </c>
      <c r="E21" s="53" t="s">
        <v>26</v>
      </c>
      <c r="F21" s="53" t="s">
        <v>199</v>
      </c>
      <c r="G21" s="54">
        <v>7587.38</v>
      </c>
      <c r="H21" s="53" t="s">
        <v>13</v>
      </c>
      <c r="I21" s="55">
        <v>17020</v>
      </c>
      <c r="J21" s="53">
        <f t="shared" ca="1" si="0"/>
        <v>70</v>
      </c>
      <c r="K21" s="56"/>
    </row>
    <row r="22" spans="1:12">
      <c r="A22" s="52" t="s">
        <v>85</v>
      </c>
      <c r="B22" s="53" t="s">
        <v>86</v>
      </c>
      <c r="C22" s="53">
        <v>3287</v>
      </c>
      <c r="D22" s="53" t="s">
        <v>44</v>
      </c>
      <c r="E22" s="53" t="s">
        <v>26</v>
      </c>
      <c r="F22" s="53" t="s">
        <v>12</v>
      </c>
      <c r="G22" s="54">
        <v>13033.62</v>
      </c>
      <c r="H22" s="53" t="s">
        <v>13</v>
      </c>
      <c r="I22" s="57">
        <v>17279</v>
      </c>
      <c r="J22" s="53">
        <f t="shared" ca="1" si="0"/>
        <v>69</v>
      </c>
      <c r="K22" s="56"/>
    </row>
    <row r="23" spans="1:12">
      <c r="A23" s="52" t="s">
        <v>93</v>
      </c>
      <c r="B23" s="53" t="s">
        <v>94</v>
      </c>
      <c r="C23" s="53">
        <v>3012</v>
      </c>
      <c r="D23" s="53" t="s">
        <v>25</v>
      </c>
      <c r="E23" s="53" t="s">
        <v>26</v>
      </c>
      <c r="F23" s="53" t="s">
        <v>95</v>
      </c>
      <c r="G23" s="54">
        <v>11016.74</v>
      </c>
      <c r="H23" s="53" t="s">
        <v>13</v>
      </c>
      <c r="I23" s="55">
        <v>17274</v>
      </c>
      <c r="J23" s="53">
        <f t="shared" ca="1" si="0"/>
        <v>69</v>
      </c>
      <c r="K23" s="56"/>
    </row>
    <row r="24" spans="1:12">
      <c r="A24" s="52" t="s">
        <v>155</v>
      </c>
      <c r="B24" s="53" t="s">
        <v>139</v>
      </c>
      <c r="C24" s="53">
        <v>3062</v>
      </c>
      <c r="D24" s="53" t="s">
        <v>44</v>
      </c>
      <c r="E24" s="53" t="s">
        <v>26</v>
      </c>
      <c r="F24" s="53" t="s">
        <v>154</v>
      </c>
      <c r="G24" s="54">
        <v>12712.16</v>
      </c>
      <c r="H24" s="53" t="s">
        <v>13</v>
      </c>
      <c r="I24" s="57">
        <v>17238</v>
      </c>
      <c r="J24" s="53">
        <f t="shared" ca="1" si="0"/>
        <v>69</v>
      </c>
      <c r="K24" s="56"/>
    </row>
    <row r="25" spans="1:12">
      <c r="A25" s="52" t="s">
        <v>533</v>
      </c>
      <c r="B25" s="53" t="s">
        <v>211</v>
      </c>
      <c r="C25" s="53">
        <v>3259</v>
      </c>
      <c r="D25" s="53" t="s">
        <v>212</v>
      </c>
      <c r="E25" s="53" t="s">
        <v>39</v>
      </c>
      <c r="F25" s="53" t="s">
        <v>213</v>
      </c>
      <c r="G25" s="54">
        <v>12720.76</v>
      </c>
      <c r="H25" s="53" t="s">
        <v>13</v>
      </c>
      <c r="I25" s="55">
        <v>17206</v>
      </c>
      <c r="J25" s="53">
        <f t="shared" ca="1" si="0"/>
        <v>69</v>
      </c>
      <c r="K25" s="56"/>
    </row>
    <row r="26" spans="1:12">
      <c r="A26" s="52" t="s">
        <v>246</v>
      </c>
      <c r="B26" s="53" t="s">
        <v>247</v>
      </c>
      <c r="C26" s="53">
        <v>3118</v>
      </c>
      <c r="D26" s="53" t="s">
        <v>73</v>
      </c>
      <c r="E26" s="53" t="s">
        <v>26</v>
      </c>
      <c r="F26" s="53" t="s">
        <v>248</v>
      </c>
      <c r="G26" s="54">
        <v>13524.85</v>
      </c>
      <c r="H26" s="53" t="s">
        <v>13</v>
      </c>
      <c r="I26" s="55">
        <v>17236</v>
      </c>
      <c r="J26" s="53">
        <f t="shared" ca="1" si="0"/>
        <v>69</v>
      </c>
      <c r="K26" s="56"/>
    </row>
    <row r="27" spans="1:12">
      <c r="A27" s="52" t="s">
        <v>426</v>
      </c>
      <c r="B27" s="53" t="s">
        <v>427</v>
      </c>
      <c r="C27" s="53">
        <v>3139</v>
      </c>
      <c r="D27" s="53" t="s">
        <v>25</v>
      </c>
      <c r="E27" s="53" t="s">
        <v>26</v>
      </c>
      <c r="F27" s="53" t="s">
        <v>248</v>
      </c>
      <c r="G27" s="54">
        <v>13405.46</v>
      </c>
      <c r="H27" s="53" t="s">
        <v>13</v>
      </c>
      <c r="I27" s="55">
        <v>17070</v>
      </c>
      <c r="J27" s="53">
        <f t="shared" ca="1" si="0"/>
        <v>70</v>
      </c>
      <c r="K27" s="56"/>
    </row>
    <row r="28" spans="1:12">
      <c r="A28" s="52" t="s">
        <v>446</v>
      </c>
      <c r="B28" s="53" t="s">
        <v>447</v>
      </c>
      <c r="C28" s="53">
        <v>3629</v>
      </c>
      <c r="D28" s="53" t="s">
        <v>25</v>
      </c>
      <c r="E28" s="53" t="s">
        <v>26</v>
      </c>
      <c r="F28" s="53" t="s">
        <v>33</v>
      </c>
      <c r="G28" s="54">
        <v>17492.509999999998</v>
      </c>
      <c r="H28" s="53" t="s">
        <v>18</v>
      </c>
      <c r="I28" s="55">
        <v>17135</v>
      </c>
      <c r="J28" s="53">
        <f t="shared" ca="1" si="0"/>
        <v>70</v>
      </c>
      <c r="K28" s="56"/>
    </row>
    <row r="29" spans="1:12">
      <c r="A29" s="52" t="s">
        <v>470</v>
      </c>
      <c r="B29" s="53" t="s">
        <v>91</v>
      </c>
      <c r="C29" s="53">
        <v>3031</v>
      </c>
      <c r="D29" s="53" t="s">
        <v>44</v>
      </c>
      <c r="E29" s="53" t="s">
        <v>26</v>
      </c>
      <c r="F29" s="53" t="s">
        <v>471</v>
      </c>
      <c r="G29" s="54">
        <v>15577.86</v>
      </c>
      <c r="H29" s="53" t="s">
        <v>13</v>
      </c>
      <c r="I29" s="55">
        <v>17254</v>
      </c>
      <c r="J29" s="53">
        <f t="shared" ca="1" si="0"/>
        <v>69</v>
      </c>
      <c r="K29" s="56"/>
    </row>
    <row r="30" spans="1:12">
      <c r="A30" s="52" t="s">
        <v>506</v>
      </c>
      <c r="B30" s="53" t="s">
        <v>60</v>
      </c>
      <c r="C30" s="53">
        <v>3081</v>
      </c>
      <c r="D30" s="53" t="s">
        <v>44</v>
      </c>
      <c r="E30" s="53" t="s">
        <v>26</v>
      </c>
      <c r="F30" s="53" t="s">
        <v>36</v>
      </c>
      <c r="G30" s="54">
        <v>10501.25</v>
      </c>
      <c r="H30" s="53" t="s">
        <v>13</v>
      </c>
      <c r="I30" s="57">
        <v>17213</v>
      </c>
      <c r="J30" s="53">
        <f t="shared" ca="1" si="0"/>
        <v>69</v>
      </c>
      <c r="K30" s="56"/>
    </row>
    <row r="31" spans="1:12">
      <c r="A31" s="52" t="s">
        <v>8</v>
      </c>
      <c r="B31" s="53" t="s">
        <v>9</v>
      </c>
      <c r="C31" s="53">
        <v>3091</v>
      </c>
      <c r="D31" s="53" t="s">
        <v>10</v>
      </c>
      <c r="E31" s="53" t="s">
        <v>11</v>
      </c>
      <c r="F31" s="53" t="s">
        <v>12</v>
      </c>
      <c r="G31" s="54">
        <v>13197.46</v>
      </c>
      <c r="H31" s="53" t="s">
        <v>13</v>
      </c>
      <c r="I31" s="55">
        <v>17470</v>
      </c>
      <c r="J31" s="53">
        <f t="shared" ca="1" si="0"/>
        <v>69</v>
      </c>
      <c r="K31" s="56"/>
    </row>
    <row r="32" spans="1:12">
      <c r="A32" s="52" t="s">
        <v>34</v>
      </c>
      <c r="B32" s="53" t="s">
        <v>40</v>
      </c>
      <c r="C32" s="53">
        <v>3132</v>
      </c>
      <c r="D32" s="53" t="s">
        <v>25</v>
      </c>
      <c r="E32" s="53" t="s">
        <v>26</v>
      </c>
      <c r="F32" s="53" t="s">
        <v>41</v>
      </c>
      <c r="G32" s="54">
        <v>20998.11</v>
      </c>
      <c r="H32" s="53" t="s">
        <v>18</v>
      </c>
      <c r="I32" s="57">
        <v>17526</v>
      </c>
      <c r="J32" s="53">
        <f t="shared" ca="1" si="0"/>
        <v>68</v>
      </c>
      <c r="K32" s="56"/>
    </row>
    <row r="33" spans="1:11">
      <c r="A33" s="52" t="s">
        <v>57</v>
      </c>
      <c r="B33" s="53" t="s">
        <v>58</v>
      </c>
      <c r="C33" s="53">
        <v>3725</v>
      </c>
      <c r="D33" s="53" t="s">
        <v>59</v>
      </c>
      <c r="E33" s="53" t="s">
        <v>26</v>
      </c>
      <c r="F33" s="53" t="s">
        <v>12</v>
      </c>
      <c r="G33" s="54">
        <v>13211.56</v>
      </c>
      <c r="H33" s="53" t="s">
        <v>13</v>
      </c>
      <c r="I33" s="57">
        <v>17463</v>
      </c>
      <c r="J33" s="53">
        <f t="shared" ca="1" si="0"/>
        <v>69</v>
      </c>
      <c r="K33" s="56"/>
    </row>
    <row r="34" spans="1:11">
      <c r="A34" s="52" t="s">
        <v>98</v>
      </c>
      <c r="B34" s="53" t="s">
        <v>99</v>
      </c>
      <c r="C34" s="53">
        <v>3733</v>
      </c>
      <c r="D34" s="53" t="s">
        <v>44</v>
      </c>
      <c r="E34" s="53" t="s">
        <v>26</v>
      </c>
      <c r="F34" s="53" t="s">
        <v>89</v>
      </c>
      <c r="G34" s="54">
        <v>11483.7</v>
      </c>
      <c r="H34" s="53" t="s">
        <v>13</v>
      </c>
      <c r="I34" s="57">
        <v>17710</v>
      </c>
      <c r="J34" s="53">
        <f t="shared" ca="1" si="0"/>
        <v>68</v>
      </c>
      <c r="K34" s="56"/>
    </row>
    <row r="35" spans="1:11">
      <c r="A35" s="52" t="s">
        <v>105</v>
      </c>
      <c r="B35" s="53" t="s">
        <v>106</v>
      </c>
      <c r="C35" s="53">
        <v>3089</v>
      </c>
      <c r="D35" s="53" t="s">
        <v>44</v>
      </c>
      <c r="E35" s="53" t="s">
        <v>26</v>
      </c>
      <c r="F35" s="53" t="s">
        <v>107</v>
      </c>
      <c r="G35" s="54">
        <v>16814.810000000001</v>
      </c>
      <c r="H35" s="53" t="s">
        <v>18</v>
      </c>
      <c r="I35" s="55">
        <v>17685</v>
      </c>
      <c r="J35" s="53">
        <f t="shared" ca="1" si="0"/>
        <v>68</v>
      </c>
      <c r="K35" s="56"/>
    </row>
    <row r="36" spans="1:11">
      <c r="A36" s="52" t="s">
        <v>125</v>
      </c>
      <c r="B36" s="53" t="s">
        <v>126</v>
      </c>
      <c r="C36" s="53">
        <v>3801</v>
      </c>
      <c r="D36" s="53" t="s">
        <v>25</v>
      </c>
      <c r="E36" s="53" t="s">
        <v>26</v>
      </c>
      <c r="F36" s="53" t="s">
        <v>65</v>
      </c>
      <c r="G36" s="54">
        <v>23504</v>
      </c>
      <c r="H36" s="53" t="s">
        <v>13</v>
      </c>
      <c r="I36" s="57">
        <v>17741</v>
      </c>
      <c r="J36" s="53">
        <f t="shared" ca="1" si="0"/>
        <v>68</v>
      </c>
      <c r="K36" s="56"/>
    </row>
    <row r="37" spans="1:11">
      <c r="A37" s="52" t="s">
        <v>144</v>
      </c>
      <c r="B37" s="53" t="s">
        <v>145</v>
      </c>
      <c r="C37" s="53">
        <v>3016</v>
      </c>
      <c r="D37" s="53" t="s">
        <v>38</v>
      </c>
      <c r="E37" s="53" t="s">
        <v>39</v>
      </c>
      <c r="F37" s="53" t="s">
        <v>146</v>
      </c>
      <c r="G37" s="54">
        <v>7060.88</v>
      </c>
      <c r="H37" s="53" t="s">
        <v>18</v>
      </c>
      <c r="I37" s="57">
        <v>17615</v>
      </c>
      <c r="J37" s="53">
        <f t="shared" ca="1" si="0"/>
        <v>68</v>
      </c>
      <c r="K37" s="56"/>
    </row>
    <row r="38" spans="1:11">
      <c r="A38" s="52" t="s">
        <v>179</v>
      </c>
      <c r="B38" s="53" t="s">
        <v>180</v>
      </c>
      <c r="C38" s="53">
        <v>3946</v>
      </c>
      <c r="D38" s="53" t="s">
        <v>10</v>
      </c>
      <c r="E38" s="53" t="s">
        <v>11</v>
      </c>
      <c r="F38" s="53" t="s">
        <v>53</v>
      </c>
      <c r="G38" s="54">
        <v>18745.23</v>
      </c>
      <c r="H38" s="53" t="s">
        <v>18</v>
      </c>
      <c r="I38" s="57">
        <v>17615</v>
      </c>
      <c r="J38" s="53">
        <f t="shared" ca="1" si="0"/>
        <v>68</v>
      </c>
      <c r="K38" s="56"/>
    </row>
    <row r="39" spans="1:11">
      <c r="A39" s="52" t="s">
        <v>222</v>
      </c>
      <c r="B39" s="53" t="s">
        <v>223</v>
      </c>
      <c r="C39" s="53">
        <v>3075</v>
      </c>
      <c r="D39" s="53" t="s">
        <v>73</v>
      </c>
      <c r="E39" s="53" t="s">
        <v>26</v>
      </c>
      <c r="F39" s="53" t="s">
        <v>224</v>
      </c>
      <c r="G39" s="54">
        <v>13755.92</v>
      </c>
      <c r="H39" s="53" t="s">
        <v>13</v>
      </c>
      <c r="I39" s="57">
        <v>17436</v>
      </c>
      <c r="J39" s="53">
        <f t="shared" ca="1" si="0"/>
        <v>69</v>
      </c>
      <c r="K39" s="56"/>
    </row>
    <row r="40" spans="1:11">
      <c r="A40" s="52" t="s">
        <v>225</v>
      </c>
      <c r="B40" s="53" t="s">
        <v>447</v>
      </c>
      <c r="C40" s="53">
        <v>3667</v>
      </c>
      <c r="D40" s="53" t="s">
        <v>25</v>
      </c>
      <c r="E40" s="53" t="s">
        <v>26</v>
      </c>
      <c r="F40" s="53" t="s">
        <v>227</v>
      </c>
      <c r="G40" s="54">
        <v>10088.36</v>
      </c>
      <c r="H40" s="53" t="s">
        <v>18</v>
      </c>
      <c r="I40" s="57">
        <v>17453</v>
      </c>
      <c r="J40" s="53">
        <f t="shared" ca="1" si="0"/>
        <v>69</v>
      </c>
      <c r="K40" s="56"/>
    </row>
    <row r="41" spans="1:11">
      <c r="A41" s="52" t="s">
        <v>240</v>
      </c>
      <c r="B41" s="53" t="s">
        <v>241</v>
      </c>
      <c r="C41" s="53">
        <v>3417</v>
      </c>
      <c r="D41" s="53" t="s">
        <v>16</v>
      </c>
      <c r="E41" s="53" t="s">
        <v>11</v>
      </c>
      <c r="F41" s="53" t="s">
        <v>242</v>
      </c>
      <c r="G41" s="54">
        <v>11356.82</v>
      </c>
      <c r="H41" s="53" t="s">
        <v>13</v>
      </c>
      <c r="I41" s="55">
        <v>17452</v>
      </c>
      <c r="J41" s="53">
        <f t="shared" ca="1" si="0"/>
        <v>69</v>
      </c>
      <c r="K41" s="56"/>
    </row>
    <row r="42" spans="1:11">
      <c r="A42" s="52" t="s">
        <v>249</v>
      </c>
      <c r="B42" s="53" t="s">
        <v>143</v>
      </c>
      <c r="C42" s="53">
        <v>3157</v>
      </c>
      <c r="D42" s="53" t="s">
        <v>10</v>
      </c>
      <c r="E42" s="53" t="s">
        <v>26</v>
      </c>
      <c r="F42" s="53" t="s">
        <v>250</v>
      </c>
      <c r="G42" s="54">
        <v>7516.32</v>
      </c>
      <c r="H42" s="53" t="s">
        <v>13</v>
      </c>
      <c r="I42" s="55">
        <v>17554</v>
      </c>
      <c r="J42" s="53">
        <f t="shared" ca="1" si="0"/>
        <v>68</v>
      </c>
      <c r="K42" s="56"/>
    </row>
    <row r="43" spans="1:11">
      <c r="A43" s="52" t="s">
        <v>309</v>
      </c>
      <c r="B43" s="53" t="s">
        <v>24</v>
      </c>
      <c r="C43" s="53">
        <v>3991</v>
      </c>
      <c r="D43" s="53" t="s">
        <v>44</v>
      </c>
      <c r="E43" s="53" t="s">
        <v>26</v>
      </c>
      <c r="F43" s="53" t="s">
        <v>310</v>
      </c>
      <c r="G43" s="54">
        <v>8940.91</v>
      </c>
      <c r="H43" s="53" t="s">
        <v>13</v>
      </c>
      <c r="I43" s="57">
        <v>17615</v>
      </c>
      <c r="J43" s="53">
        <f t="shared" ca="1" si="0"/>
        <v>68</v>
      </c>
      <c r="K43" s="56"/>
    </row>
    <row r="44" spans="1:11">
      <c r="A44" s="52" t="s">
        <v>335</v>
      </c>
      <c r="B44" s="53" t="s">
        <v>159</v>
      </c>
      <c r="C44" s="53">
        <v>3733</v>
      </c>
      <c r="D44" s="53" t="s">
        <v>16</v>
      </c>
      <c r="E44" s="53" t="s">
        <v>11</v>
      </c>
      <c r="F44" s="53" t="s">
        <v>336</v>
      </c>
      <c r="G44" s="54">
        <v>12040.29</v>
      </c>
      <c r="H44" s="53" t="s">
        <v>13</v>
      </c>
      <c r="I44" s="57">
        <v>17615</v>
      </c>
      <c r="J44" s="53">
        <f t="shared" ca="1" si="0"/>
        <v>68</v>
      </c>
      <c r="K44" s="56"/>
    </row>
    <row r="45" spans="1:11">
      <c r="A45" s="52" t="s">
        <v>359</v>
      </c>
      <c r="B45" s="53" t="s">
        <v>360</v>
      </c>
      <c r="C45" s="53">
        <v>3135</v>
      </c>
      <c r="D45" s="53" t="s">
        <v>49</v>
      </c>
      <c r="E45" s="53" t="s">
        <v>11</v>
      </c>
      <c r="F45" s="53" t="s">
        <v>162</v>
      </c>
      <c r="G45" s="54">
        <v>19057.96</v>
      </c>
      <c r="H45" s="53" t="s">
        <v>13</v>
      </c>
      <c r="I45" s="57">
        <v>17615</v>
      </c>
      <c r="J45" s="53">
        <f t="shared" ca="1" si="0"/>
        <v>68</v>
      </c>
      <c r="K45" s="56"/>
    </row>
    <row r="46" spans="1:11">
      <c r="A46" s="52" t="s">
        <v>374</v>
      </c>
      <c r="B46" s="53" t="s">
        <v>378</v>
      </c>
      <c r="C46" s="53">
        <v>3943</v>
      </c>
      <c r="D46" s="53" t="s">
        <v>73</v>
      </c>
      <c r="E46" s="53" t="s">
        <v>26</v>
      </c>
      <c r="F46" s="53" t="s">
        <v>379</v>
      </c>
      <c r="G46" s="54">
        <v>12769.41</v>
      </c>
      <c r="H46" s="53" t="s">
        <v>13</v>
      </c>
      <c r="I46" s="57">
        <v>17697</v>
      </c>
      <c r="J46" s="53">
        <f t="shared" ca="1" si="0"/>
        <v>68</v>
      </c>
      <c r="K46" s="56"/>
    </row>
    <row r="47" spans="1:11">
      <c r="A47" s="52" t="s">
        <v>382</v>
      </c>
      <c r="B47" s="53" t="s">
        <v>383</v>
      </c>
      <c r="C47" s="53">
        <v>3117</v>
      </c>
      <c r="D47" s="53" t="s">
        <v>73</v>
      </c>
      <c r="E47" s="53" t="s">
        <v>26</v>
      </c>
      <c r="F47" s="53" t="s">
        <v>41</v>
      </c>
      <c r="G47" s="54">
        <v>20701.900000000001</v>
      </c>
      <c r="H47" s="53" t="s">
        <v>13</v>
      </c>
      <c r="I47" s="57">
        <v>17460</v>
      </c>
      <c r="J47" s="53">
        <f t="shared" ca="1" si="0"/>
        <v>69</v>
      </c>
      <c r="K47" s="56"/>
    </row>
    <row r="48" spans="1:11">
      <c r="A48" s="52" t="s">
        <v>384</v>
      </c>
      <c r="B48" s="53" t="s">
        <v>378</v>
      </c>
      <c r="C48" s="53">
        <v>3057</v>
      </c>
      <c r="D48" s="53" t="s">
        <v>73</v>
      </c>
      <c r="E48" s="53" t="s">
        <v>26</v>
      </c>
      <c r="F48" s="53" t="s">
        <v>171</v>
      </c>
      <c r="G48" s="54">
        <v>6571.47</v>
      </c>
      <c r="H48" s="53" t="s">
        <v>13</v>
      </c>
      <c r="I48" s="55">
        <v>17496</v>
      </c>
      <c r="J48" s="53">
        <f t="shared" ca="1" si="0"/>
        <v>69</v>
      </c>
      <c r="K48" s="56"/>
    </row>
    <row r="49" spans="1:11">
      <c r="A49" s="52" t="s">
        <v>450</v>
      </c>
      <c r="B49" s="53" t="s">
        <v>451</v>
      </c>
      <c r="C49" s="53">
        <v>3916</v>
      </c>
      <c r="D49" s="53" t="s">
        <v>49</v>
      </c>
      <c r="E49" s="53" t="s">
        <v>11</v>
      </c>
      <c r="F49" s="53" t="s">
        <v>250</v>
      </c>
      <c r="G49" s="54">
        <v>7451.7</v>
      </c>
      <c r="H49" s="53" t="s">
        <v>18</v>
      </c>
      <c r="I49" s="55">
        <v>17624</v>
      </c>
      <c r="J49" s="53">
        <f t="shared" ca="1" si="0"/>
        <v>68</v>
      </c>
      <c r="K49" s="56"/>
    </row>
    <row r="50" spans="1:11">
      <c r="A50" s="52" t="s">
        <v>462</v>
      </c>
      <c r="B50" s="53" t="s">
        <v>408</v>
      </c>
      <c r="C50" s="53">
        <v>3025</v>
      </c>
      <c r="D50" s="53" t="s">
        <v>136</v>
      </c>
      <c r="E50" s="53" t="s">
        <v>11</v>
      </c>
      <c r="F50" s="53" t="s">
        <v>89</v>
      </c>
      <c r="G50" s="54">
        <v>11512.82</v>
      </c>
      <c r="H50" s="53" t="s">
        <v>13</v>
      </c>
      <c r="I50" s="57">
        <v>17610</v>
      </c>
      <c r="J50" s="53">
        <f t="shared" ca="1" si="0"/>
        <v>68</v>
      </c>
      <c r="K50" s="56"/>
    </row>
    <row r="51" spans="1:11">
      <c r="A51" s="52" t="s">
        <v>467</v>
      </c>
      <c r="B51" s="53" t="s">
        <v>84</v>
      </c>
      <c r="C51" s="53">
        <v>3963</v>
      </c>
      <c r="D51" s="53" t="s">
        <v>49</v>
      </c>
      <c r="E51" s="53" t="s">
        <v>11</v>
      </c>
      <c r="F51" s="53" t="s">
        <v>185</v>
      </c>
      <c r="G51" s="54">
        <v>6935.24</v>
      </c>
      <c r="H51" s="53" t="s">
        <v>18</v>
      </c>
      <c r="I51" s="57">
        <v>17468</v>
      </c>
      <c r="J51" s="53">
        <f t="shared" ca="1" si="0"/>
        <v>69</v>
      </c>
      <c r="K51" s="56"/>
    </row>
    <row r="52" spans="1:11">
      <c r="A52" s="52" t="s">
        <v>494</v>
      </c>
      <c r="B52" s="53" t="s">
        <v>495</v>
      </c>
      <c r="C52" s="53">
        <v>3641</v>
      </c>
      <c r="D52" s="53" t="s">
        <v>49</v>
      </c>
      <c r="E52" s="53" t="s">
        <v>11</v>
      </c>
      <c r="F52" s="53" t="s">
        <v>496</v>
      </c>
      <c r="G52" s="54">
        <v>9252.8799999999992</v>
      </c>
      <c r="H52" s="53" t="s">
        <v>13</v>
      </c>
      <c r="I52" s="55">
        <v>17769</v>
      </c>
      <c r="J52" s="53">
        <f t="shared" ca="1" si="0"/>
        <v>68</v>
      </c>
      <c r="K52" s="56"/>
    </row>
    <row r="53" spans="1:11">
      <c r="A53" s="52" t="s">
        <v>509</v>
      </c>
      <c r="B53" s="53" t="s">
        <v>510</v>
      </c>
      <c r="C53" s="53">
        <v>3559</v>
      </c>
      <c r="D53" s="53" t="s">
        <v>10</v>
      </c>
      <c r="E53" s="53" t="s">
        <v>26</v>
      </c>
      <c r="F53" s="53" t="s">
        <v>162</v>
      </c>
      <c r="G53" s="54">
        <v>19521.53</v>
      </c>
      <c r="H53" s="53" t="s">
        <v>13</v>
      </c>
      <c r="I53" s="57">
        <v>17615</v>
      </c>
      <c r="J53" s="53">
        <f t="shared" ca="1" si="0"/>
        <v>68</v>
      </c>
      <c r="K53" s="56"/>
    </row>
    <row r="54" spans="1:11">
      <c r="A54" s="52" t="s">
        <v>512</v>
      </c>
      <c r="B54" s="53" t="s">
        <v>513</v>
      </c>
      <c r="C54" s="53">
        <v>3096</v>
      </c>
      <c r="D54" s="53" t="s">
        <v>44</v>
      </c>
      <c r="E54" s="53" t="s">
        <v>26</v>
      </c>
      <c r="F54" s="53" t="s">
        <v>514</v>
      </c>
      <c r="G54" s="54">
        <v>9091.08</v>
      </c>
      <c r="H54" s="53" t="s">
        <v>13</v>
      </c>
      <c r="I54" s="57">
        <v>17615</v>
      </c>
      <c r="J54" s="53">
        <f t="shared" ca="1" si="0"/>
        <v>68</v>
      </c>
      <c r="K54" s="56"/>
    </row>
    <row r="55" spans="1:11">
      <c r="A55" s="52" t="s">
        <v>525</v>
      </c>
      <c r="B55" s="53" t="s">
        <v>82</v>
      </c>
      <c r="C55" s="53">
        <v>3590</v>
      </c>
      <c r="D55" s="53" t="s">
        <v>25</v>
      </c>
      <c r="E55" s="53" t="s">
        <v>26</v>
      </c>
      <c r="F55" s="53" t="s">
        <v>41</v>
      </c>
      <c r="G55" s="54">
        <v>20843.810000000001</v>
      </c>
      <c r="H55" s="53" t="s">
        <v>13</v>
      </c>
      <c r="I55" s="55">
        <v>18030</v>
      </c>
      <c r="J55" s="53">
        <f t="shared" ca="1" si="0"/>
        <v>67</v>
      </c>
      <c r="K55" s="56"/>
    </row>
    <row r="56" spans="1:11">
      <c r="A56" s="52" t="s">
        <v>142</v>
      </c>
      <c r="B56" s="53" t="s">
        <v>143</v>
      </c>
      <c r="C56" s="53">
        <v>3162</v>
      </c>
      <c r="D56" s="53" t="s">
        <v>25</v>
      </c>
      <c r="E56" s="53" t="s">
        <v>26</v>
      </c>
      <c r="F56" s="53" t="s">
        <v>92</v>
      </c>
      <c r="G56" s="54">
        <v>14258.45</v>
      </c>
      <c r="H56" s="53" t="s">
        <v>18</v>
      </c>
      <c r="I56" s="57">
        <v>18134</v>
      </c>
      <c r="J56" s="53">
        <f t="shared" ca="1" si="0"/>
        <v>67</v>
      </c>
      <c r="K56" s="56"/>
    </row>
    <row r="57" spans="1:11">
      <c r="A57" s="52" t="s">
        <v>190</v>
      </c>
      <c r="B57" s="53" t="s">
        <v>141</v>
      </c>
      <c r="C57" s="53">
        <v>3082</v>
      </c>
      <c r="D57" s="53" t="s">
        <v>25</v>
      </c>
      <c r="E57" s="53" t="s">
        <v>26</v>
      </c>
      <c r="F57" s="53" t="s">
        <v>175</v>
      </c>
      <c r="G57" s="54">
        <v>20081.28</v>
      </c>
      <c r="H57" s="53" t="s">
        <v>13</v>
      </c>
      <c r="I57" s="55">
        <v>17806</v>
      </c>
      <c r="J57" s="53">
        <f t="shared" ca="1" si="0"/>
        <v>68</v>
      </c>
      <c r="K57" s="56"/>
    </row>
    <row r="58" spans="1:11">
      <c r="A58" s="52" t="s">
        <v>193</v>
      </c>
      <c r="B58" s="53" t="s">
        <v>194</v>
      </c>
      <c r="C58" s="53">
        <v>3005</v>
      </c>
      <c r="D58" s="53" t="s">
        <v>21</v>
      </c>
      <c r="E58" s="53" t="s">
        <v>11</v>
      </c>
      <c r="F58" s="53" t="s">
        <v>17</v>
      </c>
      <c r="G58" s="54">
        <v>16406.46</v>
      </c>
      <c r="H58" s="53" t="s">
        <v>13</v>
      </c>
      <c r="I58" s="55">
        <v>18045</v>
      </c>
      <c r="J58" s="53">
        <f t="shared" ca="1" si="0"/>
        <v>67</v>
      </c>
      <c r="K58" s="56"/>
    </row>
    <row r="59" spans="1:11">
      <c r="A59" s="52" t="s">
        <v>295</v>
      </c>
      <c r="B59" s="53" t="s">
        <v>60</v>
      </c>
      <c r="C59" s="53">
        <v>3874</v>
      </c>
      <c r="D59" s="53" t="s">
        <v>16</v>
      </c>
      <c r="E59" s="53" t="s">
        <v>11</v>
      </c>
      <c r="F59" s="53" t="s">
        <v>107</v>
      </c>
      <c r="G59" s="54">
        <v>16821.009999999998</v>
      </c>
      <c r="H59" s="53" t="s">
        <v>13</v>
      </c>
      <c r="I59" s="55">
        <v>18095</v>
      </c>
      <c r="J59" s="53">
        <f t="shared" ca="1" si="0"/>
        <v>67</v>
      </c>
      <c r="K59" s="56"/>
    </row>
    <row r="60" spans="1:11">
      <c r="A60" s="52" t="s">
        <v>308</v>
      </c>
      <c r="B60" s="53" t="s">
        <v>43</v>
      </c>
      <c r="C60" s="53">
        <v>3998</v>
      </c>
      <c r="D60" s="53" t="s">
        <v>25</v>
      </c>
      <c r="E60" s="53" t="s">
        <v>26</v>
      </c>
      <c r="F60" s="53" t="s">
        <v>45</v>
      </c>
      <c r="G60" s="54">
        <v>15553.04</v>
      </c>
      <c r="H60" s="53" t="s">
        <v>18</v>
      </c>
      <c r="I60" s="57">
        <v>17856</v>
      </c>
      <c r="J60" s="53">
        <f t="shared" ca="1" si="0"/>
        <v>68</v>
      </c>
      <c r="K60" s="56"/>
    </row>
    <row r="61" spans="1:11">
      <c r="A61" s="52" t="s">
        <v>311</v>
      </c>
      <c r="B61" s="53" t="s">
        <v>312</v>
      </c>
      <c r="C61" s="53">
        <v>3685</v>
      </c>
      <c r="D61" s="53" t="s">
        <v>44</v>
      </c>
      <c r="E61" s="53" t="s">
        <v>26</v>
      </c>
      <c r="F61" s="53" t="s">
        <v>107</v>
      </c>
      <c r="G61" s="54">
        <v>16872.68</v>
      </c>
      <c r="H61" s="53" t="s">
        <v>13</v>
      </c>
      <c r="I61" s="55">
        <v>17985</v>
      </c>
      <c r="J61" s="53">
        <f t="shared" ca="1" si="0"/>
        <v>67</v>
      </c>
      <c r="K61" s="56"/>
    </row>
    <row r="62" spans="1:11">
      <c r="A62" s="52" t="s">
        <v>403</v>
      </c>
      <c r="B62" s="53" t="s">
        <v>166</v>
      </c>
      <c r="C62" s="53">
        <v>3644</v>
      </c>
      <c r="D62" s="53" t="s">
        <v>44</v>
      </c>
      <c r="E62" s="53" t="s">
        <v>26</v>
      </c>
      <c r="F62" s="53" t="s">
        <v>187</v>
      </c>
      <c r="G62" s="54">
        <v>8322.5400000000009</v>
      </c>
      <c r="H62" s="53" t="s">
        <v>13</v>
      </c>
      <c r="I62" s="57">
        <v>17876</v>
      </c>
      <c r="J62" s="53">
        <f t="shared" ca="1" si="0"/>
        <v>67</v>
      </c>
      <c r="K62" s="56"/>
    </row>
    <row r="63" spans="1:11">
      <c r="A63" s="52" t="s">
        <v>420</v>
      </c>
      <c r="B63" s="53" t="s">
        <v>377</v>
      </c>
      <c r="C63" s="53">
        <v>3142</v>
      </c>
      <c r="D63" s="53" t="s">
        <v>25</v>
      </c>
      <c r="E63" s="53" t="s">
        <v>26</v>
      </c>
      <c r="F63" s="53" t="s">
        <v>205</v>
      </c>
      <c r="G63" s="54">
        <v>7939.64</v>
      </c>
      <c r="H63" s="53" t="s">
        <v>18</v>
      </c>
      <c r="I63" s="57">
        <v>18083</v>
      </c>
      <c r="J63" s="53">
        <f t="shared" ca="1" si="0"/>
        <v>67</v>
      </c>
      <c r="K63" s="56"/>
    </row>
    <row r="64" spans="1:11">
      <c r="A64" s="52" t="s">
        <v>424</v>
      </c>
      <c r="B64" s="53" t="s">
        <v>265</v>
      </c>
      <c r="C64" s="53">
        <v>3733</v>
      </c>
      <c r="D64" s="53" t="s">
        <v>44</v>
      </c>
      <c r="E64" s="53" t="s">
        <v>26</v>
      </c>
      <c r="F64" s="53" t="s">
        <v>79</v>
      </c>
      <c r="G64" s="54">
        <v>9660.0300000000007</v>
      </c>
      <c r="H64" s="53" t="s">
        <v>18</v>
      </c>
      <c r="I64" s="55">
        <v>17958</v>
      </c>
      <c r="J64" s="53">
        <f t="shared" ca="1" si="0"/>
        <v>67</v>
      </c>
      <c r="K64" s="56"/>
    </row>
    <row r="65" spans="1:11">
      <c r="A65" s="52" t="s">
        <v>436</v>
      </c>
      <c r="B65" s="53" t="s">
        <v>161</v>
      </c>
      <c r="C65" s="53">
        <v>3092</v>
      </c>
      <c r="D65" s="53" t="s">
        <v>38</v>
      </c>
      <c r="E65" s="53" t="s">
        <v>39</v>
      </c>
      <c r="F65" s="53" t="s">
        <v>77</v>
      </c>
      <c r="G65" s="54">
        <v>8435.25</v>
      </c>
      <c r="H65" s="53" t="s">
        <v>18</v>
      </c>
      <c r="I65" s="55">
        <v>17899</v>
      </c>
      <c r="J65" s="53">
        <f t="shared" ca="1" si="0"/>
        <v>67</v>
      </c>
      <c r="K65" s="56"/>
    </row>
    <row r="66" spans="1:11">
      <c r="A66" s="52" t="s">
        <v>515</v>
      </c>
      <c r="B66" s="53" t="s">
        <v>413</v>
      </c>
      <c r="C66" s="53">
        <v>3703</v>
      </c>
      <c r="D66" s="53" t="s">
        <v>21</v>
      </c>
      <c r="E66" s="53" t="s">
        <v>11</v>
      </c>
      <c r="F66" s="53" t="s">
        <v>353</v>
      </c>
      <c r="G66" s="54">
        <v>10962.94</v>
      </c>
      <c r="H66" s="53" t="s">
        <v>18</v>
      </c>
      <c r="I66" s="55">
        <v>18044</v>
      </c>
      <c r="J66" s="53">
        <f t="shared" ca="1" si="0"/>
        <v>67</v>
      </c>
      <c r="K66" s="56"/>
    </row>
    <row r="67" spans="1:11">
      <c r="A67" s="52" t="s">
        <v>83</v>
      </c>
      <c r="B67" s="53" t="s">
        <v>84</v>
      </c>
      <c r="C67" s="53">
        <v>3636</v>
      </c>
      <c r="D67" s="53" t="s">
        <v>16</v>
      </c>
      <c r="E67" s="53" t="s">
        <v>11</v>
      </c>
      <c r="F67" s="53" t="s">
        <v>22</v>
      </c>
      <c r="G67" s="54">
        <v>15882.28</v>
      </c>
      <c r="H67" s="53" t="s">
        <v>18</v>
      </c>
      <c r="I67" s="55">
        <v>18504</v>
      </c>
      <c r="J67" s="53">
        <f t="shared" ca="1" si="0"/>
        <v>66</v>
      </c>
      <c r="K67" s="56"/>
    </row>
    <row r="68" spans="1:11">
      <c r="A68" s="52" t="s">
        <v>90</v>
      </c>
      <c r="B68" s="53" t="s">
        <v>91</v>
      </c>
      <c r="C68" s="53">
        <v>3710</v>
      </c>
      <c r="D68" s="53" t="s">
        <v>44</v>
      </c>
      <c r="E68" s="53" t="s">
        <v>26</v>
      </c>
      <c r="F68" s="53" t="s">
        <v>92</v>
      </c>
      <c r="G68" s="54">
        <v>14652.57</v>
      </c>
      <c r="H68" s="53" t="s">
        <v>13</v>
      </c>
      <c r="I68" s="57">
        <v>18353</v>
      </c>
      <c r="J68" s="53">
        <f t="shared" ca="1" si="0"/>
        <v>66</v>
      </c>
      <c r="K68" s="56"/>
    </row>
    <row r="69" spans="1:11">
      <c r="A69" s="52" t="s">
        <v>100</v>
      </c>
      <c r="B69" s="53" t="s">
        <v>102</v>
      </c>
      <c r="C69" s="53">
        <v>3703</v>
      </c>
      <c r="D69" s="53" t="s">
        <v>25</v>
      </c>
      <c r="E69" s="53" t="s">
        <v>26</v>
      </c>
      <c r="F69" s="53" t="s">
        <v>103</v>
      </c>
      <c r="G69" s="54">
        <v>12821.88</v>
      </c>
      <c r="H69" s="53" t="s">
        <v>18</v>
      </c>
      <c r="I69" s="55">
        <v>18498</v>
      </c>
      <c r="J69" s="53">
        <f t="shared" ca="1" si="0"/>
        <v>66</v>
      </c>
      <c r="K69" s="56"/>
    </row>
    <row r="70" spans="1:11">
      <c r="A70" s="52" t="s">
        <v>138</v>
      </c>
      <c r="B70" s="53" t="s">
        <v>139</v>
      </c>
      <c r="C70" s="53">
        <v>3021</v>
      </c>
      <c r="D70" s="53" t="s">
        <v>44</v>
      </c>
      <c r="E70" s="53" t="s">
        <v>26</v>
      </c>
      <c r="F70" s="53" t="s">
        <v>22</v>
      </c>
      <c r="G70" s="54">
        <v>15858.29</v>
      </c>
      <c r="H70" s="53" t="s">
        <v>13</v>
      </c>
      <c r="I70" s="55">
        <v>18285</v>
      </c>
      <c r="J70" s="53">
        <f t="shared" ca="1" si="0"/>
        <v>66</v>
      </c>
      <c r="K70" s="56"/>
    </row>
    <row r="71" spans="1:11">
      <c r="A71" s="52" t="s">
        <v>202</v>
      </c>
      <c r="B71" s="53" t="s">
        <v>84</v>
      </c>
      <c r="C71" s="53">
        <v>3068</v>
      </c>
      <c r="D71" s="53" t="s">
        <v>10</v>
      </c>
      <c r="E71" s="53" t="s">
        <v>11</v>
      </c>
      <c r="F71" s="53" t="s">
        <v>175</v>
      </c>
      <c r="G71" s="54">
        <v>19994.91</v>
      </c>
      <c r="H71" s="53" t="s">
        <v>18</v>
      </c>
      <c r="I71" s="55">
        <v>18508</v>
      </c>
      <c r="J71" s="53">
        <f t="shared" ca="1" si="0"/>
        <v>66</v>
      </c>
      <c r="K71" s="56"/>
    </row>
    <row r="72" spans="1:11">
      <c r="A72" s="52" t="s">
        <v>523</v>
      </c>
      <c r="B72" s="53" t="s">
        <v>439</v>
      </c>
      <c r="C72" s="53">
        <v>3004</v>
      </c>
      <c r="D72" s="53" t="s">
        <v>73</v>
      </c>
      <c r="E72" s="53" t="s">
        <v>26</v>
      </c>
      <c r="F72" s="53" t="s">
        <v>65</v>
      </c>
      <c r="G72" s="54">
        <v>12343.81</v>
      </c>
      <c r="H72" s="53" t="s">
        <v>18</v>
      </c>
      <c r="I72" s="55">
        <v>18218</v>
      </c>
      <c r="J72" s="53">
        <f t="shared" ca="1" si="0"/>
        <v>67</v>
      </c>
      <c r="K72" s="56"/>
    </row>
    <row r="73" spans="1:11">
      <c r="A73" s="52" t="s">
        <v>251</v>
      </c>
      <c r="B73" s="53" t="s">
        <v>252</v>
      </c>
      <c r="C73" s="53">
        <v>3984</v>
      </c>
      <c r="D73" s="53" t="s">
        <v>16</v>
      </c>
      <c r="E73" s="53" t="s">
        <v>11</v>
      </c>
      <c r="F73" s="53" t="s">
        <v>41</v>
      </c>
      <c r="G73" s="54">
        <v>20947.330000000002</v>
      </c>
      <c r="H73" s="53" t="s">
        <v>13</v>
      </c>
      <c r="I73" s="57">
        <v>18204</v>
      </c>
      <c r="J73" s="53">
        <f t="shared" ca="1" si="0"/>
        <v>67</v>
      </c>
      <c r="K73" s="56"/>
    </row>
    <row r="74" spans="1:11">
      <c r="A74" s="52" t="s">
        <v>263</v>
      </c>
      <c r="B74" s="53" t="s">
        <v>88</v>
      </c>
      <c r="C74" s="53">
        <v>3007</v>
      </c>
      <c r="D74" s="53" t="s">
        <v>59</v>
      </c>
      <c r="E74" s="53" t="s">
        <v>26</v>
      </c>
      <c r="F74" s="53" t="s">
        <v>41</v>
      </c>
      <c r="G74" s="54">
        <v>20744.77</v>
      </c>
      <c r="H74" s="53" t="s">
        <v>13</v>
      </c>
      <c r="I74" s="55">
        <v>18353</v>
      </c>
      <c r="J74" s="53">
        <f t="shared" ca="1" si="0"/>
        <v>66</v>
      </c>
      <c r="K74" s="56"/>
    </row>
    <row r="75" spans="1:11">
      <c r="A75" s="52" t="s">
        <v>267</v>
      </c>
      <c r="B75" s="53" t="s">
        <v>268</v>
      </c>
      <c r="C75" s="53">
        <v>3243</v>
      </c>
      <c r="D75" s="53" t="s">
        <v>25</v>
      </c>
      <c r="E75" s="53" t="s">
        <v>26</v>
      </c>
      <c r="F75" s="53" t="s">
        <v>107</v>
      </c>
      <c r="G75" s="54">
        <v>16845.23</v>
      </c>
      <c r="H75" s="53" t="s">
        <v>13</v>
      </c>
      <c r="I75" s="57">
        <v>18513</v>
      </c>
      <c r="J75" s="53">
        <f t="shared" ca="1" si="0"/>
        <v>66</v>
      </c>
      <c r="K75" s="56"/>
    </row>
    <row r="76" spans="1:11">
      <c r="A76" s="52" t="s">
        <v>277</v>
      </c>
      <c r="B76" s="53" t="s">
        <v>159</v>
      </c>
      <c r="C76" s="53">
        <v>3882</v>
      </c>
      <c r="D76" s="53" t="s">
        <v>16</v>
      </c>
      <c r="E76" s="53" t="s">
        <v>11</v>
      </c>
      <c r="F76" s="53" t="s">
        <v>77</v>
      </c>
      <c r="G76" s="54">
        <v>8578.16</v>
      </c>
      <c r="H76" s="53" t="s">
        <v>13</v>
      </c>
      <c r="I76" s="55">
        <v>18226</v>
      </c>
      <c r="J76" s="53">
        <f t="shared" ref="J76:J139" ca="1" si="1">DATEDIF(I76,TODAY(),"y")</f>
        <v>67</v>
      </c>
      <c r="K76" s="56"/>
    </row>
    <row r="77" spans="1:11">
      <c r="A77" s="52" t="s">
        <v>319</v>
      </c>
      <c r="B77" s="53" t="s">
        <v>141</v>
      </c>
      <c r="C77" s="53">
        <v>3169</v>
      </c>
      <c r="D77" s="53" t="s">
        <v>25</v>
      </c>
      <c r="E77" s="53" t="s">
        <v>26</v>
      </c>
      <c r="F77" s="53" t="s">
        <v>79</v>
      </c>
      <c r="G77" s="54">
        <v>9497.1200000000008</v>
      </c>
      <c r="H77" s="53" t="s">
        <v>13</v>
      </c>
      <c r="I77" s="55">
        <v>18386</v>
      </c>
      <c r="J77" s="53">
        <f t="shared" ca="1" si="1"/>
        <v>66</v>
      </c>
      <c r="K77" s="56"/>
    </row>
    <row r="78" spans="1:11">
      <c r="A78" s="52" t="s">
        <v>340</v>
      </c>
      <c r="B78" s="53" t="s">
        <v>88</v>
      </c>
      <c r="C78" s="53">
        <v>3204</v>
      </c>
      <c r="D78" s="53" t="s">
        <v>25</v>
      </c>
      <c r="E78" s="53" t="s">
        <v>26</v>
      </c>
      <c r="F78" s="53" t="s">
        <v>175</v>
      </c>
      <c r="G78" s="54">
        <v>20254.84</v>
      </c>
      <c r="H78" s="53" t="s">
        <v>13</v>
      </c>
      <c r="I78" s="55">
        <v>18171</v>
      </c>
      <c r="J78" s="53">
        <f t="shared" ca="1" si="1"/>
        <v>67</v>
      </c>
      <c r="K78" s="56"/>
    </row>
    <row r="79" spans="1:11">
      <c r="A79" s="52" t="s">
        <v>364</v>
      </c>
      <c r="B79" s="53" t="s">
        <v>366</v>
      </c>
      <c r="C79" s="53">
        <v>3986</v>
      </c>
      <c r="D79" s="53" t="s">
        <v>44</v>
      </c>
      <c r="E79" s="53" t="s">
        <v>26</v>
      </c>
      <c r="F79" s="53" t="s">
        <v>152</v>
      </c>
      <c r="G79" s="54">
        <v>18328.28</v>
      </c>
      <c r="H79" s="53" t="s">
        <v>13</v>
      </c>
      <c r="I79" s="55">
        <v>18449</v>
      </c>
      <c r="J79" s="53">
        <f t="shared" ca="1" si="1"/>
        <v>66</v>
      </c>
      <c r="K79" s="56"/>
    </row>
    <row r="80" spans="1:11">
      <c r="A80" s="52" t="s">
        <v>374</v>
      </c>
      <c r="B80" s="53" t="s">
        <v>376</v>
      </c>
      <c r="C80" s="53">
        <v>3913</v>
      </c>
      <c r="D80" s="53" t="s">
        <v>25</v>
      </c>
      <c r="E80" s="53" t="s">
        <v>26</v>
      </c>
      <c r="F80" s="53" t="s">
        <v>56</v>
      </c>
      <c r="G80" s="54">
        <v>7369.79</v>
      </c>
      <c r="H80" s="53" t="s">
        <v>13</v>
      </c>
      <c r="I80" s="55">
        <v>18177</v>
      </c>
      <c r="J80" s="53">
        <f t="shared" ca="1" si="1"/>
        <v>67</v>
      </c>
      <c r="K80" s="56"/>
    </row>
    <row r="81" spans="1:11">
      <c r="A81" s="52" t="s">
        <v>374</v>
      </c>
      <c r="B81" s="53" t="s">
        <v>375</v>
      </c>
      <c r="C81" s="53">
        <v>3120</v>
      </c>
      <c r="D81" s="53" t="s">
        <v>25</v>
      </c>
      <c r="E81" s="53" t="s">
        <v>26</v>
      </c>
      <c r="F81" s="53" t="s">
        <v>189</v>
      </c>
      <c r="G81" s="54">
        <v>11838.84</v>
      </c>
      <c r="H81" s="53" t="s">
        <v>18</v>
      </c>
      <c r="I81" s="57">
        <v>18204</v>
      </c>
      <c r="J81" s="53">
        <f t="shared" ca="1" si="1"/>
        <v>67</v>
      </c>
      <c r="K81" s="56"/>
    </row>
    <row r="82" spans="1:11">
      <c r="A82" s="52" t="s">
        <v>388</v>
      </c>
      <c r="B82" s="53" t="s">
        <v>389</v>
      </c>
      <c r="C82" s="53">
        <v>3110</v>
      </c>
      <c r="D82" s="53" t="s">
        <v>44</v>
      </c>
      <c r="E82" s="53" t="s">
        <v>26</v>
      </c>
      <c r="F82" s="53" t="s">
        <v>152</v>
      </c>
      <c r="G82" s="54">
        <v>18009.169999999998</v>
      </c>
      <c r="H82" s="53" t="s">
        <v>18</v>
      </c>
      <c r="I82" s="57">
        <v>18204</v>
      </c>
      <c r="J82" s="53">
        <f t="shared" ca="1" si="1"/>
        <v>67</v>
      </c>
      <c r="K82" s="56"/>
    </row>
    <row r="83" spans="1:11">
      <c r="A83" s="52" t="s">
        <v>388</v>
      </c>
      <c r="B83" s="53" t="s">
        <v>408</v>
      </c>
      <c r="C83" s="53">
        <v>3148</v>
      </c>
      <c r="D83" s="53" t="s">
        <v>136</v>
      </c>
      <c r="E83" s="53" t="s">
        <v>11</v>
      </c>
      <c r="F83" s="53" t="s">
        <v>173</v>
      </c>
      <c r="G83" s="54">
        <v>6218.73</v>
      </c>
      <c r="H83" s="53" t="s">
        <v>13</v>
      </c>
      <c r="I83" s="55">
        <v>18489</v>
      </c>
      <c r="J83" s="53">
        <f t="shared" ca="1" si="1"/>
        <v>66</v>
      </c>
      <c r="K83" s="56"/>
    </row>
    <row r="84" spans="1:11">
      <c r="A84" s="52" t="s">
        <v>400</v>
      </c>
      <c r="B84" s="53" t="s">
        <v>401</v>
      </c>
      <c r="C84" s="53">
        <v>3584</v>
      </c>
      <c r="D84" s="53" t="s">
        <v>59</v>
      </c>
      <c r="E84" s="53" t="s">
        <v>26</v>
      </c>
      <c r="F84" s="53" t="s">
        <v>402</v>
      </c>
      <c r="G84" s="54">
        <v>11561.13</v>
      </c>
      <c r="H84" s="53" t="s">
        <v>18</v>
      </c>
      <c r="I84" s="55">
        <v>18460</v>
      </c>
      <c r="J84" s="53">
        <f t="shared" ca="1" si="1"/>
        <v>66</v>
      </c>
      <c r="K84" s="56"/>
    </row>
    <row r="85" spans="1:11">
      <c r="A85" s="52" t="s">
        <v>430</v>
      </c>
      <c r="B85" s="53" t="s">
        <v>133</v>
      </c>
      <c r="C85" s="53">
        <v>3103</v>
      </c>
      <c r="D85" s="53" t="s">
        <v>25</v>
      </c>
      <c r="E85" s="53" t="s">
        <v>26</v>
      </c>
      <c r="F85" s="53" t="s">
        <v>92</v>
      </c>
      <c r="G85" s="54">
        <v>14369.68</v>
      </c>
      <c r="H85" s="53" t="s">
        <v>13</v>
      </c>
      <c r="I85" s="55">
        <v>18192</v>
      </c>
      <c r="J85" s="53">
        <f t="shared" ca="1" si="1"/>
        <v>67</v>
      </c>
      <c r="K85" s="56"/>
    </row>
    <row r="86" spans="1:11">
      <c r="A86" s="52" t="s">
        <v>432</v>
      </c>
      <c r="B86" s="53" t="s">
        <v>433</v>
      </c>
      <c r="C86" s="53">
        <v>3917</v>
      </c>
      <c r="D86" s="53" t="s">
        <v>136</v>
      </c>
      <c r="E86" s="53" t="s">
        <v>11</v>
      </c>
      <c r="F86" s="53" t="s">
        <v>146</v>
      </c>
      <c r="G86" s="54">
        <v>7134.87</v>
      </c>
      <c r="H86" s="53" t="s">
        <v>13</v>
      </c>
      <c r="I86" s="55">
        <v>18294</v>
      </c>
      <c r="J86" s="53">
        <f t="shared" ca="1" si="1"/>
        <v>66</v>
      </c>
      <c r="K86" s="56"/>
    </row>
    <row r="87" spans="1:11">
      <c r="A87" s="52" t="s">
        <v>459</v>
      </c>
      <c r="B87" s="53" t="s">
        <v>180</v>
      </c>
      <c r="C87" s="53">
        <v>3024</v>
      </c>
      <c r="D87" s="53" t="s">
        <v>10</v>
      </c>
      <c r="E87" s="53" t="s">
        <v>11</v>
      </c>
      <c r="F87" s="53" t="s">
        <v>17</v>
      </c>
      <c r="G87" s="54">
        <v>16305.31</v>
      </c>
      <c r="H87" s="53" t="s">
        <v>18</v>
      </c>
      <c r="I87" s="57">
        <v>18463</v>
      </c>
      <c r="J87" s="53">
        <f t="shared" ca="1" si="1"/>
        <v>66</v>
      </c>
      <c r="K87" s="56"/>
    </row>
    <row r="88" spans="1:11">
      <c r="A88" s="52" t="s">
        <v>468</v>
      </c>
      <c r="B88" s="53" t="s">
        <v>469</v>
      </c>
      <c r="C88" s="53">
        <v>3628</v>
      </c>
      <c r="D88" s="53" t="s">
        <v>44</v>
      </c>
      <c r="E88" s="53" t="s">
        <v>26</v>
      </c>
      <c r="F88" s="53" t="s">
        <v>224</v>
      </c>
      <c r="G88" s="54">
        <v>13718.18</v>
      </c>
      <c r="H88" s="53" t="s">
        <v>13</v>
      </c>
      <c r="I88" s="57">
        <v>18164</v>
      </c>
      <c r="J88" s="53">
        <f t="shared" ca="1" si="1"/>
        <v>67</v>
      </c>
      <c r="K88" s="56"/>
    </row>
    <row r="89" spans="1:11">
      <c r="A89" s="52" t="s">
        <v>473</v>
      </c>
      <c r="B89" s="53" t="s">
        <v>474</v>
      </c>
      <c r="C89" s="53">
        <v>3045</v>
      </c>
      <c r="D89" s="53" t="s">
        <v>475</v>
      </c>
      <c r="E89" s="53" t="s">
        <v>26</v>
      </c>
      <c r="F89" s="53" t="s">
        <v>187</v>
      </c>
      <c r="G89" s="54">
        <v>8306.9</v>
      </c>
      <c r="H89" s="53" t="s">
        <v>13</v>
      </c>
      <c r="I89" s="55">
        <v>18231</v>
      </c>
      <c r="J89" s="53">
        <f t="shared" ca="1" si="1"/>
        <v>67</v>
      </c>
      <c r="K89" s="56"/>
    </row>
    <row r="90" spans="1:11">
      <c r="A90" s="52" t="s">
        <v>479</v>
      </c>
      <c r="B90" s="53" t="s">
        <v>229</v>
      </c>
      <c r="C90" s="53">
        <v>3051</v>
      </c>
      <c r="D90" s="53" t="s">
        <v>73</v>
      </c>
      <c r="E90" s="53" t="s">
        <v>26</v>
      </c>
      <c r="F90" s="53" t="s">
        <v>92</v>
      </c>
      <c r="G90" s="54">
        <v>14415.27</v>
      </c>
      <c r="H90" s="53" t="s">
        <v>13</v>
      </c>
      <c r="I90" s="55">
        <v>18328</v>
      </c>
      <c r="J90" s="53">
        <f t="shared" ca="1" si="1"/>
        <v>66</v>
      </c>
      <c r="K90" s="56"/>
    </row>
    <row r="91" spans="1:11">
      <c r="A91" s="52" t="s">
        <v>487</v>
      </c>
      <c r="B91" s="53" t="s">
        <v>488</v>
      </c>
      <c r="C91" s="53">
        <v>3569</v>
      </c>
      <c r="D91" s="53" t="s">
        <v>16</v>
      </c>
      <c r="E91" s="53" t="s">
        <v>11</v>
      </c>
      <c r="F91" s="53" t="s">
        <v>107</v>
      </c>
      <c r="G91" s="54">
        <v>16564.27</v>
      </c>
      <c r="H91" s="53" t="s">
        <v>13</v>
      </c>
      <c r="I91" s="57">
        <v>18204</v>
      </c>
      <c r="J91" s="53">
        <f t="shared" ca="1" si="1"/>
        <v>67</v>
      </c>
      <c r="K91" s="56"/>
    </row>
    <row r="92" spans="1:11">
      <c r="A92" s="52" t="s">
        <v>489</v>
      </c>
      <c r="B92" s="53" t="s">
        <v>180</v>
      </c>
      <c r="C92" s="53">
        <v>3185</v>
      </c>
      <c r="D92" s="53" t="s">
        <v>10</v>
      </c>
      <c r="E92" s="53" t="s">
        <v>11</v>
      </c>
      <c r="F92" s="53" t="s">
        <v>178</v>
      </c>
      <c r="G92" s="54">
        <v>14950.4</v>
      </c>
      <c r="H92" s="53" t="s">
        <v>18</v>
      </c>
      <c r="I92" s="57">
        <v>18204</v>
      </c>
      <c r="J92" s="53">
        <f t="shared" ca="1" si="1"/>
        <v>67</v>
      </c>
      <c r="K92" s="56"/>
    </row>
    <row r="93" spans="1:11">
      <c r="A93" s="52" t="s">
        <v>507</v>
      </c>
      <c r="B93" s="53" t="s">
        <v>535</v>
      </c>
      <c r="C93" s="53">
        <v>3018</v>
      </c>
      <c r="D93" s="53" t="s">
        <v>44</v>
      </c>
      <c r="E93" s="53" t="s">
        <v>26</v>
      </c>
      <c r="F93" s="53" t="s">
        <v>508</v>
      </c>
      <c r="G93" s="54">
        <v>10994.09</v>
      </c>
      <c r="H93" s="53" t="s">
        <v>13</v>
      </c>
      <c r="I93" s="57">
        <v>18247</v>
      </c>
      <c r="J93" s="53">
        <f t="shared" ca="1" si="1"/>
        <v>66</v>
      </c>
      <c r="K93" s="56"/>
    </row>
    <row r="94" spans="1:11">
      <c r="A94" s="52" t="s">
        <v>511</v>
      </c>
      <c r="B94" s="53" t="s">
        <v>60</v>
      </c>
      <c r="C94" s="53">
        <v>3161</v>
      </c>
      <c r="D94" s="53" t="s">
        <v>49</v>
      </c>
      <c r="E94" s="53" t="s">
        <v>11</v>
      </c>
      <c r="F94" s="53" t="s">
        <v>178</v>
      </c>
      <c r="G94" s="54">
        <v>15102.11</v>
      </c>
      <c r="H94" s="53" t="s">
        <v>13</v>
      </c>
      <c r="I94" s="57">
        <v>18479</v>
      </c>
      <c r="J94" s="53">
        <f t="shared" ca="1" si="1"/>
        <v>66</v>
      </c>
      <c r="K94" s="56"/>
    </row>
    <row r="95" spans="1:11">
      <c r="A95" s="52" t="s">
        <v>80</v>
      </c>
      <c r="B95" s="53" t="s">
        <v>69</v>
      </c>
      <c r="C95" s="53">
        <v>3013</v>
      </c>
      <c r="D95" s="53" t="s">
        <v>49</v>
      </c>
      <c r="E95" s="53" t="s">
        <v>11</v>
      </c>
      <c r="F95" s="53" t="s">
        <v>56</v>
      </c>
      <c r="G95" s="54">
        <v>7418.36</v>
      </c>
      <c r="H95" s="53" t="s">
        <v>13</v>
      </c>
      <c r="I95" s="55">
        <v>18682</v>
      </c>
      <c r="J95" s="53">
        <f t="shared" ca="1" si="1"/>
        <v>65</v>
      </c>
      <c r="K95" s="56"/>
    </row>
    <row r="96" spans="1:11">
      <c r="A96" s="52" t="s">
        <v>351</v>
      </c>
      <c r="B96" s="53" t="s">
        <v>275</v>
      </c>
      <c r="C96" s="53">
        <v>3626</v>
      </c>
      <c r="D96" s="53" t="s">
        <v>16</v>
      </c>
      <c r="E96" s="53" t="s">
        <v>11</v>
      </c>
      <c r="F96" s="53" t="s">
        <v>33</v>
      </c>
      <c r="G96" s="54">
        <v>17363.88</v>
      </c>
      <c r="H96" s="53" t="s">
        <v>18</v>
      </c>
      <c r="I96" s="55">
        <v>18859</v>
      </c>
      <c r="J96" s="53">
        <f t="shared" ca="1" si="1"/>
        <v>65</v>
      </c>
      <c r="K96" s="56"/>
    </row>
    <row r="97" spans="1:11">
      <c r="A97" s="52" t="s">
        <v>417</v>
      </c>
      <c r="B97" s="53" t="s">
        <v>84</v>
      </c>
      <c r="C97" s="53">
        <v>3420</v>
      </c>
      <c r="D97" s="53" t="s">
        <v>16</v>
      </c>
      <c r="E97" s="53" t="s">
        <v>11</v>
      </c>
      <c r="F97" s="53" t="s">
        <v>152</v>
      </c>
      <c r="G97" s="54">
        <v>18024.310000000001</v>
      </c>
      <c r="H97" s="53" t="s">
        <v>18</v>
      </c>
      <c r="I97" s="55">
        <v>18762</v>
      </c>
      <c r="J97" s="53">
        <f t="shared" ca="1" si="1"/>
        <v>65</v>
      </c>
      <c r="K97" s="56"/>
    </row>
    <row r="98" spans="1:11">
      <c r="A98" s="52" t="s">
        <v>440</v>
      </c>
      <c r="B98" s="53" t="s">
        <v>477</v>
      </c>
      <c r="C98" s="53">
        <v>3182</v>
      </c>
      <c r="D98" s="53" t="s">
        <v>136</v>
      </c>
      <c r="E98" s="53" t="s">
        <v>11</v>
      </c>
      <c r="F98" s="53" t="s">
        <v>310</v>
      </c>
      <c r="G98" s="54">
        <v>8778.02</v>
      </c>
      <c r="H98" s="53" t="s">
        <v>13</v>
      </c>
      <c r="I98" s="55">
        <v>18545</v>
      </c>
      <c r="J98" s="53">
        <f t="shared" ca="1" si="1"/>
        <v>66</v>
      </c>
      <c r="K98" s="56"/>
    </row>
    <row r="99" spans="1:11">
      <c r="A99" s="52" t="s">
        <v>493</v>
      </c>
      <c r="B99" s="53" t="s">
        <v>305</v>
      </c>
      <c r="C99" s="53">
        <v>3733</v>
      </c>
      <c r="D99" s="53" t="s">
        <v>44</v>
      </c>
      <c r="E99" s="53" t="s">
        <v>26</v>
      </c>
      <c r="F99" s="53" t="s">
        <v>279</v>
      </c>
      <c r="G99" s="54">
        <v>9210.6</v>
      </c>
      <c r="H99" s="53" t="s">
        <v>13</v>
      </c>
      <c r="I99" s="55">
        <v>18540</v>
      </c>
      <c r="J99" s="53">
        <f t="shared" ca="1" si="1"/>
        <v>66</v>
      </c>
      <c r="K99" s="56"/>
    </row>
    <row r="100" spans="1:11">
      <c r="A100" s="52" t="s">
        <v>497</v>
      </c>
      <c r="B100" s="53" t="s">
        <v>498</v>
      </c>
      <c r="C100" s="53">
        <v>3779</v>
      </c>
      <c r="D100" s="53" t="s">
        <v>16</v>
      </c>
      <c r="E100" s="53" t="s">
        <v>11</v>
      </c>
      <c r="F100" s="53" t="s">
        <v>41</v>
      </c>
      <c r="G100" s="54">
        <v>20682.189999999999</v>
      </c>
      <c r="H100" s="53" t="s">
        <v>18</v>
      </c>
      <c r="I100" s="55">
        <v>18658</v>
      </c>
      <c r="J100" s="53">
        <f t="shared" ca="1" si="1"/>
        <v>65</v>
      </c>
      <c r="K100" s="56"/>
    </row>
    <row r="101" spans="1:11">
      <c r="A101" s="52" t="s">
        <v>122</v>
      </c>
      <c r="B101" s="53" t="s">
        <v>123</v>
      </c>
      <c r="C101" s="53">
        <v>3111</v>
      </c>
      <c r="D101" s="53" t="s">
        <v>73</v>
      </c>
      <c r="E101" s="53" t="s">
        <v>26</v>
      </c>
      <c r="F101" s="53" t="s">
        <v>124</v>
      </c>
      <c r="G101" s="54">
        <v>9485.69</v>
      </c>
      <c r="H101" s="53" t="s">
        <v>18</v>
      </c>
      <c r="I101" s="55">
        <v>19128</v>
      </c>
      <c r="J101" s="53">
        <f t="shared" ca="1" si="1"/>
        <v>64</v>
      </c>
      <c r="K101" s="56"/>
    </row>
    <row r="102" spans="1:11">
      <c r="A102" s="52" t="s">
        <v>214</v>
      </c>
      <c r="B102" s="53" t="s">
        <v>198</v>
      </c>
      <c r="C102" s="53">
        <v>3727</v>
      </c>
      <c r="D102" s="53" t="s">
        <v>10</v>
      </c>
      <c r="E102" s="53" t="s">
        <v>11</v>
      </c>
      <c r="F102" s="53" t="s">
        <v>215</v>
      </c>
      <c r="G102" s="54">
        <v>9121.43</v>
      </c>
      <c r="H102" s="53" t="s">
        <v>13</v>
      </c>
      <c r="I102" s="55">
        <v>19109</v>
      </c>
      <c r="J102" s="53">
        <f t="shared" ca="1" si="1"/>
        <v>64</v>
      </c>
      <c r="K102" s="56"/>
    </row>
    <row r="103" spans="1:11">
      <c r="A103" s="52" t="s">
        <v>225</v>
      </c>
      <c r="B103" s="53" t="s">
        <v>52</v>
      </c>
      <c r="C103" s="53">
        <v>3637</v>
      </c>
      <c r="D103" s="53" t="s">
        <v>25</v>
      </c>
      <c r="E103" s="53" t="s">
        <v>26</v>
      </c>
      <c r="F103" s="53" t="s">
        <v>175</v>
      </c>
      <c r="G103" s="54">
        <v>20488.72</v>
      </c>
      <c r="H103" s="53" t="s">
        <v>13</v>
      </c>
      <c r="I103" s="55">
        <v>19043</v>
      </c>
      <c r="J103" s="53">
        <f t="shared" ca="1" si="1"/>
        <v>64</v>
      </c>
      <c r="K103" s="56"/>
    </row>
    <row r="104" spans="1:11">
      <c r="A104" s="52" t="s">
        <v>234</v>
      </c>
      <c r="B104" s="53" t="s">
        <v>235</v>
      </c>
      <c r="C104" s="53">
        <v>3673</v>
      </c>
      <c r="D104" s="53" t="s">
        <v>16</v>
      </c>
      <c r="E104" s="53" t="s">
        <v>11</v>
      </c>
      <c r="F104" s="53" t="s">
        <v>236</v>
      </c>
      <c r="G104" s="54">
        <v>9807.73</v>
      </c>
      <c r="H104" s="53" t="s">
        <v>13</v>
      </c>
      <c r="I104" s="55">
        <v>18940</v>
      </c>
      <c r="J104" s="53">
        <f t="shared" ca="1" si="1"/>
        <v>65</v>
      </c>
      <c r="K104" s="56"/>
    </row>
    <row r="105" spans="1:11">
      <c r="A105" s="52" t="s">
        <v>274</v>
      </c>
      <c r="B105" s="53" t="s">
        <v>275</v>
      </c>
      <c r="C105" s="53">
        <v>3099</v>
      </c>
      <c r="D105" s="53" t="s">
        <v>16</v>
      </c>
      <c r="E105" s="53" t="s">
        <v>11</v>
      </c>
      <c r="F105" s="53" t="s">
        <v>189</v>
      </c>
      <c r="G105" s="54">
        <v>11704.55</v>
      </c>
      <c r="H105" s="53" t="s">
        <v>18</v>
      </c>
      <c r="I105" s="55">
        <v>19047</v>
      </c>
      <c r="J105" s="53">
        <f t="shared" ca="1" si="1"/>
        <v>64</v>
      </c>
      <c r="K105" s="56"/>
    </row>
    <row r="106" spans="1:11">
      <c r="A106" s="52" t="s">
        <v>304</v>
      </c>
      <c r="B106" s="53" t="s">
        <v>305</v>
      </c>
      <c r="C106" s="53">
        <v>3078</v>
      </c>
      <c r="D106" s="53" t="s">
        <v>44</v>
      </c>
      <c r="E106" s="53" t="s">
        <v>26</v>
      </c>
      <c r="F106" s="53" t="s">
        <v>306</v>
      </c>
      <c r="G106" s="54">
        <v>12032.11</v>
      </c>
      <c r="H106" s="53" t="s">
        <v>13</v>
      </c>
      <c r="I106" s="55">
        <v>19104</v>
      </c>
      <c r="J106" s="53">
        <f t="shared" ca="1" si="1"/>
        <v>64</v>
      </c>
      <c r="K106" s="56"/>
    </row>
    <row r="107" spans="1:11">
      <c r="A107" s="52" t="s">
        <v>527</v>
      </c>
      <c r="B107" s="53" t="s">
        <v>313</v>
      </c>
      <c r="C107" s="53">
        <v>3691</v>
      </c>
      <c r="D107" s="53" t="s">
        <v>25</v>
      </c>
      <c r="E107" s="53" t="s">
        <v>26</v>
      </c>
      <c r="F107" s="53" t="s">
        <v>74</v>
      </c>
      <c r="G107" s="54">
        <v>9281.7800000000007</v>
      </c>
      <c r="H107" s="53" t="s">
        <v>13</v>
      </c>
      <c r="I107" s="55">
        <v>18934</v>
      </c>
      <c r="J107" s="53">
        <f t="shared" ca="1" si="1"/>
        <v>65</v>
      </c>
      <c r="K107" s="56"/>
    </row>
    <row r="108" spans="1:11">
      <c r="A108" s="52" t="s">
        <v>315</v>
      </c>
      <c r="B108" s="53" t="s">
        <v>257</v>
      </c>
      <c r="C108" s="53">
        <v>3040</v>
      </c>
      <c r="D108" s="53" t="s">
        <v>21</v>
      </c>
      <c r="E108" s="53" t="s">
        <v>11</v>
      </c>
      <c r="F108" s="53" t="s">
        <v>215</v>
      </c>
      <c r="G108" s="54">
        <v>9120.66</v>
      </c>
      <c r="H108" s="53" t="s">
        <v>13</v>
      </c>
      <c r="I108" s="55">
        <v>19125</v>
      </c>
      <c r="J108" s="53">
        <f t="shared" ca="1" si="1"/>
        <v>64</v>
      </c>
      <c r="K108" s="56"/>
    </row>
    <row r="109" spans="1:11">
      <c r="A109" s="52" t="s">
        <v>385</v>
      </c>
      <c r="B109" s="53" t="s">
        <v>386</v>
      </c>
      <c r="C109" s="53">
        <v>3154</v>
      </c>
      <c r="D109" s="53" t="s">
        <v>25</v>
      </c>
      <c r="E109" s="53" t="s">
        <v>26</v>
      </c>
      <c r="F109" s="53" t="s">
        <v>387</v>
      </c>
      <c r="G109" s="54">
        <v>7210.55</v>
      </c>
      <c r="H109" s="53" t="s">
        <v>18</v>
      </c>
      <c r="I109" s="55">
        <v>19001</v>
      </c>
      <c r="J109" s="53">
        <f t="shared" ca="1" si="1"/>
        <v>64</v>
      </c>
      <c r="K109" s="56"/>
    </row>
    <row r="110" spans="1:11">
      <c r="A110" s="52" t="s">
        <v>397</v>
      </c>
      <c r="B110" s="53" t="s">
        <v>537</v>
      </c>
      <c r="C110" s="53">
        <v>3626</v>
      </c>
      <c r="D110" s="53" t="s">
        <v>398</v>
      </c>
      <c r="E110" s="53" t="s">
        <v>26</v>
      </c>
      <c r="F110" s="53" t="s">
        <v>399</v>
      </c>
      <c r="G110" s="54">
        <v>10000</v>
      </c>
      <c r="H110" s="53" t="s">
        <v>13</v>
      </c>
      <c r="I110" s="55">
        <v>19111</v>
      </c>
      <c r="J110" s="53">
        <f t="shared" ca="1" si="1"/>
        <v>64</v>
      </c>
      <c r="K110" s="56"/>
    </row>
    <row r="111" spans="1:11">
      <c r="A111" s="52" t="s">
        <v>407</v>
      </c>
      <c r="B111" s="53" t="s">
        <v>408</v>
      </c>
      <c r="C111" s="53">
        <v>3067</v>
      </c>
      <c r="D111" s="53" t="s">
        <v>49</v>
      </c>
      <c r="E111" s="53" t="s">
        <v>11</v>
      </c>
      <c r="F111" s="53" t="s">
        <v>175</v>
      </c>
      <c r="G111" s="54">
        <v>20409.72</v>
      </c>
      <c r="H111" s="53" t="s">
        <v>13</v>
      </c>
      <c r="I111" s="55">
        <v>19091</v>
      </c>
      <c r="J111" s="53">
        <f t="shared" ca="1" si="1"/>
        <v>64</v>
      </c>
      <c r="K111" s="56"/>
    </row>
    <row r="112" spans="1:11">
      <c r="A112" s="52" t="s">
        <v>442</v>
      </c>
      <c r="B112" s="53" t="s">
        <v>537</v>
      </c>
      <c r="C112" s="53">
        <v>3125</v>
      </c>
      <c r="D112" s="53" t="s">
        <v>49</v>
      </c>
      <c r="E112" s="53" t="s">
        <v>26</v>
      </c>
      <c r="F112" s="53" t="s">
        <v>79</v>
      </c>
      <c r="G112" s="54">
        <v>9679.08</v>
      </c>
      <c r="H112" s="53" t="s">
        <v>13</v>
      </c>
      <c r="I112" s="55">
        <v>19097</v>
      </c>
      <c r="J112" s="53">
        <f t="shared" ca="1" si="1"/>
        <v>64</v>
      </c>
      <c r="K112" s="56"/>
    </row>
    <row r="113" spans="1:11">
      <c r="A113" s="52" t="s">
        <v>502</v>
      </c>
      <c r="B113" s="53" t="s">
        <v>503</v>
      </c>
      <c r="C113" s="53">
        <v>3982</v>
      </c>
      <c r="D113" s="53" t="s">
        <v>44</v>
      </c>
      <c r="E113" s="53" t="s">
        <v>26</v>
      </c>
      <c r="F113" s="53" t="s">
        <v>36</v>
      </c>
      <c r="G113" s="54">
        <v>10477.629999999999</v>
      </c>
      <c r="H113" s="53" t="s">
        <v>13</v>
      </c>
      <c r="I113" s="55">
        <v>18896</v>
      </c>
      <c r="J113" s="53">
        <f t="shared" ca="1" si="1"/>
        <v>65</v>
      </c>
      <c r="K113" s="56"/>
    </row>
    <row r="114" spans="1:11">
      <c r="A114" s="52" t="s">
        <v>518</v>
      </c>
      <c r="B114" s="53" t="s">
        <v>519</v>
      </c>
      <c r="C114" s="53">
        <v>3185</v>
      </c>
      <c r="D114" s="53" t="s">
        <v>25</v>
      </c>
      <c r="E114" s="53" t="s">
        <v>26</v>
      </c>
      <c r="F114" s="53" t="s">
        <v>152</v>
      </c>
      <c r="G114" s="54">
        <v>18203.810000000001</v>
      </c>
      <c r="H114" s="53" t="s">
        <v>18</v>
      </c>
      <c r="I114" s="55">
        <v>18910</v>
      </c>
      <c r="J114" s="53">
        <f t="shared" ca="1" si="1"/>
        <v>65</v>
      </c>
      <c r="K114" s="56"/>
    </row>
    <row r="115" spans="1:11">
      <c r="A115" s="52" t="s">
        <v>34</v>
      </c>
      <c r="B115" s="53" t="s">
        <v>35</v>
      </c>
      <c r="C115" s="53">
        <v>3766</v>
      </c>
      <c r="D115" s="53" t="s">
        <v>25</v>
      </c>
      <c r="E115" s="53" t="s">
        <v>26</v>
      </c>
      <c r="F115" s="53" t="s">
        <v>36</v>
      </c>
      <c r="G115" s="54">
        <v>10598.14</v>
      </c>
      <c r="H115" s="53" t="s">
        <v>18</v>
      </c>
      <c r="I115" s="55">
        <v>19378</v>
      </c>
      <c r="J115" s="53">
        <f t="shared" ca="1" si="1"/>
        <v>63</v>
      </c>
      <c r="K115" s="56"/>
    </row>
    <row r="116" spans="1:11">
      <c r="A116" s="52" t="s">
        <v>42</v>
      </c>
      <c r="B116" s="53" t="s">
        <v>43</v>
      </c>
      <c r="C116" s="53">
        <v>3419</v>
      </c>
      <c r="D116" s="53" t="s">
        <v>44</v>
      </c>
      <c r="E116" s="53" t="s">
        <v>26</v>
      </c>
      <c r="F116" s="53" t="s">
        <v>45</v>
      </c>
      <c r="G116" s="54">
        <v>15446.76</v>
      </c>
      <c r="H116" s="53" t="s">
        <v>18</v>
      </c>
      <c r="I116" s="55">
        <v>19256</v>
      </c>
      <c r="J116" s="53">
        <f t="shared" ca="1" si="1"/>
        <v>64</v>
      </c>
      <c r="K116" s="56"/>
    </row>
    <row r="117" spans="1:11">
      <c r="A117" s="52" t="s">
        <v>51</v>
      </c>
      <c r="B117" s="53" t="s">
        <v>52</v>
      </c>
      <c r="C117" s="53">
        <v>3147</v>
      </c>
      <c r="D117" s="53" t="s">
        <v>25</v>
      </c>
      <c r="E117" s="53" t="s">
        <v>26</v>
      </c>
      <c r="F117" s="53" t="s">
        <v>53</v>
      </c>
      <c r="G117" s="54">
        <v>18924.919999999998</v>
      </c>
      <c r="H117" s="53" t="s">
        <v>13</v>
      </c>
      <c r="I117" s="55">
        <v>19379</v>
      </c>
      <c r="J117" s="53">
        <f t="shared" ca="1" si="1"/>
        <v>63</v>
      </c>
      <c r="K117" s="56"/>
    </row>
    <row r="118" spans="1:11">
      <c r="A118" s="52" t="s">
        <v>96</v>
      </c>
      <c r="B118" s="53" t="s">
        <v>97</v>
      </c>
      <c r="C118" s="53">
        <v>3626</v>
      </c>
      <c r="D118" s="53" t="s">
        <v>21</v>
      </c>
      <c r="E118" s="53" t="s">
        <v>11</v>
      </c>
      <c r="F118" s="53" t="s">
        <v>12</v>
      </c>
      <c r="G118" s="54">
        <v>13065.95</v>
      </c>
      <c r="H118" s="53" t="s">
        <v>18</v>
      </c>
      <c r="I118" s="55">
        <v>19370</v>
      </c>
      <c r="J118" s="53">
        <f t="shared" ca="1" si="1"/>
        <v>63</v>
      </c>
      <c r="K118" s="56"/>
    </row>
    <row r="119" spans="1:11">
      <c r="A119" s="52" t="s">
        <v>165</v>
      </c>
      <c r="B119" s="53" t="s">
        <v>166</v>
      </c>
      <c r="C119" s="53">
        <v>3168</v>
      </c>
      <c r="D119" s="53" t="s">
        <v>25</v>
      </c>
      <c r="E119" s="53" t="s">
        <v>26</v>
      </c>
      <c r="F119" s="53" t="s">
        <v>92</v>
      </c>
      <c r="G119" s="54">
        <v>13861.87</v>
      </c>
      <c r="H119" s="53" t="s">
        <v>13</v>
      </c>
      <c r="I119" s="55">
        <v>19507</v>
      </c>
      <c r="J119" s="53">
        <f t="shared" ca="1" si="1"/>
        <v>63</v>
      </c>
      <c r="K119" s="56"/>
    </row>
    <row r="120" spans="1:11">
      <c r="A120" s="52" t="s">
        <v>209</v>
      </c>
      <c r="B120" s="53" t="s">
        <v>210</v>
      </c>
      <c r="C120" s="53">
        <v>3152</v>
      </c>
      <c r="D120" s="53" t="s">
        <v>10</v>
      </c>
      <c r="E120" s="53" t="s">
        <v>11</v>
      </c>
      <c r="F120" s="53" t="s">
        <v>189</v>
      </c>
      <c r="G120" s="54">
        <v>11830.22</v>
      </c>
      <c r="H120" s="53" t="s">
        <v>13</v>
      </c>
      <c r="I120" s="55">
        <v>19417</v>
      </c>
      <c r="J120" s="53">
        <f t="shared" ca="1" si="1"/>
        <v>63</v>
      </c>
      <c r="K120" s="56"/>
    </row>
    <row r="121" spans="1:11">
      <c r="A121" s="52" t="s">
        <v>258</v>
      </c>
      <c r="B121" s="53" t="s">
        <v>259</v>
      </c>
      <c r="C121" s="53">
        <v>3554</v>
      </c>
      <c r="D121" s="53" t="s">
        <v>21</v>
      </c>
      <c r="E121" s="53" t="s">
        <v>11</v>
      </c>
      <c r="F121" s="53" t="s">
        <v>41</v>
      </c>
      <c r="G121" s="54">
        <v>20750.52</v>
      </c>
      <c r="H121" s="53" t="s">
        <v>18</v>
      </c>
      <c r="I121" s="55">
        <v>19466</v>
      </c>
      <c r="J121" s="53">
        <f t="shared" ca="1" si="1"/>
        <v>63</v>
      </c>
      <c r="K121" s="56"/>
    </row>
    <row r="122" spans="1:11">
      <c r="A122" s="52" t="s">
        <v>529</v>
      </c>
      <c r="B122" s="53" t="s">
        <v>278</v>
      </c>
      <c r="C122" s="53">
        <v>3617</v>
      </c>
      <c r="D122" s="53" t="s">
        <v>44</v>
      </c>
      <c r="E122" s="53" t="s">
        <v>26</v>
      </c>
      <c r="F122" s="53" t="s">
        <v>279</v>
      </c>
      <c r="G122" s="54">
        <v>9230.2000000000007</v>
      </c>
      <c r="H122" s="53" t="s">
        <v>13</v>
      </c>
      <c r="I122" s="55">
        <v>19306</v>
      </c>
      <c r="J122" s="53">
        <f t="shared" ca="1" si="1"/>
        <v>64</v>
      </c>
      <c r="K122" s="56"/>
    </row>
    <row r="123" spans="1:11">
      <c r="A123" s="52" t="s">
        <v>288</v>
      </c>
      <c r="B123" s="53" t="s">
        <v>289</v>
      </c>
      <c r="C123" s="53">
        <v>3824</v>
      </c>
      <c r="D123" s="53" t="s">
        <v>44</v>
      </c>
      <c r="E123" s="53" t="s">
        <v>26</v>
      </c>
      <c r="F123" s="53" t="s">
        <v>248</v>
      </c>
      <c r="G123" s="54">
        <v>13583.54</v>
      </c>
      <c r="H123" s="53" t="s">
        <v>18</v>
      </c>
      <c r="I123" s="55">
        <v>19405</v>
      </c>
      <c r="J123" s="53">
        <f t="shared" ca="1" si="1"/>
        <v>63</v>
      </c>
      <c r="K123" s="56"/>
    </row>
    <row r="124" spans="1:11">
      <c r="A124" s="52" t="s">
        <v>326</v>
      </c>
      <c r="B124" s="53" t="s">
        <v>161</v>
      </c>
      <c r="C124" s="53">
        <v>3607</v>
      </c>
      <c r="D124" s="53" t="s">
        <v>38</v>
      </c>
      <c r="E124" s="53" t="s">
        <v>39</v>
      </c>
      <c r="F124" s="53" t="s">
        <v>107</v>
      </c>
      <c r="G124" s="54">
        <v>16977.18</v>
      </c>
      <c r="H124" s="53" t="s">
        <v>18</v>
      </c>
      <c r="I124" s="55">
        <v>19491</v>
      </c>
      <c r="J124" s="53">
        <f t="shared" ca="1" si="1"/>
        <v>63</v>
      </c>
      <c r="K124" s="56"/>
    </row>
    <row r="125" spans="1:11">
      <c r="A125" s="52" t="s">
        <v>329</v>
      </c>
      <c r="B125" s="53" t="s">
        <v>330</v>
      </c>
      <c r="C125" s="53">
        <v>3718</v>
      </c>
      <c r="D125" s="53" t="s">
        <v>10</v>
      </c>
      <c r="E125" s="53" t="s">
        <v>11</v>
      </c>
      <c r="F125" s="53" t="s">
        <v>331</v>
      </c>
      <c r="G125" s="54">
        <v>7896.74</v>
      </c>
      <c r="H125" s="53" t="s">
        <v>13</v>
      </c>
      <c r="I125" s="55">
        <v>19611</v>
      </c>
      <c r="J125" s="53">
        <f t="shared" ca="1" si="1"/>
        <v>63</v>
      </c>
      <c r="K125" s="56"/>
    </row>
    <row r="126" spans="1:11">
      <c r="A126" s="52" t="s">
        <v>367</v>
      </c>
      <c r="B126" s="53" t="s">
        <v>368</v>
      </c>
      <c r="C126" s="53">
        <v>3626</v>
      </c>
      <c r="D126" s="53" t="s">
        <v>49</v>
      </c>
      <c r="E126" s="53" t="s">
        <v>11</v>
      </c>
      <c r="F126" s="53" t="s">
        <v>175</v>
      </c>
      <c r="G126" s="54">
        <v>20196.169999999998</v>
      </c>
      <c r="H126" s="53" t="s">
        <v>13</v>
      </c>
      <c r="I126" s="55">
        <v>19564</v>
      </c>
      <c r="J126" s="53">
        <f t="shared" ca="1" si="1"/>
        <v>63</v>
      </c>
      <c r="K126" s="56"/>
    </row>
    <row r="127" spans="1:11">
      <c r="A127" s="52" t="s">
        <v>369</v>
      </c>
      <c r="B127" s="53" t="s">
        <v>265</v>
      </c>
      <c r="C127" s="53">
        <v>3086</v>
      </c>
      <c r="D127" s="53" t="s">
        <v>44</v>
      </c>
      <c r="E127" s="53" t="s">
        <v>26</v>
      </c>
      <c r="F127" s="53" t="s">
        <v>146</v>
      </c>
      <c r="G127" s="54">
        <v>7095.37</v>
      </c>
      <c r="H127" s="53" t="s">
        <v>18</v>
      </c>
      <c r="I127" s="55">
        <v>19570</v>
      </c>
      <c r="J127" s="53">
        <f t="shared" ca="1" si="1"/>
        <v>63</v>
      </c>
      <c r="K127" s="56"/>
    </row>
    <row r="128" spans="1:11">
      <c r="A128" s="52" t="s">
        <v>409</v>
      </c>
      <c r="B128" s="53" t="s">
        <v>265</v>
      </c>
      <c r="C128" s="53">
        <v>3764</v>
      </c>
      <c r="D128" s="53" t="s">
        <v>44</v>
      </c>
      <c r="E128" s="53" t="s">
        <v>26</v>
      </c>
      <c r="F128" s="53" t="s">
        <v>53</v>
      </c>
      <c r="G128" s="54">
        <v>18798.93</v>
      </c>
      <c r="H128" s="53" t="s">
        <v>18</v>
      </c>
      <c r="I128" s="55">
        <v>19461</v>
      </c>
      <c r="J128" s="53">
        <f t="shared" ca="1" si="1"/>
        <v>63</v>
      </c>
      <c r="K128" s="56"/>
    </row>
    <row r="129" spans="1:11">
      <c r="A129" s="52" t="s">
        <v>415</v>
      </c>
      <c r="B129" s="53" t="s">
        <v>298</v>
      </c>
      <c r="C129" s="53">
        <v>3630</v>
      </c>
      <c r="D129" s="53" t="s">
        <v>25</v>
      </c>
      <c r="E129" s="53" t="s">
        <v>26</v>
      </c>
      <c r="F129" s="53" t="s">
        <v>226</v>
      </c>
      <c r="G129" s="54">
        <v>11567.12</v>
      </c>
      <c r="H129" s="53" t="s">
        <v>18</v>
      </c>
      <c r="I129" s="55">
        <v>19272</v>
      </c>
      <c r="J129" s="53">
        <f t="shared" ca="1" si="1"/>
        <v>64</v>
      </c>
      <c r="K129" s="56"/>
    </row>
    <row r="130" spans="1:11">
      <c r="A130" s="52" t="s">
        <v>47</v>
      </c>
      <c r="B130" s="53" t="s">
        <v>48</v>
      </c>
      <c r="C130" s="53">
        <v>3060</v>
      </c>
      <c r="D130" s="53" t="s">
        <v>49</v>
      </c>
      <c r="E130" s="53" t="s">
        <v>11</v>
      </c>
      <c r="F130" s="53" t="s">
        <v>50</v>
      </c>
      <c r="G130" s="54">
        <v>10824.67</v>
      </c>
      <c r="H130" s="53" t="s">
        <v>13</v>
      </c>
      <c r="I130" s="55">
        <v>19746</v>
      </c>
      <c r="J130" s="53">
        <f t="shared" ca="1" si="1"/>
        <v>62</v>
      </c>
      <c r="K130" s="56"/>
    </row>
    <row r="131" spans="1:11">
      <c r="A131" s="52" t="s">
        <v>54</v>
      </c>
      <c r="B131" s="53" t="s">
        <v>55</v>
      </c>
      <c r="C131" s="53">
        <v>3795</v>
      </c>
      <c r="D131" s="53" t="s">
        <v>16</v>
      </c>
      <c r="E131" s="53" t="s">
        <v>11</v>
      </c>
      <c r="F131" s="53" t="s">
        <v>56</v>
      </c>
      <c r="G131" s="54">
        <v>7272.69</v>
      </c>
      <c r="H131" s="53" t="s">
        <v>13</v>
      </c>
      <c r="I131" s="55">
        <v>19692</v>
      </c>
      <c r="J131" s="53">
        <f t="shared" ca="1" si="1"/>
        <v>63</v>
      </c>
      <c r="K131" s="56"/>
    </row>
    <row r="132" spans="1:11">
      <c r="A132" s="52" t="s">
        <v>66</v>
      </c>
      <c r="B132" s="53" t="s">
        <v>67</v>
      </c>
      <c r="C132" s="53">
        <v>3632</v>
      </c>
      <c r="D132" s="53" t="s">
        <v>44</v>
      </c>
      <c r="E132" s="53" t="s">
        <v>26</v>
      </c>
      <c r="F132" s="53" t="s">
        <v>68</v>
      </c>
      <c r="G132" s="54">
        <v>18942.97</v>
      </c>
      <c r="H132" s="53" t="s">
        <v>13</v>
      </c>
      <c r="I132" s="55">
        <v>19704</v>
      </c>
      <c r="J132" s="53">
        <f t="shared" ca="1" si="1"/>
        <v>62</v>
      </c>
      <c r="K132" s="56"/>
    </row>
    <row r="133" spans="1:11">
      <c r="A133" s="52" t="s">
        <v>113</v>
      </c>
      <c r="B133" s="53" t="s">
        <v>114</v>
      </c>
      <c r="C133" s="53">
        <v>3170</v>
      </c>
      <c r="D133" s="53" t="s">
        <v>10</v>
      </c>
      <c r="E133" s="53" t="s">
        <v>11</v>
      </c>
      <c r="F133" s="53" t="s">
        <v>92</v>
      </c>
      <c r="G133" s="54">
        <v>13834.41</v>
      </c>
      <c r="H133" s="53" t="s">
        <v>13</v>
      </c>
      <c r="I133" s="55">
        <v>19713</v>
      </c>
      <c r="J133" s="53">
        <f t="shared" ca="1" si="1"/>
        <v>62</v>
      </c>
      <c r="K133" s="56"/>
    </row>
    <row r="134" spans="1:11">
      <c r="A134" s="52" t="s">
        <v>127</v>
      </c>
      <c r="B134" s="53" t="s">
        <v>128</v>
      </c>
      <c r="C134" s="53">
        <v>3456</v>
      </c>
      <c r="D134" s="53" t="s">
        <v>25</v>
      </c>
      <c r="E134" s="53" t="s">
        <v>26</v>
      </c>
      <c r="F134" s="53" t="s">
        <v>33</v>
      </c>
      <c r="G134" s="54">
        <v>17663.28</v>
      </c>
      <c r="H134" s="53" t="s">
        <v>18</v>
      </c>
      <c r="I134" s="55">
        <v>19689</v>
      </c>
      <c r="J134" s="53">
        <f t="shared" ca="1" si="1"/>
        <v>63</v>
      </c>
      <c r="K134" s="56"/>
    </row>
    <row r="135" spans="1:11">
      <c r="A135" s="52" t="s">
        <v>160</v>
      </c>
      <c r="B135" s="53" t="s">
        <v>161</v>
      </c>
      <c r="C135" s="53">
        <v>3041</v>
      </c>
      <c r="D135" s="53" t="s">
        <v>38</v>
      </c>
      <c r="E135" s="53" t="s">
        <v>39</v>
      </c>
      <c r="F135" s="53" t="s">
        <v>162</v>
      </c>
      <c r="G135" s="54">
        <v>19285.599999999999</v>
      </c>
      <c r="H135" s="53" t="s">
        <v>18</v>
      </c>
      <c r="I135" s="55">
        <v>19639</v>
      </c>
      <c r="J135" s="53">
        <f t="shared" ca="1" si="1"/>
        <v>63</v>
      </c>
      <c r="K135" s="56"/>
    </row>
    <row r="136" spans="1:11">
      <c r="A136" s="52" t="s">
        <v>184</v>
      </c>
      <c r="B136" s="53" t="s">
        <v>72</v>
      </c>
      <c r="C136" s="53">
        <v>3270</v>
      </c>
      <c r="D136" s="53" t="s">
        <v>25</v>
      </c>
      <c r="E136" s="53" t="s">
        <v>26</v>
      </c>
      <c r="F136" s="53" t="s">
        <v>185</v>
      </c>
      <c r="G136" s="54">
        <v>7057.17</v>
      </c>
      <c r="H136" s="53" t="s">
        <v>18</v>
      </c>
      <c r="I136" s="55">
        <v>19839</v>
      </c>
      <c r="J136" s="53">
        <f t="shared" ca="1" si="1"/>
        <v>62</v>
      </c>
      <c r="K136" s="56"/>
    </row>
    <row r="137" spans="1:11">
      <c r="A137" s="52" t="s">
        <v>206</v>
      </c>
      <c r="B137" s="53" t="s">
        <v>76</v>
      </c>
      <c r="C137" s="53">
        <v>3822</v>
      </c>
      <c r="D137" s="53" t="s">
        <v>73</v>
      </c>
      <c r="E137" s="53" t="s">
        <v>26</v>
      </c>
      <c r="F137" s="53" t="s">
        <v>207</v>
      </c>
      <c r="G137" s="54">
        <v>8135.96</v>
      </c>
      <c r="H137" s="53" t="s">
        <v>13</v>
      </c>
      <c r="I137" s="55">
        <v>19841</v>
      </c>
      <c r="J137" s="53">
        <f t="shared" ca="1" si="1"/>
        <v>62</v>
      </c>
      <c r="K137" s="56"/>
    </row>
    <row r="138" spans="1:11">
      <c r="A138" s="52" t="s">
        <v>230</v>
      </c>
      <c r="B138" s="53" t="s">
        <v>159</v>
      </c>
      <c r="C138" s="53">
        <v>3172</v>
      </c>
      <c r="D138" s="53" t="s">
        <v>16</v>
      </c>
      <c r="E138" s="53" t="s">
        <v>11</v>
      </c>
      <c r="F138" s="53" t="s">
        <v>231</v>
      </c>
      <c r="G138" s="54">
        <v>12901.68</v>
      </c>
      <c r="H138" s="53" t="s">
        <v>13</v>
      </c>
      <c r="I138" s="55">
        <v>19780</v>
      </c>
      <c r="J138" s="53">
        <f t="shared" ca="1" si="1"/>
        <v>62</v>
      </c>
      <c r="K138" s="56"/>
    </row>
    <row r="139" spans="1:11">
      <c r="A139" s="52" t="s">
        <v>251</v>
      </c>
      <c r="B139" s="53" t="s">
        <v>253</v>
      </c>
      <c r="C139" s="53">
        <v>3736</v>
      </c>
      <c r="D139" s="53" t="s">
        <v>16</v>
      </c>
      <c r="E139" s="53" t="s">
        <v>39</v>
      </c>
      <c r="F139" s="53" t="s">
        <v>107</v>
      </c>
      <c r="G139" s="54">
        <v>16859.03</v>
      </c>
      <c r="H139" s="53" t="s">
        <v>13</v>
      </c>
      <c r="I139" s="55">
        <v>19818</v>
      </c>
      <c r="J139" s="53">
        <f t="shared" ca="1" si="1"/>
        <v>62</v>
      </c>
      <c r="K139" s="56"/>
    </row>
    <row r="140" spans="1:11">
      <c r="A140" s="52" t="s">
        <v>271</v>
      </c>
      <c r="B140" s="53" t="s">
        <v>272</v>
      </c>
      <c r="C140" s="53">
        <v>3581</v>
      </c>
      <c r="D140" s="53" t="s">
        <v>10</v>
      </c>
      <c r="E140" s="53" t="s">
        <v>11</v>
      </c>
      <c r="F140" s="53" t="s">
        <v>273</v>
      </c>
      <c r="G140" s="54">
        <v>10337.31</v>
      </c>
      <c r="H140" s="53" t="s">
        <v>13</v>
      </c>
      <c r="I140" s="55">
        <v>19772</v>
      </c>
      <c r="J140" s="53">
        <f t="shared" ref="J140:J203" ca="1" si="2">DATEDIF(I140,TODAY(),"y")</f>
        <v>62</v>
      </c>
      <c r="K140" s="56"/>
    </row>
    <row r="141" spans="1:11">
      <c r="A141" s="52" t="s">
        <v>276</v>
      </c>
      <c r="B141" s="53" t="s">
        <v>126</v>
      </c>
      <c r="C141" s="53">
        <v>3657</v>
      </c>
      <c r="D141" s="53" t="s">
        <v>25</v>
      </c>
      <c r="E141" s="53" t="s">
        <v>26</v>
      </c>
      <c r="F141" s="53" t="s">
        <v>22</v>
      </c>
      <c r="G141" s="54">
        <v>16127.13</v>
      </c>
      <c r="H141" s="53" t="s">
        <v>13</v>
      </c>
      <c r="I141" s="55">
        <v>19875</v>
      </c>
      <c r="J141" s="53">
        <f t="shared" ca="1" si="2"/>
        <v>62</v>
      </c>
      <c r="K141" s="56"/>
    </row>
    <row r="142" spans="1:11">
      <c r="A142" s="52" t="s">
        <v>280</v>
      </c>
      <c r="B142" s="53" t="s">
        <v>281</v>
      </c>
      <c r="C142" s="53">
        <v>3116</v>
      </c>
      <c r="D142" s="53" t="s">
        <v>73</v>
      </c>
      <c r="E142" s="53" t="s">
        <v>26</v>
      </c>
      <c r="F142" s="53" t="s">
        <v>282</v>
      </c>
      <c r="G142" s="54">
        <v>9110.65</v>
      </c>
      <c r="H142" s="53" t="s">
        <v>18</v>
      </c>
      <c r="I142" s="55">
        <v>19745</v>
      </c>
      <c r="J142" s="53">
        <f t="shared" ca="1" si="2"/>
        <v>62</v>
      </c>
      <c r="K142" s="56"/>
    </row>
    <row r="143" spans="1:11">
      <c r="A143" s="52" t="s">
        <v>284</v>
      </c>
      <c r="B143" s="53" t="s">
        <v>157</v>
      </c>
      <c r="C143" s="53">
        <v>3085</v>
      </c>
      <c r="D143" s="53" t="s">
        <v>73</v>
      </c>
      <c r="E143" s="53" t="s">
        <v>26</v>
      </c>
      <c r="F143" s="53" t="s">
        <v>53</v>
      </c>
      <c r="G143" s="54">
        <v>18874.39</v>
      </c>
      <c r="H143" s="53" t="s">
        <v>13</v>
      </c>
      <c r="I143" s="55">
        <v>19805</v>
      </c>
      <c r="J143" s="53">
        <f t="shared" ca="1" si="2"/>
        <v>62</v>
      </c>
      <c r="K143" s="56"/>
    </row>
    <row r="144" spans="1:11">
      <c r="A144" s="52" t="s">
        <v>293</v>
      </c>
      <c r="B144" s="53" t="s">
        <v>24</v>
      </c>
      <c r="C144" s="53">
        <v>3126</v>
      </c>
      <c r="D144" s="53" t="s">
        <v>44</v>
      </c>
      <c r="E144" s="53" t="s">
        <v>26</v>
      </c>
      <c r="F144" s="53" t="s">
        <v>62</v>
      </c>
      <c r="G144" s="54">
        <v>12104.06</v>
      </c>
      <c r="H144" s="53" t="s">
        <v>13</v>
      </c>
      <c r="I144" s="55">
        <v>19753</v>
      </c>
      <c r="J144" s="53">
        <f t="shared" ca="1" si="2"/>
        <v>62</v>
      </c>
      <c r="K144" s="56"/>
    </row>
    <row r="145" spans="1:11">
      <c r="A145" s="52" t="s">
        <v>327</v>
      </c>
      <c r="B145" s="53" t="s">
        <v>143</v>
      </c>
      <c r="C145" s="53">
        <v>3130</v>
      </c>
      <c r="D145" s="53" t="s">
        <v>25</v>
      </c>
      <c r="E145" s="53" t="s">
        <v>26</v>
      </c>
      <c r="F145" s="53" t="s">
        <v>50</v>
      </c>
      <c r="G145" s="54">
        <v>10777.4</v>
      </c>
      <c r="H145" s="53" t="s">
        <v>13</v>
      </c>
      <c r="I145" s="55">
        <v>19672</v>
      </c>
      <c r="J145" s="53">
        <f t="shared" ca="1" si="2"/>
        <v>63</v>
      </c>
      <c r="K145" s="56"/>
    </row>
    <row r="146" spans="1:11">
      <c r="A146" s="52" t="s">
        <v>363</v>
      </c>
      <c r="B146" s="53" t="s">
        <v>131</v>
      </c>
      <c r="C146" s="53">
        <v>3206</v>
      </c>
      <c r="D146" s="53" t="s">
        <v>25</v>
      </c>
      <c r="E146" s="53" t="s">
        <v>26</v>
      </c>
      <c r="F146" s="53" t="s">
        <v>310</v>
      </c>
      <c r="G146" s="54">
        <v>8845.89</v>
      </c>
      <c r="H146" s="53" t="s">
        <v>13</v>
      </c>
      <c r="I146" s="55">
        <v>19817</v>
      </c>
      <c r="J146" s="53">
        <f t="shared" ca="1" si="2"/>
        <v>62</v>
      </c>
      <c r="K146" s="56"/>
    </row>
    <row r="147" spans="1:11">
      <c r="A147" s="52" t="s">
        <v>405</v>
      </c>
      <c r="B147" s="53" t="s">
        <v>406</v>
      </c>
      <c r="C147" s="53">
        <v>3723</v>
      </c>
      <c r="D147" s="53" t="s">
        <v>49</v>
      </c>
      <c r="E147" s="53" t="s">
        <v>11</v>
      </c>
      <c r="F147" s="53" t="s">
        <v>399</v>
      </c>
      <c r="G147" s="54">
        <v>10022.629999999999</v>
      </c>
      <c r="H147" s="53" t="s">
        <v>13</v>
      </c>
      <c r="I147" s="55">
        <v>19937</v>
      </c>
      <c r="J147" s="53">
        <f t="shared" ca="1" si="2"/>
        <v>62</v>
      </c>
      <c r="K147" s="56"/>
    </row>
    <row r="148" spans="1:11">
      <c r="A148" s="52" t="s">
        <v>441</v>
      </c>
      <c r="B148" s="53" t="s">
        <v>60</v>
      </c>
      <c r="C148" s="53">
        <v>3208</v>
      </c>
      <c r="D148" s="53" t="s">
        <v>10</v>
      </c>
      <c r="E148" s="53" t="s">
        <v>11</v>
      </c>
      <c r="F148" s="53" t="s">
        <v>110</v>
      </c>
      <c r="G148" s="54">
        <v>6385.74</v>
      </c>
      <c r="H148" s="53" t="s">
        <v>13</v>
      </c>
      <c r="I148" s="55">
        <v>19941</v>
      </c>
      <c r="J148" s="53">
        <f t="shared" ca="1" si="2"/>
        <v>62</v>
      </c>
      <c r="K148" s="56"/>
    </row>
    <row r="149" spans="1:11">
      <c r="A149" s="52" t="s">
        <v>456</v>
      </c>
      <c r="B149" s="53" t="s">
        <v>457</v>
      </c>
      <c r="C149" s="53">
        <v>3121</v>
      </c>
      <c r="D149" s="53" t="s">
        <v>25</v>
      </c>
      <c r="E149" s="53" t="s">
        <v>26</v>
      </c>
      <c r="F149" s="53" t="s">
        <v>224</v>
      </c>
      <c r="G149" s="54">
        <v>13725.44</v>
      </c>
      <c r="H149" s="53" t="s">
        <v>13</v>
      </c>
      <c r="I149" s="55">
        <v>19890</v>
      </c>
      <c r="J149" s="53">
        <f t="shared" ca="1" si="2"/>
        <v>62</v>
      </c>
      <c r="K149" s="56"/>
    </row>
    <row r="150" spans="1:11">
      <c r="A150" s="52" t="s">
        <v>481</v>
      </c>
      <c r="B150" s="53" t="s">
        <v>482</v>
      </c>
      <c r="C150" s="53">
        <v>3980</v>
      </c>
      <c r="D150" s="53" t="s">
        <v>16</v>
      </c>
      <c r="E150" s="53" t="s">
        <v>466</v>
      </c>
      <c r="F150" s="53" t="s">
        <v>394</v>
      </c>
      <c r="G150" s="54">
        <v>12610.66</v>
      </c>
      <c r="H150" s="53" t="s">
        <v>13</v>
      </c>
      <c r="I150" s="55">
        <v>19799</v>
      </c>
      <c r="J150" s="53">
        <f t="shared" ca="1" si="2"/>
        <v>62</v>
      </c>
      <c r="K150" s="56"/>
    </row>
    <row r="151" spans="1:11">
      <c r="A151" s="52" t="s">
        <v>505</v>
      </c>
      <c r="B151" s="53" t="s">
        <v>366</v>
      </c>
      <c r="C151" s="53">
        <v>3064</v>
      </c>
      <c r="D151" s="53" t="s">
        <v>44</v>
      </c>
      <c r="E151" s="53" t="s">
        <v>26</v>
      </c>
      <c r="F151" s="53" t="s">
        <v>248</v>
      </c>
      <c r="G151" s="54">
        <v>13363.49</v>
      </c>
      <c r="H151" s="53" t="s">
        <v>13</v>
      </c>
      <c r="I151" s="55">
        <v>19843</v>
      </c>
      <c r="J151" s="53">
        <f t="shared" ca="1" si="2"/>
        <v>62</v>
      </c>
      <c r="K151" s="56"/>
    </row>
    <row r="152" spans="1:11">
      <c r="A152" s="52" t="s">
        <v>517</v>
      </c>
      <c r="B152" s="53" t="s">
        <v>366</v>
      </c>
      <c r="C152" s="53">
        <v>3671</v>
      </c>
      <c r="D152" s="53" t="s">
        <v>44</v>
      </c>
      <c r="E152" s="53" t="s">
        <v>26</v>
      </c>
      <c r="F152" s="53" t="s">
        <v>221</v>
      </c>
      <c r="G152" s="54">
        <v>6664.8</v>
      </c>
      <c r="H152" s="53" t="s">
        <v>13</v>
      </c>
      <c r="I152" s="55">
        <v>19876</v>
      </c>
      <c r="J152" s="53">
        <f t="shared" ca="1" si="2"/>
        <v>62</v>
      </c>
      <c r="K152" s="56"/>
    </row>
    <row r="153" spans="1:11">
      <c r="A153" s="52" t="s">
        <v>46</v>
      </c>
      <c r="B153" s="53" t="s">
        <v>534</v>
      </c>
      <c r="C153" s="53">
        <v>3127</v>
      </c>
      <c r="D153" s="53" t="s">
        <v>10</v>
      </c>
      <c r="E153" s="53" t="s">
        <v>26</v>
      </c>
      <c r="F153" s="53" t="s">
        <v>41</v>
      </c>
      <c r="G153" s="54">
        <v>20635.11</v>
      </c>
      <c r="H153" s="53" t="s">
        <v>13</v>
      </c>
      <c r="I153" s="55">
        <v>20192</v>
      </c>
      <c r="J153" s="53">
        <f t="shared" ca="1" si="2"/>
        <v>61</v>
      </c>
      <c r="K153" s="56"/>
    </row>
    <row r="154" spans="1:11">
      <c r="A154" s="52" t="s">
        <v>392</v>
      </c>
      <c r="B154" s="53" t="s">
        <v>393</v>
      </c>
      <c r="C154" s="53">
        <v>3618</v>
      </c>
      <c r="D154" s="53" t="s">
        <v>16</v>
      </c>
      <c r="E154" s="53" t="s">
        <v>11</v>
      </c>
      <c r="F154" s="53" t="s">
        <v>394</v>
      </c>
      <c r="G154" s="54">
        <v>12358.23</v>
      </c>
      <c r="H154" s="53" t="s">
        <v>18</v>
      </c>
      <c r="I154" s="55">
        <v>20109</v>
      </c>
      <c r="J154" s="53">
        <f t="shared" ca="1" si="2"/>
        <v>61</v>
      </c>
      <c r="K154" s="56"/>
    </row>
    <row r="155" spans="1:11">
      <c r="A155" s="52" t="s">
        <v>428</v>
      </c>
      <c r="B155" s="53" t="s">
        <v>429</v>
      </c>
      <c r="C155" s="53">
        <v>3015</v>
      </c>
      <c r="D155" s="53" t="s">
        <v>73</v>
      </c>
      <c r="E155" s="53" t="s">
        <v>26</v>
      </c>
      <c r="F155" s="53" t="s">
        <v>152</v>
      </c>
      <c r="G155" s="54">
        <v>18220.09</v>
      </c>
      <c r="H155" s="53" t="s">
        <v>13</v>
      </c>
      <c r="I155" s="55">
        <v>20096</v>
      </c>
      <c r="J155" s="53">
        <f t="shared" ca="1" si="2"/>
        <v>61</v>
      </c>
      <c r="K155" s="56"/>
    </row>
    <row r="156" spans="1:11">
      <c r="A156" s="52" t="s">
        <v>476</v>
      </c>
      <c r="B156" s="53" t="s">
        <v>477</v>
      </c>
      <c r="C156" s="53">
        <v>3160</v>
      </c>
      <c r="D156" s="53" t="s">
        <v>10</v>
      </c>
      <c r="E156" s="53" t="s">
        <v>11</v>
      </c>
      <c r="F156" s="53" t="s">
        <v>178</v>
      </c>
      <c r="G156" s="54">
        <v>15228.89</v>
      </c>
      <c r="H156" s="53" t="s">
        <v>13</v>
      </c>
      <c r="I156" s="55">
        <v>20263</v>
      </c>
      <c r="J156" s="53">
        <f t="shared" ca="1" si="2"/>
        <v>61</v>
      </c>
      <c r="K156" s="56"/>
    </row>
    <row r="157" spans="1:11">
      <c r="A157" s="52" t="s">
        <v>504</v>
      </c>
      <c r="B157" s="53" t="s">
        <v>298</v>
      </c>
      <c r="C157" s="53">
        <v>3333</v>
      </c>
      <c r="D157" s="53" t="s">
        <v>25</v>
      </c>
      <c r="E157" s="53" t="s">
        <v>26</v>
      </c>
      <c r="F157" s="53" t="s">
        <v>53</v>
      </c>
      <c r="G157" s="54">
        <v>18929.98</v>
      </c>
      <c r="H157" s="53" t="s">
        <v>18</v>
      </c>
      <c r="I157" s="55">
        <v>20280</v>
      </c>
      <c r="J157" s="53">
        <f t="shared" ca="1" si="2"/>
        <v>61</v>
      </c>
      <c r="K157" s="56"/>
    </row>
    <row r="158" spans="1:11">
      <c r="A158" s="52" t="s">
        <v>34</v>
      </c>
      <c r="B158" s="53" t="s">
        <v>37</v>
      </c>
      <c r="C158" s="53">
        <v>3421</v>
      </c>
      <c r="D158" s="53" t="s">
        <v>38</v>
      </c>
      <c r="E158" s="53" t="s">
        <v>39</v>
      </c>
      <c r="F158" s="53" t="s">
        <v>33</v>
      </c>
      <c r="G158" s="54">
        <v>17480.689999999999</v>
      </c>
      <c r="H158" s="53" t="s">
        <v>13</v>
      </c>
      <c r="I158" s="55">
        <v>20595</v>
      </c>
      <c r="J158" s="53">
        <f t="shared" ca="1" si="2"/>
        <v>60</v>
      </c>
      <c r="K158" s="56"/>
    </row>
    <row r="159" spans="1:11">
      <c r="A159" s="52" t="s">
        <v>158</v>
      </c>
      <c r="B159" s="53" t="s">
        <v>159</v>
      </c>
      <c r="C159" s="53">
        <v>3778</v>
      </c>
      <c r="D159" s="53" t="s">
        <v>16</v>
      </c>
      <c r="E159" s="53" t="s">
        <v>11</v>
      </c>
      <c r="F159" s="53" t="s">
        <v>33</v>
      </c>
      <c r="G159" s="54">
        <v>17046.79</v>
      </c>
      <c r="H159" s="53" t="s">
        <v>13</v>
      </c>
      <c r="I159" s="55">
        <v>20546</v>
      </c>
      <c r="J159" s="53">
        <f t="shared" ca="1" si="2"/>
        <v>60</v>
      </c>
      <c r="K159" s="56"/>
    </row>
    <row r="160" spans="1:11">
      <c r="A160" s="52" t="s">
        <v>232</v>
      </c>
      <c r="B160" s="53" t="s">
        <v>233</v>
      </c>
      <c r="C160" s="53">
        <v>3717</v>
      </c>
      <c r="D160" s="53" t="s">
        <v>25</v>
      </c>
      <c r="E160" s="53" t="s">
        <v>26</v>
      </c>
      <c r="F160" s="53" t="s">
        <v>41</v>
      </c>
      <c r="G160" s="54">
        <v>20981.38</v>
      </c>
      <c r="H160" s="53" t="s">
        <v>18</v>
      </c>
      <c r="I160" s="55">
        <v>20628</v>
      </c>
      <c r="J160" s="53">
        <f t="shared" ca="1" si="2"/>
        <v>60</v>
      </c>
      <c r="K160" s="56"/>
    </row>
    <row r="161" spans="1:11">
      <c r="A161" s="52" t="s">
        <v>256</v>
      </c>
      <c r="B161" s="53" t="s">
        <v>257</v>
      </c>
      <c r="C161" s="53">
        <v>3137</v>
      </c>
      <c r="D161" s="53" t="s">
        <v>21</v>
      </c>
      <c r="E161" s="53" t="s">
        <v>11</v>
      </c>
      <c r="F161" s="53" t="s">
        <v>53</v>
      </c>
      <c r="G161" s="54">
        <v>18686.79</v>
      </c>
      <c r="H161" s="53" t="s">
        <v>13</v>
      </c>
      <c r="I161" s="55">
        <v>20440</v>
      </c>
      <c r="J161" s="53">
        <f t="shared" ca="1" si="2"/>
        <v>60</v>
      </c>
      <c r="K161" s="56"/>
    </row>
    <row r="162" spans="1:11">
      <c r="A162" s="52" t="s">
        <v>323</v>
      </c>
      <c r="B162" s="53" t="s">
        <v>67</v>
      </c>
      <c r="C162" s="53">
        <v>3676</v>
      </c>
      <c r="D162" s="53" t="s">
        <v>44</v>
      </c>
      <c r="E162" s="53" t="s">
        <v>26</v>
      </c>
      <c r="F162" s="53" t="s">
        <v>92</v>
      </c>
      <c r="G162" s="54">
        <v>14470.6</v>
      </c>
      <c r="H162" s="53" t="s">
        <v>13</v>
      </c>
      <c r="I162" s="55">
        <v>20426</v>
      </c>
      <c r="J162" s="53">
        <f t="shared" ca="1" si="2"/>
        <v>60</v>
      </c>
      <c r="K162" s="56"/>
    </row>
    <row r="163" spans="1:11">
      <c r="A163" s="52" t="s">
        <v>395</v>
      </c>
      <c r="B163" s="53" t="s">
        <v>396</v>
      </c>
      <c r="C163" s="53">
        <v>3150</v>
      </c>
      <c r="D163" s="53" t="s">
        <v>25</v>
      </c>
      <c r="E163" s="53" t="s">
        <v>26</v>
      </c>
      <c r="F163" s="53" t="s">
        <v>242</v>
      </c>
      <c r="G163" s="54">
        <v>11180.79</v>
      </c>
      <c r="H163" s="53" t="s">
        <v>18</v>
      </c>
      <c r="I163" s="55">
        <v>20412</v>
      </c>
      <c r="J163" s="53">
        <f t="shared" ca="1" si="2"/>
        <v>61</v>
      </c>
      <c r="K163" s="56"/>
    </row>
    <row r="164" spans="1:11">
      <c r="A164" s="52" t="s">
        <v>434</v>
      </c>
      <c r="B164" s="53" t="s">
        <v>168</v>
      </c>
      <c r="C164" s="53">
        <v>3198</v>
      </c>
      <c r="D164" s="53" t="s">
        <v>25</v>
      </c>
      <c r="E164" s="53" t="s">
        <v>26</v>
      </c>
      <c r="F164" s="53" t="s">
        <v>435</v>
      </c>
      <c r="G164" s="54">
        <v>18971.62</v>
      </c>
      <c r="H164" s="53" t="s">
        <v>18</v>
      </c>
      <c r="I164" s="55">
        <v>20448</v>
      </c>
      <c r="J164" s="53">
        <f t="shared" ca="1" si="2"/>
        <v>60</v>
      </c>
      <c r="K164" s="56"/>
    </row>
    <row r="165" spans="1:11">
      <c r="A165" s="52" t="s">
        <v>186</v>
      </c>
      <c r="B165" s="53" t="s">
        <v>109</v>
      </c>
      <c r="C165" s="53">
        <v>3076</v>
      </c>
      <c r="D165" s="53" t="s">
        <v>49</v>
      </c>
      <c r="E165" s="53" t="s">
        <v>11</v>
      </c>
      <c r="F165" s="53" t="s">
        <v>187</v>
      </c>
      <c r="G165" s="54">
        <v>8332.08</v>
      </c>
      <c r="H165" s="53" t="s">
        <v>18</v>
      </c>
      <c r="I165" s="55">
        <v>20816</v>
      </c>
      <c r="J165" s="53">
        <f t="shared" ca="1" si="2"/>
        <v>59</v>
      </c>
      <c r="K165" s="56"/>
    </row>
    <row r="166" spans="1:11">
      <c r="A166" s="52" t="s">
        <v>269</v>
      </c>
      <c r="B166" s="53" t="s">
        <v>270</v>
      </c>
      <c r="C166" s="53">
        <v>3145</v>
      </c>
      <c r="D166" s="53" t="s">
        <v>25</v>
      </c>
      <c r="E166" s="53" t="s">
        <v>26</v>
      </c>
      <c r="F166" s="53" t="s">
        <v>175</v>
      </c>
      <c r="G166" s="54">
        <v>20188.98</v>
      </c>
      <c r="H166" s="53" t="s">
        <v>18</v>
      </c>
      <c r="I166" s="55">
        <v>20946</v>
      </c>
      <c r="J166" s="53">
        <f t="shared" ca="1" si="2"/>
        <v>59</v>
      </c>
      <c r="K166" s="56"/>
    </row>
    <row r="167" spans="1:11">
      <c r="A167" s="52" t="s">
        <v>528</v>
      </c>
      <c r="B167" s="53" t="s">
        <v>270</v>
      </c>
      <c r="C167" s="53">
        <v>3675</v>
      </c>
      <c r="D167" s="53" t="s">
        <v>25</v>
      </c>
      <c r="E167" s="53" t="s">
        <v>26</v>
      </c>
      <c r="F167" s="53" t="s">
        <v>56</v>
      </c>
      <c r="G167" s="54">
        <v>7350.36</v>
      </c>
      <c r="H167" s="53" t="s">
        <v>13</v>
      </c>
      <c r="I167" s="55">
        <v>20983</v>
      </c>
      <c r="J167" s="53">
        <f t="shared" ca="1" si="2"/>
        <v>59</v>
      </c>
      <c r="K167" s="56"/>
    </row>
    <row r="168" spans="1:11">
      <c r="A168" s="52" t="s">
        <v>343</v>
      </c>
      <c r="B168" s="53" t="s">
        <v>344</v>
      </c>
      <c r="C168" s="53">
        <v>3124</v>
      </c>
      <c r="D168" s="53" t="s">
        <v>49</v>
      </c>
      <c r="E168" s="53" t="s">
        <v>11</v>
      </c>
      <c r="F168" s="53" t="s">
        <v>185</v>
      </c>
      <c r="G168" s="54">
        <v>7046.35</v>
      </c>
      <c r="H168" s="53" t="s">
        <v>18</v>
      </c>
      <c r="I168" s="55">
        <v>20886</v>
      </c>
      <c r="J168" s="53">
        <f t="shared" ca="1" si="2"/>
        <v>59</v>
      </c>
      <c r="K168" s="56"/>
    </row>
    <row r="169" spans="1:11">
      <c r="A169" s="52" t="s">
        <v>345</v>
      </c>
      <c r="B169" s="53" t="s">
        <v>346</v>
      </c>
      <c r="C169" s="53">
        <v>3722</v>
      </c>
      <c r="D169" s="53" t="s">
        <v>44</v>
      </c>
      <c r="E169" s="53" t="s">
        <v>26</v>
      </c>
      <c r="F169" s="53" t="s">
        <v>27</v>
      </c>
      <c r="G169" s="54">
        <v>6483.13</v>
      </c>
      <c r="H169" s="53" t="s">
        <v>13</v>
      </c>
      <c r="I169" s="55">
        <v>20820</v>
      </c>
      <c r="J169" s="53">
        <f t="shared" ca="1" si="2"/>
        <v>59</v>
      </c>
      <c r="K169" s="56"/>
    </row>
    <row r="170" spans="1:11">
      <c r="A170" s="52" t="s">
        <v>354</v>
      </c>
      <c r="B170" s="53" t="s">
        <v>355</v>
      </c>
      <c r="C170" s="53">
        <v>3844</v>
      </c>
      <c r="D170" s="53" t="s">
        <v>25</v>
      </c>
      <c r="E170" s="53" t="s">
        <v>26</v>
      </c>
      <c r="F170" s="53" t="s">
        <v>107</v>
      </c>
      <c r="G170" s="54">
        <v>17045.2</v>
      </c>
      <c r="H170" s="53" t="s">
        <v>13</v>
      </c>
      <c r="I170" s="55">
        <v>20793</v>
      </c>
      <c r="J170" s="53">
        <f t="shared" ca="1" si="2"/>
        <v>59</v>
      </c>
      <c r="K170" s="56"/>
    </row>
    <row r="171" spans="1:11">
      <c r="A171" s="52" t="s">
        <v>364</v>
      </c>
      <c r="B171" s="53" t="s">
        <v>365</v>
      </c>
      <c r="C171" s="53">
        <v>3131</v>
      </c>
      <c r="D171" s="53" t="s">
        <v>44</v>
      </c>
      <c r="E171" s="53" t="s">
        <v>26</v>
      </c>
      <c r="F171" s="53" t="s">
        <v>17</v>
      </c>
      <c r="G171" s="54">
        <v>16387.22</v>
      </c>
      <c r="H171" s="53" t="s">
        <v>18</v>
      </c>
      <c r="I171" s="55">
        <v>20942</v>
      </c>
      <c r="J171" s="53">
        <f t="shared" ca="1" si="2"/>
        <v>59</v>
      </c>
      <c r="K171" s="56"/>
    </row>
    <row r="172" spans="1:11">
      <c r="A172" s="52" t="s">
        <v>416</v>
      </c>
      <c r="B172" s="53" t="s">
        <v>76</v>
      </c>
      <c r="C172" s="53">
        <v>3413</v>
      </c>
      <c r="D172" s="53" t="s">
        <v>59</v>
      </c>
      <c r="E172" s="53" t="s">
        <v>26</v>
      </c>
      <c r="F172" s="53" t="s">
        <v>152</v>
      </c>
      <c r="G172" s="54">
        <v>17832.099999999999</v>
      </c>
      <c r="H172" s="53" t="s">
        <v>13</v>
      </c>
      <c r="I172" s="55">
        <v>20971</v>
      </c>
      <c r="J172" s="53">
        <f t="shared" ca="1" si="2"/>
        <v>59</v>
      </c>
      <c r="K172" s="56"/>
    </row>
    <row r="173" spans="1:11">
      <c r="A173" s="52" t="s">
        <v>425</v>
      </c>
      <c r="B173" s="53" t="s">
        <v>64</v>
      </c>
      <c r="C173" s="53">
        <v>3765</v>
      </c>
      <c r="D173" s="53" t="s">
        <v>10</v>
      </c>
      <c r="E173" s="53" t="s">
        <v>11</v>
      </c>
      <c r="F173" s="53" t="s">
        <v>187</v>
      </c>
      <c r="G173" s="54">
        <v>8360.74</v>
      </c>
      <c r="H173" s="53" t="s">
        <v>18</v>
      </c>
      <c r="I173" s="55">
        <v>20907</v>
      </c>
      <c r="J173" s="53">
        <f t="shared" ca="1" si="2"/>
        <v>59</v>
      </c>
      <c r="K173" s="56"/>
    </row>
    <row r="174" spans="1:11">
      <c r="A174" s="52" t="s">
        <v>448</v>
      </c>
      <c r="B174" s="53" t="s">
        <v>37</v>
      </c>
      <c r="C174" s="53">
        <v>3531</v>
      </c>
      <c r="D174" s="53" t="s">
        <v>38</v>
      </c>
      <c r="E174" s="53" t="s">
        <v>39</v>
      </c>
      <c r="F174" s="53" t="s">
        <v>399</v>
      </c>
      <c r="G174" s="54">
        <v>9896.7099999999991</v>
      </c>
      <c r="H174" s="53" t="s">
        <v>13</v>
      </c>
      <c r="I174" s="55">
        <v>20998</v>
      </c>
      <c r="J174" s="53">
        <f t="shared" ca="1" si="2"/>
        <v>59</v>
      </c>
      <c r="K174" s="56"/>
    </row>
    <row r="175" spans="1:11">
      <c r="A175" s="52" t="s">
        <v>458</v>
      </c>
      <c r="B175" s="53" t="s">
        <v>413</v>
      </c>
      <c r="C175" s="53">
        <v>3165</v>
      </c>
      <c r="D175" s="53" t="s">
        <v>21</v>
      </c>
      <c r="E175" s="53" t="s">
        <v>11</v>
      </c>
      <c r="F175" s="53" t="s">
        <v>310</v>
      </c>
      <c r="G175" s="54">
        <v>8838.44</v>
      </c>
      <c r="H175" s="53" t="s">
        <v>18</v>
      </c>
      <c r="I175" s="55">
        <v>21052</v>
      </c>
      <c r="J175" s="53">
        <f t="shared" ca="1" si="2"/>
        <v>59</v>
      </c>
      <c r="K175" s="56"/>
    </row>
    <row r="176" spans="1:11">
      <c r="A176" s="52" t="s">
        <v>19</v>
      </c>
      <c r="B176" s="53" t="s">
        <v>20</v>
      </c>
      <c r="C176" s="53">
        <v>3055</v>
      </c>
      <c r="D176" s="53" t="s">
        <v>21</v>
      </c>
      <c r="E176" s="53" t="s">
        <v>11</v>
      </c>
      <c r="F176" s="53" t="s">
        <v>22</v>
      </c>
      <c r="G176" s="54">
        <v>16036.97</v>
      </c>
      <c r="H176" s="53" t="s">
        <v>18</v>
      </c>
      <c r="I176" s="55">
        <v>21170</v>
      </c>
      <c r="J176" s="53">
        <f t="shared" ca="1" si="2"/>
        <v>58</v>
      </c>
      <c r="K176" s="56"/>
    </row>
    <row r="177" spans="1:11">
      <c r="A177" s="52" t="s">
        <v>63</v>
      </c>
      <c r="B177" s="53" t="s">
        <v>64</v>
      </c>
      <c r="C177" s="53">
        <v>3090</v>
      </c>
      <c r="D177" s="53" t="s">
        <v>38</v>
      </c>
      <c r="E177" s="53" t="s">
        <v>39</v>
      </c>
      <c r="F177" s="53" t="s">
        <v>65</v>
      </c>
      <c r="G177" s="54">
        <v>12212.25</v>
      </c>
      <c r="H177" s="53" t="s">
        <v>18</v>
      </c>
      <c r="I177" s="55">
        <v>21220</v>
      </c>
      <c r="J177" s="53">
        <f t="shared" ca="1" si="2"/>
        <v>58</v>
      </c>
      <c r="K177" s="56"/>
    </row>
    <row r="178" spans="1:11">
      <c r="A178" s="52" t="s">
        <v>130</v>
      </c>
      <c r="B178" s="53" t="s">
        <v>131</v>
      </c>
      <c r="C178" s="53">
        <v>3009</v>
      </c>
      <c r="D178" s="53" t="s">
        <v>25</v>
      </c>
      <c r="E178" s="53" t="s">
        <v>26</v>
      </c>
      <c r="F178" s="53" t="s">
        <v>92</v>
      </c>
      <c r="G178" s="54">
        <v>14127.65</v>
      </c>
      <c r="H178" s="53" t="s">
        <v>13</v>
      </c>
      <c r="I178" s="55">
        <v>21253</v>
      </c>
      <c r="J178" s="53">
        <f t="shared" ca="1" si="2"/>
        <v>58</v>
      </c>
      <c r="K178" s="56"/>
    </row>
    <row r="179" spans="1:11">
      <c r="A179" s="52" t="s">
        <v>174</v>
      </c>
      <c r="B179" s="53" t="s">
        <v>535</v>
      </c>
      <c r="C179" s="53">
        <v>3627</v>
      </c>
      <c r="D179" s="53" t="s">
        <v>25</v>
      </c>
      <c r="E179" s="53" t="s">
        <v>26</v>
      </c>
      <c r="F179" s="53" t="s">
        <v>175</v>
      </c>
      <c r="G179" s="54">
        <v>20065.580000000002</v>
      </c>
      <c r="H179" s="53" t="s">
        <v>13</v>
      </c>
      <c r="I179" s="55">
        <v>21410</v>
      </c>
      <c r="J179" s="53">
        <f t="shared" ca="1" si="2"/>
        <v>58</v>
      </c>
      <c r="K179" s="56"/>
    </row>
    <row r="180" spans="1:11">
      <c r="A180" s="52" t="s">
        <v>197</v>
      </c>
      <c r="B180" s="53" t="s">
        <v>198</v>
      </c>
      <c r="C180" s="53">
        <v>3631</v>
      </c>
      <c r="D180" s="53" t="s">
        <v>10</v>
      </c>
      <c r="E180" s="53" t="s">
        <v>11</v>
      </c>
      <c r="F180" s="53" t="s">
        <v>199</v>
      </c>
      <c r="G180" s="54">
        <v>7539.83</v>
      </c>
      <c r="H180" s="53" t="s">
        <v>13</v>
      </c>
      <c r="I180" s="55">
        <v>21218</v>
      </c>
      <c r="J180" s="53">
        <f t="shared" ca="1" si="2"/>
        <v>58</v>
      </c>
      <c r="K180" s="56"/>
    </row>
    <row r="181" spans="1:11">
      <c r="A181" s="52" t="s">
        <v>237</v>
      </c>
      <c r="B181" s="53" t="s">
        <v>408</v>
      </c>
      <c r="C181" s="53">
        <v>3861</v>
      </c>
      <c r="D181" s="53" t="s">
        <v>136</v>
      </c>
      <c r="E181" s="53" t="s">
        <v>11</v>
      </c>
      <c r="F181" s="53" t="s">
        <v>41</v>
      </c>
      <c r="G181" s="54">
        <v>20593.169999999998</v>
      </c>
      <c r="H181" s="53" t="s">
        <v>13</v>
      </c>
      <c r="I181" s="55">
        <v>21381</v>
      </c>
      <c r="J181" s="53">
        <f t="shared" ca="1" si="2"/>
        <v>58</v>
      </c>
      <c r="K181" s="56"/>
    </row>
    <row r="182" spans="1:11">
      <c r="A182" s="52" t="s">
        <v>238</v>
      </c>
      <c r="B182" s="53" t="s">
        <v>180</v>
      </c>
      <c r="C182" s="53">
        <v>3557</v>
      </c>
      <c r="D182" s="53" t="s">
        <v>16</v>
      </c>
      <c r="E182" s="53" t="s">
        <v>11</v>
      </c>
      <c r="F182" s="53" t="s">
        <v>239</v>
      </c>
      <c r="G182" s="54">
        <v>9848.66</v>
      </c>
      <c r="H182" s="53" t="s">
        <v>18</v>
      </c>
      <c r="I182" s="55">
        <v>21243</v>
      </c>
      <c r="J182" s="53">
        <f t="shared" ca="1" si="2"/>
        <v>58</v>
      </c>
      <c r="K182" s="56"/>
    </row>
    <row r="183" spans="1:11">
      <c r="A183" s="52" t="s">
        <v>332</v>
      </c>
      <c r="B183" s="53" t="s">
        <v>131</v>
      </c>
      <c r="C183" s="53">
        <v>3153</v>
      </c>
      <c r="D183" s="53" t="s">
        <v>25</v>
      </c>
      <c r="E183" s="53" t="s">
        <v>26</v>
      </c>
      <c r="F183" s="53" t="s">
        <v>333</v>
      </c>
      <c r="G183" s="54">
        <v>11098.92</v>
      </c>
      <c r="H183" s="53" t="s">
        <v>13</v>
      </c>
      <c r="I183" s="55">
        <v>21315</v>
      </c>
      <c r="J183" s="53">
        <f t="shared" ca="1" si="2"/>
        <v>58</v>
      </c>
      <c r="K183" s="56"/>
    </row>
    <row r="184" spans="1:11">
      <c r="A184" s="52" t="s">
        <v>414</v>
      </c>
      <c r="B184" s="53" t="s">
        <v>229</v>
      </c>
      <c r="C184" s="53">
        <v>3073</v>
      </c>
      <c r="D184" s="53" t="s">
        <v>44</v>
      </c>
      <c r="E184" s="53" t="s">
        <v>26</v>
      </c>
      <c r="F184" s="53" t="s">
        <v>107</v>
      </c>
      <c r="G184" s="54">
        <v>16991.62</v>
      </c>
      <c r="H184" s="53" t="s">
        <v>13</v>
      </c>
      <c r="I184" s="55">
        <v>21220</v>
      </c>
      <c r="J184" s="53">
        <f t="shared" ca="1" si="2"/>
        <v>58</v>
      </c>
      <c r="K184" s="56"/>
    </row>
    <row r="185" spans="1:11">
      <c r="A185" s="52" t="s">
        <v>522</v>
      </c>
      <c r="B185" s="53" t="s">
        <v>453</v>
      </c>
      <c r="C185" s="53">
        <v>3663</v>
      </c>
      <c r="D185" s="53" t="s">
        <v>73</v>
      </c>
      <c r="E185" s="53" t="s">
        <v>26</v>
      </c>
      <c r="F185" s="53" t="s">
        <v>92</v>
      </c>
      <c r="G185" s="54">
        <v>14593.66</v>
      </c>
      <c r="H185" s="53" t="s">
        <v>13</v>
      </c>
      <c r="I185" s="55">
        <v>21165</v>
      </c>
      <c r="J185" s="53">
        <f t="shared" ca="1" si="2"/>
        <v>58</v>
      </c>
      <c r="K185" s="56"/>
    </row>
    <row r="186" spans="1:11">
      <c r="A186" s="52" t="s">
        <v>499</v>
      </c>
      <c r="B186" s="53" t="s">
        <v>157</v>
      </c>
      <c r="C186" s="53">
        <v>3019</v>
      </c>
      <c r="D186" s="53" t="s">
        <v>44</v>
      </c>
      <c r="E186" s="53" t="s">
        <v>26</v>
      </c>
      <c r="F186" s="53" t="s">
        <v>205</v>
      </c>
      <c r="G186" s="54">
        <v>7964</v>
      </c>
      <c r="H186" s="53" t="s">
        <v>13</v>
      </c>
      <c r="I186" s="55">
        <v>21089</v>
      </c>
      <c r="J186" s="53">
        <f t="shared" ca="1" si="2"/>
        <v>59</v>
      </c>
      <c r="K186" s="56"/>
    </row>
    <row r="187" spans="1:11">
      <c r="A187" s="52" t="s">
        <v>120</v>
      </c>
      <c r="B187" s="53" t="s">
        <v>82</v>
      </c>
      <c r="C187" s="53">
        <v>3080</v>
      </c>
      <c r="D187" s="53" t="s">
        <v>121</v>
      </c>
      <c r="E187" s="53" t="s">
        <v>26</v>
      </c>
      <c r="F187" s="53" t="s">
        <v>92</v>
      </c>
      <c r="G187" s="54">
        <v>14847.91</v>
      </c>
      <c r="H187" s="53" t="s">
        <v>13</v>
      </c>
      <c r="I187" s="55">
        <v>21553</v>
      </c>
      <c r="J187" s="53">
        <f t="shared" ca="1" si="2"/>
        <v>57</v>
      </c>
      <c r="K187" s="56"/>
    </row>
    <row r="188" spans="1:11">
      <c r="A188" s="52" t="s">
        <v>203</v>
      </c>
      <c r="B188" s="53" t="s">
        <v>204</v>
      </c>
      <c r="C188" s="53">
        <v>3669</v>
      </c>
      <c r="D188" s="53" t="s">
        <v>73</v>
      </c>
      <c r="E188" s="53" t="s">
        <v>26</v>
      </c>
      <c r="F188" s="53" t="s">
        <v>205</v>
      </c>
      <c r="G188" s="54">
        <v>7913.25</v>
      </c>
      <c r="H188" s="53" t="s">
        <v>13</v>
      </c>
      <c r="I188" s="55">
        <v>21531</v>
      </c>
      <c r="J188" s="53">
        <f t="shared" ca="1" si="2"/>
        <v>57</v>
      </c>
      <c r="K188" s="56"/>
    </row>
    <row r="189" spans="1:11">
      <c r="A189" s="52" t="s">
        <v>283</v>
      </c>
      <c r="B189" s="53" t="s">
        <v>29</v>
      </c>
      <c r="C189" s="53">
        <v>3448</v>
      </c>
      <c r="D189" s="53" t="s">
        <v>59</v>
      </c>
      <c r="E189" s="53" t="s">
        <v>26</v>
      </c>
      <c r="F189" s="53" t="s">
        <v>207</v>
      </c>
      <c r="G189" s="54">
        <v>7994.24</v>
      </c>
      <c r="H189" s="53" t="s">
        <v>18</v>
      </c>
      <c r="I189" s="55">
        <v>21790</v>
      </c>
      <c r="J189" s="53">
        <f t="shared" ca="1" si="2"/>
        <v>57</v>
      </c>
      <c r="K189" s="56"/>
    </row>
    <row r="190" spans="1:11">
      <c r="A190" s="52" t="s">
        <v>292</v>
      </c>
      <c r="B190" s="53" t="s">
        <v>166</v>
      </c>
      <c r="C190" s="53">
        <v>3175</v>
      </c>
      <c r="D190" s="53" t="s">
        <v>44</v>
      </c>
      <c r="E190" s="53" t="s">
        <v>26</v>
      </c>
      <c r="F190" s="53" t="s">
        <v>189</v>
      </c>
      <c r="G190" s="54">
        <v>12019.26</v>
      </c>
      <c r="H190" s="53" t="s">
        <v>13</v>
      </c>
      <c r="I190" s="55">
        <v>21788</v>
      </c>
      <c r="J190" s="53">
        <f t="shared" ca="1" si="2"/>
        <v>57</v>
      </c>
      <c r="K190" s="56"/>
    </row>
    <row r="191" spans="1:11">
      <c r="A191" s="52" t="s">
        <v>169</v>
      </c>
      <c r="B191" s="53" t="s">
        <v>170</v>
      </c>
      <c r="C191" s="53">
        <v>3054</v>
      </c>
      <c r="D191" s="53" t="s">
        <v>136</v>
      </c>
      <c r="E191" s="53" t="s">
        <v>11</v>
      </c>
      <c r="F191" s="53" t="s">
        <v>171</v>
      </c>
      <c r="G191" s="54">
        <v>6659.39</v>
      </c>
      <c r="H191" s="53" t="s">
        <v>18</v>
      </c>
      <c r="I191" s="55">
        <v>22165</v>
      </c>
      <c r="J191" s="53">
        <f t="shared" ca="1" si="2"/>
        <v>56</v>
      </c>
      <c r="K191" s="56"/>
    </row>
    <row r="192" spans="1:11">
      <c r="A192" s="52" t="s">
        <v>316</v>
      </c>
      <c r="B192" s="53" t="s">
        <v>69</v>
      </c>
      <c r="C192" s="53">
        <v>3022</v>
      </c>
      <c r="D192" s="53" t="s">
        <v>49</v>
      </c>
      <c r="E192" s="53" t="s">
        <v>11</v>
      </c>
      <c r="F192" s="53" t="s">
        <v>162</v>
      </c>
      <c r="G192" s="54">
        <v>19391.580000000002</v>
      </c>
      <c r="H192" s="53" t="s">
        <v>13</v>
      </c>
      <c r="I192" s="55">
        <v>22056</v>
      </c>
      <c r="J192" s="53">
        <f t="shared" ca="1" si="2"/>
        <v>56</v>
      </c>
      <c r="K192" s="56"/>
    </row>
    <row r="193" spans="1:11">
      <c r="A193" s="52" t="s">
        <v>464</v>
      </c>
      <c r="B193" s="53" t="s">
        <v>465</v>
      </c>
      <c r="C193" s="53">
        <v>3035</v>
      </c>
      <c r="D193" s="53" t="s">
        <v>16</v>
      </c>
      <c r="E193" s="53" t="s">
        <v>466</v>
      </c>
      <c r="F193" s="53" t="s">
        <v>45</v>
      </c>
      <c r="G193" s="54">
        <v>15484.55</v>
      </c>
      <c r="H193" s="53" t="s">
        <v>18</v>
      </c>
      <c r="I193" s="55">
        <v>21984</v>
      </c>
      <c r="J193" s="53">
        <f t="shared" ca="1" si="2"/>
        <v>56</v>
      </c>
      <c r="K193" s="56"/>
    </row>
    <row r="194" spans="1:11">
      <c r="A194" s="52" t="s">
        <v>531</v>
      </c>
      <c r="B194" s="53" t="s">
        <v>60</v>
      </c>
      <c r="C194" s="53">
        <v>3070</v>
      </c>
      <c r="D194" s="53" t="s">
        <v>49</v>
      </c>
      <c r="E194" s="53" t="s">
        <v>11</v>
      </c>
      <c r="F194" s="53" t="s">
        <v>36</v>
      </c>
      <c r="G194" s="54">
        <v>10537.74</v>
      </c>
      <c r="H194" s="53" t="s">
        <v>13</v>
      </c>
      <c r="I194" s="55">
        <v>22436</v>
      </c>
      <c r="J194" s="53">
        <f t="shared" ca="1" si="2"/>
        <v>55</v>
      </c>
      <c r="K194" s="56"/>
    </row>
    <row r="195" spans="1:11">
      <c r="A195" s="52" t="s">
        <v>66</v>
      </c>
      <c r="B195" s="53" t="s">
        <v>69</v>
      </c>
      <c r="C195" s="53">
        <v>3880</v>
      </c>
      <c r="D195" s="53" t="s">
        <v>10</v>
      </c>
      <c r="E195" s="53" t="s">
        <v>11</v>
      </c>
      <c r="F195" s="53" t="s">
        <v>70</v>
      </c>
      <c r="G195" s="54">
        <v>19573.41</v>
      </c>
      <c r="H195" s="53" t="s">
        <v>13</v>
      </c>
      <c r="I195" s="55">
        <v>22375</v>
      </c>
      <c r="J195" s="53">
        <f t="shared" ca="1" si="2"/>
        <v>55</v>
      </c>
      <c r="K195" s="56"/>
    </row>
    <row r="196" spans="1:11">
      <c r="A196" s="63" t="s">
        <v>859</v>
      </c>
      <c r="B196" s="64" t="s">
        <v>381</v>
      </c>
      <c r="C196" s="64">
        <v>3133</v>
      </c>
      <c r="D196" s="64" t="s">
        <v>860</v>
      </c>
      <c r="E196" s="64" t="s">
        <v>26</v>
      </c>
      <c r="F196" s="64" t="s">
        <v>861</v>
      </c>
      <c r="G196" s="65">
        <v>20000</v>
      </c>
      <c r="H196" s="64" t="s">
        <v>13</v>
      </c>
      <c r="I196" s="66">
        <v>22775</v>
      </c>
      <c r="J196" s="64">
        <f t="shared" ca="1" si="2"/>
        <v>54</v>
      </c>
      <c r="K196" s="67"/>
    </row>
    <row r="197" spans="1:11">
      <c r="A197" s="52" t="s">
        <v>390</v>
      </c>
      <c r="B197" s="53" t="s">
        <v>20</v>
      </c>
      <c r="C197" s="53">
        <v>3588</v>
      </c>
      <c r="D197" s="53" t="s">
        <v>21</v>
      </c>
      <c r="E197" s="53" t="s">
        <v>11</v>
      </c>
      <c r="F197" s="53" t="s">
        <v>391</v>
      </c>
      <c r="G197" s="54">
        <v>15276.08</v>
      </c>
      <c r="H197" s="53" t="s">
        <v>18</v>
      </c>
      <c r="I197" s="55">
        <v>22788</v>
      </c>
      <c r="J197" s="53">
        <f t="shared" ca="1" si="2"/>
        <v>54</v>
      </c>
      <c r="K197" s="56"/>
    </row>
    <row r="198" spans="1:11">
      <c r="A198" s="52" t="s">
        <v>350</v>
      </c>
      <c r="B198" s="53" t="s">
        <v>91</v>
      </c>
      <c r="C198" s="53">
        <v>3010</v>
      </c>
      <c r="D198" s="53" t="s">
        <v>44</v>
      </c>
      <c r="E198" s="53" t="s">
        <v>26</v>
      </c>
      <c r="F198" s="53" t="s">
        <v>22</v>
      </c>
      <c r="G198" s="54">
        <v>15723.23</v>
      </c>
      <c r="H198" s="53" t="s">
        <v>13</v>
      </c>
      <c r="I198" s="55">
        <v>23074</v>
      </c>
      <c r="J198" s="53">
        <f t="shared" ca="1" si="2"/>
        <v>53</v>
      </c>
      <c r="K198" s="56"/>
    </row>
    <row r="199" spans="1:11">
      <c r="A199" s="52" t="s">
        <v>412</v>
      </c>
      <c r="B199" s="53" t="s">
        <v>413</v>
      </c>
      <c r="C199" s="53">
        <v>3670</v>
      </c>
      <c r="D199" s="53" t="s">
        <v>21</v>
      </c>
      <c r="E199" s="53" t="s">
        <v>11</v>
      </c>
      <c r="F199" s="53" t="s">
        <v>162</v>
      </c>
      <c r="G199" s="54">
        <v>19004.669999999998</v>
      </c>
      <c r="H199" s="53" t="s">
        <v>18</v>
      </c>
      <c r="I199" s="55">
        <v>23090</v>
      </c>
      <c r="J199" s="53">
        <f t="shared" ca="1" si="2"/>
        <v>53</v>
      </c>
      <c r="K199" s="56"/>
    </row>
    <row r="200" spans="1:11">
      <c r="A200" s="52" t="s">
        <v>81</v>
      </c>
      <c r="B200" s="53" t="s">
        <v>82</v>
      </c>
      <c r="C200" s="53">
        <v>3486</v>
      </c>
      <c r="D200" s="53" t="s">
        <v>25</v>
      </c>
      <c r="E200" s="53" t="s">
        <v>26</v>
      </c>
      <c r="F200" s="53" t="s">
        <v>12</v>
      </c>
      <c r="G200" s="54">
        <v>13232.19</v>
      </c>
      <c r="H200" s="53" t="s">
        <v>13</v>
      </c>
      <c r="I200" s="55">
        <v>23582</v>
      </c>
      <c r="J200" s="53">
        <f t="shared" ca="1" si="2"/>
        <v>52</v>
      </c>
      <c r="K200" s="56"/>
    </row>
    <row r="201" spans="1:11">
      <c r="A201" s="52" t="s">
        <v>461</v>
      </c>
      <c r="B201" s="53" t="s">
        <v>116</v>
      </c>
      <c r="C201" s="53">
        <v>3563</v>
      </c>
      <c r="D201" s="53" t="s">
        <v>16</v>
      </c>
      <c r="E201" s="53" t="s">
        <v>11</v>
      </c>
      <c r="F201" s="53" t="s">
        <v>50</v>
      </c>
      <c r="G201" s="54">
        <v>10704.17</v>
      </c>
      <c r="H201" s="53" t="s">
        <v>13</v>
      </c>
      <c r="I201" s="55">
        <v>23458</v>
      </c>
      <c r="J201" s="53">
        <f t="shared" ca="1" si="2"/>
        <v>52</v>
      </c>
      <c r="K201" s="56"/>
    </row>
    <row r="202" spans="1:11">
      <c r="A202" s="52" t="s">
        <v>153</v>
      </c>
      <c r="B202" s="53" t="s">
        <v>64</v>
      </c>
      <c r="C202" s="53">
        <v>3879</v>
      </c>
      <c r="D202" s="53" t="s">
        <v>136</v>
      </c>
      <c r="E202" s="53" t="s">
        <v>11</v>
      </c>
      <c r="F202" s="53" t="s">
        <v>154</v>
      </c>
      <c r="G202" s="54">
        <v>12687.17</v>
      </c>
      <c r="H202" s="53" t="s">
        <v>18</v>
      </c>
      <c r="I202" s="55">
        <v>23864</v>
      </c>
      <c r="J202" s="53">
        <f t="shared" ca="1" si="2"/>
        <v>51</v>
      </c>
      <c r="K202" s="56"/>
    </row>
    <row r="203" spans="1:11">
      <c r="A203" s="52" t="s">
        <v>167</v>
      </c>
      <c r="B203" s="53" t="s">
        <v>168</v>
      </c>
      <c r="C203" s="53">
        <v>3173</v>
      </c>
      <c r="D203" s="53" t="s">
        <v>44</v>
      </c>
      <c r="E203" s="53" t="s">
        <v>26</v>
      </c>
      <c r="F203" s="53" t="s">
        <v>12</v>
      </c>
      <c r="G203" s="54">
        <v>12986.66</v>
      </c>
      <c r="H203" s="53" t="s">
        <v>18</v>
      </c>
      <c r="I203" s="55">
        <v>23650</v>
      </c>
      <c r="J203" s="53">
        <f t="shared" ca="1" si="2"/>
        <v>52</v>
      </c>
      <c r="K203" s="56"/>
    </row>
    <row r="204" spans="1:11">
      <c r="A204" s="52" t="s">
        <v>208</v>
      </c>
      <c r="B204" s="53" t="s">
        <v>116</v>
      </c>
      <c r="C204" s="53">
        <v>3119</v>
      </c>
      <c r="D204" s="53" t="s">
        <v>136</v>
      </c>
      <c r="E204" s="53" t="s">
        <v>11</v>
      </c>
      <c r="F204" s="53" t="s">
        <v>162</v>
      </c>
      <c r="G204" s="54">
        <v>19196.21</v>
      </c>
      <c r="H204" s="53" t="s">
        <v>13</v>
      </c>
      <c r="I204" s="55">
        <v>23889</v>
      </c>
      <c r="J204" s="53">
        <f t="shared" ref="J204:J267" ca="1" si="3">DATEDIF(I204,TODAY(),"y")</f>
        <v>51</v>
      </c>
      <c r="K204" s="56"/>
    </row>
    <row r="205" spans="1:11">
      <c r="A205" s="52" t="s">
        <v>371</v>
      </c>
      <c r="B205" s="53" t="s">
        <v>372</v>
      </c>
      <c r="C205" s="53">
        <v>3596</v>
      </c>
      <c r="D205" s="53" t="s">
        <v>373</v>
      </c>
      <c r="E205" s="53" t="s">
        <v>26</v>
      </c>
      <c r="F205" s="53" t="s">
        <v>70</v>
      </c>
      <c r="G205" s="54">
        <v>19755.02</v>
      </c>
      <c r="H205" s="53" t="s">
        <v>13</v>
      </c>
      <c r="I205" s="55">
        <v>23769</v>
      </c>
      <c r="J205" s="53">
        <f t="shared" ca="1" si="3"/>
        <v>51</v>
      </c>
      <c r="K205" s="56"/>
    </row>
    <row r="206" spans="1:11">
      <c r="A206" s="52" t="s">
        <v>75</v>
      </c>
      <c r="B206" s="53" t="s">
        <v>76</v>
      </c>
      <c r="C206" s="53">
        <v>3595</v>
      </c>
      <c r="D206" s="53" t="s">
        <v>73</v>
      </c>
      <c r="E206" s="53" t="s">
        <v>26</v>
      </c>
      <c r="F206" s="53" t="s">
        <v>77</v>
      </c>
      <c r="G206" s="54">
        <v>8635.34</v>
      </c>
      <c r="H206" s="53" t="s">
        <v>13</v>
      </c>
      <c r="I206" s="55">
        <v>24085</v>
      </c>
      <c r="J206" s="53">
        <f t="shared" ca="1" si="3"/>
        <v>50</v>
      </c>
      <c r="K206" s="56"/>
    </row>
    <row r="207" spans="1:11">
      <c r="A207" s="52" t="s">
        <v>200</v>
      </c>
      <c r="B207" s="53" t="s">
        <v>201</v>
      </c>
      <c r="C207" s="53">
        <v>3108</v>
      </c>
      <c r="D207" s="53" t="s">
        <v>25</v>
      </c>
      <c r="E207" s="53" t="s">
        <v>26</v>
      </c>
      <c r="F207" s="53" t="s">
        <v>185</v>
      </c>
      <c r="G207" s="54">
        <v>6859.76</v>
      </c>
      <c r="H207" s="53" t="s">
        <v>18</v>
      </c>
      <c r="I207" s="55">
        <v>24241</v>
      </c>
      <c r="J207" s="53">
        <f t="shared" ca="1" si="3"/>
        <v>50</v>
      </c>
      <c r="K207" s="56"/>
    </row>
    <row r="208" spans="1:11">
      <c r="A208" s="52" t="s">
        <v>290</v>
      </c>
      <c r="B208" s="53" t="s">
        <v>291</v>
      </c>
      <c r="C208" s="53">
        <v>3589</v>
      </c>
      <c r="D208" s="53" t="s">
        <v>16</v>
      </c>
      <c r="E208" s="53" t="s">
        <v>11</v>
      </c>
      <c r="F208" s="53" t="s">
        <v>70</v>
      </c>
      <c r="G208" s="54">
        <v>19575.28</v>
      </c>
      <c r="H208" s="53" t="s">
        <v>13</v>
      </c>
      <c r="I208" s="55">
        <v>24312</v>
      </c>
      <c r="J208" s="53">
        <f t="shared" ca="1" si="3"/>
        <v>50</v>
      </c>
      <c r="K208" s="56"/>
    </row>
    <row r="209" spans="1:11">
      <c r="A209" s="52" t="s">
        <v>380</v>
      </c>
      <c r="B209" s="53" t="s">
        <v>381</v>
      </c>
      <c r="C209" s="53">
        <v>3611</v>
      </c>
      <c r="D209" s="53" t="s">
        <v>38</v>
      </c>
      <c r="E209" s="53" t="s">
        <v>39</v>
      </c>
      <c r="F209" s="53" t="s">
        <v>41</v>
      </c>
      <c r="G209" s="54">
        <v>20879.54</v>
      </c>
      <c r="H209" s="53" t="s">
        <v>13</v>
      </c>
      <c r="I209" s="55">
        <v>24090</v>
      </c>
      <c r="J209" s="53">
        <f t="shared" ca="1" si="3"/>
        <v>50</v>
      </c>
      <c r="K209" s="56"/>
    </row>
    <row r="210" spans="1:11">
      <c r="A210" s="52" t="s">
        <v>483</v>
      </c>
      <c r="B210" s="53" t="s">
        <v>484</v>
      </c>
      <c r="C210" s="53">
        <v>3181</v>
      </c>
      <c r="D210" s="53" t="s">
        <v>16</v>
      </c>
      <c r="E210" s="53" t="s">
        <v>466</v>
      </c>
      <c r="F210" s="53" t="s">
        <v>22</v>
      </c>
      <c r="G210" s="54">
        <v>16065.92</v>
      </c>
      <c r="H210" s="53" t="s">
        <v>18</v>
      </c>
      <c r="I210" s="55">
        <v>24126</v>
      </c>
      <c r="J210" s="53">
        <f t="shared" ca="1" si="3"/>
        <v>50</v>
      </c>
      <c r="K210" s="56"/>
    </row>
    <row r="211" spans="1:11">
      <c r="A211" s="52" t="s">
        <v>485</v>
      </c>
      <c r="B211" s="53" t="s">
        <v>486</v>
      </c>
      <c r="C211" s="53">
        <v>3133</v>
      </c>
      <c r="D211" s="53" t="s">
        <v>38</v>
      </c>
      <c r="E211" s="53" t="s">
        <v>39</v>
      </c>
      <c r="F211" s="53" t="s">
        <v>339</v>
      </c>
      <c r="G211" s="54">
        <v>20500.91</v>
      </c>
      <c r="H211" s="53" t="s">
        <v>18</v>
      </c>
      <c r="I211" s="55">
        <v>24083</v>
      </c>
      <c r="J211" s="53">
        <f t="shared" ca="1" si="3"/>
        <v>50</v>
      </c>
      <c r="K211" s="56"/>
    </row>
    <row r="212" spans="1:11">
      <c r="A212" s="52" t="s">
        <v>188</v>
      </c>
      <c r="B212" s="53" t="s">
        <v>535</v>
      </c>
      <c r="C212" s="53">
        <v>3633</v>
      </c>
      <c r="D212" s="53" t="s">
        <v>44</v>
      </c>
      <c r="E212" s="53" t="s">
        <v>11</v>
      </c>
      <c r="F212" s="53" t="s">
        <v>189</v>
      </c>
      <c r="G212" s="54">
        <v>11600.02</v>
      </c>
      <c r="H212" s="53" t="s">
        <v>13</v>
      </c>
      <c r="I212" s="55">
        <v>24692</v>
      </c>
      <c r="J212" s="53">
        <f t="shared" ca="1" si="3"/>
        <v>49</v>
      </c>
      <c r="K212" s="56"/>
    </row>
    <row r="213" spans="1:11">
      <c r="A213" s="52" t="s">
        <v>225</v>
      </c>
      <c r="B213" s="53" t="s">
        <v>43</v>
      </c>
      <c r="C213" s="53">
        <v>3592</v>
      </c>
      <c r="D213" s="53" t="s">
        <v>25</v>
      </c>
      <c r="E213" s="53" t="s">
        <v>26</v>
      </c>
      <c r="F213" s="53" t="s">
        <v>226</v>
      </c>
      <c r="G213" s="54">
        <v>11573.08</v>
      </c>
      <c r="H213" s="53" t="s">
        <v>18</v>
      </c>
      <c r="I213" s="55">
        <v>24611</v>
      </c>
      <c r="J213" s="53">
        <f t="shared" ca="1" si="3"/>
        <v>49</v>
      </c>
      <c r="K213" s="56"/>
    </row>
    <row r="214" spans="1:11">
      <c r="A214" s="52" t="s">
        <v>502</v>
      </c>
      <c r="B214" s="53" t="s">
        <v>116</v>
      </c>
      <c r="C214" s="53">
        <v>3703</v>
      </c>
      <c r="D214" s="53" t="s">
        <v>10</v>
      </c>
      <c r="E214" s="53" t="s">
        <v>11</v>
      </c>
      <c r="F214" s="53" t="s">
        <v>92</v>
      </c>
      <c r="G214" s="54">
        <v>13803.31</v>
      </c>
      <c r="H214" s="53" t="s">
        <v>13</v>
      </c>
      <c r="I214" s="55">
        <v>24649</v>
      </c>
      <c r="J214" s="53">
        <f t="shared" ca="1" si="3"/>
        <v>49</v>
      </c>
      <c r="K214" s="56"/>
    </row>
    <row r="215" spans="1:11">
      <c r="A215" s="52" t="s">
        <v>28</v>
      </c>
      <c r="B215" s="53" t="s">
        <v>29</v>
      </c>
      <c r="C215" s="53">
        <v>3408</v>
      </c>
      <c r="D215" s="53" t="s">
        <v>10</v>
      </c>
      <c r="E215" s="53" t="s">
        <v>11</v>
      </c>
      <c r="F215" s="53" t="s">
        <v>30</v>
      </c>
      <c r="G215" s="54">
        <v>7765.85</v>
      </c>
      <c r="H215" s="53" t="s">
        <v>18</v>
      </c>
      <c r="I215" s="55">
        <v>24850</v>
      </c>
      <c r="J215" s="53">
        <f t="shared" ca="1" si="3"/>
        <v>48</v>
      </c>
      <c r="K215" s="56"/>
    </row>
    <row r="216" spans="1:11">
      <c r="A216" s="52" t="s">
        <v>108</v>
      </c>
      <c r="B216" s="53" t="s">
        <v>109</v>
      </c>
      <c r="C216" s="53">
        <v>3568</v>
      </c>
      <c r="D216" s="53" t="s">
        <v>25</v>
      </c>
      <c r="E216" s="53" t="s">
        <v>26</v>
      </c>
      <c r="F216" s="53" t="s">
        <v>110</v>
      </c>
      <c r="G216" s="54">
        <v>6372.99</v>
      </c>
      <c r="H216" s="53" t="s">
        <v>18</v>
      </c>
      <c r="I216" s="55">
        <v>24757</v>
      </c>
      <c r="J216" s="53">
        <f t="shared" ca="1" si="3"/>
        <v>49</v>
      </c>
      <c r="K216" s="56"/>
    </row>
    <row r="217" spans="1:11">
      <c r="A217" s="52" t="s">
        <v>134</v>
      </c>
      <c r="B217" s="53" t="s">
        <v>135</v>
      </c>
      <c r="C217" s="53">
        <v>3769</v>
      </c>
      <c r="D217" s="53" t="s">
        <v>136</v>
      </c>
      <c r="E217" s="53" t="s">
        <v>11</v>
      </c>
      <c r="F217" s="53" t="s">
        <v>137</v>
      </c>
      <c r="G217" s="54">
        <v>15248.4</v>
      </c>
      <c r="H217" s="53" t="s">
        <v>13</v>
      </c>
      <c r="I217" s="55">
        <v>25082</v>
      </c>
      <c r="J217" s="53">
        <f t="shared" ca="1" si="3"/>
        <v>48</v>
      </c>
      <c r="K217" s="56"/>
    </row>
    <row r="218" spans="1:11">
      <c r="A218" s="52" t="s">
        <v>147</v>
      </c>
      <c r="B218" s="53" t="s">
        <v>55</v>
      </c>
      <c r="C218" s="53">
        <v>3657</v>
      </c>
      <c r="D218" s="53" t="s">
        <v>16</v>
      </c>
      <c r="E218" s="53" t="s">
        <v>11</v>
      </c>
      <c r="F218" s="53" t="s">
        <v>36</v>
      </c>
      <c r="G218" s="54">
        <v>10449.92</v>
      </c>
      <c r="H218" s="53" t="s">
        <v>13</v>
      </c>
      <c r="I218" s="55">
        <v>24902</v>
      </c>
      <c r="J218" s="53">
        <f t="shared" ca="1" si="3"/>
        <v>48</v>
      </c>
      <c r="K218" s="56"/>
    </row>
    <row r="219" spans="1:11">
      <c r="A219" s="52" t="s">
        <v>183</v>
      </c>
      <c r="B219" s="53" t="s">
        <v>535</v>
      </c>
      <c r="C219" s="53">
        <v>3794</v>
      </c>
      <c r="D219" s="53" t="s">
        <v>25</v>
      </c>
      <c r="E219" s="53" t="s">
        <v>26</v>
      </c>
      <c r="F219" s="53" t="s">
        <v>65</v>
      </c>
      <c r="G219" s="54">
        <v>12207.02</v>
      </c>
      <c r="H219" s="53" t="s">
        <v>13</v>
      </c>
      <c r="I219" s="55">
        <v>24791</v>
      </c>
      <c r="J219" s="53">
        <f t="shared" ca="1" si="3"/>
        <v>49</v>
      </c>
      <c r="K219" s="56"/>
    </row>
    <row r="220" spans="1:11">
      <c r="A220" s="52" t="s">
        <v>260</v>
      </c>
      <c r="B220" s="53" t="s">
        <v>69</v>
      </c>
      <c r="C220" s="53">
        <v>3182</v>
      </c>
      <c r="D220" s="53" t="s">
        <v>10</v>
      </c>
      <c r="E220" s="53" t="s">
        <v>11</v>
      </c>
      <c r="F220" s="53" t="s">
        <v>162</v>
      </c>
      <c r="G220" s="54">
        <v>19027.830000000002</v>
      </c>
      <c r="H220" s="53" t="s">
        <v>13</v>
      </c>
      <c r="I220" s="55">
        <v>24772</v>
      </c>
      <c r="J220" s="53">
        <f t="shared" ca="1" si="3"/>
        <v>49</v>
      </c>
      <c r="K220" s="56"/>
    </row>
    <row r="221" spans="1:11">
      <c r="A221" s="52" t="s">
        <v>285</v>
      </c>
      <c r="B221" s="53" t="s">
        <v>286</v>
      </c>
      <c r="C221" s="53">
        <v>3679</v>
      </c>
      <c r="D221" s="53" t="s">
        <v>44</v>
      </c>
      <c r="E221" s="53" t="s">
        <v>26</v>
      </c>
      <c r="F221" s="53" t="s">
        <v>287</v>
      </c>
      <c r="G221" s="54">
        <v>17751.490000000002</v>
      </c>
      <c r="H221" s="53" t="s">
        <v>13</v>
      </c>
      <c r="I221" s="55">
        <v>24906</v>
      </c>
      <c r="J221" s="53">
        <f t="shared" ca="1" si="3"/>
        <v>48</v>
      </c>
      <c r="K221" s="56"/>
    </row>
    <row r="222" spans="1:11">
      <c r="A222" s="52" t="s">
        <v>320</v>
      </c>
      <c r="B222" s="53" t="s">
        <v>168</v>
      </c>
      <c r="C222" s="53">
        <v>3248</v>
      </c>
      <c r="D222" s="53" t="s">
        <v>44</v>
      </c>
      <c r="E222" s="53" t="s">
        <v>26</v>
      </c>
      <c r="F222" s="53" t="s">
        <v>110</v>
      </c>
      <c r="G222" s="54">
        <v>6393.8</v>
      </c>
      <c r="H222" s="53" t="s">
        <v>18</v>
      </c>
      <c r="I222" s="55">
        <v>24886</v>
      </c>
      <c r="J222" s="53">
        <f t="shared" ca="1" si="3"/>
        <v>48</v>
      </c>
      <c r="K222" s="56"/>
    </row>
    <row r="223" spans="1:11">
      <c r="A223" s="52" t="s">
        <v>337</v>
      </c>
      <c r="B223" s="53" t="s">
        <v>536</v>
      </c>
      <c r="C223" s="53">
        <v>3703</v>
      </c>
      <c r="D223" s="53" t="s">
        <v>10</v>
      </c>
      <c r="E223" s="53" t="s">
        <v>26</v>
      </c>
      <c r="F223" s="53" t="s">
        <v>22</v>
      </c>
      <c r="G223" s="54">
        <v>15660.05</v>
      </c>
      <c r="H223" s="53" t="s">
        <v>13</v>
      </c>
      <c r="I223" s="55">
        <v>24962</v>
      </c>
      <c r="J223" s="53">
        <f t="shared" ca="1" si="3"/>
        <v>48</v>
      </c>
      <c r="K223" s="56"/>
    </row>
    <row r="224" spans="1:11">
      <c r="A224" s="52" t="s">
        <v>370</v>
      </c>
      <c r="B224" s="53" t="s">
        <v>362</v>
      </c>
      <c r="C224" s="53">
        <v>3591</v>
      </c>
      <c r="D224" s="53" t="s">
        <v>59</v>
      </c>
      <c r="E224" s="53" t="s">
        <v>26</v>
      </c>
      <c r="F224" s="53" t="s">
        <v>12</v>
      </c>
      <c r="G224" s="54">
        <v>12927.11</v>
      </c>
      <c r="H224" s="53" t="s">
        <v>18</v>
      </c>
      <c r="I224" s="55">
        <v>24752</v>
      </c>
      <c r="J224" s="53">
        <f t="shared" ca="1" si="3"/>
        <v>49</v>
      </c>
      <c r="K224" s="56"/>
    </row>
    <row r="225" spans="1:11">
      <c r="A225" s="52" t="s">
        <v>418</v>
      </c>
      <c r="B225" s="53" t="s">
        <v>419</v>
      </c>
      <c r="C225" s="53">
        <v>3128</v>
      </c>
      <c r="D225" s="53" t="s">
        <v>25</v>
      </c>
      <c r="E225" s="53" t="s">
        <v>26</v>
      </c>
      <c r="F225" s="53" t="s">
        <v>387</v>
      </c>
      <c r="G225" s="54">
        <v>7233.96</v>
      </c>
      <c r="H225" s="53" t="s">
        <v>18</v>
      </c>
      <c r="I225" s="55">
        <v>24888</v>
      </c>
      <c r="J225" s="53">
        <f t="shared" ca="1" si="3"/>
        <v>48</v>
      </c>
      <c r="K225" s="56"/>
    </row>
    <row r="226" spans="1:11">
      <c r="A226" s="52" t="s">
        <v>478</v>
      </c>
      <c r="B226" s="53" t="s">
        <v>20</v>
      </c>
      <c r="C226" s="53">
        <v>3066</v>
      </c>
      <c r="D226" s="53" t="s">
        <v>21</v>
      </c>
      <c r="E226" s="53" t="s">
        <v>11</v>
      </c>
      <c r="F226" s="53" t="s">
        <v>92</v>
      </c>
      <c r="G226" s="54">
        <v>14345.97</v>
      </c>
      <c r="H226" s="53" t="s">
        <v>18</v>
      </c>
      <c r="I226" s="55">
        <v>24893</v>
      </c>
      <c r="J226" s="53">
        <f t="shared" ca="1" si="3"/>
        <v>48</v>
      </c>
      <c r="K226" s="56"/>
    </row>
    <row r="227" spans="1:11">
      <c r="A227" s="52" t="s">
        <v>14</v>
      </c>
      <c r="B227" s="53" t="s">
        <v>15</v>
      </c>
      <c r="C227" s="53">
        <v>3186</v>
      </c>
      <c r="D227" s="53" t="s">
        <v>16</v>
      </c>
      <c r="E227" s="53" t="s">
        <v>11</v>
      </c>
      <c r="F227" s="53" t="s">
        <v>17</v>
      </c>
      <c r="G227" s="54">
        <v>16230.3</v>
      </c>
      <c r="H227" s="53" t="s">
        <v>18</v>
      </c>
      <c r="I227" s="55">
        <v>25153</v>
      </c>
      <c r="J227" s="53">
        <f t="shared" ca="1" si="3"/>
        <v>48</v>
      </c>
      <c r="K227" s="56"/>
    </row>
    <row r="228" spans="1:11">
      <c r="A228" s="52" t="s">
        <v>87</v>
      </c>
      <c r="B228" s="53" t="s">
        <v>88</v>
      </c>
      <c r="C228" s="53">
        <v>3141</v>
      </c>
      <c r="D228" s="53" t="s">
        <v>25</v>
      </c>
      <c r="E228" s="53" t="s">
        <v>26</v>
      </c>
      <c r="F228" s="53" t="s">
        <v>89</v>
      </c>
      <c r="G228" s="54">
        <v>11393.43</v>
      </c>
      <c r="H228" s="53" t="s">
        <v>13</v>
      </c>
      <c r="I228" s="55">
        <v>25395</v>
      </c>
      <c r="J228" s="53">
        <f t="shared" ca="1" si="3"/>
        <v>47</v>
      </c>
      <c r="K228" s="56"/>
    </row>
    <row r="229" spans="1:11">
      <c r="A229" s="52" t="s">
        <v>140</v>
      </c>
      <c r="B229" s="53" t="s">
        <v>141</v>
      </c>
      <c r="C229" s="53">
        <v>3666</v>
      </c>
      <c r="D229" s="53" t="s">
        <v>44</v>
      </c>
      <c r="E229" s="53" t="s">
        <v>26</v>
      </c>
      <c r="F229" s="53" t="s">
        <v>33</v>
      </c>
      <c r="G229" s="54">
        <v>17451.78</v>
      </c>
      <c r="H229" s="53" t="s">
        <v>13</v>
      </c>
      <c r="I229" s="55">
        <v>25295</v>
      </c>
      <c r="J229" s="53">
        <f t="shared" ca="1" si="3"/>
        <v>47</v>
      </c>
      <c r="K229" s="56"/>
    </row>
    <row r="230" spans="1:11">
      <c r="A230" s="52" t="s">
        <v>176</v>
      </c>
      <c r="B230" s="53" t="s">
        <v>177</v>
      </c>
      <c r="C230" s="53">
        <v>3730</v>
      </c>
      <c r="D230" s="53" t="s">
        <v>59</v>
      </c>
      <c r="E230" s="53" t="s">
        <v>26</v>
      </c>
      <c r="F230" s="53" t="s">
        <v>178</v>
      </c>
      <c r="G230" s="54">
        <v>15187.79</v>
      </c>
      <c r="H230" s="53" t="s">
        <v>13</v>
      </c>
      <c r="I230" s="55">
        <v>25151</v>
      </c>
      <c r="J230" s="53">
        <f t="shared" ca="1" si="3"/>
        <v>48</v>
      </c>
      <c r="K230" s="56"/>
    </row>
    <row r="231" spans="1:11">
      <c r="A231" s="52" t="s">
        <v>264</v>
      </c>
      <c r="B231" s="53" t="s">
        <v>265</v>
      </c>
      <c r="C231" s="53">
        <v>3969</v>
      </c>
      <c r="D231" s="53" t="s">
        <v>59</v>
      </c>
      <c r="E231" s="53" t="s">
        <v>26</v>
      </c>
      <c r="F231" s="53" t="s">
        <v>199</v>
      </c>
      <c r="G231" s="54">
        <v>7524.02</v>
      </c>
      <c r="H231" s="53" t="s">
        <v>18</v>
      </c>
      <c r="I231" s="55">
        <v>25127</v>
      </c>
      <c r="J231" s="53">
        <f t="shared" ca="1" si="3"/>
        <v>48</v>
      </c>
      <c r="K231" s="56"/>
    </row>
    <row r="232" spans="1:11">
      <c r="A232" s="52" t="s">
        <v>266</v>
      </c>
      <c r="B232" s="53" t="s">
        <v>24</v>
      </c>
      <c r="C232" s="53">
        <v>3112</v>
      </c>
      <c r="D232" s="53" t="s">
        <v>44</v>
      </c>
      <c r="E232" s="53" t="s">
        <v>26</v>
      </c>
      <c r="F232" s="53" t="s">
        <v>171</v>
      </c>
      <c r="G232" s="54">
        <v>6616.3</v>
      </c>
      <c r="H232" s="53" t="s">
        <v>13</v>
      </c>
      <c r="I232" s="55">
        <v>25371</v>
      </c>
      <c r="J232" s="53">
        <f t="shared" ca="1" si="3"/>
        <v>47</v>
      </c>
      <c r="K232" s="56"/>
    </row>
    <row r="233" spans="1:11">
      <c r="A233" s="52" t="s">
        <v>314</v>
      </c>
      <c r="B233" s="53" t="s">
        <v>257</v>
      </c>
      <c r="C233" s="53">
        <v>3071</v>
      </c>
      <c r="D233" s="53" t="s">
        <v>49</v>
      </c>
      <c r="E233" s="53" t="s">
        <v>11</v>
      </c>
      <c r="F233" s="53" t="s">
        <v>70</v>
      </c>
      <c r="G233" s="54">
        <v>19600.95</v>
      </c>
      <c r="H233" s="53" t="s">
        <v>13</v>
      </c>
      <c r="I233" s="55">
        <v>25339</v>
      </c>
      <c r="J233" s="53">
        <f t="shared" ca="1" si="3"/>
        <v>47</v>
      </c>
      <c r="K233" s="56"/>
    </row>
    <row r="234" spans="1:11">
      <c r="A234" s="52" t="s">
        <v>431</v>
      </c>
      <c r="B234" s="53" t="s">
        <v>116</v>
      </c>
      <c r="C234" s="53">
        <v>3083</v>
      </c>
      <c r="D234" s="53" t="s">
        <v>10</v>
      </c>
      <c r="E234" s="53" t="s">
        <v>11</v>
      </c>
      <c r="F234" s="53" t="s">
        <v>30</v>
      </c>
      <c r="G234" s="54">
        <v>7716.69</v>
      </c>
      <c r="H234" s="53" t="s">
        <v>13</v>
      </c>
      <c r="I234" s="55">
        <v>25093</v>
      </c>
      <c r="J234" s="53">
        <f t="shared" ca="1" si="3"/>
        <v>48</v>
      </c>
      <c r="K234" s="56"/>
    </row>
    <row r="235" spans="1:11">
      <c r="A235" s="52" t="s">
        <v>460</v>
      </c>
      <c r="B235" s="53" t="s">
        <v>366</v>
      </c>
      <c r="C235" s="53">
        <v>3185</v>
      </c>
      <c r="D235" s="53" t="s">
        <v>44</v>
      </c>
      <c r="E235" s="53" t="s">
        <v>26</v>
      </c>
      <c r="F235" s="53" t="s">
        <v>74</v>
      </c>
      <c r="G235" s="54">
        <v>9329.84</v>
      </c>
      <c r="H235" s="53" t="s">
        <v>13</v>
      </c>
      <c r="I235" s="55">
        <v>25311</v>
      </c>
      <c r="J235" s="53">
        <f t="shared" ca="1" si="3"/>
        <v>47</v>
      </c>
      <c r="K235" s="56"/>
    </row>
    <row r="236" spans="1:11">
      <c r="A236" s="52" t="s">
        <v>472</v>
      </c>
      <c r="B236" s="53" t="s">
        <v>457</v>
      </c>
      <c r="C236" s="53">
        <v>3502</v>
      </c>
      <c r="D236" s="53" t="s">
        <v>25</v>
      </c>
      <c r="E236" s="53" t="s">
        <v>26</v>
      </c>
      <c r="F236" s="53" t="s">
        <v>92</v>
      </c>
      <c r="G236" s="54">
        <v>14154.99</v>
      </c>
      <c r="H236" s="53" t="s">
        <v>13</v>
      </c>
      <c r="I236" s="55">
        <v>25159</v>
      </c>
      <c r="J236" s="53">
        <f t="shared" ca="1" si="3"/>
        <v>48</v>
      </c>
      <c r="K236" s="56"/>
    </row>
    <row r="237" spans="1:11">
      <c r="A237" s="52" t="s">
        <v>524</v>
      </c>
      <c r="B237" s="53" t="s">
        <v>490</v>
      </c>
      <c r="C237" s="53">
        <v>3102</v>
      </c>
      <c r="D237" s="53" t="s">
        <v>44</v>
      </c>
      <c r="E237" s="53" t="s">
        <v>26</v>
      </c>
      <c r="F237" s="53" t="s">
        <v>301</v>
      </c>
      <c r="G237" s="54">
        <v>11043.7</v>
      </c>
      <c r="H237" s="53" t="s">
        <v>13</v>
      </c>
      <c r="I237" s="55">
        <v>25162</v>
      </c>
      <c r="J237" s="53">
        <f t="shared" ca="1" si="3"/>
        <v>48</v>
      </c>
      <c r="K237" s="56"/>
    </row>
    <row r="238" spans="1:11">
      <c r="A238" s="52" t="s">
        <v>491</v>
      </c>
      <c r="B238" s="53" t="s">
        <v>455</v>
      </c>
      <c r="C238" s="53">
        <v>3733</v>
      </c>
      <c r="D238" s="53" t="s">
        <v>136</v>
      </c>
      <c r="E238" s="53" t="s">
        <v>11</v>
      </c>
      <c r="F238" s="53" t="s">
        <v>394</v>
      </c>
      <c r="G238" s="54">
        <v>12422.47</v>
      </c>
      <c r="H238" s="53" t="s">
        <v>13</v>
      </c>
      <c r="I238" s="55">
        <v>25152</v>
      </c>
      <c r="J238" s="53">
        <f t="shared" ca="1" si="3"/>
        <v>48</v>
      </c>
      <c r="K238" s="56"/>
    </row>
    <row r="239" spans="1:11">
      <c r="A239" s="52" t="s">
        <v>23</v>
      </c>
      <c r="B239" s="53" t="s">
        <v>24</v>
      </c>
      <c r="C239" s="53">
        <v>3033</v>
      </c>
      <c r="D239" s="53" t="s">
        <v>25</v>
      </c>
      <c r="E239" s="53" t="s">
        <v>26</v>
      </c>
      <c r="F239" s="53" t="s">
        <v>27</v>
      </c>
      <c r="G239" s="54">
        <v>6501.11</v>
      </c>
      <c r="H239" s="53" t="s">
        <v>13</v>
      </c>
      <c r="I239" s="55">
        <v>25651</v>
      </c>
      <c r="J239" s="53">
        <f t="shared" ca="1" si="3"/>
        <v>46</v>
      </c>
      <c r="K239" s="56"/>
    </row>
    <row r="240" spans="1:11">
      <c r="A240" s="52" t="s">
        <v>118</v>
      </c>
      <c r="B240" s="53" t="s">
        <v>119</v>
      </c>
      <c r="C240" s="53">
        <v>3095</v>
      </c>
      <c r="D240" s="53" t="s">
        <v>44</v>
      </c>
      <c r="E240" s="53" t="s">
        <v>26</v>
      </c>
      <c r="F240" s="53" t="s">
        <v>22</v>
      </c>
      <c r="G240" s="54">
        <v>15624.63</v>
      </c>
      <c r="H240" s="53" t="s">
        <v>18</v>
      </c>
      <c r="I240" s="55">
        <v>25505</v>
      </c>
      <c r="J240" s="53">
        <f t="shared" ca="1" si="3"/>
        <v>47</v>
      </c>
      <c r="K240" s="56"/>
    </row>
    <row r="241" spans="1:11">
      <c r="A241" s="52" t="s">
        <v>163</v>
      </c>
      <c r="B241" s="53" t="s">
        <v>164</v>
      </c>
      <c r="C241" s="53">
        <v>3417</v>
      </c>
      <c r="D241" s="53" t="s">
        <v>25</v>
      </c>
      <c r="E241" s="53" t="s">
        <v>26</v>
      </c>
      <c r="F241" s="53" t="s">
        <v>70</v>
      </c>
      <c r="G241" s="54">
        <v>19650.72</v>
      </c>
      <c r="H241" s="53" t="s">
        <v>13</v>
      </c>
      <c r="I241" s="55">
        <v>25648</v>
      </c>
      <c r="J241" s="53">
        <f t="shared" ca="1" si="3"/>
        <v>46</v>
      </c>
      <c r="K241" s="56"/>
    </row>
    <row r="242" spans="1:11">
      <c r="A242" s="52" t="s">
        <v>217</v>
      </c>
      <c r="B242" s="53" t="s">
        <v>218</v>
      </c>
      <c r="C242" s="53">
        <v>3647</v>
      </c>
      <c r="D242" s="53" t="s">
        <v>59</v>
      </c>
      <c r="E242" s="53" t="s">
        <v>26</v>
      </c>
      <c r="F242" s="53" t="s">
        <v>17</v>
      </c>
      <c r="G242" s="54">
        <v>16403.86</v>
      </c>
      <c r="H242" s="53" t="s">
        <v>13</v>
      </c>
      <c r="I242" s="55">
        <v>25733</v>
      </c>
      <c r="J242" s="53">
        <f t="shared" ca="1" si="3"/>
        <v>46</v>
      </c>
      <c r="K242" s="56"/>
    </row>
    <row r="243" spans="1:11">
      <c r="A243" s="52" t="s">
        <v>307</v>
      </c>
      <c r="B243" s="53" t="s">
        <v>9</v>
      </c>
      <c r="C243" s="53">
        <v>3954</v>
      </c>
      <c r="D243" s="53" t="s">
        <v>10</v>
      </c>
      <c r="E243" s="53" t="s">
        <v>11</v>
      </c>
      <c r="F243" s="53" t="s">
        <v>162</v>
      </c>
      <c r="G243" s="54">
        <v>19319.900000000001</v>
      </c>
      <c r="H243" s="53" t="s">
        <v>13</v>
      </c>
      <c r="I243" s="55">
        <v>25775</v>
      </c>
      <c r="J243" s="53">
        <f t="shared" ca="1" si="3"/>
        <v>46</v>
      </c>
      <c r="K243" s="56"/>
    </row>
    <row r="244" spans="1:11">
      <c r="A244" s="52" t="s">
        <v>334</v>
      </c>
      <c r="B244" s="53" t="s">
        <v>312</v>
      </c>
      <c r="C244" s="53">
        <v>3695</v>
      </c>
      <c r="D244" s="53" t="s">
        <v>44</v>
      </c>
      <c r="E244" s="53" t="s">
        <v>26</v>
      </c>
      <c r="F244" s="53" t="s">
        <v>207</v>
      </c>
      <c r="G244" s="54">
        <v>8053.04</v>
      </c>
      <c r="H244" s="53" t="s">
        <v>13</v>
      </c>
      <c r="I244" s="55">
        <v>25484</v>
      </c>
      <c r="J244" s="53">
        <f t="shared" ca="1" si="3"/>
        <v>47</v>
      </c>
      <c r="K244" s="56"/>
    </row>
    <row r="245" spans="1:11">
      <c r="A245" s="52" t="s">
        <v>361</v>
      </c>
      <c r="B245" s="53" t="s">
        <v>362</v>
      </c>
      <c r="C245" s="53">
        <v>3123</v>
      </c>
      <c r="D245" s="53" t="s">
        <v>59</v>
      </c>
      <c r="E245" s="53" t="s">
        <v>26</v>
      </c>
      <c r="F245" s="53" t="s">
        <v>92</v>
      </c>
      <c r="G245" s="54">
        <v>13834.66</v>
      </c>
      <c r="H245" s="53" t="s">
        <v>18</v>
      </c>
      <c r="I245" s="55">
        <v>25583</v>
      </c>
      <c r="J245" s="53">
        <f t="shared" ca="1" si="3"/>
        <v>46</v>
      </c>
      <c r="K245" s="56"/>
    </row>
    <row r="246" spans="1:11">
      <c r="A246" s="52" t="s">
        <v>410</v>
      </c>
      <c r="B246" s="53" t="s">
        <v>411</v>
      </c>
      <c r="C246" s="53">
        <v>3881</v>
      </c>
      <c r="D246" s="53" t="s">
        <v>44</v>
      </c>
      <c r="E246" s="53" t="s">
        <v>26</v>
      </c>
      <c r="F246" s="53" t="s">
        <v>27</v>
      </c>
      <c r="G246" s="54">
        <v>6508.08</v>
      </c>
      <c r="H246" s="53" t="s">
        <v>18</v>
      </c>
      <c r="I246" s="55">
        <v>25575</v>
      </c>
      <c r="J246" s="53">
        <f t="shared" ca="1" si="3"/>
        <v>46</v>
      </c>
      <c r="K246" s="56"/>
    </row>
    <row r="247" spans="1:11">
      <c r="A247" s="52" t="s">
        <v>443</v>
      </c>
      <c r="B247" s="53" t="s">
        <v>15</v>
      </c>
      <c r="C247" s="53">
        <v>3174</v>
      </c>
      <c r="D247" s="53" t="s">
        <v>16</v>
      </c>
      <c r="E247" s="53" t="s">
        <v>11</v>
      </c>
      <c r="F247" s="53" t="s">
        <v>33</v>
      </c>
      <c r="G247" s="54">
        <v>17070.91</v>
      </c>
      <c r="H247" s="53" t="s">
        <v>18</v>
      </c>
      <c r="I247" s="55">
        <v>25508</v>
      </c>
      <c r="J247" s="53">
        <f t="shared" ca="1" si="3"/>
        <v>47</v>
      </c>
      <c r="K247" s="56"/>
    </row>
    <row r="248" spans="1:11">
      <c r="A248" s="52" t="s">
        <v>452</v>
      </c>
      <c r="B248" s="53" t="s">
        <v>265</v>
      </c>
      <c r="C248" s="53">
        <v>3166</v>
      </c>
      <c r="D248" s="53" t="s">
        <v>73</v>
      </c>
      <c r="E248" s="53" t="s">
        <v>26</v>
      </c>
      <c r="F248" s="53" t="s">
        <v>22</v>
      </c>
      <c r="G248" s="54">
        <v>15966.44</v>
      </c>
      <c r="H248" s="53" t="s">
        <v>18</v>
      </c>
      <c r="I248" s="55">
        <v>25579</v>
      </c>
      <c r="J248" s="53">
        <f t="shared" ca="1" si="3"/>
        <v>46</v>
      </c>
      <c r="K248" s="56"/>
    </row>
    <row r="249" spans="1:11">
      <c r="A249" s="52" t="s">
        <v>480</v>
      </c>
      <c r="B249" s="53" t="s">
        <v>9</v>
      </c>
      <c r="C249" s="53">
        <v>3155</v>
      </c>
      <c r="D249" s="53" t="s">
        <v>49</v>
      </c>
      <c r="E249" s="53" t="s">
        <v>11</v>
      </c>
      <c r="F249" s="53" t="s">
        <v>41</v>
      </c>
      <c r="G249" s="54">
        <v>20821.400000000001</v>
      </c>
      <c r="H249" s="53" t="s">
        <v>13</v>
      </c>
      <c r="I249" s="55">
        <v>25652</v>
      </c>
      <c r="J249" s="53">
        <f t="shared" ca="1" si="3"/>
        <v>46</v>
      </c>
      <c r="K249" s="56"/>
    </row>
    <row r="250" spans="1:11">
      <c r="A250" s="52" t="s">
        <v>172</v>
      </c>
      <c r="B250" s="53" t="s">
        <v>408</v>
      </c>
      <c r="C250" s="53">
        <v>3149</v>
      </c>
      <c r="D250" s="53" t="s">
        <v>136</v>
      </c>
      <c r="E250" s="53" t="s">
        <v>11</v>
      </c>
      <c r="F250" s="53" t="s">
        <v>173</v>
      </c>
      <c r="G250" s="54">
        <v>6164.4</v>
      </c>
      <c r="H250" s="53" t="s">
        <v>13</v>
      </c>
      <c r="I250" s="55">
        <v>25876</v>
      </c>
      <c r="J250" s="53">
        <f t="shared" ca="1" si="3"/>
        <v>46</v>
      </c>
      <c r="K250" s="56"/>
    </row>
    <row r="251" spans="1:11">
      <c r="A251" s="52" t="s">
        <v>219</v>
      </c>
      <c r="B251" s="53" t="s">
        <v>220</v>
      </c>
      <c r="C251" s="53">
        <v>3114</v>
      </c>
      <c r="D251" s="53" t="s">
        <v>59</v>
      </c>
      <c r="E251" s="53" t="s">
        <v>26</v>
      </c>
      <c r="F251" s="53" t="s">
        <v>221</v>
      </c>
      <c r="G251" s="54">
        <v>6841.79</v>
      </c>
      <c r="H251" s="53" t="s">
        <v>18</v>
      </c>
      <c r="I251" s="55">
        <v>25933</v>
      </c>
      <c r="J251" s="53">
        <f t="shared" ca="1" si="3"/>
        <v>45</v>
      </c>
      <c r="K251" s="56"/>
    </row>
    <row r="252" spans="1:11">
      <c r="A252" s="52" t="s">
        <v>321</v>
      </c>
      <c r="B252" s="53" t="s">
        <v>257</v>
      </c>
      <c r="C252" s="53">
        <v>3593</v>
      </c>
      <c r="D252" s="53" t="s">
        <v>49</v>
      </c>
      <c r="E252" s="53" t="s">
        <v>11</v>
      </c>
      <c r="F252" s="53" t="s">
        <v>162</v>
      </c>
      <c r="G252" s="54">
        <v>19359.349999999999</v>
      </c>
      <c r="H252" s="53" t="s">
        <v>13</v>
      </c>
      <c r="I252" s="55">
        <v>25969</v>
      </c>
      <c r="J252" s="53">
        <f t="shared" ca="1" si="3"/>
        <v>45</v>
      </c>
      <c r="K252" s="56"/>
    </row>
    <row r="253" spans="1:11">
      <c r="A253" s="52" t="s">
        <v>322</v>
      </c>
      <c r="B253" s="53" t="s">
        <v>289</v>
      </c>
      <c r="C253" s="53">
        <v>3144</v>
      </c>
      <c r="D253" s="53" t="s">
        <v>44</v>
      </c>
      <c r="E253" s="53" t="s">
        <v>26</v>
      </c>
      <c r="F253" s="53" t="s">
        <v>221</v>
      </c>
      <c r="G253" s="54">
        <v>6664.93</v>
      </c>
      <c r="H253" s="53" t="s">
        <v>18</v>
      </c>
      <c r="I253" s="55">
        <v>25825</v>
      </c>
      <c r="J253" s="53">
        <f t="shared" ca="1" si="3"/>
        <v>46</v>
      </c>
      <c r="K253" s="56"/>
    </row>
    <row r="254" spans="1:11">
      <c r="A254" s="52" t="s">
        <v>349</v>
      </c>
      <c r="B254" s="53" t="s">
        <v>20</v>
      </c>
      <c r="C254" s="53">
        <v>3136</v>
      </c>
      <c r="D254" s="53" t="s">
        <v>21</v>
      </c>
      <c r="E254" s="53" t="s">
        <v>11</v>
      </c>
      <c r="F254" s="53" t="s">
        <v>33</v>
      </c>
      <c r="G254" s="54">
        <v>17577.900000000001</v>
      </c>
      <c r="H254" s="53" t="s">
        <v>18</v>
      </c>
      <c r="I254" s="55">
        <v>25974</v>
      </c>
      <c r="J254" s="53">
        <f t="shared" ca="1" si="3"/>
        <v>45</v>
      </c>
      <c r="K254" s="56"/>
    </row>
    <row r="255" spans="1:11">
      <c r="A255" s="52" t="s">
        <v>448</v>
      </c>
      <c r="B255" s="53" t="s">
        <v>449</v>
      </c>
      <c r="C255" s="53">
        <v>3017</v>
      </c>
      <c r="D255" s="53" t="s">
        <v>10</v>
      </c>
      <c r="E255" s="53" t="s">
        <v>26</v>
      </c>
      <c r="F255" s="53" t="s">
        <v>107</v>
      </c>
      <c r="G255" s="54">
        <v>16624.86</v>
      </c>
      <c r="H255" s="53" t="s">
        <v>13</v>
      </c>
      <c r="I255" s="55">
        <v>26044</v>
      </c>
      <c r="J255" s="53">
        <f t="shared" ca="1" si="3"/>
        <v>45</v>
      </c>
      <c r="K255" s="56"/>
    </row>
    <row r="256" spans="1:11">
      <c r="A256" s="52" t="s">
        <v>463</v>
      </c>
      <c r="B256" s="53" t="s">
        <v>143</v>
      </c>
      <c r="C256" s="53">
        <v>3890</v>
      </c>
      <c r="D256" s="53" t="s">
        <v>49</v>
      </c>
      <c r="E256" s="53" t="s">
        <v>26</v>
      </c>
      <c r="F256" s="53" t="s">
        <v>394</v>
      </c>
      <c r="G256" s="54">
        <v>12580.24</v>
      </c>
      <c r="H256" s="53" t="s">
        <v>13</v>
      </c>
      <c r="I256" s="55">
        <v>25992</v>
      </c>
      <c r="J256" s="53">
        <f t="shared" ca="1" si="3"/>
        <v>45</v>
      </c>
      <c r="K256" s="56"/>
    </row>
    <row r="257" spans="1:11">
      <c r="A257" s="52" t="s">
        <v>71</v>
      </c>
      <c r="B257" s="53" t="s">
        <v>72</v>
      </c>
      <c r="C257" s="53">
        <v>3541</v>
      </c>
      <c r="D257" s="53" t="s">
        <v>73</v>
      </c>
      <c r="E257" s="53" t="s">
        <v>26</v>
      </c>
      <c r="F257" s="53" t="s">
        <v>74</v>
      </c>
      <c r="G257" s="54">
        <v>9360.2000000000007</v>
      </c>
      <c r="H257" s="53" t="s">
        <v>18</v>
      </c>
      <c r="I257" s="55">
        <v>26393</v>
      </c>
      <c r="J257" s="53">
        <f t="shared" ca="1" si="3"/>
        <v>44</v>
      </c>
      <c r="K257" s="56"/>
    </row>
    <row r="258" spans="1:11">
      <c r="A258" s="52" t="s">
        <v>78</v>
      </c>
      <c r="B258" s="53" t="s">
        <v>29</v>
      </c>
      <c r="C258" s="53">
        <v>3008</v>
      </c>
      <c r="D258" s="53" t="s">
        <v>59</v>
      </c>
      <c r="E258" s="53" t="s">
        <v>26</v>
      </c>
      <c r="F258" s="53" t="s">
        <v>79</v>
      </c>
      <c r="G258" s="54">
        <v>9687.41</v>
      </c>
      <c r="H258" s="53" t="s">
        <v>18</v>
      </c>
      <c r="I258" s="55">
        <v>26543</v>
      </c>
      <c r="J258" s="53">
        <f t="shared" ca="1" si="3"/>
        <v>44</v>
      </c>
      <c r="K258" s="56"/>
    </row>
    <row r="259" spans="1:11">
      <c r="A259" s="52" t="s">
        <v>115</v>
      </c>
      <c r="B259" s="53" t="s">
        <v>116</v>
      </c>
      <c r="C259" s="53">
        <v>3586</v>
      </c>
      <c r="D259" s="53" t="s">
        <v>10</v>
      </c>
      <c r="E259" s="53" t="s">
        <v>11</v>
      </c>
      <c r="F259" s="53" t="s">
        <v>117</v>
      </c>
      <c r="G259" s="54">
        <v>20569.8</v>
      </c>
      <c r="H259" s="53" t="s">
        <v>13</v>
      </c>
      <c r="I259" s="55">
        <v>26447</v>
      </c>
      <c r="J259" s="53">
        <f t="shared" ca="1" si="3"/>
        <v>44</v>
      </c>
      <c r="K259" s="56"/>
    </row>
    <row r="260" spans="1:11">
      <c r="A260" s="52" t="s">
        <v>129</v>
      </c>
      <c r="B260" s="53" t="s">
        <v>101</v>
      </c>
      <c r="C260" s="53">
        <v>3002</v>
      </c>
      <c r="D260" s="53" t="s">
        <v>73</v>
      </c>
      <c r="E260" s="53" t="s">
        <v>26</v>
      </c>
      <c r="F260" s="53" t="s">
        <v>33</v>
      </c>
      <c r="G260" s="54">
        <v>17372.38</v>
      </c>
      <c r="H260" s="53" t="s">
        <v>18</v>
      </c>
      <c r="I260" s="55">
        <v>26293</v>
      </c>
      <c r="J260" s="53">
        <f t="shared" ca="1" si="3"/>
        <v>44</v>
      </c>
      <c r="K260" s="56"/>
    </row>
    <row r="261" spans="1:11">
      <c r="A261" s="52" t="s">
        <v>148</v>
      </c>
      <c r="B261" s="53" t="s">
        <v>149</v>
      </c>
      <c r="C261" s="53">
        <v>3129</v>
      </c>
      <c r="D261" s="53" t="s">
        <v>73</v>
      </c>
      <c r="E261" s="53" t="s">
        <v>26</v>
      </c>
      <c r="F261" s="53" t="s">
        <v>107</v>
      </c>
      <c r="G261" s="54">
        <v>16881.939999999999</v>
      </c>
      <c r="H261" s="53" t="s">
        <v>13</v>
      </c>
      <c r="I261" s="55">
        <v>26531</v>
      </c>
      <c r="J261" s="53">
        <f t="shared" ca="1" si="3"/>
        <v>44</v>
      </c>
      <c r="K261" s="56"/>
    </row>
    <row r="262" spans="1:11">
      <c r="A262" s="52" t="s">
        <v>167</v>
      </c>
      <c r="B262" s="53" t="s">
        <v>72</v>
      </c>
      <c r="C262" s="53">
        <v>3087</v>
      </c>
      <c r="D262" s="53" t="s">
        <v>73</v>
      </c>
      <c r="E262" s="53" t="s">
        <v>26</v>
      </c>
      <c r="F262" s="53" t="s">
        <v>22</v>
      </c>
      <c r="G262" s="54">
        <v>15624.15</v>
      </c>
      <c r="H262" s="53" t="s">
        <v>18</v>
      </c>
      <c r="I262" s="55">
        <v>26334</v>
      </c>
      <c r="J262" s="53">
        <f t="shared" ca="1" si="3"/>
        <v>44</v>
      </c>
      <c r="K262" s="56"/>
    </row>
    <row r="263" spans="1:11">
      <c r="A263" s="52" t="s">
        <v>181</v>
      </c>
      <c r="B263" s="53" t="s">
        <v>182</v>
      </c>
      <c r="C263" s="53">
        <v>3200</v>
      </c>
      <c r="D263" s="53" t="s">
        <v>44</v>
      </c>
      <c r="E263" s="53" t="s">
        <v>26</v>
      </c>
      <c r="F263" s="53" t="s">
        <v>33</v>
      </c>
      <c r="G263" s="54">
        <v>17486.900000000001</v>
      </c>
      <c r="H263" s="53" t="s">
        <v>13</v>
      </c>
      <c r="I263" s="55">
        <v>26193</v>
      </c>
      <c r="J263" s="53">
        <f t="shared" ca="1" si="3"/>
        <v>45</v>
      </c>
      <c r="K263" s="56"/>
    </row>
    <row r="264" spans="1:11">
      <c r="A264" s="52" t="s">
        <v>294</v>
      </c>
      <c r="B264" s="53" t="s">
        <v>133</v>
      </c>
      <c r="C264" s="53">
        <v>3151</v>
      </c>
      <c r="D264" s="53" t="s">
        <v>25</v>
      </c>
      <c r="E264" s="53" t="s">
        <v>26</v>
      </c>
      <c r="F264" s="53" t="s">
        <v>33</v>
      </c>
      <c r="G264" s="54">
        <v>17112.169999999998</v>
      </c>
      <c r="H264" s="53" t="s">
        <v>13</v>
      </c>
      <c r="I264" s="55">
        <v>26338</v>
      </c>
      <c r="J264" s="53">
        <f t="shared" ca="1" si="3"/>
        <v>44</v>
      </c>
      <c r="K264" s="56"/>
    </row>
    <row r="265" spans="1:11">
      <c r="A265" s="52" t="s">
        <v>299</v>
      </c>
      <c r="B265" s="53" t="s">
        <v>300</v>
      </c>
      <c r="C265" s="53">
        <v>3711</v>
      </c>
      <c r="D265" s="53" t="s">
        <v>10</v>
      </c>
      <c r="E265" s="53" t="s">
        <v>11</v>
      </c>
      <c r="F265" s="53" t="s">
        <v>301</v>
      </c>
      <c r="G265" s="54">
        <v>11061.89</v>
      </c>
      <c r="H265" s="53" t="s">
        <v>18</v>
      </c>
      <c r="I265" s="55">
        <v>26439</v>
      </c>
      <c r="J265" s="53">
        <f t="shared" ca="1" si="3"/>
        <v>44</v>
      </c>
      <c r="K265" s="56"/>
    </row>
    <row r="266" spans="1:11">
      <c r="A266" s="52" t="s">
        <v>347</v>
      </c>
      <c r="B266" s="53" t="s">
        <v>60</v>
      </c>
      <c r="C266" s="53">
        <v>3055</v>
      </c>
      <c r="D266" s="53" t="s">
        <v>49</v>
      </c>
      <c r="E266" s="53" t="s">
        <v>11</v>
      </c>
      <c r="F266" s="53" t="s">
        <v>36</v>
      </c>
      <c r="G266" s="54">
        <v>10388.879999999999</v>
      </c>
      <c r="H266" s="53" t="s">
        <v>13</v>
      </c>
      <c r="I266" s="55">
        <v>26389</v>
      </c>
      <c r="J266" s="53">
        <f t="shared" ca="1" si="3"/>
        <v>44</v>
      </c>
      <c r="K266" s="56"/>
    </row>
    <row r="267" spans="1:11">
      <c r="A267" s="52" t="s">
        <v>348</v>
      </c>
      <c r="B267" s="53" t="s">
        <v>133</v>
      </c>
      <c r="C267" s="53">
        <v>3164</v>
      </c>
      <c r="D267" s="53" t="s">
        <v>25</v>
      </c>
      <c r="E267" s="53" t="s">
        <v>26</v>
      </c>
      <c r="F267" s="53" t="s">
        <v>92</v>
      </c>
      <c r="G267" s="54">
        <v>13944.55</v>
      </c>
      <c r="H267" s="53" t="s">
        <v>13</v>
      </c>
      <c r="I267" s="55">
        <v>26318</v>
      </c>
      <c r="J267" s="53">
        <f t="shared" ca="1" si="3"/>
        <v>44</v>
      </c>
      <c r="K267" s="56"/>
    </row>
    <row r="268" spans="1:11">
      <c r="A268" s="52" t="s">
        <v>454</v>
      </c>
      <c r="B268" s="53" t="s">
        <v>455</v>
      </c>
      <c r="C268" s="53">
        <v>3077</v>
      </c>
      <c r="D268" s="53" t="s">
        <v>16</v>
      </c>
      <c r="E268" s="53" t="s">
        <v>11</v>
      </c>
      <c r="F268" s="53" t="s">
        <v>33</v>
      </c>
      <c r="G268" s="54">
        <v>17496.3</v>
      </c>
      <c r="H268" s="53" t="s">
        <v>13</v>
      </c>
      <c r="I268" s="55">
        <v>26468</v>
      </c>
      <c r="J268" s="53">
        <f t="shared" ref="J268:J296" ca="1" si="4">DATEDIF(I268,TODAY(),"y")</f>
        <v>44</v>
      </c>
      <c r="K268" s="56"/>
    </row>
    <row r="269" spans="1:11">
      <c r="A269" s="52" t="s">
        <v>111</v>
      </c>
      <c r="B269" s="53" t="s">
        <v>112</v>
      </c>
      <c r="C269" s="53">
        <v>3214</v>
      </c>
      <c r="D269" s="53" t="s">
        <v>49</v>
      </c>
      <c r="E269" s="53" t="s">
        <v>11</v>
      </c>
      <c r="F269" s="53" t="s">
        <v>65</v>
      </c>
      <c r="G269" s="54">
        <v>12287.69</v>
      </c>
      <c r="H269" s="53" t="s">
        <v>13</v>
      </c>
      <c r="I269" s="55">
        <v>26569</v>
      </c>
      <c r="J269" s="53">
        <f t="shared" ca="1" si="4"/>
        <v>44</v>
      </c>
      <c r="K269" s="56"/>
    </row>
    <row r="270" spans="1:11">
      <c r="A270" s="52" t="s">
        <v>191</v>
      </c>
      <c r="B270" s="53" t="s">
        <v>192</v>
      </c>
      <c r="C270" s="53">
        <v>3712</v>
      </c>
      <c r="D270" s="53" t="s">
        <v>44</v>
      </c>
      <c r="E270" s="53" t="s">
        <v>26</v>
      </c>
      <c r="F270" s="53" t="s">
        <v>107</v>
      </c>
      <c r="G270" s="54">
        <v>16978.28</v>
      </c>
      <c r="H270" s="53" t="s">
        <v>13</v>
      </c>
      <c r="I270" s="55">
        <v>26698</v>
      </c>
      <c r="J270" s="53">
        <f t="shared" ca="1" si="4"/>
        <v>43</v>
      </c>
      <c r="K270" s="56"/>
    </row>
    <row r="271" spans="1:11">
      <c r="A271" s="52" t="s">
        <v>195</v>
      </c>
      <c r="B271" s="53" t="s">
        <v>196</v>
      </c>
      <c r="C271" s="53">
        <v>3780</v>
      </c>
      <c r="D271" s="53" t="s">
        <v>59</v>
      </c>
      <c r="E271" s="53" t="s">
        <v>26</v>
      </c>
      <c r="F271" s="53" t="s">
        <v>22</v>
      </c>
      <c r="G271" s="54">
        <v>16018.92</v>
      </c>
      <c r="H271" s="53" t="s">
        <v>18</v>
      </c>
      <c r="I271" s="55">
        <v>26566</v>
      </c>
      <c r="J271" s="53">
        <f t="shared" ca="1" si="4"/>
        <v>44</v>
      </c>
      <c r="K271" s="56"/>
    </row>
    <row r="272" spans="1:11">
      <c r="A272" s="52" t="s">
        <v>297</v>
      </c>
      <c r="B272" s="53" t="s">
        <v>298</v>
      </c>
      <c r="C272" s="53">
        <v>3140</v>
      </c>
      <c r="D272" s="53" t="s">
        <v>25</v>
      </c>
      <c r="E272" s="53" t="s">
        <v>26</v>
      </c>
      <c r="F272" s="53" t="s">
        <v>124</v>
      </c>
      <c r="G272" s="54">
        <v>9382.1200000000008</v>
      </c>
      <c r="H272" s="53" t="s">
        <v>18</v>
      </c>
      <c r="I272" s="55">
        <v>26782</v>
      </c>
      <c r="J272" s="53">
        <f t="shared" ca="1" si="4"/>
        <v>43</v>
      </c>
      <c r="K272" s="56"/>
    </row>
    <row r="273" spans="1:11">
      <c r="A273" s="52" t="s">
        <v>318</v>
      </c>
      <c r="B273" s="53" t="s">
        <v>536</v>
      </c>
      <c r="C273" s="53">
        <v>3070</v>
      </c>
      <c r="D273" s="53" t="s">
        <v>49</v>
      </c>
      <c r="E273" s="53" t="s">
        <v>26</v>
      </c>
      <c r="F273" s="53" t="s">
        <v>65</v>
      </c>
      <c r="G273" s="54">
        <v>12355.29</v>
      </c>
      <c r="H273" s="53" t="s">
        <v>13</v>
      </c>
      <c r="I273" s="55">
        <v>26721</v>
      </c>
      <c r="J273" s="53">
        <f t="shared" ca="1" si="4"/>
        <v>43</v>
      </c>
      <c r="K273" s="56"/>
    </row>
    <row r="274" spans="1:11">
      <c r="A274" s="52" t="s">
        <v>421</v>
      </c>
      <c r="B274" s="53" t="s">
        <v>143</v>
      </c>
      <c r="C274" s="53">
        <v>3552</v>
      </c>
      <c r="D274" s="53" t="s">
        <v>44</v>
      </c>
      <c r="E274" s="53" t="s">
        <v>26</v>
      </c>
      <c r="F274" s="53" t="s">
        <v>70</v>
      </c>
      <c r="G274" s="54">
        <v>19955.68</v>
      </c>
      <c r="H274" s="53" t="s">
        <v>13</v>
      </c>
      <c r="I274" s="55">
        <v>26648</v>
      </c>
      <c r="J274" s="53">
        <f t="shared" ca="1" si="4"/>
        <v>43</v>
      </c>
      <c r="K274" s="56"/>
    </row>
    <row r="275" spans="1:11">
      <c r="A275" s="52" t="s">
        <v>302</v>
      </c>
      <c r="B275" s="53" t="s">
        <v>303</v>
      </c>
      <c r="C275" s="53">
        <v>3115</v>
      </c>
      <c r="D275" s="53" t="s">
        <v>49</v>
      </c>
      <c r="E275" s="53" t="s">
        <v>11</v>
      </c>
      <c r="F275" s="53" t="s">
        <v>178</v>
      </c>
      <c r="G275" s="54">
        <v>14977.21</v>
      </c>
      <c r="H275" s="53" t="s">
        <v>18</v>
      </c>
      <c r="I275" s="55">
        <v>26957</v>
      </c>
      <c r="J275" s="53">
        <f t="shared" ca="1" si="4"/>
        <v>43</v>
      </c>
      <c r="K275" s="56"/>
    </row>
    <row r="276" spans="1:11">
      <c r="A276" s="52" t="s">
        <v>328</v>
      </c>
      <c r="B276" s="53" t="s">
        <v>272</v>
      </c>
      <c r="C276" s="53">
        <v>3551</v>
      </c>
      <c r="D276" s="53" t="s">
        <v>10</v>
      </c>
      <c r="E276" s="53" t="s">
        <v>11</v>
      </c>
      <c r="F276" s="53" t="s">
        <v>70</v>
      </c>
      <c r="G276" s="54">
        <v>19750.150000000001</v>
      </c>
      <c r="H276" s="53" t="s">
        <v>13</v>
      </c>
      <c r="I276" s="55">
        <v>27053</v>
      </c>
      <c r="J276" s="53">
        <f t="shared" ca="1" si="4"/>
        <v>42</v>
      </c>
      <c r="K276" s="56"/>
    </row>
    <row r="277" spans="1:11">
      <c r="A277" s="52" t="s">
        <v>422</v>
      </c>
      <c r="B277" s="53" t="s">
        <v>300</v>
      </c>
      <c r="C277" s="53">
        <v>3409</v>
      </c>
      <c r="D277" s="53" t="s">
        <v>10</v>
      </c>
      <c r="E277" s="53" t="s">
        <v>11</v>
      </c>
      <c r="F277" s="53" t="s">
        <v>423</v>
      </c>
      <c r="G277" s="54">
        <v>12926.92</v>
      </c>
      <c r="H277" s="53" t="s">
        <v>18</v>
      </c>
      <c r="I277" s="55">
        <v>27061</v>
      </c>
      <c r="J277" s="53">
        <f t="shared" ca="1" si="4"/>
        <v>42</v>
      </c>
      <c r="K277" s="56"/>
    </row>
    <row r="278" spans="1:11">
      <c r="A278" s="52" t="s">
        <v>437</v>
      </c>
      <c r="B278" s="53" t="s">
        <v>438</v>
      </c>
      <c r="C278" s="53">
        <v>3703</v>
      </c>
      <c r="D278" s="53" t="s">
        <v>38</v>
      </c>
      <c r="E278" s="53" t="s">
        <v>39</v>
      </c>
      <c r="F278" s="53" t="s">
        <v>22</v>
      </c>
      <c r="G278" s="54">
        <v>15720.31</v>
      </c>
      <c r="H278" s="53" t="s">
        <v>18</v>
      </c>
      <c r="I278" s="55">
        <v>27083</v>
      </c>
      <c r="J278" s="53">
        <f t="shared" ca="1" si="4"/>
        <v>42</v>
      </c>
      <c r="K278" s="56"/>
    </row>
    <row r="279" spans="1:11">
      <c r="A279" s="52" t="s">
        <v>100</v>
      </c>
      <c r="B279" s="53" t="s">
        <v>101</v>
      </c>
      <c r="C279" s="53">
        <v>3023</v>
      </c>
      <c r="D279" s="53" t="s">
        <v>25</v>
      </c>
      <c r="E279" s="53" t="s">
        <v>26</v>
      </c>
      <c r="F279" s="53" t="s">
        <v>92</v>
      </c>
      <c r="G279" s="54">
        <v>14550.42</v>
      </c>
      <c r="H279" s="53" t="s">
        <v>18</v>
      </c>
      <c r="I279" s="55">
        <v>27598</v>
      </c>
      <c r="J279" s="53">
        <f t="shared" ca="1" si="4"/>
        <v>41</v>
      </c>
      <c r="K279" s="56"/>
    </row>
    <row r="280" spans="1:11">
      <c r="A280" s="52" t="s">
        <v>254</v>
      </c>
      <c r="B280" s="53" t="s">
        <v>255</v>
      </c>
      <c r="C280" s="53">
        <v>3122</v>
      </c>
      <c r="D280" s="53" t="s">
        <v>73</v>
      </c>
      <c r="E280" s="53" t="s">
        <v>26</v>
      </c>
      <c r="F280" s="53" t="s">
        <v>248</v>
      </c>
      <c r="G280" s="54">
        <v>13665.11</v>
      </c>
      <c r="H280" s="53" t="s">
        <v>13</v>
      </c>
      <c r="I280" s="55">
        <v>27588</v>
      </c>
      <c r="J280" s="53">
        <f t="shared" ca="1" si="4"/>
        <v>41</v>
      </c>
      <c r="K280" s="56"/>
    </row>
    <row r="281" spans="1:11">
      <c r="A281" s="52" t="s">
        <v>317</v>
      </c>
      <c r="B281" s="53" t="s">
        <v>265</v>
      </c>
      <c r="C281" s="53">
        <v>3156</v>
      </c>
      <c r="D281" s="53" t="s">
        <v>25</v>
      </c>
      <c r="E281" s="53" t="s">
        <v>26</v>
      </c>
      <c r="F281" s="53" t="s">
        <v>70</v>
      </c>
      <c r="G281" s="54">
        <v>19579.900000000001</v>
      </c>
      <c r="H281" s="53" t="s">
        <v>18</v>
      </c>
      <c r="I281" s="55">
        <v>27589</v>
      </c>
      <c r="J281" s="53">
        <f t="shared" ca="1" si="4"/>
        <v>41</v>
      </c>
      <c r="K281" s="56"/>
    </row>
    <row r="282" spans="1:11">
      <c r="A282" s="52" t="s">
        <v>356</v>
      </c>
      <c r="B282" s="53" t="s">
        <v>357</v>
      </c>
      <c r="C282" s="53">
        <v>3063</v>
      </c>
      <c r="D282" s="53" t="s">
        <v>16</v>
      </c>
      <c r="E282" s="53" t="s">
        <v>11</v>
      </c>
      <c r="F282" s="53" t="s">
        <v>358</v>
      </c>
      <c r="G282" s="54">
        <v>10993.25</v>
      </c>
      <c r="H282" s="53" t="s">
        <v>18</v>
      </c>
      <c r="I282" s="55">
        <v>27563</v>
      </c>
      <c r="J282" s="53">
        <f t="shared" ca="1" si="4"/>
        <v>41</v>
      </c>
      <c r="K282" s="56"/>
    </row>
    <row r="283" spans="1:11">
      <c r="A283" s="52" t="s">
        <v>491</v>
      </c>
      <c r="B283" s="53" t="s">
        <v>492</v>
      </c>
      <c r="C283" s="53">
        <v>3608</v>
      </c>
      <c r="D283" s="53" t="s">
        <v>44</v>
      </c>
      <c r="E283" s="53" t="s">
        <v>26</v>
      </c>
      <c r="F283" s="53" t="s">
        <v>273</v>
      </c>
      <c r="G283" s="54">
        <v>10136.040000000001</v>
      </c>
      <c r="H283" s="53" t="s">
        <v>13</v>
      </c>
      <c r="I283" s="55">
        <v>27573</v>
      </c>
      <c r="J283" s="53">
        <f t="shared" ca="1" si="4"/>
        <v>41</v>
      </c>
      <c r="K283" s="56"/>
    </row>
    <row r="284" spans="1:11">
      <c r="A284" s="52" t="s">
        <v>261</v>
      </c>
      <c r="B284" s="53" t="s">
        <v>157</v>
      </c>
      <c r="C284" s="53">
        <v>3093</v>
      </c>
      <c r="D284" s="53" t="s">
        <v>73</v>
      </c>
      <c r="E284" s="53" t="s">
        <v>26</v>
      </c>
      <c r="F284" s="53" t="s">
        <v>262</v>
      </c>
      <c r="G284" s="54">
        <v>20499.29</v>
      </c>
      <c r="H284" s="53" t="s">
        <v>13</v>
      </c>
      <c r="I284" s="55">
        <v>27730</v>
      </c>
      <c r="J284" s="53">
        <f t="shared" ca="1" si="4"/>
        <v>40</v>
      </c>
      <c r="K284" s="56"/>
    </row>
    <row r="285" spans="1:11">
      <c r="A285" s="52" t="s">
        <v>352</v>
      </c>
      <c r="B285" s="53" t="s">
        <v>286</v>
      </c>
      <c r="C285" s="53">
        <v>3037</v>
      </c>
      <c r="D285" s="53" t="s">
        <v>59</v>
      </c>
      <c r="E285" s="53" t="s">
        <v>26</v>
      </c>
      <c r="F285" s="53" t="s">
        <v>353</v>
      </c>
      <c r="G285" s="54">
        <v>10931.05</v>
      </c>
      <c r="H285" s="53" t="s">
        <v>18</v>
      </c>
      <c r="I285" s="55">
        <v>27669</v>
      </c>
      <c r="J285" s="53">
        <f t="shared" ca="1" si="4"/>
        <v>41</v>
      </c>
      <c r="K285" s="56"/>
    </row>
    <row r="286" spans="1:11">
      <c r="A286" s="52" t="s">
        <v>113</v>
      </c>
      <c r="B286" s="53" t="s">
        <v>112</v>
      </c>
      <c r="C286" s="53">
        <v>3059</v>
      </c>
      <c r="D286" s="53" t="s">
        <v>10</v>
      </c>
      <c r="E286" s="53" t="s">
        <v>11</v>
      </c>
      <c r="F286" s="53" t="s">
        <v>22</v>
      </c>
      <c r="G286" s="54">
        <v>15948.14</v>
      </c>
      <c r="H286" s="53" t="s">
        <v>13</v>
      </c>
      <c r="I286" s="55">
        <v>28266</v>
      </c>
      <c r="J286" s="53">
        <f t="shared" ca="1" si="4"/>
        <v>39</v>
      </c>
      <c r="K286" s="56"/>
    </row>
    <row r="287" spans="1:11">
      <c r="A287" s="52" t="s">
        <v>132</v>
      </c>
      <c r="B287" s="53" t="s">
        <v>133</v>
      </c>
      <c r="C287" s="53">
        <v>3715</v>
      </c>
      <c r="D287" s="53" t="s">
        <v>25</v>
      </c>
      <c r="E287" s="53" t="s">
        <v>26</v>
      </c>
      <c r="F287" s="53" t="s">
        <v>56</v>
      </c>
      <c r="G287" s="54">
        <v>7297.33</v>
      </c>
      <c r="H287" s="53" t="s">
        <v>13</v>
      </c>
      <c r="I287" s="55">
        <v>28044</v>
      </c>
      <c r="J287" s="53">
        <f t="shared" ca="1" si="4"/>
        <v>40</v>
      </c>
      <c r="K287" s="56"/>
    </row>
    <row r="288" spans="1:11">
      <c r="A288" s="52" t="s">
        <v>150</v>
      </c>
      <c r="B288" s="53" t="s">
        <v>151</v>
      </c>
      <c r="C288" s="53">
        <v>3171</v>
      </c>
      <c r="D288" s="53" t="s">
        <v>44</v>
      </c>
      <c r="E288" s="53" t="s">
        <v>26</v>
      </c>
      <c r="F288" s="53" t="s">
        <v>152</v>
      </c>
      <c r="G288" s="54">
        <v>18069.400000000001</v>
      </c>
      <c r="H288" s="53" t="s">
        <v>18</v>
      </c>
      <c r="I288" s="55">
        <v>28065</v>
      </c>
      <c r="J288" s="53">
        <f t="shared" ca="1" si="4"/>
        <v>40</v>
      </c>
      <c r="K288" s="56"/>
    </row>
    <row r="289" spans="1:11">
      <c r="A289" s="52" t="s">
        <v>324</v>
      </c>
      <c r="B289" s="53" t="s">
        <v>325</v>
      </c>
      <c r="C289" s="53">
        <v>3056</v>
      </c>
      <c r="D289" s="53" t="s">
        <v>44</v>
      </c>
      <c r="E289" s="53" t="s">
        <v>26</v>
      </c>
      <c r="F289" s="53" t="s">
        <v>65</v>
      </c>
      <c r="G289" s="54">
        <v>12173.67</v>
      </c>
      <c r="H289" s="53" t="s">
        <v>13</v>
      </c>
      <c r="I289" s="55">
        <v>28191</v>
      </c>
      <c r="J289" s="53">
        <f t="shared" ca="1" si="4"/>
        <v>39</v>
      </c>
      <c r="K289" s="56"/>
    </row>
    <row r="290" spans="1:11">
      <c r="A290" s="52" t="s">
        <v>526</v>
      </c>
      <c r="B290" s="53" t="s">
        <v>229</v>
      </c>
      <c r="C290" s="53">
        <v>3668</v>
      </c>
      <c r="D290" s="53" t="s">
        <v>25</v>
      </c>
      <c r="E290" s="53" t="s">
        <v>26</v>
      </c>
      <c r="F290" s="53" t="s">
        <v>310</v>
      </c>
      <c r="G290" s="54">
        <v>8908.85</v>
      </c>
      <c r="H290" s="53" t="s">
        <v>13</v>
      </c>
      <c r="I290" s="55">
        <v>28015</v>
      </c>
      <c r="J290" s="53">
        <f t="shared" ca="1" si="4"/>
        <v>40</v>
      </c>
      <c r="K290" s="56"/>
    </row>
    <row r="291" spans="1:11">
      <c r="A291" s="52" t="s">
        <v>374</v>
      </c>
      <c r="B291" s="53" t="s">
        <v>377</v>
      </c>
      <c r="C291" s="53">
        <v>3638</v>
      </c>
      <c r="D291" s="53" t="s">
        <v>59</v>
      </c>
      <c r="E291" s="53" t="s">
        <v>26</v>
      </c>
      <c r="F291" s="53" t="s">
        <v>221</v>
      </c>
      <c r="G291" s="54">
        <v>6838.16</v>
      </c>
      <c r="H291" s="53" t="s">
        <v>18</v>
      </c>
      <c r="I291" s="55">
        <v>28361</v>
      </c>
      <c r="J291" s="53">
        <f t="shared" ca="1" si="4"/>
        <v>39</v>
      </c>
      <c r="K291" s="56"/>
    </row>
    <row r="292" spans="1:11">
      <c r="A292" s="52" t="s">
        <v>516</v>
      </c>
      <c r="B292" s="53" t="s">
        <v>275</v>
      </c>
      <c r="C292" s="53">
        <v>3585</v>
      </c>
      <c r="D292" s="53" t="s">
        <v>16</v>
      </c>
      <c r="E292" s="53" t="s">
        <v>11</v>
      </c>
      <c r="F292" s="53" t="s">
        <v>178</v>
      </c>
      <c r="G292" s="54">
        <v>15235.79</v>
      </c>
      <c r="H292" s="53" t="s">
        <v>18</v>
      </c>
      <c r="I292" s="55">
        <v>28289</v>
      </c>
      <c r="J292" s="53">
        <f t="shared" ca="1" si="4"/>
        <v>39</v>
      </c>
      <c r="K292" s="56"/>
    </row>
    <row r="293" spans="1:11">
      <c r="A293" s="52" t="s">
        <v>532</v>
      </c>
      <c r="B293" s="53" t="s">
        <v>88</v>
      </c>
      <c r="C293" s="53">
        <v>3185</v>
      </c>
      <c r="D293" s="53" t="s">
        <v>25</v>
      </c>
      <c r="E293" s="53" t="s">
        <v>26</v>
      </c>
      <c r="F293" s="53" t="s">
        <v>152</v>
      </c>
      <c r="G293" s="54">
        <v>17854.95</v>
      </c>
      <c r="H293" s="53" t="s">
        <v>13</v>
      </c>
      <c r="I293" s="55">
        <v>28647</v>
      </c>
      <c r="J293" s="53">
        <f t="shared" ca="1" si="4"/>
        <v>38</v>
      </c>
      <c r="K293" s="56"/>
    </row>
    <row r="294" spans="1:11">
      <c r="A294" s="52" t="s">
        <v>216</v>
      </c>
      <c r="B294" s="53" t="s">
        <v>447</v>
      </c>
      <c r="C294" s="53">
        <v>3113</v>
      </c>
      <c r="D294" s="53" t="s">
        <v>44</v>
      </c>
      <c r="E294" s="53" t="s">
        <v>26</v>
      </c>
      <c r="F294" s="53" t="s">
        <v>70</v>
      </c>
      <c r="G294" s="54">
        <v>7850</v>
      </c>
      <c r="H294" s="53" t="s">
        <v>18</v>
      </c>
      <c r="I294" s="55">
        <v>28740</v>
      </c>
      <c r="J294" s="53">
        <f t="shared" ca="1" si="4"/>
        <v>38</v>
      </c>
      <c r="K294" s="56"/>
    </row>
    <row r="295" spans="1:11">
      <c r="A295" s="52" t="s">
        <v>530</v>
      </c>
      <c r="B295" s="53" t="s">
        <v>61</v>
      </c>
      <c r="C295" s="53">
        <v>3280</v>
      </c>
      <c r="D295" s="53" t="s">
        <v>44</v>
      </c>
      <c r="E295" s="53" t="s">
        <v>26</v>
      </c>
      <c r="F295" s="53" t="s">
        <v>62</v>
      </c>
      <c r="G295" s="54">
        <v>12122.64</v>
      </c>
      <c r="H295" s="53" t="s">
        <v>13</v>
      </c>
      <c r="I295" s="55">
        <v>28881</v>
      </c>
      <c r="J295" s="53">
        <f t="shared" ca="1" si="4"/>
        <v>37</v>
      </c>
      <c r="K295" s="56"/>
    </row>
    <row r="296" spans="1:11">
      <c r="A296" s="52" t="s">
        <v>404</v>
      </c>
      <c r="B296" s="53" t="s">
        <v>133</v>
      </c>
      <c r="C296" s="53">
        <v>3032</v>
      </c>
      <c r="D296" s="53" t="s">
        <v>25</v>
      </c>
      <c r="E296" s="53" t="s">
        <v>26</v>
      </c>
      <c r="F296" s="53" t="s">
        <v>92</v>
      </c>
      <c r="G296" s="54">
        <v>14569.63</v>
      </c>
      <c r="H296" s="53" t="s">
        <v>13</v>
      </c>
      <c r="I296" s="55">
        <v>29324</v>
      </c>
      <c r="J296" s="53">
        <f t="shared" ca="1" si="4"/>
        <v>36</v>
      </c>
      <c r="K296" s="56"/>
    </row>
  </sheetData>
  <sortState ref="A12:K295">
    <sortCondition ref="E12"/>
  </sortState>
  <mergeCells count="7">
    <mergeCell ref="A1:E1"/>
    <mergeCell ref="B8:K8"/>
    <mergeCell ref="B9:K9"/>
    <mergeCell ref="B4:K4"/>
    <mergeCell ref="B5:K5"/>
    <mergeCell ref="B6:K6"/>
    <mergeCell ref="B7:K7"/>
  </mergeCells>
  <phoneticPr fontId="0" type="noConversion"/>
  <hyperlinks>
    <hyperlink ref="A1:E1" location="SOMMAIRE!A1" display="RETOUR AU SOMMAIRE"/>
  </hyperlinks>
  <pageMargins left="0.78740157480314965" right="0.78740157480314965" top="0.98425196850393704" bottom="0.98425196850393704" header="0.51181102362204722" footer="0.51181102362204722"/>
  <pageSetup paperSize="9" scale="76" fitToHeight="5" orientation="portrait" horizontalDpi="4294967293" r:id="rId1"/>
  <headerFooter alignWithMargins="0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6"/>
  <sheetViews>
    <sheetView showGridLines="0" workbookViewId="0">
      <selection activeCell="F3" sqref="F3"/>
    </sheetView>
  </sheetViews>
  <sheetFormatPr baseColWidth="10" defaultRowHeight="12.75"/>
  <cols>
    <col min="1" max="1" width="19.85546875" bestFit="1" customWidth="1"/>
    <col min="2" max="2" width="11" bestFit="1" customWidth="1"/>
    <col min="3" max="3" width="12.85546875" bestFit="1" customWidth="1"/>
    <col min="4" max="5" width="12.28515625" bestFit="1" customWidth="1"/>
    <col min="6" max="6" width="11.85546875" bestFit="1" customWidth="1"/>
  </cols>
  <sheetData>
    <row r="3" spans="1:6">
      <c r="A3" s="48" t="s">
        <v>844</v>
      </c>
      <c r="B3" t="s">
        <v>854</v>
      </c>
      <c r="C3" t="s">
        <v>855</v>
      </c>
      <c r="D3" t="s">
        <v>856</v>
      </c>
      <c r="E3" t="s">
        <v>857</v>
      </c>
      <c r="F3" t="s">
        <v>858</v>
      </c>
    </row>
    <row r="4" spans="1:6">
      <c r="A4" s="50" t="s">
        <v>466</v>
      </c>
      <c r="B4" s="47">
        <v>44161.13</v>
      </c>
      <c r="C4" s="47">
        <v>14720.376666666665</v>
      </c>
      <c r="D4" s="47">
        <v>16065.92</v>
      </c>
      <c r="E4" s="47">
        <v>12610.66</v>
      </c>
      <c r="F4" s="49">
        <v>3</v>
      </c>
    </row>
    <row r="5" spans="1:6">
      <c r="A5" s="51" t="s">
        <v>13</v>
      </c>
      <c r="B5" s="47">
        <v>12610.66</v>
      </c>
      <c r="C5" s="47">
        <v>12610.66</v>
      </c>
      <c r="D5" s="47">
        <v>12610.66</v>
      </c>
      <c r="E5" s="47">
        <v>12610.66</v>
      </c>
      <c r="F5" s="49">
        <v>1</v>
      </c>
    </row>
    <row r="6" spans="1:6">
      <c r="A6" s="51" t="s">
        <v>18</v>
      </c>
      <c r="B6" s="47">
        <v>31550.47</v>
      </c>
      <c r="C6" s="47">
        <v>15775.235000000001</v>
      </c>
      <c r="D6" s="47">
        <v>16065.92</v>
      </c>
      <c r="E6" s="47">
        <v>15484.55</v>
      </c>
      <c r="F6" s="49">
        <v>2</v>
      </c>
    </row>
    <row r="7" spans="1:6">
      <c r="A7" s="50" t="s">
        <v>26</v>
      </c>
      <c r="B7" s="47">
        <v>2300851.5499999998</v>
      </c>
      <c r="C7" s="47">
        <v>13377.043895348836</v>
      </c>
      <c r="D7" s="47">
        <v>23504</v>
      </c>
      <c r="E7" s="47">
        <v>6372.99</v>
      </c>
      <c r="F7" s="49">
        <v>172</v>
      </c>
    </row>
    <row r="8" spans="1:6">
      <c r="A8" s="51" t="s">
        <v>13</v>
      </c>
      <c r="B8" s="47">
        <v>1557843.2200000004</v>
      </c>
      <c r="C8" s="47">
        <v>13786.223185840712</v>
      </c>
      <c r="D8" s="47">
        <v>23504</v>
      </c>
      <c r="E8" s="47">
        <v>6483.13</v>
      </c>
      <c r="F8" s="49">
        <v>113</v>
      </c>
    </row>
    <row r="9" spans="1:6">
      <c r="A9" s="51" t="s">
        <v>18</v>
      </c>
      <c r="B9" s="47">
        <v>743008.33</v>
      </c>
      <c r="C9" s="47">
        <v>12593.361525423728</v>
      </c>
      <c r="D9" s="47">
        <v>20998.11</v>
      </c>
      <c r="E9" s="47">
        <v>6372.99</v>
      </c>
      <c r="F9" s="49">
        <v>59</v>
      </c>
    </row>
    <row r="10" spans="1:6">
      <c r="A10" s="50" t="s">
        <v>11</v>
      </c>
      <c r="B10" s="47">
        <v>1356685.2199999995</v>
      </c>
      <c r="C10" s="47">
        <v>13843.726734693873</v>
      </c>
      <c r="D10" s="47">
        <v>27235</v>
      </c>
      <c r="E10" s="47">
        <v>6164.4</v>
      </c>
      <c r="F10" s="49">
        <v>98</v>
      </c>
    </row>
    <row r="11" spans="1:6">
      <c r="A11" s="51" t="s">
        <v>13</v>
      </c>
      <c r="B11" s="47">
        <v>853996.03999999992</v>
      </c>
      <c r="C11" s="47">
        <v>13774.129677419354</v>
      </c>
      <c r="D11" s="47">
        <v>20947.330000000002</v>
      </c>
      <c r="E11" s="47">
        <v>6164.4</v>
      </c>
      <c r="F11" s="49">
        <v>62</v>
      </c>
    </row>
    <row r="12" spans="1:6">
      <c r="A12" s="51" t="s">
        <v>18</v>
      </c>
      <c r="B12" s="47">
        <v>502689.17999999988</v>
      </c>
      <c r="C12" s="47">
        <v>13963.58833333333</v>
      </c>
      <c r="D12" s="47">
        <v>27235</v>
      </c>
      <c r="E12" s="47">
        <v>6659.39</v>
      </c>
      <c r="F12" s="49">
        <v>36</v>
      </c>
    </row>
    <row r="13" spans="1:6">
      <c r="A13" s="50" t="s">
        <v>39</v>
      </c>
      <c r="B13" s="47">
        <v>178029.11</v>
      </c>
      <c r="C13" s="47">
        <v>14835.759166666665</v>
      </c>
      <c r="D13" s="47">
        <v>20879.54</v>
      </c>
      <c r="E13" s="47">
        <v>7060.88</v>
      </c>
      <c r="F13" s="49">
        <v>12</v>
      </c>
    </row>
    <row r="14" spans="1:6">
      <c r="A14" s="51" t="s">
        <v>13</v>
      </c>
      <c r="B14" s="47">
        <v>77836.729999999981</v>
      </c>
      <c r="C14" s="47">
        <v>15567.345999999996</v>
      </c>
      <c r="D14" s="47">
        <v>20879.54</v>
      </c>
      <c r="E14" s="47">
        <v>9896.7099999999991</v>
      </c>
      <c r="F14" s="49">
        <v>5</v>
      </c>
    </row>
    <row r="15" spans="1:6">
      <c r="A15" s="51" t="s">
        <v>18</v>
      </c>
      <c r="B15" s="47">
        <v>100192.38</v>
      </c>
      <c r="C15" s="47">
        <v>14313.197142857143</v>
      </c>
      <c r="D15" s="47">
        <v>20500.91</v>
      </c>
      <c r="E15" s="47">
        <v>7060.88</v>
      </c>
      <c r="F15" s="49">
        <v>7</v>
      </c>
    </row>
    <row r="16" spans="1:6">
      <c r="A16" s="50" t="s">
        <v>841</v>
      </c>
      <c r="B16" s="47">
        <v>3879727.0100000012</v>
      </c>
      <c r="C16" s="47">
        <v>13613.07722807018</v>
      </c>
      <c r="D16" s="47">
        <v>27235</v>
      </c>
      <c r="E16" s="47">
        <v>6164.4</v>
      </c>
      <c r="F16" s="49">
        <v>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workbookViewId="0">
      <selection activeCell="B2" sqref="B2"/>
    </sheetView>
  </sheetViews>
  <sheetFormatPr baseColWidth="10" defaultRowHeight="12.75"/>
  <cols>
    <col min="2" max="2" width="39.85546875" customWidth="1"/>
  </cols>
  <sheetData>
    <row r="1" spans="1:10" ht="18.75" thickTop="1">
      <c r="A1" s="35" t="s">
        <v>833</v>
      </c>
      <c r="B1" s="41">
        <v>1</v>
      </c>
    </row>
    <row r="2" spans="1:10">
      <c r="A2" s="36" t="s">
        <v>0</v>
      </c>
      <c r="B2" s="37"/>
    </row>
    <row r="3" spans="1:10">
      <c r="A3" s="36" t="s">
        <v>1</v>
      </c>
      <c r="B3" s="38"/>
    </row>
    <row r="4" spans="1:10">
      <c r="A4" s="36" t="s">
        <v>834</v>
      </c>
      <c r="B4" s="38"/>
    </row>
    <row r="5" spans="1:10">
      <c r="A5" s="36" t="s">
        <v>835</v>
      </c>
      <c r="B5" s="38"/>
    </row>
    <row r="6" spans="1:10">
      <c r="A6" s="36" t="s">
        <v>836</v>
      </c>
      <c r="B6" s="38"/>
    </row>
    <row r="7" spans="1:10">
      <c r="A7" s="36" t="s">
        <v>837</v>
      </c>
      <c r="B7" s="38"/>
    </row>
    <row r="8" spans="1:10" ht="13.5" thickBot="1">
      <c r="A8" s="39" t="s">
        <v>5</v>
      </c>
      <c r="B8" s="40"/>
    </row>
    <row r="9" spans="1:10" ht="13.5" thickTop="1"/>
    <row r="14" spans="1:10" ht="53.25" customHeight="1">
      <c r="A14" s="84" t="s">
        <v>839</v>
      </c>
      <c r="B14" s="84"/>
      <c r="C14" s="84"/>
      <c r="D14" s="84"/>
      <c r="E14" s="84"/>
      <c r="F14" s="84"/>
      <c r="G14" s="84"/>
      <c r="H14" s="84"/>
      <c r="I14" s="84"/>
      <c r="J14" s="84"/>
    </row>
  </sheetData>
  <mergeCells count="1">
    <mergeCell ref="A14:J14"/>
  </mergeCells>
  <phoneticPr fontId="13" type="noConversion"/>
  <pageMargins left="0.78740157499999996" right="0.78740157499999996" top="0.984251969" bottom="0.984251969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>
    <tabColor indexed="57"/>
  </sheetPr>
  <dimension ref="A1:I44"/>
  <sheetViews>
    <sheetView showGridLines="0" workbookViewId="0">
      <selection activeCell="K18" sqref="K18"/>
    </sheetView>
  </sheetViews>
  <sheetFormatPr baseColWidth="10" defaultRowHeight="12.75"/>
  <cols>
    <col min="1" max="1" width="9.7109375" style="14" customWidth="1"/>
    <col min="2" max="2" width="13.85546875" style="14" bestFit="1" customWidth="1"/>
    <col min="3" max="3" width="11.5703125" style="14" bestFit="1" customWidth="1"/>
    <col min="4" max="4" width="26.7109375" style="14" bestFit="1" customWidth="1"/>
    <col min="5" max="5" width="6.5703125" style="15" bestFit="1" customWidth="1"/>
    <col min="6" max="6" width="9.5703125" style="15" bestFit="1" customWidth="1"/>
    <col min="7" max="7" width="15.140625" style="14" bestFit="1" customWidth="1"/>
    <col min="8" max="8" width="10.7109375" style="14" bestFit="1" customWidth="1"/>
    <col min="9" max="16384" width="11.42578125" style="14"/>
  </cols>
  <sheetData>
    <row r="1" spans="1:9" ht="33.75">
      <c r="A1" s="85" t="s">
        <v>597</v>
      </c>
      <c r="B1" s="85"/>
      <c r="C1" s="85"/>
      <c r="D1" s="85"/>
      <c r="E1" s="85"/>
      <c r="F1" s="85"/>
      <c r="G1" s="85"/>
      <c r="H1" s="85"/>
    </row>
    <row r="2" spans="1:9" ht="68.25" customHeight="1"/>
    <row r="3" spans="1:9" s="19" customFormat="1" ht="25.5">
      <c r="A3" s="18" t="s">
        <v>598</v>
      </c>
      <c r="B3" s="21" t="s">
        <v>650</v>
      </c>
      <c r="C3" s="21" t="s">
        <v>599</v>
      </c>
      <c r="D3" s="21" t="s">
        <v>600</v>
      </c>
      <c r="E3" s="22" t="s">
        <v>702</v>
      </c>
      <c r="F3" s="21" t="s">
        <v>601</v>
      </c>
      <c r="G3" s="21" t="s">
        <v>602</v>
      </c>
      <c r="H3" s="23" t="s">
        <v>720</v>
      </c>
      <c r="I3" s="23" t="s">
        <v>838</v>
      </c>
    </row>
    <row r="4" spans="1:9">
      <c r="A4" s="16">
        <v>1</v>
      </c>
      <c r="B4" s="16" t="s">
        <v>607</v>
      </c>
      <c r="C4" s="16" t="s">
        <v>300</v>
      </c>
      <c r="D4" s="16" t="s">
        <v>686</v>
      </c>
      <c r="E4" s="17">
        <v>75002</v>
      </c>
      <c r="F4" s="17" t="s">
        <v>11</v>
      </c>
      <c r="G4" s="16" t="s">
        <v>706</v>
      </c>
      <c r="H4" s="20">
        <v>1143.3699999999999</v>
      </c>
    </row>
    <row r="5" spans="1:9">
      <c r="A5" s="16">
        <v>2</v>
      </c>
      <c r="B5" s="16" t="s">
        <v>616</v>
      </c>
      <c r="C5" s="16" t="s">
        <v>465</v>
      </c>
      <c r="D5" s="16" t="s">
        <v>663</v>
      </c>
      <c r="E5" s="17">
        <v>59000</v>
      </c>
      <c r="F5" s="17" t="s">
        <v>466</v>
      </c>
      <c r="G5" s="16" t="s">
        <v>706</v>
      </c>
      <c r="H5" s="20">
        <v>1356.8</v>
      </c>
    </row>
    <row r="6" spans="1:9">
      <c r="A6" s="16">
        <v>3</v>
      </c>
      <c r="B6" s="16" t="s">
        <v>617</v>
      </c>
      <c r="C6" s="16" t="s">
        <v>116</v>
      </c>
      <c r="D6" s="16" t="s">
        <v>664</v>
      </c>
      <c r="E6" s="17">
        <v>59000</v>
      </c>
      <c r="F6" s="17" t="s">
        <v>466</v>
      </c>
      <c r="G6" s="16" t="s">
        <v>707</v>
      </c>
      <c r="H6" s="20">
        <v>1216.54</v>
      </c>
    </row>
    <row r="7" spans="1:9">
      <c r="A7" s="16">
        <v>4</v>
      </c>
      <c r="B7" s="16" t="s">
        <v>641</v>
      </c>
      <c r="C7" s="16" t="s">
        <v>29</v>
      </c>
      <c r="D7" s="16" t="s">
        <v>692</v>
      </c>
      <c r="E7" s="17">
        <v>64000</v>
      </c>
      <c r="F7" s="17" t="s">
        <v>716</v>
      </c>
      <c r="G7" s="16" t="s">
        <v>705</v>
      </c>
      <c r="H7" s="20">
        <v>1471.13</v>
      </c>
    </row>
    <row r="8" spans="1:9">
      <c r="A8" s="16">
        <v>5</v>
      </c>
      <c r="B8" s="16" t="s">
        <v>618</v>
      </c>
      <c r="C8" s="16" t="s">
        <v>727</v>
      </c>
      <c r="D8" s="16" t="s">
        <v>665</v>
      </c>
      <c r="E8" s="17">
        <v>59000</v>
      </c>
      <c r="F8" s="17" t="s">
        <v>466</v>
      </c>
      <c r="G8" s="16" t="s">
        <v>704</v>
      </c>
      <c r="H8" s="20">
        <v>1295.82</v>
      </c>
    </row>
    <row r="9" spans="1:9">
      <c r="A9" s="16">
        <v>6</v>
      </c>
      <c r="B9" s="16" t="s">
        <v>637</v>
      </c>
      <c r="C9" s="16" t="s">
        <v>151</v>
      </c>
      <c r="D9" s="16" t="s">
        <v>687</v>
      </c>
      <c r="E9" s="17">
        <v>75003</v>
      </c>
      <c r="F9" s="17" t="s">
        <v>11</v>
      </c>
      <c r="G9" s="16" t="s">
        <v>705</v>
      </c>
      <c r="H9" s="20">
        <v>1423.87</v>
      </c>
    </row>
    <row r="10" spans="1:9">
      <c r="A10" s="16">
        <v>7</v>
      </c>
      <c r="B10" s="16" t="s">
        <v>632</v>
      </c>
      <c r="C10" s="16" t="s">
        <v>735</v>
      </c>
      <c r="D10" s="16" t="s">
        <v>681</v>
      </c>
      <c r="E10" s="17">
        <v>44000</v>
      </c>
      <c r="F10" s="17" t="s">
        <v>715</v>
      </c>
      <c r="G10" s="16" t="s">
        <v>704</v>
      </c>
      <c r="H10" s="20">
        <v>1676.94</v>
      </c>
    </row>
    <row r="11" spans="1:9">
      <c r="A11" s="16">
        <v>8</v>
      </c>
      <c r="B11" s="16" t="s">
        <v>633</v>
      </c>
      <c r="C11" s="16" t="s">
        <v>736</v>
      </c>
      <c r="D11" s="16" t="s">
        <v>682</v>
      </c>
      <c r="E11" s="17">
        <v>44000</v>
      </c>
      <c r="F11" s="17" t="s">
        <v>715</v>
      </c>
      <c r="G11" s="16" t="s">
        <v>706</v>
      </c>
      <c r="H11" s="20">
        <v>1375.85</v>
      </c>
    </row>
    <row r="12" spans="1:9">
      <c r="A12" s="16">
        <v>11</v>
      </c>
      <c r="B12" s="16" t="s">
        <v>645</v>
      </c>
      <c r="C12" s="16" t="s">
        <v>740</v>
      </c>
      <c r="D12" s="16" t="s">
        <v>696</v>
      </c>
      <c r="E12" s="17">
        <v>31000</v>
      </c>
      <c r="F12" s="17" t="s">
        <v>718</v>
      </c>
      <c r="G12" s="16" t="s">
        <v>707</v>
      </c>
      <c r="H12" s="20">
        <v>1829.39</v>
      </c>
    </row>
    <row r="13" spans="1:9">
      <c r="A13" s="16">
        <v>12</v>
      </c>
      <c r="B13" s="16" t="s">
        <v>634</v>
      </c>
      <c r="C13" s="16" t="s">
        <v>15</v>
      </c>
      <c r="D13" s="16" t="s">
        <v>683</v>
      </c>
      <c r="E13" s="17">
        <v>44000</v>
      </c>
      <c r="F13" s="17" t="s">
        <v>715</v>
      </c>
      <c r="G13" s="16" t="s">
        <v>706</v>
      </c>
      <c r="H13" s="20">
        <v>1375.09</v>
      </c>
    </row>
    <row r="14" spans="1:9">
      <c r="A14" s="16">
        <v>13</v>
      </c>
      <c r="B14" s="16" t="s">
        <v>625</v>
      </c>
      <c r="C14" s="16" t="s">
        <v>730</v>
      </c>
      <c r="D14" s="16" t="s">
        <v>673</v>
      </c>
      <c r="E14" s="17">
        <v>13000</v>
      </c>
      <c r="F14" s="17" t="s">
        <v>713</v>
      </c>
      <c r="G14" s="16" t="s">
        <v>705</v>
      </c>
      <c r="H14" s="20">
        <v>1082.3900000000001</v>
      </c>
    </row>
    <row r="15" spans="1:9">
      <c r="A15" s="16">
        <v>14</v>
      </c>
      <c r="B15" s="16" t="s">
        <v>621</v>
      </c>
      <c r="C15" s="16" t="s">
        <v>151</v>
      </c>
      <c r="D15" s="16" t="s">
        <v>669</v>
      </c>
      <c r="E15" s="17">
        <v>69000</v>
      </c>
      <c r="F15" s="17" t="s">
        <v>712</v>
      </c>
      <c r="G15" s="16" t="s">
        <v>704</v>
      </c>
      <c r="H15" s="20">
        <v>1382.71</v>
      </c>
    </row>
    <row r="16" spans="1:9">
      <c r="A16" s="16">
        <v>15</v>
      </c>
      <c r="B16" s="16" t="s">
        <v>621</v>
      </c>
      <c r="C16" s="16" t="s">
        <v>300</v>
      </c>
      <c r="D16" s="16" t="s">
        <v>700</v>
      </c>
      <c r="E16" s="17">
        <v>26000</v>
      </c>
      <c r="F16" s="17" t="s">
        <v>719</v>
      </c>
      <c r="G16" s="16" t="s">
        <v>707</v>
      </c>
      <c r="H16" s="20">
        <v>1216.54</v>
      </c>
    </row>
    <row r="17" spans="1:8">
      <c r="A17" s="16">
        <v>16</v>
      </c>
      <c r="B17" s="16" t="s">
        <v>638</v>
      </c>
      <c r="C17" s="16" t="s">
        <v>300</v>
      </c>
      <c r="D17" s="16" t="s">
        <v>688</v>
      </c>
      <c r="E17" s="17">
        <v>75005</v>
      </c>
      <c r="F17" s="17" t="s">
        <v>11</v>
      </c>
      <c r="G17" s="16" t="s">
        <v>706</v>
      </c>
      <c r="H17" s="20">
        <v>1172.33</v>
      </c>
    </row>
    <row r="18" spans="1:8">
      <c r="A18" s="16">
        <v>17</v>
      </c>
      <c r="B18" s="16" t="s">
        <v>626</v>
      </c>
      <c r="C18" s="16" t="s">
        <v>229</v>
      </c>
      <c r="D18" s="16" t="s">
        <v>674</v>
      </c>
      <c r="E18" s="17">
        <v>13000</v>
      </c>
      <c r="F18" s="17" t="s">
        <v>713</v>
      </c>
      <c r="G18" s="16" t="s">
        <v>706</v>
      </c>
      <c r="H18" s="20">
        <v>1494</v>
      </c>
    </row>
    <row r="19" spans="1:8">
      <c r="A19" s="16">
        <v>18</v>
      </c>
      <c r="B19" s="16" t="s">
        <v>604</v>
      </c>
      <c r="C19" s="16" t="s">
        <v>151</v>
      </c>
      <c r="D19" s="16" t="s">
        <v>652</v>
      </c>
      <c r="E19" s="17">
        <v>33000</v>
      </c>
      <c r="F19" s="17" t="s">
        <v>565</v>
      </c>
      <c r="G19" s="16" t="s">
        <v>704</v>
      </c>
      <c r="H19" s="20">
        <v>1414.73</v>
      </c>
    </row>
    <row r="20" spans="1:8">
      <c r="A20" s="16">
        <v>19</v>
      </c>
      <c r="B20" s="16" t="s">
        <v>605</v>
      </c>
      <c r="C20" s="16" t="s">
        <v>300</v>
      </c>
      <c r="D20" s="16" t="s">
        <v>653</v>
      </c>
      <c r="E20" s="17">
        <v>33000</v>
      </c>
      <c r="F20" s="17" t="s">
        <v>565</v>
      </c>
      <c r="G20" s="16" t="s">
        <v>705</v>
      </c>
      <c r="H20" s="20">
        <v>1538.21</v>
      </c>
    </row>
    <row r="21" spans="1:8">
      <c r="A21" s="16">
        <v>20</v>
      </c>
      <c r="B21" s="16" t="s">
        <v>649</v>
      </c>
      <c r="C21" s="16" t="s">
        <v>741</v>
      </c>
      <c r="D21" s="16" t="s">
        <v>701</v>
      </c>
      <c r="E21" s="17">
        <v>26000</v>
      </c>
      <c r="F21" s="17" t="s">
        <v>719</v>
      </c>
      <c r="G21" s="16" t="s">
        <v>706</v>
      </c>
      <c r="H21" s="20">
        <v>1532.11</v>
      </c>
    </row>
    <row r="22" spans="1:8">
      <c r="A22" s="16">
        <v>21</v>
      </c>
      <c r="B22" s="16" t="s">
        <v>613</v>
      </c>
      <c r="C22" s="16" t="s">
        <v>727</v>
      </c>
      <c r="D22" s="16" t="s">
        <v>675</v>
      </c>
      <c r="E22" s="17">
        <v>13000</v>
      </c>
      <c r="F22" s="17" t="s">
        <v>713</v>
      </c>
      <c r="G22" s="16" t="s">
        <v>705</v>
      </c>
      <c r="H22" s="20">
        <v>1503.15</v>
      </c>
    </row>
    <row r="23" spans="1:8">
      <c r="A23" s="16">
        <v>22</v>
      </c>
      <c r="B23" s="16" t="s">
        <v>613</v>
      </c>
      <c r="C23" s="16" t="s">
        <v>29</v>
      </c>
      <c r="D23" s="16" t="s">
        <v>660</v>
      </c>
      <c r="E23" s="17">
        <v>62100</v>
      </c>
      <c r="F23" s="17" t="s">
        <v>710</v>
      </c>
      <c r="G23" s="16" t="s">
        <v>706</v>
      </c>
      <c r="H23" s="20">
        <v>1335.45</v>
      </c>
    </row>
    <row r="24" spans="1:8">
      <c r="A24" s="16">
        <v>23</v>
      </c>
      <c r="B24" s="16" t="s">
        <v>627</v>
      </c>
      <c r="C24" s="16" t="s">
        <v>731</v>
      </c>
      <c r="D24" s="16" t="s">
        <v>676</v>
      </c>
      <c r="E24" s="17">
        <v>13000</v>
      </c>
      <c r="F24" s="17" t="s">
        <v>713</v>
      </c>
      <c r="G24" s="16" t="s">
        <v>704</v>
      </c>
      <c r="H24" s="20">
        <v>1311.06</v>
      </c>
    </row>
    <row r="25" spans="1:8">
      <c r="A25" s="16">
        <v>24</v>
      </c>
      <c r="B25" s="16" t="s">
        <v>606</v>
      </c>
      <c r="C25" s="16" t="s">
        <v>722</v>
      </c>
      <c r="D25" s="16" t="s">
        <v>654</v>
      </c>
      <c r="E25" s="17">
        <v>33000</v>
      </c>
      <c r="F25" s="17" t="s">
        <v>565</v>
      </c>
      <c r="G25" s="16" t="s">
        <v>706</v>
      </c>
      <c r="H25" s="20">
        <v>1990.98</v>
      </c>
    </row>
    <row r="26" spans="1:8">
      <c r="A26" s="16">
        <v>31</v>
      </c>
      <c r="B26" s="16" t="s">
        <v>609</v>
      </c>
      <c r="C26" s="16" t="s">
        <v>289</v>
      </c>
      <c r="D26" s="16" t="s">
        <v>656</v>
      </c>
      <c r="E26" s="17">
        <v>33000</v>
      </c>
      <c r="F26" s="17" t="s">
        <v>565</v>
      </c>
      <c r="G26" s="16" t="s">
        <v>707</v>
      </c>
      <c r="H26" s="20">
        <v>1684.56</v>
      </c>
    </row>
    <row r="27" spans="1:8">
      <c r="A27" s="16">
        <v>32</v>
      </c>
      <c r="B27" s="16" t="s">
        <v>628</v>
      </c>
      <c r="C27" s="16" t="s">
        <v>732</v>
      </c>
      <c r="D27" s="16" t="s">
        <v>677</v>
      </c>
      <c r="E27" s="17">
        <v>13000</v>
      </c>
      <c r="F27" s="17" t="s">
        <v>713</v>
      </c>
      <c r="G27" s="16" t="s">
        <v>704</v>
      </c>
      <c r="H27" s="20">
        <v>1382.71</v>
      </c>
    </row>
    <row r="28" spans="1:8">
      <c r="A28" s="16">
        <v>33</v>
      </c>
      <c r="B28" s="16" t="s">
        <v>624</v>
      </c>
      <c r="C28" s="16" t="s">
        <v>729</v>
      </c>
      <c r="D28" s="16" t="s">
        <v>672</v>
      </c>
      <c r="E28" s="17">
        <v>69000</v>
      </c>
      <c r="F28" s="17" t="s">
        <v>712</v>
      </c>
      <c r="G28" s="16" t="s">
        <v>706</v>
      </c>
      <c r="H28" s="20">
        <v>1433.02</v>
      </c>
    </row>
    <row r="29" spans="1:8">
      <c r="A29" s="16">
        <v>34</v>
      </c>
      <c r="B29" s="16" t="s">
        <v>646</v>
      </c>
      <c r="C29" s="16" t="s">
        <v>741</v>
      </c>
      <c r="D29" s="16" t="s">
        <v>697</v>
      </c>
      <c r="E29" s="17">
        <v>31000</v>
      </c>
      <c r="F29" s="17" t="s">
        <v>718</v>
      </c>
      <c r="G29" s="16" t="s">
        <v>708</v>
      </c>
      <c r="H29" s="20">
        <v>2286.7399999999998</v>
      </c>
    </row>
    <row r="30" spans="1:8">
      <c r="A30" s="16">
        <v>35</v>
      </c>
      <c r="B30" s="16" t="s">
        <v>629</v>
      </c>
      <c r="C30" s="16" t="s">
        <v>733</v>
      </c>
      <c r="D30" s="16" t="s">
        <v>678</v>
      </c>
      <c r="E30" s="17">
        <v>13000</v>
      </c>
      <c r="F30" s="17" t="s">
        <v>713</v>
      </c>
      <c r="G30" s="16" t="s">
        <v>707</v>
      </c>
      <c r="H30" s="20">
        <v>1507.72</v>
      </c>
    </row>
    <row r="31" spans="1:8">
      <c r="A31" s="16">
        <v>36</v>
      </c>
      <c r="B31" s="16" t="s">
        <v>610</v>
      </c>
      <c r="C31" s="16" t="s">
        <v>724</v>
      </c>
      <c r="D31" s="16" t="s">
        <v>657</v>
      </c>
      <c r="E31" s="17">
        <v>33000</v>
      </c>
      <c r="F31" s="17" t="s">
        <v>565</v>
      </c>
      <c r="G31" s="16" t="s">
        <v>703</v>
      </c>
      <c r="H31" s="20">
        <v>1631.2</v>
      </c>
    </row>
    <row r="32" spans="1:8">
      <c r="A32" s="16">
        <v>37</v>
      </c>
      <c r="B32" s="16" t="s">
        <v>635</v>
      </c>
      <c r="C32" s="16" t="s">
        <v>97</v>
      </c>
      <c r="D32" s="16" t="s">
        <v>684</v>
      </c>
      <c r="E32" s="17">
        <v>44000</v>
      </c>
      <c r="F32" s="17" t="s">
        <v>715</v>
      </c>
      <c r="G32" s="16" t="s">
        <v>708</v>
      </c>
      <c r="H32" s="20">
        <v>1280.57</v>
      </c>
    </row>
    <row r="33" spans="1:8">
      <c r="A33" s="16">
        <v>38</v>
      </c>
      <c r="B33" s="16" t="s">
        <v>615</v>
      </c>
      <c r="C33" s="16" t="s">
        <v>365</v>
      </c>
      <c r="D33" s="16" t="s">
        <v>662</v>
      </c>
      <c r="E33" s="17">
        <v>59400</v>
      </c>
      <c r="F33" s="17" t="s">
        <v>711</v>
      </c>
      <c r="G33" s="16" t="s">
        <v>705</v>
      </c>
      <c r="H33" s="20">
        <v>1600.71</v>
      </c>
    </row>
    <row r="34" spans="1:8">
      <c r="A34" s="16">
        <v>39</v>
      </c>
      <c r="B34" s="16" t="s">
        <v>630</v>
      </c>
      <c r="C34" s="16" t="s">
        <v>300</v>
      </c>
      <c r="D34" s="16" t="s">
        <v>679</v>
      </c>
      <c r="E34" s="17">
        <v>13000</v>
      </c>
      <c r="F34" s="17" t="s">
        <v>713</v>
      </c>
      <c r="G34" s="16" t="s">
        <v>703</v>
      </c>
      <c r="H34" s="20">
        <v>1455.89</v>
      </c>
    </row>
    <row r="35" spans="1:8">
      <c r="A35" s="16">
        <v>40</v>
      </c>
      <c r="B35" s="16" t="s">
        <v>614</v>
      </c>
      <c r="C35" s="16" t="s">
        <v>726</v>
      </c>
      <c r="D35" s="16" t="s">
        <v>661</v>
      </c>
      <c r="E35" s="17">
        <v>62100</v>
      </c>
      <c r="F35" s="17" t="s">
        <v>710</v>
      </c>
      <c r="G35" s="16" t="s">
        <v>705</v>
      </c>
      <c r="H35" s="20">
        <v>1158.6099999999999</v>
      </c>
    </row>
    <row r="36" spans="1:8">
      <c r="A36" s="16">
        <v>41</v>
      </c>
      <c r="B36" s="16" t="s">
        <v>639</v>
      </c>
      <c r="C36" s="16" t="s">
        <v>465</v>
      </c>
      <c r="D36" s="16" t="s">
        <v>689</v>
      </c>
      <c r="E36" s="17">
        <v>75012</v>
      </c>
      <c r="F36" s="17" t="s">
        <v>11</v>
      </c>
      <c r="G36" s="16" t="s">
        <v>704</v>
      </c>
      <c r="H36" s="20">
        <v>1288.19</v>
      </c>
    </row>
    <row r="37" spans="1:8">
      <c r="A37" s="16">
        <v>42</v>
      </c>
      <c r="B37" s="16" t="s">
        <v>639</v>
      </c>
      <c r="C37" s="16" t="s">
        <v>737</v>
      </c>
      <c r="D37" s="16" t="s">
        <v>690</v>
      </c>
      <c r="E37" s="17">
        <v>75018</v>
      </c>
      <c r="F37" s="17" t="s">
        <v>11</v>
      </c>
      <c r="G37" s="16" t="s">
        <v>707</v>
      </c>
      <c r="H37" s="20">
        <v>1454.36</v>
      </c>
    </row>
    <row r="38" spans="1:8">
      <c r="A38" s="16">
        <v>43</v>
      </c>
      <c r="B38" s="16" t="s">
        <v>640</v>
      </c>
      <c r="C38" s="16" t="s">
        <v>145</v>
      </c>
      <c r="D38" s="16" t="s">
        <v>691</v>
      </c>
      <c r="E38" s="17">
        <v>75020</v>
      </c>
      <c r="F38" s="17" t="s">
        <v>11</v>
      </c>
      <c r="G38" s="16" t="s">
        <v>706</v>
      </c>
      <c r="H38" s="20">
        <v>1379.66</v>
      </c>
    </row>
    <row r="39" spans="1:8">
      <c r="A39" s="16">
        <v>46</v>
      </c>
      <c r="B39" s="16" t="s">
        <v>620</v>
      </c>
      <c r="C39" s="16" t="s">
        <v>726</v>
      </c>
      <c r="D39" s="16" t="s">
        <v>667</v>
      </c>
      <c r="E39" s="17">
        <v>59000</v>
      </c>
      <c r="F39" s="17" t="s">
        <v>466</v>
      </c>
      <c r="G39" s="16" t="s">
        <v>707</v>
      </c>
      <c r="H39" s="20">
        <v>1533.64</v>
      </c>
    </row>
    <row r="40" spans="1:8">
      <c r="A40" s="16">
        <v>47</v>
      </c>
      <c r="B40" s="16" t="s">
        <v>611</v>
      </c>
      <c r="C40" s="16" t="s">
        <v>300</v>
      </c>
      <c r="D40" s="16" t="s">
        <v>668</v>
      </c>
      <c r="E40" s="17">
        <v>59000</v>
      </c>
      <c r="F40" s="17" t="s">
        <v>466</v>
      </c>
      <c r="G40" s="16" t="s">
        <v>704</v>
      </c>
      <c r="H40" s="20">
        <v>1311.06</v>
      </c>
    </row>
    <row r="41" spans="1:8">
      <c r="A41" s="16">
        <v>48</v>
      </c>
      <c r="B41" s="16" t="s">
        <v>648</v>
      </c>
      <c r="C41" s="16" t="s">
        <v>29</v>
      </c>
      <c r="D41" s="16" t="s">
        <v>699</v>
      </c>
      <c r="E41" s="17">
        <v>31000</v>
      </c>
      <c r="F41" s="17" t="s">
        <v>718</v>
      </c>
      <c r="G41" s="16" t="s">
        <v>706</v>
      </c>
      <c r="H41" s="20">
        <v>1475.71</v>
      </c>
    </row>
    <row r="42" spans="1:8">
      <c r="A42" s="16">
        <v>49</v>
      </c>
      <c r="B42" s="16" t="s">
        <v>631</v>
      </c>
      <c r="C42" s="16" t="s">
        <v>734</v>
      </c>
      <c r="D42" s="16" t="s">
        <v>680</v>
      </c>
      <c r="E42" s="17">
        <v>54000</v>
      </c>
      <c r="F42" s="17" t="s">
        <v>714</v>
      </c>
      <c r="G42" s="16" t="s">
        <v>706</v>
      </c>
      <c r="H42" s="20">
        <v>1254.6600000000001</v>
      </c>
    </row>
    <row r="43" spans="1:8">
      <c r="A43" s="16">
        <v>50</v>
      </c>
      <c r="B43" s="16" t="s">
        <v>611</v>
      </c>
      <c r="C43" s="16" t="s">
        <v>229</v>
      </c>
      <c r="D43" s="16" t="s">
        <v>658</v>
      </c>
      <c r="E43" s="17">
        <v>33000</v>
      </c>
      <c r="F43" s="17" t="s">
        <v>565</v>
      </c>
      <c r="G43" s="16" t="s">
        <v>707</v>
      </c>
      <c r="H43" s="20">
        <v>1524.49</v>
      </c>
    </row>
    <row r="44" spans="1:8">
      <c r="A44" s="16">
        <v>51</v>
      </c>
      <c r="B44" s="16" t="s">
        <v>612</v>
      </c>
      <c r="C44" s="16" t="s">
        <v>725</v>
      </c>
      <c r="D44" s="16" t="s">
        <v>659</v>
      </c>
      <c r="E44" s="17">
        <v>33000</v>
      </c>
      <c r="F44" s="17" t="s">
        <v>565</v>
      </c>
      <c r="G44" s="16" t="s">
        <v>706</v>
      </c>
      <c r="H44" s="20">
        <v>222.23</v>
      </c>
    </row>
  </sheetData>
  <mergeCells count="1">
    <mergeCell ref="A1:H1"/>
  </mergeCells>
  <phoneticPr fontId="0" type="noConversion"/>
  <hyperlinks>
    <hyperlink ref="A1:E1" location="SOMMAIRE!A1" display="RETOUR AU SOMMAIRE"/>
  </hyperlinks>
  <pageMargins left="0.78740157499999996" right="0.78740157499999996" top="0.984251969" bottom="0.984251969" header="0.4921259845" footer="0.492125984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>
    <tabColor indexed="57"/>
  </sheetPr>
  <dimension ref="A1:H47"/>
  <sheetViews>
    <sheetView showGridLines="0" workbookViewId="0">
      <selection activeCell="K19" sqref="K19"/>
    </sheetView>
  </sheetViews>
  <sheetFormatPr baseColWidth="10" defaultRowHeight="12.75"/>
  <cols>
    <col min="1" max="1" width="9.7109375" style="14" customWidth="1"/>
    <col min="2" max="2" width="13.85546875" style="14" bestFit="1" customWidth="1"/>
    <col min="3" max="3" width="11.5703125" style="14" bestFit="1" customWidth="1"/>
    <col min="4" max="4" width="26.7109375" style="14" bestFit="1" customWidth="1"/>
    <col min="5" max="5" width="6.5703125" style="15" bestFit="1" customWidth="1"/>
    <col min="6" max="6" width="9.5703125" style="15" bestFit="1" customWidth="1"/>
    <col min="7" max="7" width="15.140625" style="14" bestFit="1" customWidth="1"/>
    <col min="8" max="8" width="10.7109375" style="14" bestFit="1" customWidth="1"/>
    <col min="9" max="16384" width="11.42578125" style="14"/>
  </cols>
  <sheetData>
    <row r="1" spans="1:8" ht="33.75">
      <c r="A1" s="85" t="s">
        <v>597</v>
      </c>
      <c r="B1" s="85"/>
      <c r="C1" s="85"/>
      <c r="D1" s="85"/>
      <c r="E1" s="85"/>
      <c r="F1" s="85"/>
      <c r="G1" s="85"/>
      <c r="H1" s="85"/>
    </row>
    <row r="2" spans="1:8" ht="68.25" customHeight="1"/>
    <row r="3" spans="1:8" s="19" customFormat="1" ht="25.5">
      <c r="A3" s="18" t="s">
        <v>598</v>
      </c>
      <c r="B3" s="21" t="s">
        <v>650</v>
      </c>
      <c r="C3" s="21" t="s">
        <v>599</v>
      </c>
      <c r="D3" s="21" t="s">
        <v>600</v>
      </c>
      <c r="E3" s="22" t="s">
        <v>702</v>
      </c>
      <c r="F3" s="21" t="s">
        <v>601</v>
      </c>
      <c r="G3" s="21" t="s">
        <v>602</v>
      </c>
      <c r="H3" s="23" t="s">
        <v>720</v>
      </c>
    </row>
    <row r="4" spans="1:8">
      <c r="A4" s="16">
        <v>1</v>
      </c>
      <c r="B4" s="16" t="s">
        <v>607</v>
      </c>
      <c r="C4" s="16" t="s">
        <v>300</v>
      </c>
      <c r="D4" s="16" t="s">
        <v>686</v>
      </c>
      <c r="E4" s="17">
        <v>75002</v>
      </c>
      <c r="F4" s="17" t="s">
        <v>11</v>
      </c>
      <c r="G4" s="16" t="s">
        <v>706</v>
      </c>
      <c r="H4" s="20">
        <v>1143.3699999999999</v>
      </c>
    </row>
    <row r="5" spans="1:8">
      <c r="A5" s="16">
        <v>2</v>
      </c>
      <c r="B5" s="16" t="s">
        <v>616</v>
      </c>
      <c r="C5" s="16" t="s">
        <v>465</v>
      </c>
      <c r="D5" s="16" t="s">
        <v>663</v>
      </c>
      <c r="E5" s="17">
        <v>59000</v>
      </c>
      <c r="F5" s="17" t="s">
        <v>466</v>
      </c>
      <c r="G5" s="16" t="s">
        <v>706</v>
      </c>
      <c r="H5" s="20">
        <v>1356.8</v>
      </c>
    </row>
    <row r="6" spans="1:8">
      <c r="A6" s="16">
        <v>5</v>
      </c>
      <c r="B6" s="16" t="s">
        <v>618</v>
      </c>
      <c r="C6" s="16" t="s">
        <v>727</v>
      </c>
      <c r="D6" s="16" t="s">
        <v>665</v>
      </c>
      <c r="E6" s="17">
        <v>59000</v>
      </c>
      <c r="F6" s="17" t="s">
        <v>466</v>
      </c>
      <c r="G6" s="16" t="s">
        <v>704</v>
      </c>
      <c r="H6" s="20">
        <v>1295.82</v>
      </c>
    </row>
    <row r="7" spans="1:8">
      <c r="A7" s="16">
        <v>6</v>
      </c>
      <c r="B7" s="16" t="s">
        <v>637</v>
      </c>
      <c r="C7" s="16" t="s">
        <v>151</v>
      </c>
      <c r="D7" s="16" t="s">
        <v>687</v>
      </c>
      <c r="E7" s="17">
        <v>75003</v>
      </c>
      <c r="F7" s="17" t="s">
        <v>11</v>
      </c>
      <c r="G7" s="16" t="s">
        <v>705</v>
      </c>
      <c r="H7" s="20">
        <v>1423.87</v>
      </c>
    </row>
    <row r="8" spans="1:8">
      <c r="A8" s="16">
        <v>7</v>
      </c>
      <c r="B8" s="16" t="s">
        <v>632</v>
      </c>
      <c r="C8" s="16" t="s">
        <v>735</v>
      </c>
      <c r="D8" s="16" t="s">
        <v>681</v>
      </c>
      <c r="E8" s="17">
        <v>44000</v>
      </c>
      <c r="F8" s="17" t="s">
        <v>715</v>
      </c>
      <c r="G8" s="16" t="s">
        <v>704</v>
      </c>
      <c r="H8" s="20">
        <v>1676.94</v>
      </c>
    </row>
    <row r="9" spans="1:8">
      <c r="A9" s="16">
        <v>8</v>
      </c>
      <c r="B9" s="16" t="s">
        <v>633</v>
      </c>
      <c r="C9" s="16" t="s">
        <v>736</v>
      </c>
      <c r="D9" s="16" t="s">
        <v>682</v>
      </c>
      <c r="E9" s="17">
        <v>44000</v>
      </c>
      <c r="F9" s="17" t="s">
        <v>715</v>
      </c>
      <c r="G9" s="16" t="s">
        <v>706</v>
      </c>
      <c r="H9" s="20">
        <v>1375.85</v>
      </c>
    </row>
    <row r="10" spans="1:8">
      <c r="A10" s="16">
        <v>9</v>
      </c>
      <c r="B10" s="16" t="s">
        <v>644</v>
      </c>
      <c r="C10" s="16" t="s">
        <v>739</v>
      </c>
      <c r="D10" s="16" t="s">
        <v>695</v>
      </c>
      <c r="E10" s="17">
        <v>12000</v>
      </c>
      <c r="F10" s="17" t="s">
        <v>717</v>
      </c>
      <c r="G10" s="16" t="s">
        <v>705</v>
      </c>
      <c r="H10" s="20">
        <v>1379.66</v>
      </c>
    </row>
    <row r="11" spans="1:8">
      <c r="A11" s="16">
        <v>10</v>
      </c>
      <c r="B11" s="16" t="s">
        <v>642</v>
      </c>
      <c r="C11" s="16" t="s">
        <v>727</v>
      </c>
      <c r="D11" s="16" t="s">
        <v>693</v>
      </c>
      <c r="E11" s="17">
        <v>64000</v>
      </c>
      <c r="F11" s="17" t="s">
        <v>716</v>
      </c>
      <c r="G11" s="16" t="s">
        <v>706</v>
      </c>
      <c r="H11" s="20">
        <v>1477.23</v>
      </c>
    </row>
    <row r="12" spans="1:8">
      <c r="A12" s="16">
        <v>11</v>
      </c>
      <c r="B12" s="16" t="s">
        <v>645</v>
      </c>
      <c r="C12" s="16" t="s">
        <v>740</v>
      </c>
      <c r="D12" s="16" t="s">
        <v>696</v>
      </c>
      <c r="E12" s="17">
        <v>31000</v>
      </c>
      <c r="F12" s="17" t="s">
        <v>718</v>
      </c>
      <c r="G12" s="16" t="s">
        <v>707</v>
      </c>
      <c r="H12" s="20">
        <v>1829.39</v>
      </c>
    </row>
    <row r="13" spans="1:8">
      <c r="A13" s="16">
        <v>12</v>
      </c>
      <c r="B13" s="16" t="s">
        <v>634</v>
      </c>
      <c r="C13" s="16" t="s">
        <v>15</v>
      </c>
      <c r="D13" s="16" t="s">
        <v>683</v>
      </c>
      <c r="E13" s="17">
        <v>44000</v>
      </c>
      <c r="F13" s="17" t="s">
        <v>715</v>
      </c>
      <c r="G13" s="16" t="s">
        <v>706</v>
      </c>
      <c r="H13" s="20">
        <v>1375.09</v>
      </c>
    </row>
    <row r="14" spans="1:8">
      <c r="A14" s="16">
        <v>13</v>
      </c>
      <c r="B14" s="16" t="s">
        <v>625</v>
      </c>
      <c r="C14" s="16" t="s">
        <v>730</v>
      </c>
      <c r="D14" s="16" t="s">
        <v>673</v>
      </c>
      <c r="E14" s="17">
        <v>13000</v>
      </c>
      <c r="F14" s="17" t="s">
        <v>713</v>
      </c>
      <c r="G14" s="16" t="s">
        <v>705</v>
      </c>
      <c r="H14" s="20">
        <v>1082.3900000000001</v>
      </c>
    </row>
    <row r="15" spans="1:8">
      <c r="A15" s="16">
        <v>14</v>
      </c>
      <c r="B15" s="16" t="s">
        <v>621</v>
      </c>
      <c r="C15" s="16" t="s">
        <v>151</v>
      </c>
      <c r="D15" s="16" t="s">
        <v>669</v>
      </c>
      <c r="E15" s="17">
        <v>69000</v>
      </c>
      <c r="F15" s="17" t="s">
        <v>712</v>
      </c>
      <c r="G15" s="16" t="s">
        <v>704</v>
      </c>
      <c r="H15" s="20">
        <v>1382.71</v>
      </c>
    </row>
    <row r="16" spans="1:8">
      <c r="A16" s="16">
        <v>15</v>
      </c>
      <c r="B16" s="16" t="s">
        <v>621</v>
      </c>
      <c r="C16" s="16" t="s">
        <v>300</v>
      </c>
      <c r="D16" s="16" t="s">
        <v>700</v>
      </c>
      <c r="E16" s="17">
        <v>26000</v>
      </c>
      <c r="F16" s="17" t="s">
        <v>719</v>
      </c>
      <c r="G16" s="16" t="s">
        <v>707</v>
      </c>
      <c r="H16" s="20">
        <v>1216.54</v>
      </c>
    </row>
    <row r="17" spans="1:8">
      <c r="A17" s="16">
        <v>16</v>
      </c>
      <c r="B17" s="16" t="s">
        <v>638</v>
      </c>
      <c r="C17" s="16" t="s">
        <v>300</v>
      </c>
      <c r="D17" s="16" t="s">
        <v>688</v>
      </c>
      <c r="E17" s="17">
        <v>75005</v>
      </c>
      <c r="F17" s="17" t="s">
        <v>11</v>
      </c>
      <c r="G17" s="16" t="s">
        <v>706</v>
      </c>
      <c r="H17" s="20">
        <v>1172.33</v>
      </c>
    </row>
    <row r="18" spans="1:8">
      <c r="A18" s="16">
        <v>17</v>
      </c>
      <c r="B18" s="16" t="s">
        <v>626</v>
      </c>
      <c r="C18" s="16" t="s">
        <v>229</v>
      </c>
      <c r="D18" s="16" t="s">
        <v>674</v>
      </c>
      <c r="E18" s="17">
        <v>13000</v>
      </c>
      <c r="F18" s="17" t="s">
        <v>713</v>
      </c>
      <c r="G18" s="16" t="s">
        <v>706</v>
      </c>
      <c r="H18" s="20">
        <v>1494</v>
      </c>
    </row>
    <row r="19" spans="1:8">
      <c r="A19" s="16">
        <v>18</v>
      </c>
      <c r="B19" s="16" t="s">
        <v>604</v>
      </c>
      <c r="C19" s="16" t="s">
        <v>151</v>
      </c>
      <c r="D19" s="16" t="s">
        <v>652</v>
      </c>
      <c r="E19" s="17">
        <v>33000</v>
      </c>
      <c r="F19" s="17" t="s">
        <v>565</v>
      </c>
      <c r="G19" s="16" t="s">
        <v>704</v>
      </c>
      <c r="H19" s="20">
        <v>1414.73</v>
      </c>
    </row>
    <row r="20" spans="1:8">
      <c r="A20" s="16">
        <v>19</v>
      </c>
      <c r="B20" s="16" t="s">
        <v>605</v>
      </c>
      <c r="C20" s="16" t="s">
        <v>300</v>
      </c>
      <c r="D20" s="16" t="s">
        <v>653</v>
      </c>
      <c r="E20" s="17">
        <v>33000</v>
      </c>
      <c r="F20" s="17" t="s">
        <v>565</v>
      </c>
      <c r="G20" s="16" t="s">
        <v>705</v>
      </c>
      <c r="H20" s="20">
        <v>1538.21</v>
      </c>
    </row>
    <row r="21" spans="1:8">
      <c r="A21" s="16">
        <v>24</v>
      </c>
      <c r="B21" s="16" t="s">
        <v>606</v>
      </c>
      <c r="C21" s="16" t="s">
        <v>722</v>
      </c>
      <c r="D21" s="16" t="s">
        <v>654</v>
      </c>
      <c r="E21" s="17">
        <v>33000</v>
      </c>
      <c r="F21" s="17" t="s">
        <v>565</v>
      </c>
      <c r="G21" s="16" t="s">
        <v>706</v>
      </c>
      <c r="H21" s="20">
        <v>1990.98</v>
      </c>
    </row>
    <row r="22" spans="1:8">
      <c r="A22" s="16">
        <v>25</v>
      </c>
      <c r="B22" s="16" t="s">
        <v>619</v>
      </c>
      <c r="C22" s="16" t="s">
        <v>721</v>
      </c>
      <c r="D22" s="16" t="s">
        <v>666</v>
      </c>
      <c r="E22" s="17">
        <v>59000</v>
      </c>
      <c r="F22" s="17" t="s">
        <v>466</v>
      </c>
      <c r="G22" s="16" t="s">
        <v>707</v>
      </c>
      <c r="H22" s="20">
        <v>1593.09</v>
      </c>
    </row>
    <row r="23" spans="1:8">
      <c r="A23" s="16">
        <v>26</v>
      </c>
      <c r="B23" s="16" t="s">
        <v>622</v>
      </c>
      <c r="C23" s="16" t="s">
        <v>300</v>
      </c>
      <c r="D23" s="16" t="s">
        <v>670</v>
      </c>
      <c r="E23" s="17">
        <v>69000</v>
      </c>
      <c r="F23" s="17" t="s">
        <v>712</v>
      </c>
      <c r="G23" s="16" t="s">
        <v>706</v>
      </c>
      <c r="H23" s="20">
        <v>1533.64</v>
      </c>
    </row>
    <row r="24" spans="1:8">
      <c r="A24" s="16">
        <v>27</v>
      </c>
      <c r="B24" s="16" t="s">
        <v>643</v>
      </c>
      <c r="C24" s="16" t="s">
        <v>738</v>
      </c>
      <c r="D24" s="16" t="s">
        <v>694</v>
      </c>
      <c r="E24" s="17">
        <v>64000</v>
      </c>
      <c r="F24" s="17" t="s">
        <v>716</v>
      </c>
      <c r="G24" s="16" t="s">
        <v>707</v>
      </c>
      <c r="H24" s="20">
        <v>1143.3699999999999</v>
      </c>
    </row>
    <row r="25" spans="1:8">
      <c r="A25" s="16">
        <v>28</v>
      </c>
      <c r="B25" s="16" t="s">
        <v>623</v>
      </c>
      <c r="C25" s="16" t="s">
        <v>728</v>
      </c>
      <c r="D25" s="16" t="s">
        <v>671</v>
      </c>
      <c r="E25" s="17">
        <v>69000</v>
      </c>
      <c r="F25" s="17" t="s">
        <v>712</v>
      </c>
      <c r="G25" s="16" t="s">
        <v>708</v>
      </c>
      <c r="H25" s="20">
        <v>1338.5</v>
      </c>
    </row>
    <row r="26" spans="1:8">
      <c r="A26" s="16">
        <v>29</v>
      </c>
      <c r="B26" s="16" t="s">
        <v>603</v>
      </c>
      <c r="C26" s="16" t="s">
        <v>721</v>
      </c>
      <c r="D26" s="16" t="s">
        <v>651</v>
      </c>
      <c r="E26" s="17">
        <v>80000</v>
      </c>
      <c r="F26" s="17" t="s">
        <v>709</v>
      </c>
      <c r="G26" s="16" t="s">
        <v>703</v>
      </c>
      <c r="H26" s="20">
        <v>1407.1</v>
      </c>
    </row>
    <row r="27" spans="1:8">
      <c r="A27" s="16">
        <v>30</v>
      </c>
      <c r="B27" s="16" t="s">
        <v>608</v>
      </c>
      <c r="C27" s="16" t="s">
        <v>723</v>
      </c>
      <c r="D27" s="16" t="s">
        <v>655</v>
      </c>
      <c r="E27" s="17">
        <v>33000</v>
      </c>
      <c r="F27" s="17" t="s">
        <v>565</v>
      </c>
      <c r="G27" s="16" t="s">
        <v>707</v>
      </c>
      <c r="H27" s="20">
        <v>1507.72</v>
      </c>
    </row>
    <row r="28" spans="1:8">
      <c r="A28" s="16">
        <v>31</v>
      </c>
      <c r="B28" s="16" t="s">
        <v>609</v>
      </c>
      <c r="C28" s="16" t="s">
        <v>289</v>
      </c>
      <c r="D28" s="16" t="s">
        <v>656</v>
      </c>
      <c r="E28" s="17">
        <v>33000</v>
      </c>
      <c r="F28" s="17" t="s">
        <v>565</v>
      </c>
      <c r="G28" s="16" t="s">
        <v>707</v>
      </c>
      <c r="H28" s="20">
        <v>1684.56</v>
      </c>
    </row>
    <row r="29" spans="1:8">
      <c r="A29" s="16">
        <v>32</v>
      </c>
      <c r="B29" s="16" t="s">
        <v>628</v>
      </c>
      <c r="C29" s="16" t="s">
        <v>732</v>
      </c>
      <c r="D29" s="16" t="s">
        <v>677</v>
      </c>
      <c r="E29" s="17">
        <v>13000</v>
      </c>
      <c r="F29" s="17" t="s">
        <v>713</v>
      </c>
      <c r="G29" s="16" t="s">
        <v>704</v>
      </c>
      <c r="H29" s="20">
        <v>1382.71</v>
      </c>
    </row>
    <row r="30" spans="1:8">
      <c r="A30" s="16">
        <v>33</v>
      </c>
      <c r="B30" s="16" t="s">
        <v>624</v>
      </c>
      <c r="C30" s="16" t="s">
        <v>729</v>
      </c>
      <c r="D30" s="16" t="s">
        <v>672</v>
      </c>
      <c r="E30" s="17">
        <v>69000</v>
      </c>
      <c r="F30" s="17" t="s">
        <v>712</v>
      </c>
      <c r="G30" s="16" t="s">
        <v>706</v>
      </c>
      <c r="H30" s="20">
        <v>1433.02</v>
      </c>
    </row>
    <row r="31" spans="1:8">
      <c r="A31" s="16">
        <v>34</v>
      </c>
      <c r="B31" s="16" t="s">
        <v>646</v>
      </c>
      <c r="C31" s="16" t="s">
        <v>741</v>
      </c>
      <c r="D31" s="16" t="s">
        <v>697</v>
      </c>
      <c r="E31" s="17">
        <v>31000</v>
      </c>
      <c r="F31" s="17" t="s">
        <v>718</v>
      </c>
      <c r="G31" s="16" t="s">
        <v>708</v>
      </c>
      <c r="H31" s="20">
        <v>2286.7399999999998</v>
      </c>
    </row>
    <row r="32" spans="1:8">
      <c r="A32" s="16">
        <v>35</v>
      </c>
      <c r="B32" s="16" t="s">
        <v>629</v>
      </c>
      <c r="C32" s="16" t="s">
        <v>733</v>
      </c>
      <c r="D32" s="16" t="s">
        <v>678</v>
      </c>
      <c r="E32" s="17">
        <v>13000</v>
      </c>
      <c r="F32" s="17" t="s">
        <v>713</v>
      </c>
      <c r="G32" s="16" t="s">
        <v>707</v>
      </c>
      <c r="H32" s="20">
        <v>1507.72</v>
      </c>
    </row>
    <row r="33" spans="1:8">
      <c r="A33" s="16">
        <v>36</v>
      </c>
      <c r="B33" s="16" t="s">
        <v>610</v>
      </c>
      <c r="C33" s="16" t="s">
        <v>724</v>
      </c>
      <c r="D33" s="16" t="s">
        <v>657</v>
      </c>
      <c r="E33" s="17">
        <v>33000</v>
      </c>
      <c r="F33" s="17" t="s">
        <v>565</v>
      </c>
      <c r="G33" s="16" t="s">
        <v>703</v>
      </c>
      <c r="H33" s="20">
        <v>1631.2</v>
      </c>
    </row>
    <row r="34" spans="1:8">
      <c r="A34" s="16">
        <v>37</v>
      </c>
      <c r="B34" s="16" t="s">
        <v>635</v>
      </c>
      <c r="C34" s="16" t="s">
        <v>97</v>
      </c>
      <c r="D34" s="16" t="s">
        <v>684</v>
      </c>
      <c r="E34" s="17">
        <v>44000</v>
      </c>
      <c r="F34" s="17" t="s">
        <v>715</v>
      </c>
      <c r="G34" s="16" t="s">
        <v>708</v>
      </c>
      <c r="H34" s="20">
        <v>1280.57</v>
      </c>
    </row>
    <row r="35" spans="1:8">
      <c r="A35" s="16">
        <v>38</v>
      </c>
      <c r="B35" s="16" t="s">
        <v>615</v>
      </c>
      <c r="C35" s="16" t="s">
        <v>365</v>
      </c>
      <c r="D35" s="16" t="s">
        <v>662</v>
      </c>
      <c r="E35" s="17">
        <v>59400</v>
      </c>
      <c r="F35" s="17" t="s">
        <v>711</v>
      </c>
      <c r="G35" s="16" t="s">
        <v>705</v>
      </c>
      <c r="H35" s="20">
        <v>1600.71</v>
      </c>
    </row>
    <row r="36" spans="1:8">
      <c r="A36" s="16">
        <v>39</v>
      </c>
      <c r="B36" s="16" t="s">
        <v>630</v>
      </c>
      <c r="C36" s="16" t="s">
        <v>300</v>
      </c>
      <c r="D36" s="16" t="s">
        <v>679</v>
      </c>
      <c r="E36" s="17">
        <v>13000</v>
      </c>
      <c r="F36" s="17" t="s">
        <v>713</v>
      </c>
      <c r="G36" s="16" t="s">
        <v>703</v>
      </c>
      <c r="H36" s="20">
        <v>1455.89</v>
      </c>
    </row>
    <row r="37" spans="1:8">
      <c r="A37" s="16">
        <v>40</v>
      </c>
      <c r="B37" s="16" t="s">
        <v>614</v>
      </c>
      <c r="C37" s="16" t="s">
        <v>726</v>
      </c>
      <c r="D37" s="16" t="s">
        <v>661</v>
      </c>
      <c r="E37" s="17">
        <v>62100</v>
      </c>
      <c r="F37" s="17" t="s">
        <v>710</v>
      </c>
      <c r="G37" s="16" t="s">
        <v>705</v>
      </c>
      <c r="H37" s="20">
        <v>1158.6099999999999</v>
      </c>
    </row>
    <row r="38" spans="1:8">
      <c r="A38" s="16">
        <v>41</v>
      </c>
      <c r="B38" s="16" t="s">
        <v>639</v>
      </c>
      <c r="C38" s="16" t="s">
        <v>465</v>
      </c>
      <c r="D38" s="16" t="s">
        <v>689</v>
      </c>
      <c r="E38" s="17">
        <v>75012</v>
      </c>
      <c r="F38" s="17" t="s">
        <v>11</v>
      </c>
      <c r="G38" s="16" t="s">
        <v>704</v>
      </c>
      <c r="H38" s="20">
        <v>1288.19</v>
      </c>
    </row>
    <row r="39" spans="1:8">
      <c r="A39" s="16">
        <v>42</v>
      </c>
      <c r="B39" s="16" t="s">
        <v>639</v>
      </c>
      <c r="C39" s="16" t="s">
        <v>737</v>
      </c>
      <c r="D39" s="16" t="s">
        <v>690</v>
      </c>
      <c r="E39" s="17">
        <v>75018</v>
      </c>
      <c r="F39" s="17" t="s">
        <v>11</v>
      </c>
      <c r="G39" s="16" t="s">
        <v>707</v>
      </c>
      <c r="H39" s="20">
        <v>1454.36</v>
      </c>
    </row>
    <row r="40" spans="1:8">
      <c r="A40" s="16">
        <v>43</v>
      </c>
      <c r="B40" s="16" t="s">
        <v>640</v>
      </c>
      <c r="C40" s="16" t="s">
        <v>145</v>
      </c>
      <c r="D40" s="16" t="s">
        <v>691</v>
      </c>
      <c r="E40" s="17">
        <v>75020</v>
      </c>
      <c r="F40" s="17" t="s">
        <v>11</v>
      </c>
      <c r="G40" s="16" t="s">
        <v>706</v>
      </c>
      <c r="H40" s="20">
        <v>1379.66</v>
      </c>
    </row>
    <row r="41" spans="1:8">
      <c r="A41" s="16">
        <v>44</v>
      </c>
      <c r="B41" s="16" t="s">
        <v>647</v>
      </c>
      <c r="C41" s="16" t="s">
        <v>413</v>
      </c>
      <c r="D41" s="16" t="s">
        <v>698</v>
      </c>
      <c r="E41" s="17">
        <v>31000</v>
      </c>
      <c r="F41" s="17" t="s">
        <v>718</v>
      </c>
      <c r="G41" s="16" t="s">
        <v>705</v>
      </c>
      <c r="H41" s="20">
        <v>1477.23</v>
      </c>
    </row>
    <row r="42" spans="1:8">
      <c r="A42" s="16">
        <v>45</v>
      </c>
      <c r="B42" s="16" t="s">
        <v>636</v>
      </c>
      <c r="C42" s="16" t="s">
        <v>362</v>
      </c>
      <c r="D42" s="16" t="s">
        <v>685</v>
      </c>
      <c r="E42" s="17">
        <v>44000</v>
      </c>
      <c r="F42" s="17" t="s">
        <v>715</v>
      </c>
      <c r="G42" s="16" t="s">
        <v>707</v>
      </c>
      <c r="H42" s="20">
        <v>1387.29</v>
      </c>
    </row>
    <row r="43" spans="1:8">
      <c r="A43" s="16">
        <v>46</v>
      </c>
      <c r="B43" s="16" t="s">
        <v>620</v>
      </c>
      <c r="C43" s="16" t="s">
        <v>726</v>
      </c>
      <c r="D43" s="16" t="s">
        <v>667</v>
      </c>
      <c r="E43" s="17">
        <v>59000</v>
      </c>
      <c r="F43" s="17" t="s">
        <v>466</v>
      </c>
      <c r="G43" s="16" t="s">
        <v>707</v>
      </c>
      <c r="H43" s="20">
        <v>1533.64</v>
      </c>
    </row>
    <row r="44" spans="1:8">
      <c r="A44" s="16">
        <v>47</v>
      </c>
      <c r="B44" s="16" t="s">
        <v>611</v>
      </c>
      <c r="C44" s="16" t="s">
        <v>300</v>
      </c>
      <c r="D44" s="16" t="s">
        <v>668</v>
      </c>
      <c r="E44" s="17">
        <v>59000</v>
      </c>
      <c r="F44" s="17" t="s">
        <v>466</v>
      </c>
      <c r="G44" s="16" t="s">
        <v>704</v>
      </c>
      <c r="H44" s="20">
        <v>1311.06</v>
      </c>
    </row>
    <row r="45" spans="1:8">
      <c r="A45" s="16">
        <v>48</v>
      </c>
      <c r="B45" s="16" t="s">
        <v>648</v>
      </c>
      <c r="C45" s="16" t="s">
        <v>29</v>
      </c>
      <c r="D45" s="16" t="s">
        <v>699</v>
      </c>
      <c r="E45" s="17">
        <v>31000</v>
      </c>
      <c r="F45" s="17" t="s">
        <v>718</v>
      </c>
      <c r="G45" s="16" t="s">
        <v>706</v>
      </c>
      <c r="H45" s="20">
        <v>1475.71</v>
      </c>
    </row>
    <row r="46" spans="1:8">
      <c r="A46" s="16">
        <v>49</v>
      </c>
      <c r="B46" s="16" t="s">
        <v>631</v>
      </c>
      <c r="C46" s="16" t="s">
        <v>734</v>
      </c>
      <c r="D46" s="16" t="s">
        <v>680</v>
      </c>
      <c r="E46" s="17">
        <v>54000</v>
      </c>
      <c r="F46" s="17" t="s">
        <v>714</v>
      </c>
      <c r="G46" s="16" t="s">
        <v>706</v>
      </c>
      <c r="H46" s="20">
        <v>1254.6600000000001</v>
      </c>
    </row>
    <row r="47" spans="1:8">
      <c r="A47" s="16">
        <v>51</v>
      </c>
      <c r="B47" s="16" t="s">
        <v>612</v>
      </c>
      <c r="C47" s="16" t="s">
        <v>725</v>
      </c>
      <c r="D47" s="16" t="s">
        <v>659</v>
      </c>
      <c r="E47" s="17">
        <v>33000</v>
      </c>
      <c r="F47" s="17" t="s">
        <v>565</v>
      </c>
      <c r="G47" s="16" t="s">
        <v>706</v>
      </c>
      <c r="H47" s="20">
        <v>222.23</v>
      </c>
    </row>
  </sheetData>
  <mergeCells count="1">
    <mergeCell ref="A1:H1"/>
  </mergeCells>
  <phoneticPr fontId="0" type="noConversion"/>
  <hyperlinks>
    <hyperlink ref="A1:E1" location="SOMMAIRE!A1" display="RETOUR AU SOMMAIRE"/>
  </hyperlinks>
  <pageMargins left="0.78740157499999996" right="0.78740157499999996" top="0.984251969" bottom="0.984251969" header="0.4921259845" footer="0.4921259845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tabColor indexed="51"/>
  </sheetPr>
  <dimension ref="A1:GH183"/>
  <sheetViews>
    <sheetView showGridLines="0" topLeftCell="A3" workbookViewId="0">
      <selection activeCell="C14" sqref="C14"/>
    </sheetView>
  </sheetViews>
  <sheetFormatPr baseColWidth="10" defaultRowHeight="12.75"/>
  <cols>
    <col min="1" max="1" width="10.140625" bestFit="1" customWidth="1"/>
    <col min="2" max="2" width="9.7109375" style="25" bestFit="1" customWidth="1"/>
    <col min="3" max="3" width="18.85546875" bestFit="1" customWidth="1"/>
    <col min="4" max="4" width="23.28515625" bestFit="1" customWidth="1"/>
    <col min="5" max="5" width="16.85546875" style="26" customWidth="1"/>
    <col min="6" max="190" width="11.42578125" style="42"/>
  </cols>
  <sheetData>
    <row r="1" spans="1:190" ht="18">
      <c r="A1" s="86" t="s">
        <v>594</v>
      </c>
      <c r="B1" s="86"/>
      <c r="C1" s="86"/>
      <c r="D1" s="86"/>
      <c r="E1" s="86"/>
    </row>
    <row r="2" spans="1:190" ht="37.5" customHeight="1"/>
    <row r="3" spans="1:190" s="24" customFormat="1" ht="24" customHeight="1">
      <c r="A3" s="76" t="s">
        <v>743</v>
      </c>
      <c r="B3" s="76" t="s">
        <v>552</v>
      </c>
      <c r="C3" s="76" t="s">
        <v>744</v>
      </c>
      <c r="D3" s="76" t="s">
        <v>745</v>
      </c>
      <c r="E3" s="77" t="s">
        <v>746</v>
      </c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  <c r="EV3" s="43"/>
      <c r="EW3" s="43"/>
      <c r="EX3" s="43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</row>
    <row r="4" spans="1:190" s="24" customFormat="1" ht="15.75" customHeight="1">
      <c r="A4" s="72">
        <v>42411</v>
      </c>
      <c r="B4" s="68" t="s">
        <v>578</v>
      </c>
      <c r="C4" s="69" t="s">
        <v>774</v>
      </c>
      <c r="D4" s="69" t="s">
        <v>748</v>
      </c>
      <c r="E4" s="74">
        <v>50000</v>
      </c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</row>
    <row r="5" spans="1:190" s="24" customFormat="1" ht="15.75" customHeight="1">
      <c r="A5" s="73">
        <v>42507</v>
      </c>
      <c r="B5" s="70" t="s">
        <v>578</v>
      </c>
      <c r="C5" s="71" t="s">
        <v>784</v>
      </c>
      <c r="D5" s="71" t="s">
        <v>750</v>
      </c>
      <c r="E5" s="75">
        <v>10256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</row>
    <row r="6" spans="1:190" s="24" customFormat="1" ht="15.75" customHeight="1">
      <c r="A6" s="72">
        <v>42360</v>
      </c>
      <c r="B6" s="68" t="s">
        <v>578</v>
      </c>
      <c r="C6" s="69" t="s">
        <v>764</v>
      </c>
      <c r="D6" s="69" t="s">
        <v>748</v>
      </c>
      <c r="E6" s="74">
        <v>35000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</row>
    <row r="7" spans="1:190" s="24" customFormat="1" ht="15.75" customHeight="1">
      <c r="A7" s="73">
        <v>42014</v>
      </c>
      <c r="B7" s="70" t="s">
        <v>578</v>
      </c>
      <c r="C7" s="71" t="s">
        <v>747</v>
      </c>
      <c r="D7" s="71" t="s">
        <v>748</v>
      </c>
      <c r="E7" s="75">
        <v>22460</v>
      </c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</row>
    <row r="8" spans="1:190" s="24" customFormat="1" ht="15.75" customHeight="1">
      <c r="A8" s="72">
        <v>42449</v>
      </c>
      <c r="B8" s="68" t="s">
        <v>578</v>
      </c>
      <c r="C8" s="69" t="s">
        <v>747</v>
      </c>
      <c r="D8" s="69" t="s">
        <v>748</v>
      </c>
      <c r="E8" s="74">
        <v>21560</v>
      </c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43"/>
      <c r="EX8" s="43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</row>
    <row r="9" spans="1:190" s="24" customFormat="1" ht="15.75" customHeight="1">
      <c r="A9" s="73">
        <v>42265</v>
      </c>
      <c r="B9" s="70" t="s">
        <v>376</v>
      </c>
      <c r="C9" s="71" t="s">
        <v>747</v>
      </c>
      <c r="D9" s="71" t="s">
        <v>748</v>
      </c>
      <c r="E9" s="75">
        <v>19560</v>
      </c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3"/>
      <c r="EQ9" s="43"/>
      <c r="ER9" s="43"/>
      <c r="ES9" s="43"/>
      <c r="ET9" s="43"/>
      <c r="EU9" s="43"/>
      <c r="EV9" s="43"/>
      <c r="EW9" s="43"/>
      <c r="EX9" s="43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</row>
    <row r="10" spans="1:190" s="24" customFormat="1" ht="15.75" customHeight="1">
      <c r="A10" s="72">
        <v>42723</v>
      </c>
      <c r="B10" s="68" t="s">
        <v>560</v>
      </c>
      <c r="C10" s="69" t="s">
        <v>832</v>
      </c>
      <c r="D10" s="69" t="s">
        <v>750</v>
      </c>
      <c r="E10" s="74">
        <v>50000</v>
      </c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  <c r="EK10" s="43"/>
      <c r="EL10" s="43"/>
      <c r="EM10" s="43"/>
      <c r="EN10" s="43"/>
      <c r="EO10" s="43"/>
      <c r="EP10" s="43"/>
      <c r="EQ10" s="43"/>
      <c r="ER10" s="43"/>
      <c r="ES10" s="43"/>
      <c r="ET10" s="43"/>
      <c r="EU10" s="43"/>
      <c r="EV10" s="43"/>
      <c r="EW10" s="43"/>
      <c r="EX10" s="43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</row>
    <row r="11" spans="1:190" s="24" customFormat="1" ht="15.75" customHeight="1">
      <c r="A11" s="73">
        <v>42615</v>
      </c>
      <c r="B11" s="70" t="s">
        <v>376</v>
      </c>
      <c r="C11" s="71" t="s">
        <v>747</v>
      </c>
      <c r="D11" s="71" t="s">
        <v>748</v>
      </c>
      <c r="E11" s="75">
        <v>19560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</row>
    <row r="12" spans="1:190" s="24" customFormat="1" ht="15.75" customHeight="1">
      <c r="A12" s="72">
        <v>42718</v>
      </c>
      <c r="B12" s="68" t="s">
        <v>376</v>
      </c>
      <c r="C12" s="69" t="s">
        <v>747</v>
      </c>
      <c r="D12" s="69" t="s">
        <v>748</v>
      </c>
      <c r="E12" s="74">
        <v>21500</v>
      </c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</row>
    <row r="13" spans="1:190" s="24" customFormat="1" ht="15.75" customHeight="1">
      <c r="A13" s="73">
        <v>42732</v>
      </c>
      <c r="B13" s="70" t="s">
        <v>376</v>
      </c>
      <c r="C13" s="71" t="s">
        <v>747</v>
      </c>
      <c r="D13" s="71" t="s">
        <v>748</v>
      </c>
      <c r="E13" s="75">
        <v>20632</v>
      </c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</row>
    <row r="14" spans="1:190" s="24" customFormat="1" ht="15.75" customHeight="1">
      <c r="A14" s="72">
        <v>42426</v>
      </c>
      <c r="B14" s="68" t="s">
        <v>578</v>
      </c>
      <c r="C14" s="69" t="s">
        <v>775</v>
      </c>
      <c r="D14" s="69" t="s">
        <v>776</v>
      </c>
      <c r="E14" s="74">
        <v>7900</v>
      </c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</row>
    <row r="15" spans="1:190" s="24" customFormat="1" ht="15.75" customHeight="1">
      <c r="A15" s="73">
        <v>42603</v>
      </c>
      <c r="B15" s="70" t="s">
        <v>578</v>
      </c>
      <c r="C15" s="71" t="s">
        <v>775</v>
      </c>
      <c r="D15" s="71" t="s">
        <v>776</v>
      </c>
      <c r="E15" s="75">
        <v>8600</v>
      </c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</row>
    <row r="16" spans="1:190" s="24" customFormat="1" ht="15.75" customHeight="1">
      <c r="A16" s="72">
        <v>42082</v>
      </c>
      <c r="B16" s="68" t="s">
        <v>376</v>
      </c>
      <c r="C16" s="69" t="s">
        <v>775</v>
      </c>
      <c r="D16" s="69" t="s">
        <v>776</v>
      </c>
      <c r="E16" s="74">
        <v>8900</v>
      </c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</row>
    <row r="17" spans="1:190" s="24" customFormat="1" ht="15.75" customHeight="1">
      <c r="A17" s="73">
        <v>42106</v>
      </c>
      <c r="B17" s="70" t="s">
        <v>376</v>
      </c>
      <c r="C17" s="71" t="s">
        <v>775</v>
      </c>
      <c r="D17" s="71" t="s">
        <v>776</v>
      </c>
      <c r="E17" s="75">
        <v>8600</v>
      </c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</row>
    <row r="18" spans="1:190" s="24" customFormat="1" ht="15.75" customHeight="1">
      <c r="A18" s="72">
        <v>42353</v>
      </c>
      <c r="B18" s="68" t="s">
        <v>376</v>
      </c>
      <c r="C18" s="69" t="s">
        <v>775</v>
      </c>
      <c r="D18" s="69" t="s">
        <v>776</v>
      </c>
      <c r="E18" s="74">
        <v>7952</v>
      </c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</row>
    <row r="19" spans="1:190" s="24" customFormat="1" ht="15.75" customHeight="1">
      <c r="A19" s="73">
        <v>42365</v>
      </c>
      <c r="B19" s="70" t="s">
        <v>376</v>
      </c>
      <c r="C19" s="71" t="s">
        <v>775</v>
      </c>
      <c r="D19" s="71" t="s">
        <v>776</v>
      </c>
      <c r="E19" s="75">
        <v>7690</v>
      </c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  <c r="CZ19" s="43"/>
      <c r="DA19" s="43"/>
      <c r="DB19" s="43"/>
      <c r="DC19" s="43"/>
      <c r="DD19" s="43"/>
      <c r="DE19" s="43"/>
      <c r="DF19" s="43"/>
      <c r="DG19" s="43"/>
      <c r="DH19" s="43"/>
      <c r="DI19" s="43"/>
      <c r="DJ19" s="43"/>
      <c r="DK19" s="43"/>
      <c r="DL19" s="43"/>
      <c r="DM19" s="43"/>
      <c r="DN19" s="43"/>
      <c r="DO19" s="43"/>
      <c r="DP19" s="43"/>
      <c r="DQ19" s="43"/>
      <c r="DR19" s="43"/>
      <c r="DS19" s="43"/>
      <c r="DT19" s="43"/>
      <c r="DU19" s="43"/>
      <c r="DV19" s="43"/>
      <c r="DW19" s="43"/>
      <c r="DX19" s="43"/>
      <c r="DY19" s="43"/>
      <c r="DZ19" s="43"/>
      <c r="EA19" s="43"/>
      <c r="EB19" s="43"/>
      <c r="EC19" s="43"/>
      <c r="ED19" s="43"/>
      <c r="EE19" s="43"/>
      <c r="EF19" s="43"/>
      <c r="EG19" s="43"/>
      <c r="EH19" s="43"/>
      <c r="EI19" s="43"/>
      <c r="EJ19" s="43"/>
      <c r="EK19" s="43"/>
      <c r="EL19" s="43"/>
      <c r="EM19" s="43"/>
      <c r="EN19" s="43"/>
      <c r="EO19" s="43"/>
      <c r="EP19" s="43"/>
      <c r="EQ19" s="43"/>
      <c r="ER19" s="43"/>
      <c r="ES19" s="43"/>
      <c r="ET19" s="43"/>
      <c r="EU19" s="43"/>
      <c r="EV19" s="43"/>
      <c r="EW19" s="43"/>
      <c r="EX19" s="43"/>
      <c r="EY19" s="43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</row>
    <row r="20" spans="1:190" s="24" customFormat="1" ht="15.75" customHeight="1">
      <c r="A20" s="72">
        <v>42411</v>
      </c>
      <c r="B20" s="68" t="s">
        <v>376</v>
      </c>
      <c r="C20" s="69" t="s">
        <v>775</v>
      </c>
      <c r="D20" s="69" t="s">
        <v>776</v>
      </c>
      <c r="E20" s="74">
        <v>7900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</row>
    <row r="21" spans="1:190" s="24" customFormat="1" ht="15.75" customHeight="1">
      <c r="A21" s="73">
        <v>42487</v>
      </c>
      <c r="B21" s="70" t="s">
        <v>376</v>
      </c>
      <c r="C21" s="71" t="s">
        <v>775</v>
      </c>
      <c r="D21" s="71" t="s">
        <v>776</v>
      </c>
      <c r="E21" s="75">
        <v>8450</v>
      </c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</row>
    <row r="22" spans="1:190" s="24" customFormat="1" ht="15.75" customHeight="1">
      <c r="A22" s="72">
        <v>42667</v>
      </c>
      <c r="B22" s="68" t="s">
        <v>578</v>
      </c>
      <c r="C22" s="69" t="s">
        <v>790</v>
      </c>
      <c r="D22" s="69" t="s">
        <v>776</v>
      </c>
      <c r="E22" s="74">
        <v>510</v>
      </c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</row>
    <row r="23" spans="1:190" s="24" customFormat="1" ht="15.75" customHeight="1">
      <c r="A23" s="73">
        <v>42098</v>
      </c>
      <c r="B23" s="70" t="s">
        <v>376</v>
      </c>
      <c r="C23" s="71" t="s">
        <v>790</v>
      </c>
      <c r="D23" s="71" t="s">
        <v>776</v>
      </c>
      <c r="E23" s="75">
        <v>510</v>
      </c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</row>
    <row r="24" spans="1:190" s="24" customFormat="1" ht="15.75" customHeight="1">
      <c r="A24" s="72">
        <v>42377</v>
      </c>
      <c r="B24" s="68" t="s">
        <v>376</v>
      </c>
      <c r="C24" s="69" t="s">
        <v>790</v>
      </c>
      <c r="D24" s="69" t="s">
        <v>776</v>
      </c>
      <c r="E24" s="74">
        <v>510</v>
      </c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</row>
    <row r="25" spans="1:190" s="24" customFormat="1" ht="15.75" customHeight="1">
      <c r="A25" s="73">
        <v>42479</v>
      </c>
      <c r="B25" s="70" t="s">
        <v>376</v>
      </c>
      <c r="C25" s="71" t="s">
        <v>790</v>
      </c>
      <c r="D25" s="71" t="s">
        <v>776</v>
      </c>
      <c r="E25" s="75">
        <v>510</v>
      </c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</row>
    <row r="26" spans="1:190" s="24" customFormat="1" ht="15.75" customHeight="1">
      <c r="A26" s="72">
        <v>42539</v>
      </c>
      <c r="B26" s="68" t="s">
        <v>578</v>
      </c>
      <c r="C26" s="69" t="s">
        <v>786</v>
      </c>
      <c r="D26" s="69" t="s">
        <v>750</v>
      </c>
      <c r="E26" s="74">
        <v>25000</v>
      </c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</row>
    <row r="27" spans="1:190" s="24" customFormat="1" ht="15.75" customHeight="1">
      <c r="A27" s="73">
        <v>42360</v>
      </c>
      <c r="B27" s="70" t="s">
        <v>376</v>
      </c>
      <c r="C27" s="71" t="s">
        <v>786</v>
      </c>
      <c r="D27" s="71" t="s">
        <v>750</v>
      </c>
      <c r="E27" s="75">
        <v>25600</v>
      </c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</row>
    <row r="28" spans="1:190" s="24" customFormat="1" ht="15.75" customHeight="1">
      <c r="A28" s="72">
        <v>42047</v>
      </c>
      <c r="B28" s="68" t="s">
        <v>578</v>
      </c>
      <c r="C28" s="69" t="s">
        <v>751</v>
      </c>
      <c r="D28" s="69" t="s">
        <v>748</v>
      </c>
      <c r="E28" s="74">
        <v>5600</v>
      </c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</row>
    <row r="29" spans="1:190" s="24" customFormat="1" ht="15.75" customHeight="1">
      <c r="A29" s="73">
        <v>42525</v>
      </c>
      <c r="B29" s="70" t="s">
        <v>578</v>
      </c>
      <c r="C29" s="71" t="s">
        <v>751</v>
      </c>
      <c r="D29" s="71" t="s">
        <v>748</v>
      </c>
      <c r="E29" s="75">
        <v>5400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/>
      <c r="EB29" s="43"/>
      <c r="EC29" s="43"/>
      <c r="ED29" s="43"/>
      <c r="EE29" s="43"/>
      <c r="EF29" s="43"/>
      <c r="EG29" s="43"/>
      <c r="EH29" s="43"/>
      <c r="EI29" s="43"/>
      <c r="EJ29" s="43"/>
      <c r="EK29" s="43"/>
      <c r="EL29" s="43"/>
      <c r="EM29" s="43"/>
      <c r="EN29" s="43"/>
      <c r="EO29" s="43"/>
      <c r="EP29" s="43"/>
      <c r="EQ29" s="43"/>
      <c r="ER29" s="43"/>
      <c r="ES29" s="43"/>
      <c r="ET29" s="43"/>
      <c r="EU29" s="43"/>
      <c r="EV29" s="43"/>
      <c r="EW29" s="43"/>
      <c r="EX29" s="43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</row>
    <row r="30" spans="1:190" s="24" customFormat="1" ht="15.75" customHeight="1">
      <c r="A30" s="72">
        <v>42302</v>
      </c>
      <c r="B30" s="68" t="s">
        <v>376</v>
      </c>
      <c r="C30" s="69" t="s">
        <v>751</v>
      </c>
      <c r="D30" s="69" t="s">
        <v>748</v>
      </c>
      <c r="E30" s="74">
        <v>5690</v>
      </c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  <c r="DW30" s="43"/>
      <c r="DX30" s="43"/>
      <c r="DY30" s="43"/>
      <c r="DZ30" s="43"/>
      <c r="EA30" s="43"/>
      <c r="EB30" s="43"/>
      <c r="EC30" s="43"/>
      <c r="ED30" s="43"/>
      <c r="EE30" s="43"/>
      <c r="EF30" s="43"/>
      <c r="EG30" s="43"/>
      <c r="EH30" s="43"/>
      <c r="EI30" s="43"/>
      <c r="EJ30" s="43"/>
      <c r="EK30" s="43"/>
      <c r="EL30" s="43"/>
      <c r="EM30" s="43"/>
      <c r="EN30" s="43"/>
      <c r="EO30" s="43"/>
      <c r="EP30" s="43"/>
      <c r="EQ30" s="43"/>
      <c r="ER30" s="43"/>
      <c r="ES30" s="43"/>
      <c r="ET30" s="43"/>
      <c r="EU30" s="43"/>
      <c r="EV30" s="43"/>
      <c r="EW30" s="43"/>
      <c r="EX30" s="43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</row>
    <row r="31" spans="1:190" s="24" customFormat="1" ht="15.75" customHeight="1">
      <c r="A31" s="73">
        <v>42050</v>
      </c>
      <c r="B31" s="70" t="s">
        <v>578</v>
      </c>
      <c r="C31" s="71" t="s">
        <v>752</v>
      </c>
      <c r="D31" s="71" t="s">
        <v>748</v>
      </c>
      <c r="E31" s="75">
        <v>25600</v>
      </c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  <c r="DY31" s="43"/>
      <c r="DZ31" s="43"/>
      <c r="EA31" s="43"/>
      <c r="EB31" s="43"/>
      <c r="EC31" s="43"/>
      <c r="ED31" s="43"/>
      <c r="EE31" s="43"/>
      <c r="EF31" s="43"/>
      <c r="EG31" s="43"/>
      <c r="EH31" s="43"/>
      <c r="EI31" s="43"/>
      <c r="EJ31" s="43"/>
      <c r="EK31" s="43"/>
      <c r="EL31" s="43"/>
      <c r="EM31" s="43"/>
      <c r="EN31" s="43"/>
      <c r="EO31" s="43"/>
      <c r="EP31" s="43"/>
      <c r="EQ31" s="43"/>
      <c r="ER31" s="43"/>
      <c r="ES31" s="43"/>
      <c r="ET31" s="43"/>
      <c r="EU31" s="43"/>
      <c r="EV31" s="43"/>
      <c r="EW31" s="43"/>
      <c r="EX31" s="43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</row>
    <row r="32" spans="1:190" s="24" customFormat="1" ht="15.75" customHeight="1">
      <c r="A32" s="72">
        <v>42077</v>
      </c>
      <c r="B32" s="68" t="s">
        <v>578</v>
      </c>
      <c r="C32" s="69" t="s">
        <v>752</v>
      </c>
      <c r="D32" s="69" t="s">
        <v>748</v>
      </c>
      <c r="E32" s="74">
        <v>25600</v>
      </c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</row>
    <row r="33" spans="1:190" s="24" customFormat="1" ht="15.75" customHeight="1">
      <c r="A33" s="73">
        <v>42601</v>
      </c>
      <c r="B33" s="70" t="s">
        <v>578</v>
      </c>
      <c r="C33" s="71" t="s">
        <v>752</v>
      </c>
      <c r="D33" s="71" t="s">
        <v>748</v>
      </c>
      <c r="E33" s="75">
        <v>25600</v>
      </c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3"/>
      <c r="EE33" s="43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43"/>
      <c r="EQ33" s="43"/>
      <c r="ER33" s="43"/>
      <c r="ES33" s="43"/>
      <c r="ET33" s="43"/>
      <c r="EU33" s="43"/>
      <c r="EV33" s="43"/>
      <c r="EW33" s="43"/>
      <c r="EX33" s="43"/>
      <c r="EY33" s="43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</row>
    <row r="34" spans="1:190" s="24" customFormat="1" ht="15.75" customHeight="1">
      <c r="A34" s="72">
        <v>42006</v>
      </c>
      <c r="B34" s="68" t="s">
        <v>376</v>
      </c>
      <c r="C34" s="69" t="s">
        <v>752</v>
      </c>
      <c r="D34" s="69" t="s">
        <v>748</v>
      </c>
      <c r="E34" s="74">
        <v>24900</v>
      </c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  <c r="EV34" s="43"/>
      <c r="EW34" s="43"/>
      <c r="EX34" s="43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</row>
    <row r="35" spans="1:190" s="24" customFormat="1" ht="15.75" customHeight="1">
      <c r="A35" s="73">
        <v>42043</v>
      </c>
      <c r="B35" s="70" t="s">
        <v>376</v>
      </c>
      <c r="C35" s="71" t="s">
        <v>752</v>
      </c>
      <c r="D35" s="71" t="s">
        <v>748</v>
      </c>
      <c r="E35" s="75">
        <v>24900</v>
      </c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  <c r="EV35" s="43"/>
      <c r="EW35" s="43"/>
      <c r="EX35" s="43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</row>
    <row r="36" spans="1:190" s="24" customFormat="1" ht="15.75" customHeight="1">
      <c r="A36" s="72">
        <v>42339</v>
      </c>
      <c r="B36" s="68" t="s">
        <v>376</v>
      </c>
      <c r="C36" s="69" t="s">
        <v>752</v>
      </c>
      <c r="D36" s="69" t="s">
        <v>748</v>
      </c>
      <c r="E36" s="74">
        <v>24900</v>
      </c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  <c r="DY36" s="43"/>
      <c r="DZ36" s="43"/>
      <c r="EA36" s="43"/>
      <c r="EB36" s="43"/>
      <c r="EC36" s="43"/>
      <c r="ED36" s="43"/>
      <c r="EE36" s="43"/>
      <c r="EF36" s="43"/>
      <c r="EG36" s="43"/>
      <c r="EH36" s="43"/>
      <c r="EI36" s="43"/>
      <c r="EJ36" s="43"/>
      <c r="EK36" s="43"/>
      <c r="EL36" s="43"/>
      <c r="EM36" s="43"/>
      <c r="EN36" s="43"/>
      <c r="EO36" s="43"/>
      <c r="EP36" s="43"/>
      <c r="EQ36" s="43"/>
      <c r="ER36" s="43"/>
      <c r="ES36" s="43"/>
      <c r="ET36" s="43"/>
      <c r="EU36" s="43"/>
      <c r="EV36" s="43"/>
      <c r="EW36" s="43"/>
      <c r="EX36" s="43"/>
      <c r="EY36" s="43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</row>
    <row r="37" spans="1:190" s="24" customFormat="1" ht="15.75" customHeight="1">
      <c r="A37" s="73">
        <v>42719</v>
      </c>
      <c r="B37" s="70" t="s">
        <v>376</v>
      </c>
      <c r="C37" s="71" t="s">
        <v>752</v>
      </c>
      <c r="D37" s="71" t="s">
        <v>748</v>
      </c>
      <c r="E37" s="75">
        <v>24900</v>
      </c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3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43"/>
      <c r="EU37" s="43"/>
      <c r="EV37" s="43"/>
      <c r="EW37" s="43"/>
      <c r="EX37" s="43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</row>
    <row r="38" spans="1:190" s="24" customFormat="1" ht="15.75" customHeight="1">
      <c r="A38" s="72">
        <v>42720</v>
      </c>
      <c r="B38" s="68" t="s">
        <v>376</v>
      </c>
      <c r="C38" s="69" t="s">
        <v>752</v>
      </c>
      <c r="D38" s="69" t="s">
        <v>748</v>
      </c>
      <c r="E38" s="74">
        <v>24900</v>
      </c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  <c r="DW38" s="43"/>
      <c r="DX38" s="43"/>
      <c r="DY38" s="43"/>
      <c r="DZ38" s="43"/>
      <c r="EA38" s="43"/>
      <c r="EB38" s="43"/>
      <c r="EC38" s="43"/>
      <c r="ED38" s="43"/>
      <c r="EE38" s="43"/>
      <c r="EF38" s="43"/>
      <c r="EG38" s="43"/>
      <c r="EH38" s="43"/>
      <c r="EI38" s="43"/>
      <c r="EJ38" s="43"/>
      <c r="EK38" s="43"/>
      <c r="EL38" s="43"/>
      <c r="EM38" s="43"/>
      <c r="EN38" s="43"/>
      <c r="EO38" s="43"/>
      <c r="EP38" s="43"/>
      <c r="EQ38" s="43"/>
      <c r="ER38" s="43"/>
      <c r="ES38" s="43"/>
      <c r="ET38" s="43"/>
      <c r="EU38" s="43"/>
      <c r="EV38" s="43"/>
      <c r="EW38" s="43"/>
      <c r="EX38" s="43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</row>
    <row r="39" spans="1:190" s="24" customFormat="1" ht="15.75" customHeight="1">
      <c r="A39" s="73">
        <v>42463</v>
      </c>
      <c r="B39" s="70" t="s">
        <v>578</v>
      </c>
      <c r="C39" s="71" t="s">
        <v>780</v>
      </c>
      <c r="D39" s="71" t="s">
        <v>750</v>
      </c>
      <c r="E39" s="75">
        <v>75000</v>
      </c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</row>
    <row r="40" spans="1:190" s="24" customFormat="1" ht="15.75" customHeight="1">
      <c r="A40" s="72">
        <v>42571</v>
      </c>
      <c r="B40" s="68" t="s">
        <v>578</v>
      </c>
      <c r="C40" s="69" t="s">
        <v>780</v>
      </c>
      <c r="D40" s="69" t="s">
        <v>750</v>
      </c>
      <c r="E40" s="74">
        <v>75000</v>
      </c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  <c r="DM40" s="43"/>
      <c r="DN40" s="43"/>
      <c r="DO40" s="43"/>
      <c r="DP40" s="43"/>
      <c r="DQ40" s="43"/>
      <c r="DR40" s="43"/>
      <c r="DS40" s="43"/>
      <c r="DT40" s="43"/>
      <c r="DU40" s="43"/>
      <c r="DV40" s="43"/>
      <c r="DW40" s="43"/>
      <c r="DX40" s="43"/>
      <c r="DY40" s="43"/>
      <c r="DZ40" s="43"/>
      <c r="EA40" s="43"/>
      <c r="EB40" s="43"/>
      <c r="EC40" s="43"/>
      <c r="ED40" s="43"/>
      <c r="EE40" s="43"/>
      <c r="EF40" s="43"/>
      <c r="EG40" s="43"/>
      <c r="EH40" s="43"/>
      <c r="EI40" s="43"/>
      <c r="EJ40" s="43"/>
      <c r="EK40" s="43"/>
      <c r="EL40" s="43"/>
      <c r="EM40" s="43"/>
      <c r="EN40" s="43"/>
      <c r="EO40" s="43"/>
      <c r="EP40" s="43"/>
      <c r="EQ40" s="43"/>
      <c r="ER40" s="43"/>
      <c r="ES40" s="43"/>
      <c r="ET40" s="43"/>
      <c r="EU40" s="43"/>
      <c r="EV40" s="43"/>
      <c r="EW40" s="43"/>
      <c r="EX40" s="43"/>
      <c r="EY40" s="43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</row>
    <row r="41" spans="1:190" s="24" customFormat="1" ht="15.75" customHeight="1">
      <c r="A41" s="73">
        <v>42354</v>
      </c>
      <c r="B41" s="70" t="s">
        <v>376</v>
      </c>
      <c r="C41" s="71" t="s">
        <v>780</v>
      </c>
      <c r="D41" s="71" t="s">
        <v>750</v>
      </c>
      <c r="E41" s="75">
        <v>75000</v>
      </c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  <c r="DM41" s="43"/>
      <c r="DN41" s="43"/>
      <c r="DO41" s="43"/>
      <c r="DP41" s="43"/>
      <c r="DQ41" s="43"/>
      <c r="DR41" s="43"/>
      <c r="DS41" s="43"/>
      <c r="DT41" s="43"/>
      <c r="DU41" s="43"/>
      <c r="DV41" s="43"/>
      <c r="DW41" s="43"/>
      <c r="DX41" s="43"/>
      <c r="DY41" s="43"/>
      <c r="DZ41" s="43"/>
      <c r="EA41" s="43"/>
      <c r="EB41" s="43"/>
      <c r="EC41" s="43"/>
      <c r="ED41" s="43"/>
      <c r="EE41" s="43"/>
      <c r="EF41" s="43"/>
      <c r="EG41" s="43"/>
      <c r="EH41" s="43"/>
      <c r="EI41" s="43"/>
      <c r="EJ41" s="43"/>
      <c r="EK41" s="43"/>
      <c r="EL41" s="43"/>
      <c r="EM41" s="43"/>
      <c r="EN41" s="43"/>
      <c r="EO41" s="43"/>
      <c r="EP41" s="43"/>
      <c r="EQ41" s="43"/>
      <c r="ER41" s="43"/>
      <c r="ES41" s="43"/>
      <c r="ET41" s="43"/>
      <c r="EU41" s="43"/>
      <c r="EV41" s="43"/>
      <c r="EW41" s="43"/>
      <c r="EX41" s="43"/>
      <c r="EY41" s="43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</row>
    <row r="42" spans="1:190" s="24" customFormat="1" ht="15.75" customHeight="1">
      <c r="A42" s="72">
        <v>42366</v>
      </c>
      <c r="B42" s="68" t="s">
        <v>376</v>
      </c>
      <c r="C42" s="69" t="s">
        <v>780</v>
      </c>
      <c r="D42" s="69" t="s">
        <v>750</v>
      </c>
      <c r="E42" s="74">
        <v>75000</v>
      </c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  <c r="DW42" s="43"/>
      <c r="DX42" s="43"/>
      <c r="DY42" s="43"/>
      <c r="DZ42" s="43"/>
      <c r="EA42" s="43"/>
      <c r="EB42" s="43"/>
      <c r="EC42" s="43"/>
      <c r="ED42" s="43"/>
      <c r="EE42" s="43"/>
      <c r="EF42" s="43"/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43"/>
      <c r="ET42" s="43"/>
      <c r="EU42" s="43"/>
      <c r="EV42" s="43"/>
      <c r="EW42" s="43"/>
      <c r="EX42" s="43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</row>
    <row r="43" spans="1:190" s="24" customFormat="1" ht="15.75" customHeight="1">
      <c r="A43" s="73">
        <v>42524</v>
      </c>
      <c r="B43" s="70" t="s">
        <v>376</v>
      </c>
      <c r="C43" s="71" t="s">
        <v>780</v>
      </c>
      <c r="D43" s="71" t="s">
        <v>750</v>
      </c>
      <c r="E43" s="75">
        <v>75000</v>
      </c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  <c r="DI43" s="43"/>
      <c r="DJ43" s="43"/>
      <c r="DK43" s="43"/>
      <c r="DL43" s="43"/>
      <c r="DM43" s="43"/>
      <c r="DN43" s="43"/>
      <c r="DO43" s="43"/>
      <c r="DP43" s="43"/>
      <c r="DQ43" s="43"/>
      <c r="DR43" s="43"/>
      <c r="DS43" s="43"/>
      <c r="DT43" s="43"/>
      <c r="DU43" s="43"/>
      <c r="DV43" s="43"/>
      <c r="DW43" s="43"/>
      <c r="DX43" s="43"/>
      <c r="DY43" s="43"/>
      <c r="DZ43" s="43"/>
      <c r="EA43" s="43"/>
      <c r="EB43" s="43"/>
      <c r="EC43" s="43"/>
      <c r="ED43" s="43"/>
      <c r="EE43" s="43"/>
      <c r="EF43" s="43"/>
      <c r="EG43" s="43"/>
      <c r="EH43" s="43"/>
      <c r="EI43" s="43"/>
      <c r="EJ43" s="43"/>
      <c r="EK43" s="43"/>
      <c r="EL43" s="43"/>
      <c r="EM43" s="43"/>
      <c r="EN43" s="43"/>
      <c r="EO43" s="43"/>
      <c r="EP43" s="43"/>
      <c r="EQ43" s="43"/>
      <c r="ER43" s="43"/>
      <c r="ES43" s="43"/>
      <c r="ET43" s="43"/>
      <c r="EU43" s="43"/>
      <c r="EV43" s="43"/>
      <c r="EW43" s="43"/>
      <c r="EX43" s="43"/>
      <c r="EY43" s="43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</row>
    <row r="44" spans="1:190" s="24" customFormat="1" ht="15.75" customHeight="1">
      <c r="A44" s="72">
        <v>42537</v>
      </c>
      <c r="B44" s="68" t="s">
        <v>578</v>
      </c>
      <c r="C44" s="69" t="s">
        <v>785</v>
      </c>
      <c r="D44" s="69" t="s">
        <v>776</v>
      </c>
      <c r="E44" s="74">
        <v>1200</v>
      </c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  <c r="CW44" s="43"/>
      <c r="CX44" s="43"/>
      <c r="CY44" s="43"/>
      <c r="CZ44" s="43"/>
      <c r="DA44" s="43"/>
      <c r="DB44" s="43"/>
      <c r="DC44" s="43"/>
      <c r="DD44" s="43"/>
      <c r="DE44" s="43"/>
      <c r="DF44" s="43"/>
      <c r="DG44" s="43"/>
      <c r="DH44" s="43"/>
      <c r="DI44" s="43"/>
      <c r="DJ44" s="43"/>
      <c r="DK44" s="43"/>
      <c r="DL44" s="43"/>
      <c r="DM44" s="43"/>
      <c r="DN44" s="43"/>
      <c r="DO44" s="43"/>
      <c r="DP44" s="43"/>
      <c r="DQ44" s="43"/>
      <c r="DR44" s="43"/>
      <c r="DS44" s="43"/>
      <c r="DT44" s="43"/>
      <c r="DU44" s="43"/>
      <c r="DV44" s="43"/>
      <c r="DW44" s="43"/>
      <c r="DX44" s="43"/>
      <c r="DY44" s="43"/>
      <c r="DZ44" s="43"/>
      <c r="EA44" s="43"/>
      <c r="EB44" s="43"/>
      <c r="EC44" s="43"/>
      <c r="ED44" s="43"/>
      <c r="EE44" s="43"/>
      <c r="EF44" s="43"/>
      <c r="EG44" s="43"/>
      <c r="EH44" s="43"/>
      <c r="EI44" s="43"/>
      <c r="EJ44" s="43"/>
      <c r="EK44" s="43"/>
      <c r="EL44" s="43"/>
      <c r="EM44" s="43"/>
      <c r="EN44" s="43"/>
      <c r="EO44" s="43"/>
      <c r="EP44" s="43"/>
      <c r="EQ44" s="43"/>
      <c r="ER44" s="43"/>
      <c r="ES44" s="43"/>
      <c r="ET44" s="43"/>
      <c r="EU44" s="43"/>
      <c r="EV44" s="43"/>
      <c r="EW44" s="43"/>
      <c r="EX44" s="43"/>
      <c r="EY44" s="43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</row>
    <row r="45" spans="1:190" s="24" customFormat="1" ht="15.75" customHeight="1">
      <c r="A45" s="73">
        <v>42651</v>
      </c>
      <c r="B45" s="70" t="s">
        <v>578</v>
      </c>
      <c r="C45" s="71" t="s">
        <v>785</v>
      </c>
      <c r="D45" s="71" t="s">
        <v>776</v>
      </c>
      <c r="E45" s="75">
        <v>1200</v>
      </c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43"/>
      <c r="CZ45" s="43"/>
      <c r="DA45" s="43"/>
      <c r="DB45" s="43"/>
      <c r="DC45" s="43"/>
      <c r="DD45" s="43"/>
      <c r="DE45" s="43"/>
      <c r="DF45" s="43"/>
      <c r="DG45" s="43"/>
      <c r="DH45" s="43"/>
      <c r="DI45" s="43"/>
      <c r="DJ45" s="43"/>
      <c r="DK45" s="43"/>
      <c r="DL45" s="43"/>
      <c r="DM45" s="43"/>
      <c r="DN45" s="43"/>
      <c r="DO45" s="43"/>
      <c r="DP45" s="43"/>
      <c r="DQ45" s="43"/>
      <c r="DR45" s="43"/>
      <c r="DS45" s="43"/>
      <c r="DT45" s="43"/>
      <c r="DU45" s="43"/>
      <c r="DV45" s="43"/>
      <c r="DW45" s="43"/>
      <c r="DX45" s="43"/>
      <c r="DY45" s="43"/>
      <c r="DZ45" s="43"/>
      <c r="EA45" s="43"/>
      <c r="EB45" s="43"/>
      <c r="EC45" s="43"/>
      <c r="ED45" s="43"/>
      <c r="EE45" s="43"/>
      <c r="EF45" s="43"/>
      <c r="EG45" s="43"/>
      <c r="EH45" s="43"/>
      <c r="EI45" s="43"/>
      <c r="EJ45" s="43"/>
      <c r="EK45" s="43"/>
      <c r="EL45" s="43"/>
      <c r="EM45" s="43"/>
      <c r="EN45" s="43"/>
      <c r="EO45" s="43"/>
      <c r="EP45" s="43"/>
      <c r="EQ45" s="43"/>
      <c r="ER45" s="43"/>
      <c r="ES45" s="43"/>
      <c r="ET45" s="43"/>
      <c r="EU45" s="43"/>
      <c r="EV45" s="43"/>
      <c r="EW45" s="43"/>
      <c r="EX45" s="43"/>
      <c r="EY45" s="43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</row>
    <row r="46" spans="1:190" s="24" customFormat="1" ht="15.75" customHeight="1">
      <c r="A46" s="72">
        <v>42094</v>
      </c>
      <c r="B46" s="68" t="s">
        <v>376</v>
      </c>
      <c r="C46" s="69" t="s">
        <v>785</v>
      </c>
      <c r="D46" s="69" t="s">
        <v>776</v>
      </c>
      <c r="E46" s="74">
        <v>905</v>
      </c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/>
      <c r="CU46" s="43"/>
      <c r="CV46" s="43"/>
      <c r="CW46" s="43"/>
      <c r="CX46" s="43"/>
      <c r="CY46" s="43"/>
      <c r="CZ46" s="43"/>
      <c r="DA46" s="43"/>
      <c r="DB46" s="43"/>
      <c r="DC46" s="43"/>
      <c r="DD46" s="43"/>
      <c r="DE46" s="43"/>
      <c r="DF46" s="43"/>
      <c r="DG46" s="43"/>
      <c r="DH46" s="43"/>
      <c r="DI46" s="43"/>
      <c r="DJ46" s="43"/>
      <c r="DK46" s="43"/>
      <c r="DL46" s="43"/>
      <c r="DM46" s="43"/>
      <c r="DN46" s="43"/>
      <c r="DO46" s="43"/>
      <c r="DP46" s="43"/>
      <c r="DQ46" s="43"/>
      <c r="DR46" s="43"/>
      <c r="DS46" s="43"/>
      <c r="DT46" s="43"/>
      <c r="DU46" s="43"/>
      <c r="DV46" s="43"/>
      <c r="DW46" s="43"/>
      <c r="DX46" s="43"/>
      <c r="DY46" s="43"/>
      <c r="DZ46" s="43"/>
      <c r="EA46" s="43"/>
      <c r="EB46" s="43"/>
      <c r="EC46" s="43"/>
      <c r="ED46" s="43"/>
      <c r="EE46" s="43"/>
      <c r="EF46" s="43"/>
      <c r="EG46" s="43"/>
      <c r="EH46" s="43"/>
      <c r="EI46" s="43"/>
      <c r="EJ46" s="43"/>
      <c r="EK46" s="43"/>
      <c r="EL46" s="43"/>
      <c r="EM46" s="43"/>
      <c r="EN46" s="43"/>
      <c r="EO46" s="43"/>
      <c r="EP46" s="43"/>
      <c r="EQ46" s="43"/>
      <c r="ER46" s="43"/>
      <c r="ES46" s="43"/>
      <c r="ET46" s="43"/>
      <c r="EU46" s="43"/>
      <c r="EV46" s="43"/>
      <c r="EW46" s="43"/>
      <c r="EX46" s="43"/>
      <c r="EY46" s="43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</row>
    <row r="47" spans="1:190" s="24" customFormat="1" ht="15.75" customHeight="1">
      <c r="A47" s="73">
        <v>42118</v>
      </c>
      <c r="B47" s="70" t="s">
        <v>376</v>
      </c>
      <c r="C47" s="71" t="s">
        <v>785</v>
      </c>
      <c r="D47" s="71" t="s">
        <v>776</v>
      </c>
      <c r="E47" s="75">
        <v>905</v>
      </c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/>
      <c r="CX47" s="43"/>
      <c r="CY47" s="43"/>
      <c r="CZ47" s="43"/>
      <c r="DA47" s="43"/>
      <c r="DB47" s="43"/>
      <c r="DC47" s="43"/>
      <c r="DD47" s="43"/>
      <c r="DE47" s="43"/>
      <c r="DF47" s="43"/>
      <c r="DG47" s="43"/>
      <c r="DH47" s="43"/>
      <c r="DI47" s="43"/>
      <c r="DJ47" s="43"/>
      <c r="DK47" s="43"/>
      <c r="DL47" s="43"/>
      <c r="DM47" s="43"/>
      <c r="DN47" s="43"/>
      <c r="DO47" s="43"/>
      <c r="DP47" s="43"/>
      <c r="DQ47" s="43"/>
      <c r="DR47" s="43"/>
      <c r="DS47" s="43"/>
      <c r="DT47" s="43"/>
      <c r="DU47" s="43"/>
      <c r="DV47" s="43"/>
      <c r="DW47" s="43"/>
      <c r="DX47" s="43"/>
      <c r="DY47" s="43"/>
      <c r="DZ47" s="43"/>
      <c r="EA47" s="43"/>
      <c r="EB47" s="43"/>
      <c r="EC47" s="43"/>
      <c r="ED47" s="43"/>
      <c r="EE47" s="43"/>
      <c r="EF47" s="43"/>
      <c r="EG47" s="43"/>
      <c r="EH47" s="43"/>
      <c r="EI47" s="43"/>
      <c r="EJ47" s="43"/>
      <c r="EK47" s="43"/>
      <c r="EL47" s="43"/>
      <c r="EM47" s="43"/>
      <c r="EN47" s="43"/>
      <c r="EO47" s="43"/>
      <c r="EP47" s="43"/>
      <c r="EQ47" s="43"/>
      <c r="ER47" s="43"/>
      <c r="ES47" s="43"/>
      <c r="ET47" s="43"/>
      <c r="EU47" s="43"/>
      <c r="EV47" s="43"/>
      <c r="EW47" s="43"/>
      <c r="EX47" s="43"/>
      <c r="EY47" s="43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</row>
    <row r="48" spans="1:190" s="24" customFormat="1" ht="15.75" customHeight="1">
      <c r="A48" s="72">
        <v>42355</v>
      </c>
      <c r="B48" s="68" t="s">
        <v>376</v>
      </c>
      <c r="C48" s="69" t="s">
        <v>785</v>
      </c>
      <c r="D48" s="69" t="s">
        <v>776</v>
      </c>
      <c r="E48" s="74">
        <v>905</v>
      </c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CY48" s="43"/>
      <c r="CZ48" s="43"/>
      <c r="DA48" s="43"/>
      <c r="DB48" s="43"/>
      <c r="DC48" s="43"/>
      <c r="DD48" s="43"/>
      <c r="DE48" s="43"/>
      <c r="DF48" s="43"/>
      <c r="DG48" s="43"/>
      <c r="DH48" s="43"/>
      <c r="DI48" s="43"/>
      <c r="DJ48" s="43"/>
      <c r="DK48" s="43"/>
      <c r="DL48" s="43"/>
      <c r="DM48" s="43"/>
      <c r="DN48" s="43"/>
      <c r="DO48" s="43"/>
      <c r="DP48" s="43"/>
      <c r="DQ48" s="43"/>
      <c r="DR48" s="43"/>
      <c r="DS48" s="43"/>
      <c r="DT48" s="43"/>
      <c r="DU48" s="43"/>
      <c r="DV48" s="43"/>
      <c r="DW48" s="43"/>
      <c r="DX48" s="43"/>
      <c r="DY48" s="43"/>
      <c r="DZ48" s="43"/>
      <c r="EA48" s="43"/>
      <c r="EB48" s="43"/>
      <c r="EC48" s="43"/>
      <c r="ED48" s="43"/>
      <c r="EE48" s="43"/>
      <c r="EF48" s="43"/>
      <c r="EG48" s="43"/>
      <c r="EH48" s="43"/>
      <c r="EI48" s="43"/>
      <c r="EJ48" s="43"/>
      <c r="EK48" s="43"/>
      <c r="EL48" s="43"/>
      <c r="EM48" s="43"/>
      <c r="EN48" s="43"/>
      <c r="EO48" s="43"/>
      <c r="EP48" s="43"/>
      <c r="EQ48" s="43"/>
      <c r="ER48" s="43"/>
      <c r="ES48" s="43"/>
      <c r="ET48" s="43"/>
      <c r="EU48" s="43"/>
      <c r="EV48" s="43"/>
      <c r="EW48" s="43"/>
      <c r="EX48" s="43"/>
      <c r="EY48" s="43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</row>
    <row r="49" spans="1:190" s="24" customFormat="1" ht="15.75" customHeight="1">
      <c r="A49" s="73">
        <v>42462</v>
      </c>
      <c r="B49" s="70" t="s">
        <v>376</v>
      </c>
      <c r="C49" s="71" t="s">
        <v>785</v>
      </c>
      <c r="D49" s="71" t="s">
        <v>776</v>
      </c>
      <c r="E49" s="75">
        <v>905</v>
      </c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  <c r="CX49" s="43"/>
      <c r="CY49" s="43"/>
      <c r="CZ49" s="43"/>
      <c r="DA49" s="43"/>
      <c r="DB49" s="43"/>
      <c r="DC49" s="43"/>
      <c r="DD49" s="43"/>
      <c r="DE49" s="43"/>
      <c r="DF49" s="43"/>
      <c r="DG49" s="43"/>
      <c r="DH49" s="43"/>
      <c r="DI49" s="43"/>
      <c r="DJ49" s="43"/>
      <c r="DK49" s="43"/>
      <c r="DL49" s="43"/>
      <c r="DM49" s="43"/>
      <c r="DN49" s="43"/>
      <c r="DO49" s="43"/>
      <c r="DP49" s="43"/>
      <c r="DQ49" s="43"/>
      <c r="DR49" s="43"/>
      <c r="DS49" s="43"/>
      <c r="DT49" s="43"/>
      <c r="DU49" s="43"/>
      <c r="DV49" s="43"/>
      <c r="DW49" s="43"/>
      <c r="DX49" s="43"/>
      <c r="DY49" s="43"/>
      <c r="DZ49" s="43"/>
      <c r="EA49" s="43"/>
      <c r="EB49" s="43"/>
      <c r="EC49" s="43"/>
      <c r="ED49" s="43"/>
      <c r="EE49" s="43"/>
      <c r="EF49" s="43"/>
      <c r="EG49" s="43"/>
      <c r="EH49" s="43"/>
      <c r="EI49" s="43"/>
      <c r="EJ49" s="43"/>
      <c r="EK49" s="43"/>
      <c r="EL49" s="43"/>
      <c r="EM49" s="43"/>
      <c r="EN49" s="43"/>
      <c r="EO49" s="43"/>
      <c r="EP49" s="43"/>
      <c r="EQ49" s="43"/>
      <c r="ER49" s="43"/>
      <c r="ES49" s="43"/>
      <c r="ET49" s="43"/>
      <c r="EU49" s="43"/>
      <c r="EV49" s="43"/>
      <c r="EW49" s="43"/>
      <c r="EX49" s="43"/>
      <c r="EY49" s="43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</row>
    <row r="50" spans="1:190" s="24" customFormat="1" ht="15.75" customHeight="1">
      <c r="A50" s="72">
        <v>42598</v>
      </c>
      <c r="B50" s="68" t="s">
        <v>376</v>
      </c>
      <c r="C50" s="69" t="s">
        <v>785</v>
      </c>
      <c r="D50" s="69" t="s">
        <v>776</v>
      </c>
      <c r="E50" s="74">
        <v>905</v>
      </c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CY50" s="43"/>
      <c r="CZ50" s="43"/>
      <c r="DA50" s="43"/>
      <c r="DB50" s="43"/>
      <c r="DC50" s="43"/>
      <c r="DD50" s="43"/>
      <c r="DE50" s="43"/>
      <c r="DF50" s="43"/>
      <c r="DG50" s="43"/>
      <c r="DH50" s="43"/>
      <c r="DI50" s="43"/>
      <c r="DJ50" s="43"/>
      <c r="DK50" s="43"/>
      <c r="DL50" s="43"/>
      <c r="DM50" s="43"/>
      <c r="DN50" s="43"/>
      <c r="DO50" s="43"/>
      <c r="DP50" s="43"/>
      <c r="DQ50" s="43"/>
      <c r="DR50" s="43"/>
      <c r="DS50" s="43"/>
      <c r="DT50" s="43"/>
      <c r="DU50" s="43"/>
      <c r="DV50" s="43"/>
      <c r="DW50" s="43"/>
      <c r="DX50" s="43"/>
      <c r="DY50" s="43"/>
      <c r="DZ50" s="43"/>
      <c r="EA50" s="43"/>
      <c r="EB50" s="43"/>
      <c r="EC50" s="43"/>
      <c r="ED50" s="43"/>
      <c r="EE50" s="43"/>
      <c r="EF50" s="43"/>
      <c r="EG50" s="43"/>
      <c r="EH50" s="43"/>
      <c r="EI50" s="43"/>
      <c r="EJ50" s="43"/>
      <c r="EK50" s="43"/>
      <c r="EL50" s="43"/>
      <c r="EM50" s="43"/>
      <c r="EN50" s="43"/>
      <c r="EO50" s="43"/>
      <c r="EP50" s="43"/>
      <c r="EQ50" s="43"/>
      <c r="ER50" s="43"/>
      <c r="ES50" s="43"/>
      <c r="ET50" s="43"/>
      <c r="EU50" s="43"/>
      <c r="EV50" s="43"/>
      <c r="EW50" s="43"/>
      <c r="EX50" s="43"/>
      <c r="EY50" s="43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</row>
    <row r="51" spans="1:190" s="24" customFormat="1" ht="15.75" customHeight="1">
      <c r="A51" s="73">
        <v>42079</v>
      </c>
      <c r="B51" s="70" t="s">
        <v>578</v>
      </c>
      <c r="C51" s="71" t="s">
        <v>753</v>
      </c>
      <c r="D51" s="71" t="s">
        <v>750</v>
      </c>
      <c r="E51" s="75">
        <v>36000</v>
      </c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  <c r="CW51" s="43"/>
      <c r="CX51" s="43"/>
      <c r="CY51" s="43"/>
      <c r="CZ51" s="43"/>
      <c r="DA51" s="43"/>
      <c r="DB51" s="43"/>
      <c r="DC51" s="43"/>
      <c r="DD51" s="43"/>
      <c r="DE51" s="43"/>
      <c r="DF51" s="43"/>
      <c r="DG51" s="43"/>
      <c r="DH51" s="43"/>
      <c r="DI51" s="43"/>
      <c r="DJ51" s="43"/>
      <c r="DK51" s="43"/>
      <c r="DL51" s="43"/>
      <c r="DM51" s="43"/>
      <c r="DN51" s="43"/>
      <c r="DO51" s="43"/>
      <c r="DP51" s="43"/>
      <c r="DQ51" s="43"/>
      <c r="DR51" s="43"/>
      <c r="DS51" s="43"/>
      <c r="DT51" s="43"/>
      <c r="DU51" s="43"/>
      <c r="DV51" s="43"/>
      <c r="DW51" s="43"/>
      <c r="DX51" s="43"/>
      <c r="DY51" s="43"/>
      <c r="DZ51" s="43"/>
      <c r="EA51" s="43"/>
      <c r="EB51" s="43"/>
      <c r="EC51" s="43"/>
      <c r="ED51" s="43"/>
      <c r="EE51" s="43"/>
      <c r="EF51" s="43"/>
      <c r="EG51" s="43"/>
      <c r="EH51" s="43"/>
      <c r="EI51" s="43"/>
      <c r="EJ51" s="43"/>
      <c r="EK51" s="43"/>
      <c r="EL51" s="43"/>
      <c r="EM51" s="43"/>
      <c r="EN51" s="43"/>
      <c r="EO51" s="43"/>
      <c r="EP51" s="43"/>
      <c r="EQ51" s="43"/>
      <c r="ER51" s="43"/>
      <c r="ES51" s="43"/>
      <c r="ET51" s="43"/>
      <c r="EU51" s="43"/>
      <c r="EV51" s="43"/>
      <c r="EW51" s="43"/>
      <c r="EX51" s="43"/>
      <c r="EY51" s="43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</row>
    <row r="52" spans="1:190" s="24" customFormat="1" ht="15.75" customHeight="1">
      <c r="A52" s="72">
        <v>42108</v>
      </c>
      <c r="B52" s="68" t="s">
        <v>578</v>
      </c>
      <c r="C52" s="69" t="s">
        <v>753</v>
      </c>
      <c r="D52" s="69" t="s">
        <v>750</v>
      </c>
      <c r="E52" s="74">
        <v>36000</v>
      </c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  <c r="CW52" s="43"/>
      <c r="CX52" s="43"/>
      <c r="CY52" s="43"/>
      <c r="CZ52" s="43"/>
      <c r="DA52" s="43"/>
      <c r="DB52" s="43"/>
      <c r="DC52" s="43"/>
      <c r="DD52" s="43"/>
      <c r="DE52" s="43"/>
      <c r="DF52" s="43"/>
      <c r="DG52" s="43"/>
      <c r="DH52" s="43"/>
      <c r="DI52" s="43"/>
      <c r="DJ52" s="43"/>
      <c r="DK52" s="43"/>
      <c r="DL52" s="43"/>
      <c r="DM52" s="43"/>
      <c r="DN52" s="43"/>
      <c r="DO52" s="43"/>
      <c r="DP52" s="43"/>
      <c r="DQ52" s="43"/>
      <c r="DR52" s="43"/>
      <c r="DS52" s="43"/>
      <c r="DT52" s="43"/>
      <c r="DU52" s="43"/>
      <c r="DV52" s="43"/>
      <c r="DW52" s="43"/>
      <c r="DX52" s="43"/>
      <c r="DY52" s="43"/>
      <c r="DZ52" s="43"/>
      <c r="EA52" s="43"/>
      <c r="EB52" s="43"/>
      <c r="EC52" s="43"/>
      <c r="ED52" s="43"/>
      <c r="EE52" s="43"/>
      <c r="EF52" s="43"/>
      <c r="EG52" s="43"/>
      <c r="EH52" s="43"/>
      <c r="EI52" s="43"/>
      <c r="EJ52" s="43"/>
      <c r="EK52" s="43"/>
      <c r="EL52" s="43"/>
      <c r="EM52" s="43"/>
      <c r="EN52" s="43"/>
      <c r="EO52" s="43"/>
      <c r="EP52" s="43"/>
      <c r="EQ52" s="43"/>
      <c r="ER52" s="43"/>
      <c r="ES52" s="43"/>
      <c r="ET52" s="43"/>
      <c r="EU52" s="43"/>
      <c r="EV52" s="43"/>
      <c r="EW52" s="43"/>
      <c r="EX52" s="43"/>
      <c r="EY52" s="43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</row>
    <row r="53" spans="1:190" s="24" customFormat="1" ht="15.75" customHeight="1">
      <c r="A53" s="73">
        <v>42063</v>
      </c>
      <c r="B53" s="70" t="s">
        <v>578</v>
      </c>
      <c r="C53" s="71" t="s">
        <v>753</v>
      </c>
      <c r="D53" s="71" t="s">
        <v>750</v>
      </c>
      <c r="E53" s="75">
        <v>36000</v>
      </c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  <c r="CS53" s="43"/>
      <c r="CT53" s="43"/>
      <c r="CU53" s="43"/>
      <c r="CV53" s="43"/>
      <c r="CW53" s="43"/>
      <c r="CX53" s="43"/>
      <c r="CY53" s="43"/>
      <c r="CZ53" s="43"/>
      <c r="DA53" s="43"/>
      <c r="DB53" s="43"/>
      <c r="DC53" s="43"/>
      <c r="DD53" s="43"/>
      <c r="DE53" s="43"/>
      <c r="DF53" s="43"/>
      <c r="DG53" s="43"/>
      <c r="DH53" s="43"/>
      <c r="DI53" s="43"/>
      <c r="DJ53" s="43"/>
      <c r="DK53" s="43"/>
      <c r="DL53" s="43"/>
      <c r="DM53" s="43"/>
      <c r="DN53" s="43"/>
      <c r="DO53" s="43"/>
      <c r="DP53" s="43"/>
      <c r="DQ53" s="43"/>
      <c r="DR53" s="43"/>
      <c r="DS53" s="43"/>
      <c r="DT53" s="43"/>
      <c r="DU53" s="43"/>
      <c r="DV53" s="43"/>
      <c r="DW53" s="43"/>
      <c r="DX53" s="43"/>
      <c r="DY53" s="43"/>
      <c r="DZ53" s="43"/>
      <c r="EA53" s="43"/>
      <c r="EB53" s="43"/>
      <c r="EC53" s="43"/>
      <c r="ED53" s="43"/>
      <c r="EE53" s="43"/>
      <c r="EF53" s="43"/>
      <c r="EG53" s="43"/>
      <c r="EH53" s="43"/>
      <c r="EI53" s="43"/>
      <c r="EJ53" s="43"/>
      <c r="EK53" s="43"/>
      <c r="EL53" s="43"/>
      <c r="EM53" s="43"/>
      <c r="EN53" s="43"/>
      <c r="EO53" s="43"/>
      <c r="EP53" s="43"/>
      <c r="EQ53" s="43"/>
      <c r="ER53" s="43"/>
      <c r="ES53" s="43"/>
      <c r="ET53" s="43"/>
      <c r="EU53" s="43"/>
      <c r="EV53" s="43"/>
      <c r="EW53" s="43"/>
      <c r="EX53" s="43"/>
      <c r="EY53" s="43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</row>
    <row r="54" spans="1:190" s="24" customFormat="1" ht="15.75" customHeight="1">
      <c r="A54" s="72">
        <v>42722</v>
      </c>
      <c r="B54" s="68" t="s">
        <v>578</v>
      </c>
      <c r="C54" s="69" t="s">
        <v>753</v>
      </c>
      <c r="D54" s="69" t="s">
        <v>750</v>
      </c>
      <c r="E54" s="74">
        <v>36000</v>
      </c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43"/>
      <c r="CZ54" s="43"/>
      <c r="DA54" s="43"/>
      <c r="DB54" s="43"/>
      <c r="DC54" s="43"/>
      <c r="DD54" s="43"/>
      <c r="DE54" s="43"/>
      <c r="DF54" s="43"/>
      <c r="DG54" s="43"/>
      <c r="DH54" s="43"/>
      <c r="DI54" s="43"/>
      <c r="DJ54" s="43"/>
      <c r="DK54" s="43"/>
      <c r="DL54" s="43"/>
      <c r="DM54" s="43"/>
      <c r="DN54" s="43"/>
      <c r="DO54" s="43"/>
      <c r="DP54" s="43"/>
      <c r="DQ54" s="43"/>
      <c r="DR54" s="43"/>
      <c r="DS54" s="43"/>
      <c r="DT54" s="43"/>
      <c r="DU54" s="43"/>
      <c r="DV54" s="43"/>
      <c r="DW54" s="43"/>
      <c r="DX54" s="43"/>
      <c r="DY54" s="43"/>
      <c r="DZ54" s="43"/>
      <c r="EA54" s="43"/>
      <c r="EB54" s="43"/>
      <c r="EC54" s="43"/>
      <c r="ED54" s="43"/>
      <c r="EE54" s="43"/>
      <c r="EF54" s="43"/>
      <c r="EG54" s="43"/>
      <c r="EH54" s="43"/>
      <c r="EI54" s="43"/>
      <c r="EJ54" s="43"/>
      <c r="EK54" s="43"/>
      <c r="EL54" s="43"/>
      <c r="EM54" s="43"/>
      <c r="EN54" s="43"/>
      <c r="EO54" s="43"/>
      <c r="EP54" s="43"/>
      <c r="EQ54" s="43"/>
      <c r="ER54" s="43"/>
      <c r="ES54" s="43"/>
      <c r="ET54" s="43"/>
      <c r="EU54" s="43"/>
      <c r="EV54" s="43"/>
      <c r="EW54" s="43"/>
      <c r="EX54" s="43"/>
      <c r="EY54" s="43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</row>
    <row r="55" spans="1:190" s="24" customFormat="1" ht="15.75" customHeight="1">
      <c r="A55" s="73">
        <v>42080</v>
      </c>
      <c r="B55" s="70" t="s">
        <v>376</v>
      </c>
      <c r="C55" s="71" t="s">
        <v>753</v>
      </c>
      <c r="D55" s="71" t="s">
        <v>750</v>
      </c>
      <c r="E55" s="75">
        <v>34500</v>
      </c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DD55" s="43"/>
      <c r="DE55" s="43"/>
      <c r="DF55" s="43"/>
      <c r="DG55" s="43"/>
      <c r="DH55" s="43"/>
      <c r="DI55" s="43"/>
      <c r="DJ55" s="43"/>
      <c r="DK55" s="43"/>
      <c r="DL55" s="43"/>
      <c r="DM55" s="43"/>
      <c r="DN55" s="43"/>
      <c r="DO55" s="43"/>
      <c r="DP55" s="43"/>
      <c r="DQ55" s="43"/>
      <c r="DR55" s="43"/>
      <c r="DS55" s="43"/>
      <c r="DT55" s="43"/>
      <c r="DU55" s="43"/>
      <c r="DV55" s="43"/>
      <c r="DW55" s="43"/>
      <c r="DX55" s="43"/>
      <c r="DY55" s="43"/>
      <c r="DZ55" s="43"/>
      <c r="EA55" s="43"/>
      <c r="EB55" s="43"/>
      <c r="EC55" s="43"/>
      <c r="ED55" s="43"/>
      <c r="EE55" s="43"/>
      <c r="EF55" s="43"/>
      <c r="EG55" s="43"/>
      <c r="EH55" s="43"/>
      <c r="EI55" s="43"/>
      <c r="EJ55" s="43"/>
      <c r="EK55" s="43"/>
      <c r="EL55" s="43"/>
      <c r="EM55" s="43"/>
      <c r="EN55" s="43"/>
      <c r="EO55" s="43"/>
      <c r="EP55" s="43"/>
      <c r="EQ55" s="43"/>
      <c r="ER55" s="43"/>
      <c r="ES55" s="43"/>
      <c r="ET55" s="43"/>
      <c r="EU55" s="43"/>
      <c r="EV55" s="43"/>
      <c r="EW55" s="43"/>
      <c r="EX55" s="43"/>
      <c r="EY55" s="43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</row>
    <row r="56" spans="1:190" s="24" customFormat="1" ht="15.75" customHeight="1">
      <c r="A56" s="72">
        <v>42117</v>
      </c>
      <c r="B56" s="68" t="s">
        <v>376</v>
      </c>
      <c r="C56" s="69" t="s">
        <v>753</v>
      </c>
      <c r="D56" s="69" t="s">
        <v>750</v>
      </c>
      <c r="E56" s="74">
        <v>34500</v>
      </c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CY56" s="43"/>
      <c r="CZ56" s="43"/>
      <c r="DA56" s="43"/>
      <c r="DB56" s="43"/>
      <c r="DC56" s="43"/>
      <c r="DD56" s="43"/>
      <c r="DE56" s="43"/>
      <c r="DF56" s="43"/>
      <c r="DG56" s="43"/>
      <c r="DH56" s="43"/>
      <c r="DI56" s="43"/>
      <c r="DJ56" s="43"/>
      <c r="DK56" s="43"/>
      <c r="DL56" s="43"/>
      <c r="DM56" s="43"/>
      <c r="DN56" s="43"/>
      <c r="DO56" s="43"/>
      <c r="DP56" s="43"/>
      <c r="DQ56" s="43"/>
      <c r="DR56" s="43"/>
      <c r="DS56" s="43"/>
      <c r="DT56" s="43"/>
      <c r="DU56" s="43"/>
      <c r="DV56" s="43"/>
      <c r="DW56" s="43"/>
      <c r="DX56" s="43"/>
      <c r="DY56" s="43"/>
      <c r="DZ56" s="43"/>
      <c r="EA56" s="43"/>
      <c r="EB56" s="43"/>
      <c r="EC56" s="43"/>
      <c r="ED56" s="43"/>
      <c r="EE56" s="43"/>
      <c r="EF56" s="43"/>
      <c r="EG56" s="43"/>
      <c r="EH56" s="43"/>
      <c r="EI56" s="43"/>
      <c r="EJ56" s="43"/>
      <c r="EK56" s="43"/>
      <c r="EL56" s="43"/>
      <c r="EM56" s="43"/>
      <c r="EN56" s="43"/>
      <c r="EO56" s="43"/>
      <c r="EP56" s="43"/>
      <c r="EQ56" s="43"/>
      <c r="ER56" s="43"/>
      <c r="ES56" s="43"/>
      <c r="ET56" s="43"/>
      <c r="EU56" s="43"/>
      <c r="EV56" s="43"/>
      <c r="EW56" s="43"/>
      <c r="EX56" s="43"/>
      <c r="EY56" s="43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</row>
    <row r="57" spans="1:190" s="24" customFormat="1" ht="15.75" customHeight="1">
      <c r="A57" s="73">
        <v>42191</v>
      </c>
      <c r="B57" s="70" t="s">
        <v>376</v>
      </c>
      <c r="C57" s="71" t="s">
        <v>753</v>
      </c>
      <c r="D57" s="71" t="s">
        <v>750</v>
      </c>
      <c r="E57" s="75">
        <v>34500</v>
      </c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/>
      <c r="CX57" s="43"/>
      <c r="CY57" s="43"/>
      <c r="CZ57" s="43"/>
      <c r="DA57" s="43"/>
      <c r="DB57" s="43"/>
      <c r="DC57" s="43"/>
      <c r="DD57" s="43"/>
      <c r="DE57" s="43"/>
      <c r="DF57" s="43"/>
      <c r="DG57" s="43"/>
      <c r="DH57" s="43"/>
      <c r="DI57" s="43"/>
      <c r="DJ57" s="43"/>
      <c r="DK57" s="43"/>
      <c r="DL57" s="43"/>
      <c r="DM57" s="43"/>
      <c r="DN57" s="43"/>
      <c r="DO57" s="43"/>
      <c r="DP57" s="43"/>
      <c r="DQ57" s="43"/>
      <c r="DR57" s="43"/>
      <c r="DS57" s="43"/>
      <c r="DT57" s="43"/>
      <c r="DU57" s="43"/>
      <c r="DV57" s="43"/>
      <c r="DW57" s="43"/>
      <c r="DX57" s="43"/>
      <c r="DY57" s="43"/>
      <c r="DZ57" s="43"/>
      <c r="EA57" s="43"/>
      <c r="EB57" s="43"/>
      <c r="EC57" s="43"/>
      <c r="ED57" s="43"/>
      <c r="EE57" s="43"/>
      <c r="EF57" s="43"/>
      <c r="EG57" s="43"/>
      <c r="EH57" s="43"/>
      <c r="EI57" s="43"/>
      <c r="EJ57" s="43"/>
      <c r="EK57" s="43"/>
      <c r="EL57" s="43"/>
      <c r="EM57" s="43"/>
      <c r="EN57" s="43"/>
      <c r="EO57" s="43"/>
      <c r="EP57" s="43"/>
      <c r="EQ57" s="43"/>
      <c r="ER57" s="43"/>
      <c r="ES57" s="43"/>
      <c r="ET57" s="43"/>
      <c r="EU57" s="43"/>
      <c r="EV57" s="43"/>
      <c r="EW57" s="43"/>
      <c r="EX57" s="43"/>
      <c r="EY57" s="43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</row>
    <row r="58" spans="1:190" s="24" customFormat="1" ht="15.75" customHeight="1">
      <c r="A58" s="72">
        <v>42581</v>
      </c>
      <c r="B58" s="68" t="s">
        <v>376</v>
      </c>
      <c r="C58" s="69" t="s">
        <v>753</v>
      </c>
      <c r="D58" s="69" t="s">
        <v>750</v>
      </c>
      <c r="E58" s="74">
        <v>34500</v>
      </c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3"/>
      <c r="DO58" s="43"/>
      <c r="DP58" s="43"/>
      <c r="DQ58" s="43"/>
      <c r="DR58" s="43"/>
      <c r="DS58" s="43"/>
      <c r="DT58" s="43"/>
      <c r="DU58" s="43"/>
      <c r="DV58" s="43"/>
      <c r="DW58" s="43"/>
      <c r="DX58" s="43"/>
      <c r="DY58" s="43"/>
      <c r="DZ58" s="43"/>
      <c r="EA58" s="43"/>
      <c r="EB58" s="43"/>
      <c r="EC58" s="43"/>
      <c r="ED58" s="43"/>
      <c r="EE58" s="43"/>
      <c r="EF58" s="43"/>
      <c r="EG58" s="43"/>
      <c r="EH58" s="43"/>
      <c r="EI58" s="43"/>
      <c r="EJ58" s="43"/>
      <c r="EK58" s="43"/>
      <c r="EL58" s="43"/>
      <c r="EM58" s="43"/>
      <c r="EN58" s="43"/>
      <c r="EO58" s="43"/>
      <c r="EP58" s="43"/>
      <c r="EQ58" s="43"/>
      <c r="ER58" s="43"/>
      <c r="ES58" s="43"/>
      <c r="ET58" s="43"/>
      <c r="EU58" s="43"/>
      <c r="EV58" s="43"/>
      <c r="EW58" s="43"/>
      <c r="EX58" s="43"/>
      <c r="EY58" s="43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</row>
    <row r="59" spans="1:190" s="24" customFormat="1" ht="15.75" customHeight="1">
      <c r="A59" s="73">
        <v>42700</v>
      </c>
      <c r="B59" s="70" t="s">
        <v>376</v>
      </c>
      <c r="C59" s="71" t="s">
        <v>753</v>
      </c>
      <c r="D59" s="71" t="s">
        <v>750</v>
      </c>
      <c r="E59" s="75">
        <v>34500</v>
      </c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  <c r="CW59" s="43"/>
      <c r="CX59" s="43"/>
      <c r="CY59" s="43"/>
      <c r="CZ59" s="43"/>
      <c r="DA59" s="43"/>
      <c r="DB59" s="43"/>
      <c r="DC59" s="43"/>
      <c r="DD59" s="43"/>
      <c r="DE59" s="43"/>
      <c r="DF59" s="43"/>
      <c r="DG59" s="43"/>
      <c r="DH59" s="43"/>
      <c r="DI59" s="43"/>
      <c r="DJ59" s="43"/>
      <c r="DK59" s="43"/>
      <c r="DL59" s="43"/>
      <c r="DM59" s="43"/>
      <c r="DN59" s="43"/>
      <c r="DO59" s="43"/>
      <c r="DP59" s="43"/>
      <c r="DQ59" s="43"/>
      <c r="DR59" s="43"/>
      <c r="DS59" s="43"/>
      <c r="DT59" s="43"/>
      <c r="DU59" s="43"/>
      <c r="DV59" s="43"/>
      <c r="DW59" s="43"/>
      <c r="DX59" s="43"/>
      <c r="DY59" s="43"/>
      <c r="DZ59" s="43"/>
      <c r="EA59" s="43"/>
      <c r="EB59" s="43"/>
      <c r="EC59" s="43"/>
      <c r="ED59" s="43"/>
      <c r="EE59" s="43"/>
      <c r="EF59" s="43"/>
      <c r="EG59" s="43"/>
      <c r="EH59" s="43"/>
      <c r="EI59" s="43"/>
      <c r="EJ59" s="43"/>
      <c r="EK59" s="43"/>
      <c r="EL59" s="43"/>
      <c r="EM59" s="43"/>
      <c r="EN59" s="43"/>
      <c r="EO59" s="43"/>
      <c r="EP59" s="43"/>
      <c r="EQ59" s="43"/>
      <c r="ER59" s="43"/>
      <c r="ES59" s="43"/>
      <c r="ET59" s="43"/>
      <c r="EU59" s="43"/>
      <c r="EV59" s="43"/>
      <c r="EW59" s="43"/>
      <c r="EX59" s="43"/>
      <c r="EY59" s="43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</row>
    <row r="60" spans="1:190" s="24" customFormat="1" ht="15.75" customHeight="1">
      <c r="A60" s="72">
        <v>42721</v>
      </c>
      <c r="B60" s="68" t="s">
        <v>376</v>
      </c>
      <c r="C60" s="69" t="s">
        <v>753</v>
      </c>
      <c r="D60" s="69" t="s">
        <v>750</v>
      </c>
      <c r="E60" s="74">
        <v>32450</v>
      </c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3"/>
      <c r="DL60" s="43"/>
      <c r="DM60" s="43"/>
      <c r="DN60" s="43"/>
      <c r="DO60" s="43"/>
      <c r="DP60" s="43"/>
      <c r="DQ60" s="43"/>
      <c r="DR60" s="43"/>
      <c r="DS60" s="43"/>
      <c r="DT60" s="43"/>
      <c r="DU60" s="43"/>
      <c r="DV60" s="43"/>
      <c r="DW60" s="43"/>
      <c r="DX60" s="43"/>
      <c r="DY60" s="43"/>
      <c r="DZ60" s="43"/>
      <c r="EA60" s="43"/>
      <c r="EB60" s="43"/>
      <c r="EC60" s="43"/>
      <c r="ED60" s="43"/>
      <c r="EE60" s="43"/>
      <c r="EF60" s="43"/>
      <c r="EG60" s="43"/>
      <c r="EH60" s="43"/>
      <c r="EI60" s="43"/>
      <c r="EJ60" s="43"/>
      <c r="EK60" s="43"/>
      <c r="EL60" s="43"/>
      <c r="EM60" s="43"/>
      <c r="EN60" s="43"/>
      <c r="EO60" s="43"/>
      <c r="EP60" s="43"/>
      <c r="EQ60" s="43"/>
      <c r="ER60" s="43"/>
      <c r="ES60" s="43"/>
      <c r="ET60" s="43"/>
      <c r="EU60" s="43"/>
      <c r="EV60" s="43"/>
      <c r="EW60" s="43"/>
      <c r="EX60" s="43"/>
      <c r="EY60" s="43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</row>
    <row r="61" spans="1:190" s="24" customFormat="1" ht="15.75" customHeight="1">
      <c r="A61" s="73">
        <v>42722</v>
      </c>
      <c r="B61" s="70" t="s">
        <v>376</v>
      </c>
      <c r="C61" s="71" t="s">
        <v>753</v>
      </c>
      <c r="D61" s="71" t="s">
        <v>750</v>
      </c>
      <c r="E61" s="75">
        <v>32450</v>
      </c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/>
      <c r="CX61" s="43"/>
      <c r="CY61" s="43"/>
      <c r="CZ61" s="43"/>
      <c r="DA61" s="43"/>
      <c r="DB61" s="43"/>
      <c r="DC61" s="43"/>
      <c r="DD61" s="43"/>
      <c r="DE61" s="43"/>
      <c r="DF61" s="43"/>
      <c r="DG61" s="43"/>
      <c r="DH61" s="43"/>
      <c r="DI61" s="43"/>
      <c r="DJ61" s="43"/>
      <c r="DK61" s="43"/>
      <c r="DL61" s="43"/>
      <c r="DM61" s="43"/>
      <c r="DN61" s="43"/>
      <c r="DO61" s="43"/>
      <c r="DP61" s="43"/>
      <c r="DQ61" s="43"/>
      <c r="DR61" s="43"/>
      <c r="DS61" s="43"/>
      <c r="DT61" s="43"/>
      <c r="DU61" s="43"/>
      <c r="DV61" s="43"/>
      <c r="DW61" s="43"/>
      <c r="DX61" s="43"/>
      <c r="DY61" s="43"/>
      <c r="DZ61" s="43"/>
      <c r="EA61" s="43"/>
      <c r="EB61" s="43"/>
      <c r="EC61" s="43"/>
      <c r="ED61" s="43"/>
      <c r="EE61" s="43"/>
      <c r="EF61" s="43"/>
      <c r="EG61" s="43"/>
      <c r="EH61" s="43"/>
      <c r="EI61" s="43"/>
      <c r="EJ61" s="43"/>
      <c r="EK61" s="43"/>
      <c r="EL61" s="43"/>
      <c r="EM61" s="43"/>
      <c r="EN61" s="43"/>
      <c r="EO61" s="43"/>
      <c r="EP61" s="43"/>
      <c r="EQ61" s="43"/>
      <c r="ER61" s="43"/>
      <c r="ES61" s="43"/>
      <c r="ET61" s="43"/>
      <c r="EU61" s="43"/>
      <c r="EV61" s="43"/>
      <c r="EW61" s="43"/>
      <c r="EX61" s="43"/>
      <c r="EY61" s="43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</row>
    <row r="62" spans="1:190" s="24" customFormat="1" ht="15.75" customHeight="1">
      <c r="A62" s="72">
        <v>42725</v>
      </c>
      <c r="B62" s="68" t="s">
        <v>376</v>
      </c>
      <c r="C62" s="69" t="s">
        <v>753</v>
      </c>
      <c r="D62" s="69" t="s">
        <v>750</v>
      </c>
      <c r="E62" s="74">
        <v>32450</v>
      </c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  <c r="CW62" s="43"/>
      <c r="CX62" s="43"/>
      <c r="CY62" s="43"/>
      <c r="CZ62" s="43"/>
      <c r="DA62" s="43"/>
      <c r="DB62" s="43"/>
      <c r="DC62" s="43"/>
      <c r="DD62" s="43"/>
      <c r="DE62" s="43"/>
      <c r="DF62" s="43"/>
      <c r="DG62" s="43"/>
      <c r="DH62" s="43"/>
      <c r="DI62" s="43"/>
      <c r="DJ62" s="43"/>
      <c r="DK62" s="43"/>
      <c r="DL62" s="43"/>
      <c r="DM62" s="43"/>
      <c r="DN62" s="43"/>
      <c r="DO62" s="43"/>
      <c r="DP62" s="43"/>
      <c r="DQ62" s="43"/>
      <c r="DR62" s="43"/>
      <c r="DS62" s="43"/>
      <c r="DT62" s="43"/>
      <c r="DU62" s="43"/>
      <c r="DV62" s="43"/>
      <c r="DW62" s="43"/>
      <c r="DX62" s="43"/>
      <c r="DY62" s="43"/>
      <c r="DZ62" s="43"/>
      <c r="EA62" s="43"/>
      <c r="EB62" s="43"/>
      <c r="EC62" s="43"/>
      <c r="ED62" s="43"/>
      <c r="EE62" s="43"/>
      <c r="EF62" s="43"/>
      <c r="EG62" s="43"/>
      <c r="EH62" s="43"/>
      <c r="EI62" s="43"/>
      <c r="EJ62" s="43"/>
      <c r="EK62" s="43"/>
      <c r="EL62" s="43"/>
      <c r="EM62" s="43"/>
      <c r="EN62" s="43"/>
      <c r="EO62" s="43"/>
      <c r="EP62" s="43"/>
      <c r="EQ62" s="43"/>
      <c r="ER62" s="43"/>
      <c r="ES62" s="43"/>
      <c r="ET62" s="43"/>
      <c r="EU62" s="43"/>
      <c r="EV62" s="43"/>
      <c r="EW62" s="43"/>
      <c r="EX62" s="43"/>
      <c r="EY62" s="43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</row>
    <row r="63" spans="1:190" s="24" customFormat="1" ht="15.75" customHeight="1">
      <c r="A63" s="73">
        <v>42232</v>
      </c>
      <c r="B63" s="70" t="s">
        <v>578</v>
      </c>
      <c r="C63" s="71" t="s">
        <v>755</v>
      </c>
      <c r="D63" s="71" t="s">
        <v>748</v>
      </c>
      <c r="E63" s="75">
        <v>26500</v>
      </c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  <c r="CW63" s="43"/>
      <c r="CX63" s="43"/>
      <c r="CY63" s="43"/>
      <c r="CZ63" s="43"/>
      <c r="DA63" s="43"/>
      <c r="DB63" s="43"/>
      <c r="DC63" s="43"/>
      <c r="DD63" s="43"/>
      <c r="DE63" s="43"/>
      <c r="DF63" s="43"/>
      <c r="DG63" s="43"/>
      <c r="DH63" s="43"/>
      <c r="DI63" s="43"/>
      <c r="DJ63" s="43"/>
      <c r="DK63" s="43"/>
      <c r="DL63" s="43"/>
      <c r="DM63" s="43"/>
      <c r="DN63" s="43"/>
      <c r="DO63" s="43"/>
      <c r="DP63" s="43"/>
      <c r="DQ63" s="43"/>
      <c r="DR63" s="43"/>
      <c r="DS63" s="43"/>
      <c r="DT63" s="43"/>
      <c r="DU63" s="43"/>
      <c r="DV63" s="43"/>
      <c r="DW63" s="43"/>
      <c r="DX63" s="43"/>
      <c r="DY63" s="43"/>
      <c r="DZ63" s="43"/>
      <c r="EA63" s="43"/>
      <c r="EB63" s="43"/>
      <c r="EC63" s="43"/>
      <c r="ED63" s="43"/>
      <c r="EE63" s="43"/>
      <c r="EF63" s="43"/>
      <c r="EG63" s="43"/>
      <c r="EH63" s="43"/>
      <c r="EI63" s="43"/>
      <c r="EJ63" s="43"/>
      <c r="EK63" s="43"/>
      <c r="EL63" s="43"/>
      <c r="EM63" s="43"/>
      <c r="EN63" s="43"/>
      <c r="EO63" s="43"/>
      <c r="EP63" s="43"/>
      <c r="EQ63" s="43"/>
      <c r="ER63" s="43"/>
      <c r="ES63" s="43"/>
      <c r="ET63" s="43"/>
      <c r="EU63" s="43"/>
      <c r="EV63" s="43"/>
      <c r="EW63" s="43"/>
      <c r="EX63" s="43"/>
      <c r="EY63" s="43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</row>
    <row r="64" spans="1:190" s="24" customFormat="1" ht="15.75" customHeight="1">
      <c r="A64" s="72">
        <v>42361</v>
      </c>
      <c r="B64" s="68" t="s">
        <v>578</v>
      </c>
      <c r="C64" s="69" t="s">
        <v>765</v>
      </c>
      <c r="D64" s="69" t="s">
        <v>748</v>
      </c>
      <c r="E64" s="74">
        <v>26500</v>
      </c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  <c r="CW64" s="43"/>
      <c r="CX64" s="43"/>
      <c r="CY64" s="43"/>
      <c r="CZ64" s="43"/>
      <c r="DA64" s="43"/>
      <c r="DB64" s="43"/>
      <c r="DC64" s="43"/>
      <c r="DD64" s="43"/>
      <c r="DE64" s="43"/>
      <c r="DF64" s="43"/>
      <c r="DG64" s="43"/>
      <c r="DH64" s="43"/>
      <c r="DI64" s="43"/>
      <c r="DJ64" s="43"/>
      <c r="DK64" s="43"/>
      <c r="DL64" s="43"/>
      <c r="DM64" s="43"/>
      <c r="DN64" s="43"/>
      <c r="DO64" s="43"/>
      <c r="DP64" s="43"/>
      <c r="DQ64" s="43"/>
      <c r="DR64" s="43"/>
      <c r="DS64" s="43"/>
      <c r="DT64" s="43"/>
      <c r="DU64" s="43"/>
      <c r="DV64" s="43"/>
      <c r="DW64" s="43"/>
      <c r="DX64" s="43"/>
      <c r="DY64" s="43"/>
      <c r="DZ64" s="43"/>
      <c r="EA64" s="43"/>
      <c r="EB64" s="43"/>
      <c r="EC64" s="43"/>
      <c r="ED64" s="43"/>
      <c r="EE64" s="43"/>
      <c r="EF64" s="43"/>
      <c r="EG64" s="43"/>
      <c r="EH64" s="43"/>
      <c r="EI64" s="43"/>
      <c r="EJ64" s="43"/>
      <c r="EK64" s="43"/>
      <c r="EL64" s="43"/>
      <c r="EM64" s="43"/>
      <c r="EN64" s="43"/>
      <c r="EO64" s="43"/>
      <c r="EP64" s="43"/>
      <c r="EQ64" s="43"/>
      <c r="ER64" s="43"/>
      <c r="ES64" s="43"/>
      <c r="ET64" s="43"/>
      <c r="EU64" s="43"/>
      <c r="EV64" s="43"/>
      <c r="EW64" s="43"/>
      <c r="EX64" s="43"/>
      <c r="EY64" s="43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</row>
    <row r="65" spans="1:190" s="24" customFormat="1" ht="15.75" customHeight="1">
      <c r="A65" s="73">
        <v>42373</v>
      </c>
      <c r="B65" s="70" t="s">
        <v>578</v>
      </c>
      <c r="C65" s="71" t="s">
        <v>755</v>
      </c>
      <c r="D65" s="71" t="s">
        <v>748</v>
      </c>
      <c r="E65" s="75">
        <v>26500</v>
      </c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  <c r="CV65" s="43"/>
      <c r="CW65" s="43"/>
      <c r="CX65" s="43"/>
      <c r="CY65" s="43"/>
      <c r="CZ65" s="43"/>
      <c r="DA65" s="43"/>
      <c r="DB65" s="43"/>
      <c r="DC65" s="43"/>
      <c r="DD65" s="43"/>
      <c r="DE65" s="43"/>
      <c r="DF65" s="43"/>
      <c r="DG65" s="43"/>
      <c r="DH65" s="43"/>
      <c r="DI65" s="43"/>
      <c r="DJ65" s="43"/>
      <c r="DK65" s="43"/>
      <c r="DL65" s="43"/>
      <c r="DM65" s="43"/>
      <c r="DN65" s="43"/>
      <c r="DO65" s="43"/>
      <c r="DP65" s="43"/>
      <c r="DQ65" s="43"/>
      <c r="DR65" s="43"/>
      <c r="DS65" s="43"/>
      <c r="DT65" s="43"/>
      <c r="DU65" s="43"/>
      <c r="DV65" s="43"/>
      <c r="DW65" s="43"/>
      <c r="DX65" s="43"/>
      <c r="DY65" s="43"/>
      <c r="DZ65" s="43"/>
      <c r="EA65" s="43"/>
      <c r="EB65" s="43"/>
      <c r="EC65" s="43"/>
      <c r="ED65" s="43"/>
      <c r="EE65" s="43"/>
      <c r="EF65" s="43"/>
      <c r="EG65" s="43"/>
      <c r="EH65" s="43"/>
      <c r="EI65" s="43"/>
      <c r="EJ65" s="43"/>
      <c r="EK65" s="43"/>
      <c r="EL65" s="43"/>
      <c r="EM65" s="43"/>
      <c r="EN65" s="43"/>
      <c r="EO65" s="43"/>
      <c r="EP65" s="43"/>
      <c r="EQ65" s="43"/>
      <c r="ER65" s="43"/>
      <c r="ES65" s="43"/>
      <c r="ET65" s="43"/>
      <c r="EU65" s="43"/>
      <c r="EV65" s="43"/>
      <c r="EW65" s="43"/>
      <c r="EX65" s="43"/>
      <c r="EY65" s="43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</row>
    <row r="66" spans="1:190" s="24" customFormat="1" ht="15.75" customHeight="1">
      <c r="A66" s="72">
        <v>42648</v>
      </c>
      <c r="B66" s="68" t="s">
        <v>578</v>
      </c>
      <c r="C66" s="69" t="s">
        <v>765</v>
      </c>
      <c r="D66" s="69" t="s">
        <v>748</v>
      </c>
      <c r="E66" s="74">
        <v>26500</v>
      </c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43"/>
      <c r="DM66" s="43"/>
      <c r="DN66" s="43"/>
      <c r="DO66" s="43"/>
      <c r="DP66" s="43"/>
      <c r="DQ66" s="43"/>
      <c r="DR66" s="43"/>
      <c r="DS66" s="43"/>
      <c r="DT66" s="43"/>
      <c r="DU66" s="43"/>
      <c r="DV66" s="43"/>
      <c r="DW66" s="43"/>
      <c r="DX66" s="43"/>
      <c r="DY66" s="43"/>
      <c r="DZ66" s="43"/>
      <c r="EA66" s="43"/>
      <c r="EB66" s="43"/>
      <c r="EC66" s="43"/>
      <c r="ED66" s="43"/>
      <c r="EE66" s="43"/>
      <c r="EF66" s="43"/>
      <c r="EG66" s="43"/>
      <c r="EH66" s="43"/>
      <c r="EI66" s="43"/>
      <c r="EJ66" s="43"/>
      <c r="EK66" s="43"/>
      <c r="EL66" s="43"/>
      <c r="EM66" s="43"/>
      <c r="EN66" s="43"/>
      <c r="EO66" s="43"/>
      <c r="EP66" s="43"/>
      <c r="EQ66" s="43"/>
      <c r="ER66" s="43"/>
      <c r="ES66" s="43"/>
      <c r="ET66" s="43"/>
      <c r="EU66" s="43"/>
      <c r="EV66" s="43"/>
      <c r="EW66" s="43"/>
      <c r="EX66" s="43"/>
      <c r="EY66" s="43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</row>
    <row r="67" spans="1:190" s="24" customFormat="1" ht="15.75" customHeight="1">
      <c r="A67" s="73">
        <v>42228</v>
      </c>
      <c r="B67" s="70" t="s">
        <v>376</v>
      </c>
      <c r="C67" s="71" t="s">
        <v>755</v>
      </c>
      <c r="D67" s="71" t="s">
        <v>748</v>
      </c>
      <c r="E67" s="75">
        <v>22980</v>
      </c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  <c r="DM67" s="43"/>
      <c r="DN67" s="43"/>
      <c r="DO67" s="43"/>
      <c r="DP67" s="43"/>
      <c r="DQ67" s="43"/>
      <c r="DR67" s="43"/>
      <c r="DS67" s="43"/>
      <c r="DT67" s="43"/>
      <c r="DU67" s="43"/>
      <c r="DV67" s="43"/>
      <c r="DW67" s="43"/>
      <c r="DX67" s="43"/>
      <c r="DY67" s="43"/>
      <c r="DZ67" s="43"/>
      <c r="EA67" s="43"/>
      <c r="EB67" s="43"/>
      <c r="EC67" s="43"/>
      <c r="ED67" s="43"/>
      <c r="EE67" s="43"/>
      <c r="EF67" s="43"/>
      <c r="EG67" s="43"/>
      <c r="EH67" s="43"/>
      <c r="EI67" s="43"/>
      <c r="EJ67" s="43"/>
      <c r="EK67" s="43"/>
      <c r="EL67" s="43"/>
      <c r="EM67" s="43"/>
      <c r="EN67" s="43"/>
      <c r="EO67" s="43"/>
      <c r="EP67" s="43"/>
      <c r="EQ67" s="43"/>
      <c r="ER67" s="43"/>
      <c r="ES67" s="43"/>
      <c r="ET67" s="43"/>
      <c r="EU67" s="43"/>
      <c r="EV67" s="43"/>
      <c r="EW67" s="43"/>
      <c r="EX67" s="43"/>
      <c r="EY67" s="43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</row>
    <row r="68" spans="1:190" s="24" customFormat="1" ht="15.75" customHeight="1">
      <c r="A68" s="72">
        <v>42361</v>
      </c>
      <c r="B68" s="68" t="s">
        <v>376</v>
      </c>
      <c r="C68" s="69" t="s">
        <v>765</v>
      </c>
      <c r="D68" s="69" t="s">
        <v>748</v>
      </c>
      <c r="E68" s="74">
        <v>22980</v>
      </c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/>
      <c r="CX68" s="43"/>
      <c r="CY68" s="43"/>
      <c r="CZ68" s="43"/>
      <c r="DA68" s="43"/>
      <c r="DB68" s="43"/>
      <c r="DC68" s="43"/>
      <c r="DD68" s="43"/>
      <c r="DE68" s="43"/>
      <c r="DF68" s="43"/>
      <c r="DG68" s="43"/>
      <c r="DH68" s="43"/>
      <c r="DI68" s="43"/>
      <c r="DJ68" s="43"/>
      <c r="DK68" s="43"/>
      <c r="DL68" s="43"/>
      <c r="DM68" s="43"/>
      <c r="DN68" s="43"/>
      <c r="DO68" s="43"/>
      <c r="DP68" s="43"/>
      <c r="DQ68" s="43"/>
      <c r="DR68" s="43"/>
      <c r="DS68" s="43"/>
      <c r="DT68" s="43"/>
      <c r="DU68" s="43"/>
      <c r="DV68" s="43"/>
      <c r="DW68" s="43"/>
      <c r="DX68" s="43"/>
      <c r="DY68" s="43"/>
      <c r="DZ68" s="43"/>
      <c r="EA68" s="43"/>
      <c r="EB68" s="43"/>
      <c r="EC68" s="43"/>
      <c r="ED68" s="43"/>
      <c r="EE68" s="43"/>
      <c r="EF68" s="43"/>
      <c r="EG68" s="43"/>
      <c r="EH68" s="43"/>
      <c r="EI68" s="43"/>
      <c r="EJ68" s="43"/>
      <c r="EK68" s="43"/>
      <c r="EL68" s="43"/>
      <c r="EM68" s="43"/>
      <c r="EN68" s="43"/>
      <c r="EO68" s="43"/>
      <c r="EP68" s="43"/>
      <c r="EQ68" s="43"/>
      <c r="ER68" s="43"/>
      <c r="ES68" s="43"/>
      <c r="ET68" s="43"/>
      <c r="EU68" s="43"/>
      <c r="EV68" s="43"/>
      <c r="EW68" s="43"/>
      <c r="EX68" s="43"/>
      <c r="EY68" s="43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</row>
    <row r="69" spans="1:190" s="24" customFormat="1" ht="15.75" customHeight="1">
      <c r="A69" s="73">
        <v>42547</v>
      </c>
      <c r="B69" s="70" t="s">
        <v>376</v>
      </c>
      <c r="C69" s="71" t="s">
        <v>765</v>
      </c>
      <c r="D69" s="71" t="s">
        <v>748</v>
      </c>
      <c r="E69" s="75">
        <v>22980</v>
      </c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43"/>
      <c r="DC69" s="43"/>
      <c r="DD69" s="43"/>
      <c r="DE69" s="43"/>
      <c r="DF69" s="43"/>
      <c r="DG69" s="43"/>
      <c r="DH69" s="43"/>
      <c r="DI69" s="43"/>
      <c r="DJ69" s="43"/>
      <c r="DK69" s="43"/>
      <c r="DL69" s="43"/>
      <c r="DM69" s="43"/>
      <c r="DN69" s="43"/>
      <c r="DO69" s="43"/>
      <c r="DP69" s="43"/>
      <c r="DQ69" s="43"/>
      <c r="DR69" s="43"/>
      <c r="DS69" s="43"/>
      <c r="DT69" s="43"/>
      <c r="DU69" s="43"/>
      <c r="DV69" s="43"/>
      <c r="DW69" s="43"/>
      <c r="DX69" s="43"/>
      <c r="DY69" s="43"/>
      <c r="DZ69" s="43"/>
      <c r="EA69" s="43"/>
      <c r="EB69" s="43"/>
      <c r="EC69" s="43"/>
      <c r="ED69" s="43"/>
      <c r="EE69" s="43"/>
      <c r="EF69" s="43"/>
      <c r="EG69" s="43"/>
      <c r="EH69" s="43"/>
      <c r="EI69" s="43"/>
      <c r="EJ69" s="43"/>
      <c r="EK69" s="43"/>
      <c r="EL69" s="43"/>
      <c r="EM69" s="43"/>
      <c r="EN69" s="43"/>
      <c r="EO69" s="43"/>
      <c r="EP69" s="43"/>
      <c r="EQ69" s="43"/>
      <c r="ER69" s="43"/>
      <c r="ES69" s="43"/>
      <c r="ET69" s="43"/>
      <c r="EU69" s="43"/>
      <c r="EV69" s="43"/>
      <c r="EW69" s="43"/>
      <c r="EX69" s="43"/>
      <c r="EY69" s="43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</row>
    <row r="70" spans="1:190" s="24" customFormat="1" ht="15.75" customHeight="1">
      <c r="A70" s="72">
        <v>42598</v>
      </c>
      <c r="B70" s="68" t="s">
        <v>376</v>
      </c>
      <c r="C70" s="69" t="s">
        <v>755</v>
      </c>
      <c r="D70" s="69" t="s">
        <v>748</v>
      </c>
      <c r="E70" s="74">
        <v>22980</v>
      </c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3"/>
      <c r="DO70" s="43"/>
      <c r="DP70" s="43"/>
      <c r="DQ70" s="43"/>
      <c r="DR70" s="43"/>
      <c r="DS70" s="43"/>
      <c r="DT70" s="43"/>
      <c r="DU70" s="43"/>
      <c r="DV70" s="43"/>
      <c r="DW70" s="43"/>
      <c r="DX70" s="43"/>
      <c r="DY70" s="43"/>
      <c r="DZ70" s="43"/>
      <c r="EA70" s="43"/>
      <c r="EB70" s="43"/>
      <c r="EC70" s="43"/>
      <c r="ED70" s="43"/>
      <c r="EE70" s="43"/>
      <c r="EF70" s="43"/>
      <c r="EG70" s="43"/>
      <c r="EH70" s="43"/>
      <c r="EI70" s="43"/>
      <c r="EJ70" s="43"/>
      <c r="EK70" s="43"/>
      <c r="EL70" s="43"/>
      <c r="EM70" s="43"/>
      <c r="EN70" s="43"/>
      <c r="EO70" s="43"/>
      <c r="EP70" s="43"/>
      <c r="EQ70" s="43"/>
      <c r="ER70" s="43"/>
      <c r="ES70" s="43"/>
      <c r="ET70" s="43"/>
      <c r="EU70" s="43"/>
      <c r="EV70" s="43"/>
      <c r="EW70" s="43"/>
      <c r="EX70" s="43"/>
      <c r="EY70" s="43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</row>
    <row r="71" spans="1:190" s="24" customFormat="1" ht="15.75" customHeight="1">
      <c r="A71" s="73">
        <v>42666</v>
      </c>
      <c r="B71" s="70" t="s">
        <v>376</v>
      </c>
      <c r="C71" s="71" t="s">
        <v>765</v>
      </c>
      <c r="D71" s="71" t="s">
        <v>748</v>
      </c>
      <c r="E71" s="75">
        <v>22980</v>
      </c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3"/>
      <c r="DO71" s="43"/>
      <c r="DP71" s="43"/>
      <c r="DQ71" s="43"/>
      <c r="DR71" s="43"/>
      <c r="DS71" s="43"/>
      <c r="DT71" s="43"/>
      <c r="DU71" s="43"/>
      <c r="DV71" s="43"/>
      <c r="DW71" s="43"/>
      <c r="DX71" s="43"/>
      <c r="DY71" s="43"/>
      <c r="DZ71" s="43"/>
      <c r="EA71" s="43"/>
      <c r="EB71" s="43"/>
      <c r="EC71" s="43"/>
      <c r="ED71" s="43"/>
      <c r="EE71" s="43"/>
      <c r="EF71" s="43"/>
      <c r="EG71" s="43"/>
      <c r="EH71" s="43"/>
      <c r="EI71" s="43"/>
      <c r="EJ71" s="43"/>
      <c r="EK71" s="43"/>
      <c r="EL71" s="43"/>
      <c r="EM71" s="43"/>
      <c r="EN71" s="43"/>
      <c r="EO71" s="43"/>
      <c r="EP71" s="43"/>
      <c r="EQ71" s="43"/>
      <c r="ER71" s="43"/>
      <c r="ES71" s="43"/>
      <c r="ET71" s="43"/>
      <c r="EU71" s="43"/>
      <c r="EV71" s="43"/>
      <c r="EW71" s="43"/>
      <c r="EX71" s="43"/>
      <c r="EY71" s="43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</row>
    <row r="72" spans="1:190" s="24" customFormat="1" ht="15.75" customHeight="1">
      <c r="A72" s="72">
        <v>42709</v>
      </c>
      <c r="B72" s="68" t="s">
        <v>376</v>
      </c>
      <c r="C72" s="69" t="s">
        <v>765</v>
      </c>
      <c r="D72" s="69" t="s">
        <v>748</v>
      </c>
      <c r="E72" s="74">
        <v>22980</v>
      </c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  <c r="DM72" s="43"/>
      <c r="DN72" s="43"/>
      <c r="DO72" s="43"/>
      <c r="DP72" s="43"/>
      <c r="DQ72" s="43"/>
      <c r="DR72" s="43"/>
      <c r="DS72" s="43"/>
      <c r="DT72" s="43"/>
      <c r="DU72" s="43"/>
      <c r="DV72" s="43"/>
      <c r="DW72" s="43"/>
      <c r="DX72" s="43"/>
      <c r="DY72" s="43"/>
      <c r="DZ72" s="43"/>
      <c r="EA72" s="43"/>
      <c r="EB72" s="43"/>
      <c r="EC72" s="43"/>
      <c r="ED72" s="43"/>
      <c r="EE72" s="43"/>
      <c r="EF72" s="43"/>
      <c r="EG72" s="43"/>
      <c r="EH72" s="43"/>
      <c r="EI72" s="43"/>
      <c r="EJ72" s="43"/>
      <c r="EK72" s="43"/>
      <c r="EL72" s="43"/>
      <c r="EM72" s="43"/>
      <c r="EN72" s="43"/>
      <c r="EO72" s="43"/>
      <c r="EP72" s="43"/>
      <c r="EQ72" s="43"/>
      <c r="ER72" s="43"/>
      <c r="ES72" s="43"/>
      <c r="ET72" s="43"/>
      <c r="EU72" s="43"/>
      <c r="EV72" s="43"/>
      <c r="EW72" s="43"/>
      <c r="EX72" s="43"/>
      <c r="EY72" s="43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</row>
    <row r="73" spans="1:190" s="24" customFormat="1" ht="15.75" customHeight="1">
      <c r="A73" s="73">
        <v>42717</v>
      </c>
      <c r="B73" s="70" t="s">
        <v>376</v>
      </c>
      <c r="C73" s="71" t="s">
        <v>755</v>
      </c>
      <c r="D73" s="71" t="s">
        <v>748</v>
      </c>
      <c r="E73" s="75">
        <v>22980</v>
      </c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  <c r="DK73" s="43"/>
      <c r="DL73" s="43"/>
      <c r="DM73" s="43"/>
      <c r="DN73" s="43"/>
      <c r="DO73" s="43"/>
      <c r="DP73" s="43"/>
      <c r="DQ73" s="43"/>
      <c r="DR73" s="43"/>
      <c r="DS73" s="43"/>
      <c r="DT73" s="43"/>
      <c r="DU73" s="43"/>
      <c r="DV73" s="43"/>
      <c r="DW73" s="43"/>
      <c r="DX73" s="43"/>
      <c r="DY73" s="43"/>
      <c r="DZ73" s="43"/>
      <c r="EA73" s="43"/>
      <c r="EB73" s="43"/>
      <c r="EC73" s="43"/>
      <c r="ED73" s="43"/>
      <c r="EE73" s="43"/>
      <c r="EF73" s="43"/>
      <c r="EG73" s="43"/>
      <c r="EH73" s="43"/>
      <c r="EI73" s="43"/>
      <c r="EJ73" s="43"/>
      <c r="EK73" s="43"/>
      <c r="EL73" s="43"/>
      <c r="EM73" s="43"/>
      <c r="EN73" s="43"/>
      <c r="EO73" s="43"/>
      <c r="EP73" s="43"/>
      <c r="EQ73" s="43"/>
      <c r="ER73" s="43"/>
      <c r="ES73" s="43"/>
      <c r="ET73" s="43"/>
      <c r="EU73" s="43"/>
      <c r="EV73" s="43"/>
      <c r="EW73" s="43"/>
      <c r="EX73" s="43"/>
      <c r="EY73" s="43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</row>
    <row r="74" spans="1:190" s="24" customFormat="1" ht="15.75" customHeight="1">
      <c r="A74" s="72">
        <v>42723</v>
      </c>
      <c r="B74" s="68" t="s">
        <v>376</v>
      </c>
      <c r="C74" s="69" t="s">
        <v>755</v>
      </c>
      <c r="D74" s="69" t="s">
        <v>748</v>
      </c>
      <c r="E74" s="74">
        <v>22980</v>
      </c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</row>
    <row r="75" spans="1:190" s="24" customFormat="1" ht="15.75" customHeight="1">
      <c r="A75" s="73">
        <v>42724</v>
      </c>
      <c r="B75" s="70" t="s">
        <v>376</v>
      </c>
      <c r="C75" s="71" t="s">
        <v>755</v>
      </c>
      <c r="D75" s="71" t="s">
        <v>748</v>
      </c>
      <c r="E75" s="75">
        <v>22980</v>
      </c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  <c r="DM75" s="43"/>
      <c r="DN75" s="43"/>
      <c r="DO75" s="43"/>
      <c r="DP75" s="43"/>
      <c r="DQ75" s="43"/>
      <c r="DR75" s="43"/>
      <c r="DS75" s="43"/>
      <c r="DT75" s="43"/>
      <c r="DU75" s="43"/>
      <c r="DV75" s="43"/>
      <c r="DW75" s="43"/>
      <c r="DX75" s="43"/>
      <c r="DY75" s="43"/>
      <c r="DZ75" s="43"/>
      <c r="EA75" s="43"/>
      <c r="EB75" s="43"/>
      <c r="EC75" s="43"/>
      <c r="ED75" s="43"/>
      <c r="EE75" s="43"/>
      <c r="EF75" s="43"/>
      <c r="EG75" s="43"/>
      <c r="EH75" s="43"/>
      <c r="EI75" s="43"/>
      <c r="EJ75" s="43"/>
      <c r="EK75" s="43"/>
      <c r="EL75" s="43"/>
      <c r="EM75" s="43"/>
      <c r="EN75" s="43"/>
      <c r="EO75" s="43"/>
      <c r="EP75" s="43"/>
      <c r="EQ75" s="43"/>
      <c r="ER75" s="43"/>
      <c r="ES75" s="43"/>
      <c r="ET75" s="43"/>
      <c r="EU75" s="43"/>
      <c r="EV75" s="43"/>
      <c r="EW75" s="43"/>
      <c r="EX75" s="43"/>
      <c r="EY75" s="43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</row>
    <row r="76" spans="1:190" s="24" customFormat="1" ht="15.75" customHeight="1">
      <c r="A76" s="72">
        <v>42726</v>
      </c>
      <c r="B76" s="68" t="s">
        <v>376</v>
      </c>
      <c r="C76" s="69" t="s">
        <v>765</v>
      </c>
      <c r="D76" s="69" t="s">
        <v>748</v>
      </c>
      <c r="E76" s="74">
        <v>22980</v>
      </c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DD76" s="43"/>
      <c r="DE76" s="43"/>
      <c r="DF76" s="43"/>
      <c r="DG76" s="43"/>
      <c r="DH76" s="43"/>
      <c r="DI76" s="43"/>
      <c r="DJ76" s="43"/>
      <c r="DK76" s="43"/>
      <c r="DL76" s="43"/>
      <c r="DM76" s="43"/>
      <c r="DN76" s="43"/>
      <c r="DO76" s="43"/>
      <c r="DP76" s="43"/>
      <c r="DQ76" s="43"/>
      <c r="DR76" s="43"/>
      <c r="DS76" s="43"/>
      <c r="DT76" s="43"/>
      <c r="DU76" s="43"/>
      <c r="DV76" s="43"/>
      <c r="DW76" s="43"/>
      <c r="DX76" s="43"/>
      <c r="DY76" s="43"/>
      <c r="DZ76" s="43"/>
      <c r="EA76" s="43"/>
      <c r="EB76" s="43"/>
      <c r="EC76" s="43"/>
      <c r="ED76" s="43"/>
      <c r="EE76" s="43"/>
      <c r="EF76" s="43"/>
      <c r="EG76" s="43"/>
      <c r="EH76" s="43"/>
      <c r="EI76" s="43"/>
      <c r="EJ76" s="43"/>
      <c r="EK76" s="43"/>
      <c r="EL76" s="43"/>
      <c r="EM76" s="43"/>
      <c r="EN76" s="43"/>
      <c r="EO76" s="43"/>
      <c r="EP76" s="43"/>
      <c r="EQ76" s="43"/>
      <c r="ER76" s="43"/>
      <c r="ES76" s="43"/>
      <c r="ET76" s="43"/>
      <c r="EU76" s="43"/>
      <c r="EV76" s="43"/>
      <c r="EW76" s="43"/>
      <c r="EX76" s="43"/>
      <c r="EY76" s="43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</row>
    <row r="77" spans="1:190" s="24" customFormat="1" ht="15.75" customHeight="1">
      <c r="A77" s="73">
        <v>42379</v>
      </c>
      <c r="B77" s="70" t="s">
        <v>578</v>
      </c>
      <c r="C77" s="71" t="s">
        <v>771</v>
      </c>
      <c r="D77" s="71" t="s">
        <v>748</v>
      </c>
      <c r="E77" s="75">
        <v>21000</v>
      </c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3"/>
      <c r="CQ77" s="43"/>
      <c r="CR77" s="43"/>
      <c r="CS77" s="43"/>
      <c r="CT77" s="43"/>
      <c r="CU77" s="43"/>
      <c r="CV77" s="43"/>
      <c r="CW77" s="43"/>
      <c r="CX77" s="43"/>
      <c r="CY77" s="43"/>
      <c r="CZ77" s="43"/>
      <c r="DA77" s="43"/>
      <c r="DB77" s="43"/>
      <c r="DC77" s="43"/>
      <c r="DD77" s="43"/>
      <c r="DE77" s="43"/>
      <c r="DF77" s="43"/>
      <c r="DG77" s="43"/>
      <c r="DH77" s="43"/>
      <c r="DI77" s="43"/>
      <c r="DJ77" s="43"/>
      <c r="DK77" s="43"/>
      <c r="DL77" s="43"/>
      <c r="DM77" s="43"/>
      <c r="DN77" s="43"/>
      <c r="DO77" s="43"/>
      <c r="DP77" s="43"/>
      <c r="DQ77" s="43"/>
      <c r="DR77" s="43"/>
      <c r="DS77" s="43"/>
      <c r="DT77" s="43"/>
      <c r="DU77" s="43"/>
      <c r="DV77" s="43"/>
      <c r="DW77" s="43"/>
      <c r="DX77" s="43"/>
      <c r="DY77" s="43"/>
      <c r="DZ77" s="43"/>
      <c r="EA77" s="43"/>
      <c r="EB77" s="43"/>
      <c r="EC77" s="43"/>
      <c r="ED77" s="43"/>
      <c r="EE77" s="43"/>
      <c r="EF77" s="43"/>
      <c r="EG77" s="43"/>
      <c r="EH77" s="43"/>
      <c r="EI77" s="43"/>
      <c r="EJ77" s="43"/>
      <c r="EK77" s="43"/>
      <c r="EL77" s="43"/>
      <c r="EM77" s="43"/>
      <c r="EN77" s="43"/>
      <c r="EO77" s="43"/>
      <c r="EP77" s="43"/>
      <c r="EQ77" s="43"/>
      <c r="ER77" s="43"/>
      <c r="ES77" s="43"/>
      <c r="ET77" s="43"/>
      <c r="EU77" s="43"/>
      <c r="EV77" s="43"/>
      <c r="EW77" s="43"/>
      <c r="EX77" s="43"/>
      <c r="EY77" s="43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</row>
    <row r="78" spans="1:190" s="24" customFormat="1" ht="15.75" customHeight="1">
      <c r="A78" s="72">
        <v>42362</v>
      </c>
      <c r="B78" s="68" t="s">
        <v>578</v>
      </c>
      <c r="C78" s="69" t="s">
        <v>766</v>
      </c>
      <c r="D78" s="69" t="s">
        <v>748</v>
      </c>
      <c r="E78" s="74">
        <v>17890</v>
      </c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3"/>
      <c r="CU78" s="43"/>
      <c r="CV78" s="43"/>
      <c r="CW78" s="43"/>
      <c r="CX78" s="43"/>
      <c r="CY78" s="43"/>
      <c r="CZ78" s="43"/>
      <c r="DA78" s="43"/>
      <c r="DB78" s="43"/>
      <c r="DC78" s="43"/>
      <c r="DD78" s="43"/>
      <c r="DE78" s="43"/>
      <c r="DF78" s="43"/>
      <c r="DG78" s="43"/>
      <c r="DH78" s="43"/>
      <c r="DI78" s="43"/>
      <c r="DJ78" s="43"/>
      <c r="DK78" s="43"/>
      <c r="DL78" s="43"/>
      <c r="DM78" s="43"/>
      <c r="DN78" s="43"/>
      <c r="DO78" s="43"/>
      <c r="DP78" s="43"/>
      <c r="DQ78" s="43"/>
      <c r="DR78" s="43"/>
      <c r="DS78" s="43"/>
      <c r="DT78" s="43"/>
      <c r="DU78" s="43"/>
      <c r="DV78" s="43"/>
      <c r="DW78" s="43"/>
      <c r="DX78" s="43"/>
      <c r="DY78" s="43"/>
      <c r="DZ78" s="43"/>
      <c r="EA78" s="43"/>
      <c r="EB78" s="43"/>
      <c r="EC78" s="43"/>
      <c r="ED78" s="43"/>
      <c r="EE78" s="43"/>
      <c r="EF78" s="43"/>
      <c r="EG78" s="43"/>
      <c r="EH78" s="43"/>
      <c r="EI78" s="43"/>
      <c r="EJ78" s="43"/>
      <c r="EK78" s="43"/>
      <c r="EL78" s="43"/>
      <c r="EM78" s="43"/>
      <c r="EN78" s="43"/>
      <c r="EO78" s="43"/>
      <c r="EP78" s="43"/>
      <c r="EQ78" s="43"/>
      <c r="ER78" s="43"/>
      <c r="ES78" s="43"/>
      <c r="ET78" s="43"/>
      <c r="EU78" s="43"/>
      <c r="EV78" s="43"/>
      <c r="EW78" s="43"/>
      <c r="EX78" s="43"/>
      <c r="EY78" s="43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</row>
    <row r="79" spans="1:190" s="24" customFormat="1" ht="15.75" customHeight="1">
      <c r="A79" s="73">
        <v>42685</v>
      </c>
      <c r="B79" s="70" t="s">
        <v>578</v>
      </c>
      <c r="C79" s="71" t="s">
        <v>766</v>
      </c>
      <c r="D79" s="71" t="s">
        <v>748</v>
      </c>
      <c r="E79" s="75">
        <v>17890</v>
      </c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/>
      <c r="CM79" s="43"/>
      <c r="CN79" s="43"/>
      <c r="CO79" s="43"/>
      <c r="CP79" s="43"/>
      <c r="CQ79" s="43"/>
      <c r="CR79" s="43"/>
      <c r="CS79" s="43"/>
      <c r="CT79" s="43"/>
      <c r="CU79" s="43"/>
      <c r="CV79" s="43"/>
      <c r="CW79" s="43"/>
      <c r="CX79" s="43"/>
      <c r="CY79" s="43"/>
      <c r="CZ79" s="43"/>
      <c r="DA79" s="43"/>
      <c r="DB79" s="43"/>
      <c r="DC79" s="43"/>
      <c r="DD79" s="43"/>
      <c r="DE79" s="43"/>
      <c r="DF79" s="43"/>
      <c r="DG79" s="43"/>
      <c r="DH79" s="43"/>
      <c r="DI79" s="43"/>
      <c r="DJ79" s="43"/>
      <c r="DK79" s="43"/>
      <c r="DL79" s="43"/>
      <c r="DM79" s="43"/>
      <c r="DN79" s="43"/>
      <c r="DO79" s="43"/>
      <c r="DP79" s="43"/>
      <c r="DQ79" s="43"/>
      <c r="DR79" s="43"/>
      <c r="DS79" s="43"/>
      <c r="DT79" s="43"/>
      <c r="DU79" s="43"/>
      <c r="DV79" s="43"/>
      <c r="DW79" s="43"/>
      <c r="DX79" s="43"/>
      <c r="DY79" s="43"/>
      <c r="DZ79" s="43"/>
      <c r="EA79" s="43"/>
      <c r="EB79" s="43"/>
      <c r="EC79" s="43"/>
      <c r="ED79" s="43"/>
      <c r="EE79" s="43"/>
      <c r="EF79" s="43"/>
      <c r="EG79" s="43"/>
      <c r="EH79" s="43"/>
      <c r="EI79" s="43"/>
      <c r="EJ79" s="43"/>
      <c r="EK79" s="43"/>
      <c r="EL79" s="43"/>
      <c r="EM79" s="43"/>
      <c r="EN79" s="43"/>
      <c r="EO79" s="43"/>
      <c r="EP79" s="43"/>
      <c r="EQ79" s="43"/>
      <c r="ER79" s="43"/>
      <c r="ES79" s="43"/>
      <c r="ET79" s="43"/>
      <c r="EU79" s="43"/>
      <c r="EV79" s="43"/>
      <c r="EW79" s="43"/>
      <c r="EX79" s="43"/>
      <c r="EY79" s="43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</row>
    <row r="80" spans="1:190" s="24" customFormat="1" ht="15.75" customHeight="1">
      <c r="A80" s="72">
        <v>42154</v>
      </c>
      <c r="B80" s="68" t="s">
        <v>376</v>
      </c>
      <c r="C80" s="69" t="s">
        <v>766</v>
      </c>
      <c r="D80" s="69" t="s">
        <v>748</v>
      </c>
      <c r="E80" s="74">
        <v>17890</v>
      </c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3"/>
      <c r="CY80" s="43"/>
      <c r="CZ80" s="43"/>
      <c r="DA80" s="43"/>
      <c r="DB80" s="43"/>
      <c r="DC80" s="43"/>
      <c r="DD80" s="43"/>
      <c r="DE80" s="43"/>
      <c r="DF80" s="43"/>
      <c r="DG80" s="43"/>
      <c r="DH80" s="43"/>
      <c r="DI80" s="43"/>
      <c r="DJ80" s="43"/>
      <c r="DK80" s="43"/>
      <c r="DL80" s="43"/>
      <c r="DM80" s="43"/>
      <c r="DN80" s="43"/>
      <c r="DO80" s="43"/>
      <c r="DP80" s="43"/>
      <c r="DQ80" s="43"/>
      <c r="DR80" s="43"/>
      <c r="DS80" s="43"/>
      <c r="DT80" s="43"/>
      <c r="DU80" s="43"/>
      <c r="DV80" s="43"/>
      <c r="DW80" s="43"/>
      <c r="DX80" s="43"/>
      <c r="DY80" s="43"/>
      <c r="DZ80" s="43"/>
      <c r="EA80" s="43"/>
      <c r="EB80" s="43"/>
      <c r="EC80" s="43"/>
      <c r="ED80" s="43"/>
      <c r="EE80" s="43"/>
      <c r="EF80" s="43"/>
      <c r="EG80" s="43"/>
      <c r="EH80" s="43"/>
      <c r="EI80" s="43"/>
      <c r="EJ80" s="43"/>
      <c r="EK80" s="43"/>
      <c r="EL80" s="43"/>
      <c r="EM80" s="43"/>
      <c r="EN80" s="43"/>
      <c r="EO80" s="43"/>
      <c r="EP80" s="43"/>
      <c r="EQ80" s="43"/>
      <c r="ER80" s="43"/>
      <c r="ES80" s="43"/>
      <c r="ET80" s="43"/>
      <c r="EU80" s="43"/>
      <c r="EV80" s="43"/>
      <c r="EW80" s="43"/>
      <c r="EX80" s="43"/>
      <c r="EY80" s="43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</row>
    <row r="81" spans="1:190" s="24" customFormat="1" ht="15.75" customHeight="1">
      <c r="A81" s="73">
        <v>42564</v>
      </c>
      <c r="B81" s="70" t="s">
        <v>376</v>
      </c>
      <c r="C81" s="71" t="s">
        <v>766</v>
      </c>
      <c r="D81" s="71" t="s">
        <v>748</v>
      </c>
      <c r="E81" s="75">
        <v>17890</v>
      </c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3"/>
      <c r="CT81" s="43"/>
      <c r="CU81" s="43"/>
      <c r="CV81" s="43"/>
      <c r="CW81" s="43"/>
      <c r="CX81" s="43"/>
      <c r="CY81" s="43"/>
      <c r="CZ81" s="43"/>
      <c r="DA81" s="43"/>
      <c r="DB81" s="43"/>
      <c r="DC81" s="43"/>
      <c r="DD81" s="43"/>
      <c r="DE81" s="43"/>
      <c r="DF81" s="43"/>
      <c r="DG81" s="43"/>
      <c r="DH81" s="43"/>
      <c r="DI81" s="43"/>
      <c r="DJ81" s="43"/>
      <c r="DK81" s="43"/>
      <c r="DL81" s="43"/>
      <c r="DM81" s="43"/>
      <c r="DN81" s="43"/>
      <c r="DO81" s="43"/>
      <c r="DP81" s="43"/>
      <c r="DQ81" s="43"/>
      <c r="DR81" s="43"/>
      <c r="DS81" s="43"/>
      <c r="DT81" s="43"/>
      <c r="DU81" s="43"/>
      <c r="DV81" s="43"/>
      <c r="DW81" s="43"/>
      <c r="DX81" s="43"/>
      <c r="DY81" s="43"/>
      <c r="DZ81" s="43"/>
      <c r="EA81" s="43"/>
      <c r="EB81" s="43"/>
      <c r="EC81" s="43"/>
      <c r="ED81" s="43"/>
      <c r="EE81" s="43"/>
      <c r="EF81" s="43"/>
      <c r="EG81" s="43"/>
      <c r="EH81" s="43"/>
      <c r="EI81" s="43"/>
      <c r="EJ81" s="43"/>
      <c r="EK81" s="43"/>
      <c r="EL81" s="43"/>
      <c r="EM81" s="43"/>
      <c r="EN81" s="43"/>
      <c r="EO81" s="43"/>
      <c r="EP81" s="43"/>
      <c r="EQ81" s="43"/>
      <c r="ER81" s="43"/>
      <c r="ES81" s="43"/>
      <c r="ET81" s="43"/>
      <c r="EU81" s="43"/>
      <c r="EV81" s="43"/>
      <c r="EW81" s="43"/>
      <c r="EX81" s="43"/>
      <c r="EY81" s="43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</row>
    <row r="82" spans="1:190" s="24" customFormat="1" ht="15.75" customHeight="1">
      <c r="A82" s="72">
        <v>42683</v>
      </c>
      <c r="B82" s="68" t="s">
        <v>376</v>
      </c>
      <c r="C82" s="69" t="s">
        <v>766</v>
      </c>
      <c r="D82" s="69" t="s">
        <v>748</v>
      </c>
      <c r="E82" s="74">
        <v>17890</v>
      </c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3"/>
      <c r="CT82" s="43"/>
      <c r="CU82" s="43"/>
      <c r="CV82" s="43"/>
      <c r="CW82" s="43"/>
      <c r="CX82" s="43"/>
      <c r="CY82" s="43"/>
      <c r="CZ82" s="43"/>
      <c r="DA82" s="43"/>
      <c r="DB82" s="43"/>
      <c r="DC82" s="43"/>
      <c r="DD82" s="43"/>
      <c r="DE82" s="43"/>
      <c r="DF82" s="43"/>
      <c r="DG82" s="43"/>
      <c r="DH82" s="43"/>
      <c r="DI82" s="43"/>
      <c r="DJ82" s="43"/>
      <c r="DK82" s="43"/>
      <c r="DL82" s="43"/>
      <c r="DM82" s="43"/>
      <c r="DN82" s="43"/>
      <c r="DO82" s="43"/>
      <c r="DP82" s="43"/>
      <c r="DQ82" s="43"/>
      <c r="DR82" s="43"/>
      <c r="DS82" s="43"/>
      <c r="DT82" s="43"/>
      <c r="DU82" s="43"/>
      <c r="DV82" s="43"/>
      <c r="DW82" s="43"/>
      <c r="DX82" s="43"/>
      <c r="DY82" s="43"/>
      <c r="DZ82" s="43"/>
      <c r="EA82" s="43"/>
      <c r="EB82" s="43"/>
      <c r="EC82" s="43"/>
      <c r="ED82" s="43"/>
      <c r="EE82" s="43"/>
      <c r="EF82" s="43"/>
      <c r="EG82" s="43"/>
      <c r="EH82" s="43"/>
      <c r="EI82" s="43"/>
      <c r="EJ82" s="43"/>
      <c r="EK82" s="43"/>
      <c r="EL82" s="43"/>
      <c r="EM82" s="43"/>
      <c r="EN82" s="43"/>
      <c r="EO82" s="43"/>
      <c r="EP82" s="43"/>
      <c r="EQ82" s="43"/>
      <c r="ER82" s="43"/>
      <c r="ES82" s="43"/>
      <c r="ET82" s="43"/>
      <c r="EU82" s="43"/>
      <c r="EV82" s="43"/>
      <c r="EW82" s="43"/>
      <c r="EX82" s="43"/>
      <c r="EY82" s="43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</row>
    <row r="83" spans="1:190" s="24" customFormat="1" ht="15.75" customHeight="1">
      <c r="A83" s="73">
        <v>42727</v>
      </c>
      <c r="B83" s="70" t="s">
        <v>376</v>
      </c>
      <c r="C83" s="71" t="s">
        <v>766</v>
      </c>
      <c r="D83" s="71" t="s">
        <v>748</v>
      </c>
      <c r="E83" s="75">
        <v>17890</v>
      </c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43"/>
      <c r="EH83" s="43"/>
      <c r="EI83" s="43"/>
      <c r="EJ83" s="43"/>
      <c r="EK83" s="43"/>
      <c r="EL83" s="43"/>
      <c r="EM83" s="43"/>
      <c r="EN83" s="43"/>
      <c r="EO83" s="43"/>
      <c r="EP83" s="43"/>
      <c r="EQ83" s="43"/>
      <c r="ER83" s="43"/>
      <c r="ES83" s="43"/>
      <c r="ET83" s="43"/>
      <c r="EU83" s="43"/>
      <c r="EV83" s="43"/>
      <c r="EW83" s="43"/>
      <c r="EX83" s="43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</row>
    <row r="84" spans="1:190" s="24" customFormat="1" ht="15.75" customHeight="1">
      <c r="A84" s="72">
        <v>42619</v>
      </c>
      <c r="B84" s="68" t="s">
        <v>578</v>
      </c>
      <c r="C84" s="69" t="s">
        <v>789</v>
      </c>
      <c r="D84" s="69" t="s">
        <v>776</v>
      </c>
      <c r="E84" s="74">
        <v>5200</v>
      </c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  <c r="EB84" s="43"/>
      <c r="EC84" s="43"/>
      <c r="ED84" s="43"/>
      <c r="EE84" s="43"/>
      <c r="EF84" s="43"/>
      <c r="EG84" s="43"/>
      <c r="EH84" s="43"/>
      <c r="EI84" s="43"/>
      <c r="EJ84" s="43"/>
      <c r="EK84" s="43"/>
      <c r="EL84" s="43"/>
      <c r="EM84" s="43"/>
      <c r="EN84" s="43"/>
      <c r="EO84" s="43"/>
      <c r="EP84" s="43"/>
      <c r="EQ84" s="43"/>
      <c r="ER84" s="43"/>
      <c r="ES84" s="43"/>
      <c r="ET84" s="43"/>
      <c r="EU84" s="43"/>
      <c r="EV84" s="43"/>
      <c r="EW84" s="43"/>
      <c r="EX84" s="43"/>
      <c r="EY84" s="43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</row>
    <row r="85" spans="1:190" s="24" customFormat="1" ht="15.75" customHeight="1">
      <c r="A85" s="73">
        <v>42677</v>
      </c>
      <c r="B85" s="70" t="s">
        <v>578</v>
      </c>
      <c r="C85" s="71" t="s">
        <v>789</v>
      </c>
      <c r="D85" s="71" t="s">
        <v>776</v>
      </c>
      <c r="E85" s="75">
        <v>5200</v>
      </c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3"/>
      <c r="CB85" s="43"/>
      <c r="CC85" s="43"/>
      <c r="CD85" s="43"/>
      <c r="CE85" s="43"/>
      <c r="CF85" s="43"/>
      <c r="CG85" s="43"/>
      <c r="CH85" s="43"/>
      <c r="CI85" s="43"/>
      <c r="CJ85" s="43"/>
      <c r="CK85" s="43"/>
      <c r="CL85" s="43"/>
      <c r="CM85" s="43"/>
      <c r="CN85" s="43"/>
      <c r="CO85" s="43"/>
      <c r="CP85" s="43"/>
      <c r="CQ85" s="43"/>
      <c r="CR85" s="43"/>
      <c r="CS85" s="43"/>
      <c r="CT85" s="43"/>
      <c r="CU85" s="43"/>
      <c r="CV85" s="43"/>
      <c r="CW85" s="43"/>
      <c r="CX85" s="43"/>
      <c r="CY85" s="43"/>
      <c r="CZ85" s="43"/>
      <c r="DA85" s="43"/>
      <c r="DB85" s="43"/>
      <c r="DC85" s="43"/>
      <c r="DD85" s="43"/>
      <c r="DE85" s="43"/>
      <c r="DF85" s="43"/>
      <c r="DG85" s="43"/>
      <c r="DH85" s="43"/>
      <c r="DI85" s="43"/>
      <c r="DJ85" s="43"/>
      <c r="DK85" s="43"/>
      <c r="DL85" s="43"/>
      <c r="DM85" s="43"/>
      <c r="DN85" s="43"/>
      <c r="DO85" s="43"/>
      <c r="DP85" s="43"/>
      <c r="DQ85" s="43"/>
      <c r="DR85" s="43"/>
      <c r="DS85" s="43"/>
      <c r="DT85" s="43"/>
      <c r="DU85" s="43"/>
      <c r="DV85" s="43"/>
      <c r="DW85" s="43"/>
      <c r="DX85" s="43"/>
      <c r="DY85" s="43"/>
      <c r="DZ85" s="43"/>
      <c r="EA85" s="43"/>
      <c r="EB85" s="43"/>
      <c r="EC85" s="43"/>
      <c r="ED85" s="43"/>
      <c r="EE85" s="43"/>
      <c r="EF85" s="43"/>
      <c r="EG85" s="43"/>
      <c r="EH85" s="43"/>
      <c r="EI85" s="43"/>
      <c r="EJ85" s="43"/>
      <c r="EK85" s="43"/>
      <c r="EL85" s="43"/>
      <c r="EM85" s="43"/>
      <c r="EN85" s="43"/>
      <c r="EO85" s="43"/>
      <c r="EP85" s="43"/>
      <c r="EQ85" s="43"/>
      <c r="ER85" s="43"/>
      <c r="ES85" s="43"/>
      <c r="ET85" s="43"/>
      <c r="EU85" s="43"/>
      <c r="EV85" s="43"/>
      <c r="EW85" s="43"/>
      <c r="EX85" s="43"/>
      <c r="EY85" s="43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</row>
    <row r="86" spans="1:190" s="24" customFormat="1" ht="15.75" customHeight="1">
      <c r="A86" s="72">
        <v>42086</v>
      </c>
      <c r="B86" s="68" t="s">
        <v>376</v>
      </c>
      <c r="C86" s="69" t="s">
        <v>789</v>
      </c>
      <c r="D86" s="69" t="s">
        <v>776</v>
      </c>
      <c r="E86" s="74">
        <v>5200</v>
      </c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  <c r="EB86" s="43"/>
      <c r="EC86" s="43"/>
      <c r="ED86" s="43"/>
      <c r="EE86" s="43"/>
      <c r="EF86" s="43"/>
      <c r="EG86" s="43"/>
      <c r="EH86" s="43"/>
      <c r="EI86" s="43"/>
      <c r="EJ86" s="43"/>
      <c r="EK86" s="43"/>
      <c r="EL86" s="43"/>
      <c r="EM86" s="43"/>
      <c r="EN86" s="43"/>
      <c r="EO86" s="43"/>
      <c r="EP86" s="43"/>
      <c r="EQ86" s="43"/>
      <c r="ER86" s="43"/>
      <c r="ES86" s="43"/>
      <c r="ET86" s="43"/>
      <c r="EU86" s="43"/>
      <c r="EV86" s="43"/>
      <c r="EW86" s="43"/>
      <c r="EX86" s="43"/>
      <c r="EY86" s="43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</row>
    <row r="87" spans="1:190" s="24" customFormat="1" ht="15.75" customHeight="1">
      <c r="A87" s="73">
        <v>42110</v>
      </c>
      <c r="B87" s="70" t="s">
        <v>376</v>
      </c>
      <c r="C87" s="71" t="s">
        <v>789</v>
      </c>
      <c r="D87" s="71" t="s">
        <v>776</v>
      </c>
      <c r="E87" s="75">
        <v>5200</v>
      </c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  <c r="CR87" s="43"/>
      <c r="CS87" s="43"/>
      <c r="CT87" s="43"/>
      <c r="CU87" s="43"/>
      <c r="CV87" s="43"/>
      <c r="CW87" s="43"/>
      <c r="CX87" s="43"/>
      <c r="CY87" s="43"/>
      <c r="CZ87" s="43"/>
      <c r="DA87" s="43"/>
      <c r="DB87" s="43"/>
      <c r="DC87" s="43"/>
      <c r="DD87" s="43"/>
      <c r="DE87" s="43"/>
      <c r="DF87" s="43"/>
      <c r="DG87" s="43"/>
      <c r="DH87" s="43"/>
      <c r="DI87" s="43"/>
      <c r="DJ87" s="43"/>
      <c r="DK87" s="43"/>
      <c r="DL87" s="43"/>
      <c r="DM87" s="43"/>
      <c r="DN87" s="43"/>
      <c r="DO87" s="43"/>
      <c r="DP87" s="43"/>
      <c r="DQ87" s="43"/>
      <c r="DR87" s="43"/>
      <c r="DS87" s="43"/>
      <c r="DT87" s="43"/>
      <c r="DU87" s="43"/>
      <c r="DV87" s="43"/>
      <c r="DW87" s="43"/>
      <c r="DX87" s="43"/>
      <c r="DY87" s="43"/>
      <c r="DZ87" s="43"/>
      <c r="EA87" s="43"/>
      <c r="EB87" s="43"/>
      <c r="EC87" s="43"/>
      <c r="ED87" s="43"/>
      <c r="EE87" s="43"/>
      <c r="EF87" s="43"/>
      <c r="EG87" s="43"/>
      <c r="EH87" s="43"/>
      <c r="EI87" s="43"/>
      <c r="EJ87" s="43"/>
      <c r="EK87" s="43"/>
      <c r="EL87" s="43"/>
      <c r="EM87" s="43"/>
      <c r="EN87" s="43"/>
      <c r="EO87" s="43"/>
      <c r="EP87" s="43"/>
      <c r="EQ87" s="43"/>
      <c r="ER87" s="43"/>
      <c r="ES87" s="43"/>
      <c r="ET87" s="43"/>
      <c r="EU87" s="43"/>
      <c r="EV87" s="43"/>
      <c r="EW87" s="43"/>
      <c r="EX87" s="43"/>
      <c r="EY87" s="43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</row>
    <row r="88" spans="1:190" s="24" customFormat="1" ht="15.75" customHeight="1">
      <c r="A88" s="72">
        <v>42367</v>
      </c>
      <c r="B88" s="68" t="s">
        <v>376</v>
      </c>
      <c r="C88" s="69" t="s">
        <v>789</v>
      </c>
      <c r="D88" s="69" t="s">
        <v>776</v>
      </c>
      <c r="E88" s="74">
        <v>5200</v>
      </c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3"/>
      <c r="CT88" s="43"/>
      <c r="CU88" s="43"/>
      <c r="CV88" s="43"/>
      <c r="CW88" s="43"/>
      <c r="CX88" s="43"/>
      <c r="CY88" s="43"/>
      <c r="CZ88" s="43"/>
      <c r="DA88" s="43"/>
      <c r="DB88" s="43"/>
      <c r="DC88" s="43"/>
      <c r="DD88" s="43"/>
      <c r="DE88" s="43"/>
      <c r="DF88" s="43"/>
      <c r="DG88" s="43"/>
      <c r="DH88" s="43"/>
      <c r="DI88" s="43"/>
      <c r="DJ88" s="43"/>
      <c r="DK88" s="43"/>
      <c r="DL88" s="43"/>
      <c r="DM88" s="43"/>
      <c r="DN88" s="43"/>
      <c r="DO88" s="43"/>
      <c r="DP88" s="43"/>
      <c r="DQ88" s="43"/>
      <c r="DR88" s="43"/>
      <c r="DS88" s="43"/>
      <c r="DT88" s="43"/>
      <c r="DU88" s="43"/>
      <c r="DV88" s="43"/>
      <c r="DW88" s="43"/>
      <c r="DX88" s="43"/>
      <c r="DY88" s="43"/>
      <c r="DZ88" s="43"/>
      <c r="EA88" s="43"/>
      <c r="EB88" s="43"/>
      <c r="EC88" s="43"/>
      <c r="ED88" s="43"/>
      <c r="EE88" s="43"/>
      <c r="EF88" s="43"/>
      <c r="EG88" s="43"/>
      <c r="EH88" s="43"/>
      <c r="EI88" s="43"/>
      <c r="EJ88" s="43"/>
      <c r="EK88" s="43"/>
      <c r="EL88" s="43"/>
      <c r="EM88" s="43"/>
      <c r="EN88" s="43"/>
      <c r="EO88" s="43"/>
      <c r="EP88" s="43"/>
      <c r="EQ88" s="43"/>
      <c r="ER88" s="43"/>
      <c r="ES88" s="43"/>
      <c r="ET88" s="43"/>
      <c r="EU88" s="43"/>
      <c r="EV88" s="43"/>
      <c r="EW88" s="43"/>
      <c r="EX88" s="43"/>
      <c r="EY88" s="43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</row>
    <row r="89" spans="1:190" s="24" customFormat="1" ht="15.75" customHeight="1">
      <c r="A89" s="73">
        <v>42376</v>
      </c>
      <c r="B89" s="70" t="s">
        <v>376</v>
      </c>
      <c r="C89" s="71" t="s">
        <v>789</v>
      </c>
      <c r="D89" s="71" t="s">
        <v>776</v>
      </c>
      <c r="E89" s="75">
        <v>5200</v>
      </c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  <c r="BZ89" s="43"/>
      <c r="CA89" s="43"/>
      <c r="CB89" s="43"/>
      <c r="CC89" s="43"/>
      <c r="CD89" s="43"/>
      <c r="CE89" s="43"/>
      <c r="CF89" s="43"/>
      <c r="CG89" s="43"/>
      <c r="CH89" s="43"/>
      <c r="CI89" s="43"/>
      <c r="CJ89" s="43"/>
      <c r="CK89" s="43"/>
      <c r="CL89" s="43"/>
      <c r="CM89" s="43"/>
      <c r="CN89" s="43"/>
      <c r="CO89" s="43"/>
      <c r="CP89" s="43"/>
      <c r="CQ89" s="43"/>
      <c r="CR89" s="43"/>
      <c r="CS89" s="43"/>
      <c r="CT89" s="43"/>
      <c r="CU89" s="43"/>
      <c r="CV89" s="43"/>
      <c r="CW89" s="43"/>
      <c r="CX89" s="43"/>
      <c r="CY89" s="43"/>
      <c r="CZ89" s="43"/>
      <c r="DA89" s="43"/>
      <c r="DB89" s="43"/>
      <c r="DC89" s="43"/>
      <c r="DD89" s="43"/>
      <c r="DE89" s="43"/>
      <c r="DF89" s="43"/>
      <c r="DG89" s="43"/>
      <c r="DH89" s="43"/>
      <c r="DI89" s="43"/>
      <c r="DJ89" s="43"/>
      <c r="DK89" s="43"/>
      <c r="DL89" s="43"/>
      <c r="DM89" s="43"/>
      <c r="DN89" s="43"/>
      <c r="DO89" s="43"/>
      <c r="DP89" s="43"/>
      <c r="DQ89" s="43"/>
      <c r="DR89" s="43"/>
      <c r="DS89" s="43"/>
      <c r="DT89" s="43"/>
      <c r="DU89" s="43"/>
      <c r="DV89" s="43"/>
      <c r="DW89" s="43"/>
      <c r="DX89" s="43"/>
      <c r="DY89" s="43"/>
      <c r="DZ89" s="43"/>
      <c r="EA89" s="43"/>
      <c r="EB89" s="43"/>
      <c r="EC89" s="43"/>
      <c r="ED89" s="43"/>
      <c r="EE89" s="43"/>
      <c r="EF89" s="43"/>
      <c r="EG89" s="43"/>
      <c r="EH89" s="43"/>
      <c r="EI89" s="43"/>
      <c r="EJ89" s="43"/>
      <c r="EK89" s="43"/>
      <c r="EL89" s="43"/>
      <c r="EM89" s="43"/>
      <c r="EN89" s="43"/>
      <c r="EO89" s="43"/>
      <c r="EP89" s="43"/>
      <c r="EQ89" s="43"/>
      <c r="ER89" s="43"/>
      <c r="ES89" s="43"/>
      <c r="ET89" s="43"/>
      <c r="EU89" s="43"/>
      <c r="EV89" s="43"/>
      <c r="EW89" s="43"/>
      <c r="EX89" s="43"/>
      <c r="EY89" s="43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</row>
    <row r="90" spans="1:190" s="24" customFormat="1" ht="15.75" customHeight="1">
      <c r="A90" s="72">
        <v>42428</v>
      </c>
      <c r="B90" s="68" t="s">
        <v>376</v>
      </c>
      <c r="C90" s="69" t="s">
        <v>789</v>
      </c>
      <c r="D90" s="69" t="s">
        <v>776</v>
      </c>
      <c r="E90" s="74">
        <v>5200</v>
      </c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3"/>
      <c r="CB90" s="43"/>
      <c r="CC90" s="43"/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  <c r="CS90" s="43"/>
      <c r="CT90" s="43"/>
      <c r="CU90" s="43"/>
      <c r="CV90" s="43"/>
      <c r="CW90" s="43"/>
      <c r="CX90" s="43"/>
      <c r="CY90" s="43"/>
      <c r="CZ90" s="43"/>
      <c r="DA90" s="43"/>
      <c r="DB90" s="43"/>
      <c r="DC90" s="43"/>
      <c r="DD90" s="43"/>
      <c r="DE90" s="43"/>
      <c r="DF90" s="43"/>
      <c r="DG90" s="43"/>
      <c r="DH90" s="43"/>
      <c r="DI90" s="43"/>
      <c r="DJ90" s="43"/>
      <c r="DK90" s="43"/>
      <c r="DL90" s="43"/>
      <c r="DM90" s="43"/>
      <c r="DN90" s="43"/>
      <c r="DO90" s="43"/>
      <c r="DP90" s="43"/>
      <c r="DQ90" s="43"/>
      <c r="DR90" s="43"/>
      <c r="DS90" s="43"/>
      <c r="DT90" s="43"/>
      <c r="DU90" s="43"/>
      <c r="DV90" s="43"/>
      <c r="DW90" s="43"/>
      <c r="DX90" s="43"/>
      <c r="DY90" s="43"/>
      <c r="DZ90" s="43"/>
      <c r="EA90" s="43"/>
      <c r="EB90" s="43"/>
      <c r="EC90" s="43"/>
      <c r="ED90" s="43"/>
      <c r="EE90" s="43"/>
      <c r="EF90" s="43"/>
      <c r="EG90" s="43"/>
      <c r="EH90" s="43"/>
      <c r="EI90" s="43"/>
      <c r="EJ90" s="43"/>
      <c r="EK90" s="43"/>
      <c r="EL90" s="43"/>
      <c r="EM90" s="43"/>
      <c r="EN90" s="43"/>
      <c r="EO90" s="43"/>
      <c r="EP90" s="43"/>
      <c r="EQ90" s="43"/>
      <c r="ER90" s="43"/>
      <c r="ES90" s="43"/>
      <c r="ET90" s="43"/>
      <c r="EU90" s="43"/>
      <c r="EV90" s="43"/>
      <c r="EW90" s="43"/>
      <c r="EX90" s="43"/>
      <c r="EY90" s="43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</row>
    <row r="91" spans="1:190" s="24" customFormat="1" ht="15.75" customHeight="1">
      <c r="A91" s="73">
        <v>42427</v>
      </c>
      <c r="B91" s="70" t="s">
        <v>578</v>
      </c>
      <c r="C91" s="71" t="s">
        <v>777</v>
      </c>
      <c r="D91" s="71" t="s">
        <v>748</v>
      </c>
      <c r="E91" s="75">
        <v>680</v>
      </c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  <c r="BZ91" s="43"/>
      <c r="CA91" s="43"/>
      <c r="CB91" s="43"/>
      <c r="CC91" s="43"/>
      <c r="CD91" s="43"/>
      <c r="CE91" s="43"/>
      <c r="CF91" s="43"/>
      <c r="CG91" s="43"/>
      <c r="CH91" s="43"/>
      <c r="CI91" s="43"/>
      <c r="CJ91" s="43"/>
      <c r="CK91" s="43"/>
      <c r="CL91" s="43"/>
      <c r="CM91" s="43"/>
      <c r="CN91" s="43"/>
      <c r="CO91" s="43"/>
      <c r="CP91" s="43"/>
      <c r="CQ91" s="43"/>
      <c r="CR91" s="43"/>
      <c r="CS91" s="43"/>
      <c r="CT91" s="43"/>
      <c r="CU91" s="43"/>
      <c r="CV91" s="43"/>
      <c r="CW91" s="43"/>
      <c r="CX91" s="43"/>
      <c r="CY91" s="43"/>
      <c r="CZ91" s="43"/>
      <c r="DA91" s="43"/>
      <c r="DB91" s="43"/>
      <c r="DC91" s="43"/>
      <c r="DD91" s="43"/>
      <c r="DE91" s="43"/>
      <c r="DF91" s="43"/>
      <c r="DG91" s="43"/>
      <c r="DH91" s="43"/>
      <c r="DI91" s="43"/>
      <c r="DJ91" s="43"/>
      <c r="DK91" s="43"/>
      <c r="DL91" s="43"/>
      <c r="DM91" s="43"/>
      <c r="DN91" s="43"/>
      <c r="DO91" s="43"/>
      <c r="DP91" s="43"/>
      <c r="DQ91" s="43"/>
      <c r="DR91" s="43"/>
      <c r="DS91" s="43"/>
      <c r="DT91" s="43"/>
      <c r="DU91" s="43"/>
      <c r="DV91" s="43"/>
      <c r="DW91" s="43"/>
      <c r="DX91" s="43"/>
      <c r="DY91" s="43"/>
      <c r="DZ91" s="43"/>
      <c r="EA91" s="43"/>
      <c r="EB91" s="43"/>
      <c r="EC91" s="43"/>
      <c r="ED91" s="43"/>
      <c r="EE91" s="43"/>
      <c r="EF91" s="43"/>
      <c r="EG91" s="43"/>
      <c r="EH91" s="43"/>
      <c r="EI91" s="43"/>
      <c r="EJ91" s="43"/>
      <c r="EK91" s="43"/>
      <c r="EL91" s="43"/>
      <c r="EM91" s="43"/>
      <c r="EN91" s="43"/>
      <c r="EO91" s="43"/>
      <c r="EP91" s="43"/>
      <c r="EQ91" s="43"/>
      <c r="ER91" s="43"/>
      <c r="ES91" s="43"/>
      <c r="ET91" s="43"/>
      <c r="EU91" s="43"/>
      <c r="EV91" s="43"/>
      <c r="EW91" s="43"/>
      <c r="EX91" s="43"/>
      <c r="EY91" s="43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</row>
    <row r="92" spans="1:190" s="24" customFormat="1" ht="15.75" customHeight="1">
      <c r="A92" s="72">
        <v>42154</v>
      </c>
      <c r="B92" s="68" t="s">
        <v>578</v>
      </c>
      <c r="C92" s="69" t="s">
        <v>826</v>
      </c>
      <c r="D92" s="69" t="s">
        <v>748</v>
      </c>
      <c r="E92" s="74">
        <v>24000</v>
      </c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3"/>
      <c r="CB92" s="43"/>
      <c r="CC92" s="43"/>
      <c r="CD92" s="43"/>
      <c r="CE92" s="43"/>
      <c r="CF92" s="43"/>
      <c r="CG92" s="43"/>
      <c r="CH92" s="43"/>
      <c r="CI92" s="43"/>
      <c r="CJ92" s="43"/>
      <c r="CK92" s="43"/>
      <c r="CL92" s="43"/>
      <c r="CM92" s="43"/>
      <c r="CN92" s="43"/>
      <c r="CO92" s="43"/>
      <c r="CP92" s="43"/>
      <c r="CQ92" s="43"/>
      <c r="CR92" s="43"/>
      <c r="CS92" s="43"/>
      <c r="CT92" s="43"/>
      <c r="CU92" s="43"/>
      <c r="CV92" s="43"/>
      <c r="CW92" s="43"/>
      <c r="CX92" s="43"/>
      <c r="CY92" s="43"/>
      <c r="CZ92" s="43"/>
      <c r="DA92" s="43"/>
      <c r="DB92" s="43"/>
      <c r="DC92" s="43"/>
      <c r="DD92" s="43"/>
      <c r="DE92" s="43"/>
      <c r="DF92" s="43"/>
      <c r="DG92" s="43"/>
      <c r="DH92" s="43"/>
      <c r="DI92" s="43"/>
      <c r="DJ92" s="43"/>
      <c r="DK92" s="43"/>
      <c r="DL92" s="43"/>
      <c r="DM92" s="43"/>
      <c r="DN92" s="43"/>
      <c r="DO92" s="43"/>
      <c r="DP92" s="43"/>
      <c r="DQ92" s="43"/>
      <c r="DR92" s="43"/>
      <c r="DS92" s="43"/>
      <c r="DT92" s="43"/>
      <c r="DU92" s="43"/>
      <c r="DV92" s="43"/>
      <c r="DW92" s="43"/>
      <c r="DX92" s="43"/>
      <c r="DY92" s="43"/>
      <c r="DZ92" s="43"/>
      <c r="EA92" s="43"/>
      <c r="EB92" s="43"/>
      <c r="EC92" s="43"/>
      <c r="ED92" s="43"/>
      <c r="EE92" s="43"/>
      <c r="EF92" s="43"/>
      <c r="EG92" s="43"/>
      <c r="EH92" s="43"/>
      <c r="EI92" s="43"/>
      <c r="EJ92" s="43"/>
      <c r="EK92" s="43"/>
      <c r="EL92" s="43"/>
      <c r="EM92" s="43"/>
      <c r="EN92" s="43"/>
      <c r="EO92" s="43"/>
      <c r="EP92" s="43"/>
      <c r="EQ92" s="43"/>
      <c r="ER92" s="43"/>
      <c r="ES92" s="43"/>
      <c r="ET92" s="43"/>
      <c r="EU92" s="43"/>
      <c r="EV92" s="43"/>
      <c r="EW92" s="43"/>
      <c r="EX92" s="43"/>
      <c r="EY92" s="43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</row>
    <row r="93" spans="1:190" s="24" customFormat="1" ht="15.75" customHeight="1">
      <c r="A93" s="73">
        <v>42189</v>
      </c>
      <c r="B93" s="70" t="s">
        <v>578</v>
      </c>
      <c r="C93" s="71" t="s">
        <v>826</v>
      </c>
      <c r="D93" s="71" t="s">
        <v>748</v>
      </c>
      <c r="E93" s="75">
        <v>24000</v>
      </c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  <c r="CC93" s="43"/>
      <c r="CD93" s="43"/>
      <c r="CE93" s="43"/>
      <c r="CF93" s="43"/>
      <c r="CG93" s="43"/>
      <c r="CH93" s="43"/>
      <c r="CI93" s="43"/>
      <c r="CJ93" s="43"/>
      <c r="CK93" s="43"/>
      <c r="CL93" s="43"/>
      <c r="CM93" s="43"/>
      <c r="CN93" s="43"/>
      <c r="CO93" s="43"/>
      <c r="CP93" s="43"/>
      <c r="CQ93" s="43"/>
      <c r="CR93" s="43"/>
      <c r="CS93" s="43"/>
      <c r="CT93" s="43"/>
      <c r="CU93" s="43"/>
      <c r="CV93" s="43"/>
      <c r="CW93" s="43"/>
      <c r="CX93" s="43"/>
      <c r="CY93" s="43"/>
      <c r="CZ93" s="43"/>
      <c r="DA93" s="43"/>
      <c r="DB93" s="43"/>
      <c r="DC93" s="43"/>
      <c r="DD93" s="43"/>
      <c r="DE93" s="43"/>
      <c r="DF93" s="43"/>
      <c r="DG93" s="43"/>
      <c r="DH93" s="43"/>
      <c r="DI93" s="43"/>
      <c r="DJ93" s="43"/>
      <c r="DK93" s="43"/>
      <c r="DL93" s="43"/>
      <c r="DM93" s="43"/>
      <c r="DN93" s="43"/>
      <c r="DO93" s="43"/>
      <c r="DP93" s="43"/>
      <c r="DQ93" s="43"/>
      <c r="DR93" s="43"/>
      <c r="DS93" s="43"/>
      <c r="DT93" s="43"/>
      <c r="DU93" s="43"/>
      <c r="DV93" s="43"/>
      <c r="DW93" s="43"/>
      <c r="DX93" s="43"/>
      <c r="DY93" s="43"/>
      <c r="DZ93" s="43"/>
      <c r="EA93" s="43"/>
      <c r="EB93" s="43"/>
      <c r="EC93" s="43"/>
      <c r="ED93" s="43"/>
      <c r="EE93" s="43"/>
      <c r="EF93" s="43"/>
      <c r="EG93" s="43"/>
      <c r="EH93" s="43"/>
      <c r="EI93" s="43"/>
      <c r="EJ93" s="43"/>
      <c r="EK93" s="43"/>
      <c r="EL93" s="43"/>
      <c r="EM93" s="43"/>
      <c r="EN93" s="43"/>
      <c r="EO93" s="43"/>
      <c r="EP93" s="43"/>
      <c r="EQ93" s="43"/>
      <c r="ER93" s="43"/>
      <c r="ES93" s="43"/>
      <c r="ET93" s="43"/>
      <c r="EU93" s="43"/>
      <c r="EV93" s="43"/>
      <c r="EW93" s="43"/>
      <c r="EX93" s="43"/>
      <c r="EY93" s="43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</row>
    <row r="94" spans="1:190" s="24" customFormat="1" ht="15.75" customHeight="1">
      <c r="A94" s="72">
        <v>42010</v>
      </c>
      <c r="B94" s="68" t="s">
        <v>376</v>
      </c>
      <c r="C94" s="69" t="s">
        <v>826</v>
      </c>
      <c r="D94" s="69" t="s">
        <v>748</v>
      </c>
      <c r="E94" s="74">
        <v>24000</v>
      </c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  <c r="DY94" s="43"/>
      <c r="DZ94" s="43"/>
      <c r="EA94" s="43"/>
      <c r="EB94" s="43"/>
      <c r="EC94" s="43"/>
      <c r="ED94" s="43"/>
      <c r="EE94" s="43"/>
      <c r="EF94" s="43"/>
      <c r="EG94" s="43"/>
      <c r="EH94" s="43"/>
      <c r="EI94" s="43"/>
      <c r="EJ94" s="43"/>
      <c r="EK94" s="43"/>
      <c r="EL94" s="43"/>
      <c r="EM94" s="43"/>
      <c r="EN94" s="43"/>
      <c r="EO94" s="43"/>
      <c r="EP94" s="43"/>
      <c r="EQ94" s="43"/>
      <c r="ER94" s="43"/>
      <c r="ES94" s="43"/>
      <c r="ET94" s="43"/>
      <c r="EU94" s="43"/>
      <c r="EV94" s="43"/>
      <c r="EW94" s="43"/>
      <c r="EX94" s="43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</row>
    <row r="95" spans="1:190" s="24" customFormat="1" ht="15.75" customHeight="1">
      <c r="A95" s="73">
        <v>42046</v>
      </c>
      <c r="B95" s="70" t="s">
        <v>376</v>
      </c>
      <c r="C95" s="71" t="s">
        <v>826</v>
      </c>
      <c r="D95" s="71" t="s">
        <v>748</v>
      </c>
      <c r="E95" s="75">
        <v>24000</v>
      </c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3"/>
      <c r="CD95" s="43"/>
      <c r="CE95" s="43"/>
      <c r="CF95" s="43"/>
      <c r="CG95" s="43"/>
      <c r="CH95" s="43"/>
      <c r="CI95" s="43"/>
      <c r="CJ95" s="43"/>
      <c r="CK95" s="43"/>
      <c r="CL95" s="43"/>
      <c r="CM95" s="43"/>
      <c r="CN95" s="43"/>
      <c r="CO95" s="43"/>
      <c r="CP95" s="43"/>
      <c r="CQ95" s="43"/>
      <c r="CR95" s="43"/>
      <c r="CS95" s="43"/>
      <c r="CT95" s="43"/>
      <c r="CU95" s="43"/>
      <c r="CV95" s="43"/>
      <c r="CW95" s="43"/>
      <c r="CX95" s="43"/>
      <c r="CY95" s="43"/>
      <c r="CZ95" s="43"/>
      <c r="DA95" s="43"/>
      <c r="DB95" s="43"/>
      <c r="DC95" s="43"/>
      <c r="DD95" s="43"/>
      <c r="DE95" s="43"/>
      <c r="DF95" s="43"/>
      <c r="DG95" s="43"/>
      <c r="DH95" s="43"/>
      <c r="DI95" s="43"/>
      <c r="DJ95" s="43"/>
      <c r="DK95" s="43"/>
      <c r="DL95" s="43"/>
      <c r="DM95" s="43"/>
      <c r="DN95" s="43"/>
      <c r="DO95" s="43"/>
      <c r="DP95" s="43"/>
      <c r="DQ95" s="43"/>
      <c r="DR95" s="43"/>
      <c r="DS95" s="43"/>
      <c r="DT95" s="43"/>
      <c r="DU95" s="43"/>
      <c r="DV95" s="43"/>
      <c r="DW95" s="43"/>
      <c r="DX95" s="43"/>
      <c r="DY95" s="43"/>
      <c r="DZ95" s="43"/>
      <c r="EA95" s="43"/>
      <c r="EB95" s="43"/>
      <c r="EC95" s="43"/>
      <c r="ED95" s="43"/>
      <c r="EE95" s="43"/>
      <c r="EF95" s="43"/>
      <c r="EG95" s="43"/>
      <c r="EH95" s="43"/>
      <c r="EI95" s="43"/>
      <c r="EJ95" s="43"/>
      <c r="EK95" s="43"/>
      <c r="EL95" s="43"/>
      <c r="EM95" s="43"/>
      <c r="EN95" s="43"/>
      <c r="EO95" s="43"/>
      <c r="EP95" s="43"/>
      <c r="EQ95" s="43"/>
      <c r="ER95" s="43"/>
      <c r="ES95" s="43"/>
      <c r="ET95" s="43"/>
      <c r="EU95" s="43"/>
      <c r="EV95" s="43"/>
      <c r="EW95" s="43"/>
      <c r="EX95" s="43"/>
      <c r="EY95" s="43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</row>
    <row r="96" spans="1:190" s="24" customFormat="1" ht="15.75" customHeight="1">
      <c r="A96" s="72">
        <v>42617</v>
      </c>
      <c r="B96" s="68" t="s">
        <v>376</v>
      </c>
      <c r="C96" s="69" t="s">
        <v>826</v>
      </c>
      <c r="D96" s="69" t="s">
        <v>748</v>
      </c>
      <c r="E96" s="74">
        <v>24000</v>
      </c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3"/>
      <c r="CB96" s="43"/>
      <c r="CC96" s="43"/>
      <c r="CD96" s="43"/>
      <c r="CE96" s="43"/>
      <c r="CF96" s="43"/>
      <c r="CG96" s="43"/>
      <c r="CH96" s="43"/>
      <c r="CI96" s="43"/>
      <c r="CJ96" s="43"/>
      <c r="CK96" s="43"/>
      <c r="CL96" s="43"/>
      <c r="CM96" s="43"/>
      <c r="CN96" s="43"/>
      <c r="CO96" s="43"/>
      <c r="CP96" s="43"/>
      <c r="CQ96" s="43"/>
      <c r="CR96" s="43"/>
      <c r="CS96" s="43"/>
      <c r="CT96" s="43"/>
      <c r="CU96" s="43"/>
      <c r="CV96" s="43"/>
      <c r="CW96" s="43"/>
      <c r="CX96" s="43"/>
      <c r="CY96" s="43"/>
      <c r="CZ96" s="43"/>
      <c r="DA96" s="43"/>
      <c r="DB96" s="43"/>
      <c r="DC96" s="43"/>
      <c r="DD96" s="43"/>
      <c r="DE96" s="43"/>
      <c r="DF96" s="43"/>
      <c r="DG96" s="43"/>
      <c r="DH96" s="43"/>
      <c r="DI96" s="43"/>
      <c r="DJ96" s="43"/>
      <c r="DK96" s="43"/>
      <c r="DL96" s="43"/>
      <c r="DM96" s="43"/>
      <c r="DN96" s="43"/>
      <c r="DO96" s="43"/>
      <c r="DP96" s="43"/>
      <c r="DQ96" s="43"/>
      <c r="DR96" s="43"/>
      <c r="DS96" s="43"/>
      <c r="DT96" s="43"/>
      <c r="DU96" s="43"/>
      <c r="DV96" s="43"/>
      <c r="DW96" s="43"/>
      <c r="DX96" s="43"/>
      <c r="DY96" s="43"/>
      <c r="DZ96" s="43"/>
      <c r="EA96" s="43"/>
      <c r="EB96" s="43"/>
      <c r="EC96" s="43"/>
      <c r="ED96" s="43"/>
      <c r="EE96" s="43"/>
      <c r="EF96" s="43"/>
      <c r="EG96" s="43"/>
      <c r="EH96" s="43"/>
      <c r="EI96" s="43"/>
      <c r="EJ96" s="43"/>
      <c r="EK96" s="43"/>
      <c r="EL96" s="43"/>
      <c r="EM96" s="43"/>
      <c r="EN96" s="43"/>
      <c r="EO96" s="43"/>
      <c r="EP96" s="43"/>
      <c r="EQ96" s="43"/>
      <c r="ER96" s="43"/>
      <c r="ES96" s="43"/>
      <c r="ET96" s="43"/>
      <c r="EU96" s="43"/>
      <c r="EV96" s="43"/>
      <c r="EW96" s="43"/>
      <c r="EX96" s="43"/>
      <c r="EY96" s="43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</row>
    <row r="97" spans="1:190" s="24" customFormat="1" ht="15.75" customHeight="1">
      <c r="A97" s="73">
        <v>42618</v>
      </c>
      <c r="B97" s="70" t="s">
        <v>376</v>
      </c>
      <c r="C97" s="71" t="s">
        <v>826</v>
      </c>
      <c r="D97" s="71" t="s">
        <v>748</v>
      </c>
      <c r="E97" s="75">
        <v>24000</v>
      </c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  <c r="BZ97" s="43"/>
      <c r="CA97" s="43"/>
      <c r="CB97" s="43"/>
      <c r="CC97" s="43"/>
      <c r="CD97" s="43"/>
      <c r="CE97" s="43"/>
      <c r="CF97" s="43"/>
      <c r="CG97" s="43"/>
      <c r="CH97" s="43"/>
      <c r="CI97" s="43"/>
      <c r="CJ97" s="43"/>
      <c r="CK97" s="43"/>
      <c r="CL97" s="43"/>
      <c r="CM97" s="43"/>
      <c r="CN97" s="43"/>
      <c r="CO97" s="43"/>
      <c r="CP97" s="43"/>
      <c r="CQ97" s="43"/>
      <c r="CR97" s="43"/>
      <c r="CS97" s="43"/>
      <c r="CT97" s="43"/>
      <c r="CU97" s="43"/>
      <c r="CV97" s="43"/>
      <c r="CW97" s="43"/>
      <c r="CX97" s="43"/>
      <c r="CY97" s="43"/>
      <c r="CZ97" s="43"/>
      <c r="DA97" s="43"/>
      <c r="DB97" s="43"/>
      <c r="DC97" s="43"/>
      <c r="DD97" s="43"/>
      <c r="DE97" s="43"/>
      <c r="DF97" s="43"/>
      <c r="DG97" s="43"/>
      <c r="DH97" s="43"/>
      <c r="DI97" s="43"/>
      <c r="DJ97" s="43"/>
      <c r="DK97" s="43"/>
      <c r="DL97" s="43"/>
      <c r="DM97" s="43"/>
      <c r="DN97" s="43"/>
      <c r="DO97" s="43"/>
      <c r="DP97" s="43"/>
      <c r="DQ97" s="43"/>
      <c r="DR97" s="43"/>
      <c r="DS97" s="43"/>
      <c r="DT97" s="43"/>
      <c r="DU97" s="43"/>
      <c r="DV97" s="43"/>
      <c r="DW97" s="43"/>
      <c r="DX97" s="43"/>
      <c r="DY97" s="43"/>
      <c r="DZ97" s="43"/>
      <c r="EA97" s="43"/>
      <c r="EB97" s="43"/>
      <c r="EC97" s="43"/>
      <c r="ED97" s="43"/>
      <c r="EE97" s="43"/>
      <c r="EF97" s="43"/>
      <c r="EG97" s="43"/>
      <c r="EH97" s="43"/>
      <c r="EI97" s="43"/>
      <c r="EJ97" s="43"/>
      <c r="EK97" s="43"/>
      <c r="EL97" s="43"/>
      <c r="EM97" s="43"/>
      <c r="EN97" s="43"/>
      <c r="EO97" s="43"/>
      <c r="EP97" s="43"/>
      <c r="EQ97" s="43"/>
      <c r="ER97" s="43"/>
      <c r="ES97" s="43"/>
      <c r="ET97" s="43"/>
      <c r="EU97" s="43"/>
      <c r="EV97" s="43"/>
      <c r="EW97" s="43"/>
      <c r="EX97" s="43"/>
      <c r="EY97" s="43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</row>
    <row r="98" spans="1:190" s="24" customFormat="1" ht="15.75" customHeight="1">
      <c r="A98" s="72">
        <v>42366</v>
      </c>
      <c r="B98" s="68" t="s">
        <v>578</v>
      </c>
      <c r="C98" s="69" t="s">
        <v>767</v>
      </c>
      <c r="D98" s="69" t="s">
        <v>748</v>
      </c>
      <c r="E98" s="74">
        <v>21560</v>
      </c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  <c r="BZ98" s="43"/>
      <c r="CA98" s="43"/>
      <c r="CB98" s="43"/>
      <c r="CC98" s="43"/>
      <c r="CD98" s="43"/>
      <c r="CE98" s="43"/>
      <c r="CF98" s="43"/>
      <c r="CG98" s="43"/>
      <c r="CH98" s="43"/>
      <c r="CI98" s="43"/>
      <c r="CJ98" s="43"/>
      <c r="CK98" s="43"/>
      <c r="CL98" s="43"/>
      <c r="CM98" s="43"/>
      <c r="CN98" s="43"/>
      <c r="CO98" s="43"/>
      <c r="CP98" s="43"/>
      <c r="CQ98" s="43"/>
      <c r="CR98" s="43"/>
      <c r="CS98" s="43"/>
      <c r="CT98" s="43"/>
      <c r="CU98" s="43"/>
      <c r="CV98" s="43"/>
      <c r="CW98" s="43"/>
      <c r="CX98" s="43"/>
      <c r="CY98" s="43"/>
      <c r="CZ98" s="43"/>
      <c r="DA98" s="43"/>
      <c r="DB98" s="43"/>
      <c r="DC98" s="43"/>
      <c r="DD98" s="43"/>
      <c r="DE98" s="43"/>
      <c r="DF98" s="43"/>
      <c r="DG98" s="43"/>
      <c r="DH98" s="43"/>
      <c r="DI98" s="43"/>
      <c r="DJ98" s="43"/>
      <c r="DK98" s="43"/>
      <c r="DL98" s="43"/>
      <c r="DM98" s="43"/>
      <c r="DN98" s="43"/>
      <c r="DO98" s="43"/>
      <c r="DP98" s="43"/>
      <c r="DQ98" s="43"/>
      <c r="DR98" s="43"/>
      <c r="DS98" s="43"/>
      <c r="DT98" s="43"/>
      <c r="DU98" s="43"/>
      <c r="DV98" s="43"/>
      <c r="DW98" s="43"/>
      <c r="DX98" s="43"/>
      <c r="DY98" s="43"/>
      <c r="DZ98" s="43"/>
      <c r="EA98" s="43"/>
      <c r="EB98" s="43"/>
      <c r="EC98" s="43"/>
      <c r="ED98" s="43"/>
      <c r="EE98" s="43"/>
      <c r="EF98" s="43"/>
      <c r="EG98" s="43"/>
      <c r="EH98" s="43"/>
      <c r="EI98" s="43"/>
      <c r="EJ98" s="43"/>
      <c r="EK98" s="43"/>
      <c r="EL98" s="43"/>
      <c r="EM98" s="43"/>
      <c r="EN98" s="43"/>
      <c r="EO98" s="43"/>
      <c r="EP98" s="43"/>
      <c r="EQ98" s="43"/>
      <c r="ER98" s="43"/>
      <c r="ES98" s="43"/>
      <c r="ET98" s="43"/>
      <c r="EU98" s="43"/>
      <c r="EV98" s="43"/>
      <c r="EW98" s="43"/>
      <c r="EX98" s="43"/>
      <c r="EY98" s="43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</row>
    <row r="99" spans="1:190" s="24" customFormat="1" ht="15.75" customHeight="1">
      <c r="A99" s="73">
        <v>42611</v>
      </c>
      <c r="B99" s="70" t="s">
        <v>578</v>
      </c>
      <c r="C99" s="71" t="s">
        <v>767</v>
      </c>
      <c r="D99" s="71" t="s">
        <v>748</v>
      </c>
      <c r="E99" s="75">
        <v>21560</v>
      </c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  <c r="BZ99" s="43"/>
      <c r="CA99" s="43"/>
      <c r="CB99" s="43"/>
      <c r="CC99" s="43"/>
      <c r="CD99" s="43"/>
      <c r="CE99" s="43"/>
      <c r="CF99" s="43"/>
      <c r="CG99" s="43"/>
      <c r="CH99" s="43"/>
      <c r="CI99" s="43"/>
      <c r="CJ99" s="43"/>
      <c r="CK99" s="43"/>
      <c r="CL99" s="43"/>
      <c r="CM99" s="43"/>
      <c r="CN99" s="43"/>
      <c r="CO99" s="43"/>
      <c r="CP99" s="43"/>
      <c r="CQ99" s="43"/>
      <c r="CR99" s="43"/>
      <c r="CS99" s="43"/>
      <c r="CT99" s="43"/>
      <c r="CU99" s="43"/>
      <c r="CV99" s="43"/>
      <c r="CW99" s="43"/>
      <c r="CX99" s="43"/>
      <c r="CY99" s="43"/>
      <c r="CZ99" s="43"/>
      <c r="DA99" s="43"/>
      <c r="DB99" s="43"/>
      <c r="DC99" s="43"/>
      <c r="DD99" s="43"/>
      <c r="DE99" s="43"/>
      <c r="DF99" s="43"/>
      <c r="DG99" s="43"/>
      <c r="DH99" s="43"/>
      <c r="DI99" s="43"/>
      <c r="DJ99" s="43"/>
      <c r="DK99" s="43"/>
      <c r="DL99" s="43"/>
      <c r="DM99" s="43"/>
      <c r="DN99" s="43"/>
      <c r="DO99" s="43"/>
      <c r="DP99" s="43"/>
      <c r="DQ99" s="43"/>
      <c r="DR99" s="43"/>
      <c r="DS99" s="43"/>
      <c r="DT99" s="43"/>
      <c r="DU99" s="43"/>
      <c r="DV99" s="43"/>
      <c r="DW99" s="43"/>
      <c r="DX99" s="43"/>
      <c r="DY99" s="43"/>
      <c r="DZ99" s="43"/>
      <c r="EA99" s="43"/>
      <c r="EB99" s="43"/>
      <c r="EC99" s="43"/>
      <c r="ED99" s="43"/>
      <c r="EE99" s="43"/>
      <c r="EF99" s="43"/>
      <c r="EG99" s="43"/>
      <c r="EH99" s="43"/>
      <c r="EI99" s="43"/>
      <c r="EJ99" s="43"/>
      <c r="EK99" s="43"/>
      <c r="EL99" s="43"/>
      <c r="EM99" s="43"/>
      <c r="EN99" s="43"/>
      <c r="EO99" s="43"/>
      <c r="EP99" s="43"/>
      <c r="EQ99" s="43"/>
      <c r="ER99" s="43"/>
      <c r="ES99" s="43"/>
      <c r="ET99" s="43"/>
      <c r="EU99" s="43"/>
      <c r="EV99" s="43"/>
      <c r="EW99" s="43"/>
      <c r="EX99" s="43"/>
      <c r="EY99" s="43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</row>
    <row r="100" spans="1:190" s="24" customFormat="1" ht="15.75" customHeight="1">
      <c r="A100" s="72">
        <v>42356</v>
      </c>
      <c r="B100" s="68" t="s">
        <v>376</v>
      </c>
      <c r="C100" s="69" t="s">
        <v>767</v>
      </c>
      <c r="D100" s="69" t="s">
        <v>748</v>
      </c>
      <c r="E100" s="74">
        <v>21560</v>
      </c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3"/>
      <c r="CB100" s="43"/>
      <c r="CC100" s="43"/>
      <c r="CD100" s="43"/>
      <c r="CE100" s="43"/>
      <c r="CF100" s="43"/>
      <c r="CG100" s="43"/>
      <c r="CH100" s="43"/>
      <c r="CI100" s="43"/>
      <c r="CJ100" s="43"/>
      <c r="CK100" s="43"/>
      <c r="CL100" s="43"/>
      <c r="CM100" s="43"/>
      <c r="CN100" s="43"/>
      <c r="CO100" s="43"/>
      <c r="CP100" s="43"/>
      <c r="CQ100" s="43"/>
      <c r="CR100" s="43"/>
      <c r="CS100" s="43"/>
      <c r="CT100" s="43"/>
      <c r="CU100" s="43"/>
      <c r="CV100" s="43"/>
      <c r="CW100" s="43"/>
      <c r="CX100" s="43"/>
      <c r="CY100" s="43"/>
      <c r="CZ100" s="43"/>
      <c r="DA100" s="43"/>
      <c r="DB100" s="43"/>
      <c r="DC100" s="43"/>
      <c r="DD100" s="43"/>
      <c r="DE100" s="43"/>
      <c r="DF100" s="43"/>
      <c r="DG100" s="43"/>
      <c r="DH100" s="43"/>
      <c r="DI100" s="43"/>
      <c r="DJ100" s="43"/>
      <c r="DK100" s="43"/>
      <c r="DL100" s="43"/>
      <c r="DM100" s="43"/>
      <c r="DN100" s="43"/>
      <c r="DO100" s="43"/>
      <c r="DP100" s="43"/>
      <c r="DQ100" s="43"/>
      <c r="DR100" s="43"/>
      <c r="DS100" s="43"/>
      <c r="DT100" s="43"/>
      <c r="DU100" s="43"/>
      <c r="DV100" s="43"/>
      <c r="DW100" s="43"/>
      <c r="DX100" s="43"/>
      <c r="DY100" s="43"/>
      <c r="DZ100" s="43"/>
      <c r="EA100" s="43"/>
      <c r="EB100" s="43"/>
      <c r="EC100" s="43"/>
      <c r="ED100" s="43"/>
      <c r="EE100" s="43"/>
      <c r="EF100" s="43"/>
      <c r="EG100" s="43"/>
      <c r="EH100" s="43"/>
      <c r="EI100" s="43"/>
      <c r="EJ100" s="43"/>
      <c r="EK100" s="43"/>
      <c r="EL100" s="43"/>
      <c r="EM100" s="43"/>
      <c r="EN100" s="43"/>
      <c r="EO100" s="43"/>
      <c r="EP100" s="43"/>
      <c r="EQ100" s="43"/>
      <c r="ER100" s="43"/>
      <c r="ES100" s="43"/>
      <c r="ET100" s="43"/>
      <c r="EU100" s="43"/>
      <c r="EV100" s="43"/>
      <c r="EW100" s="43"/>
      <c r="EX100" s="43"/>
      <c r="EY100" s="43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</row>
    <row r="101" spans="1:190" s="24" customFormat="1" ht="15.75" customHeight="1">
      <c r="A101" s="73">
        <v>42530</v>
      </c>
      <c r="B101" s="70" t="s">
        <v>376</v>
      </c>
      <c r="C101" s="71" t="s">
        <v>767</v>
      </c>
      <c r="D101" s="71" t="s">
        <v>748</v>
      </c>
      <c r="E101" s="75">
        <v>21560</v>
      </c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  <c r="EB101" s="43"/>
      <c r="EC101" s="43"/>
      <c r="ED101" s="43"/>
      <c r="EE101" s="43"/>
      <c r="EF101" s="43"/>
      <c r="EG101" s="43"/>
      <c r="EH101" s="43"/>
      <c r="EI101" s="43"/>
      <c r="EJ101" s="43"/>
      <c r="EK101" s="43"/>
      <c r="EL101" s="43"/>
      <c r="EM101" s="43"/>
      <c r="EN101" s="43"/>
      <c r="EO101" s="43"/>
      <c r="EP101" s="43"/>
      <c r="EQ101" s="43"/>
      <c r="ER101" s="43"/>
      <c r="ES101" s="43"/>
      <c r="ET101" s="43"/>
      <c r="EU101" s="43"/>
      <c r="EV101" s="43"/>
      <c r="EW101" s="43"/>
      <c r="EX101" s="43"/>
      <c r="EY101" s="43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</row>
    <row r="102" spans="1:190" s="24" customFormat="1" ht="15.75" customHeight="1">
      <c r="A102" s="72">
        <v>42649</v>
      </c>
      <c r="B102" s="68" t="s">
        <v>376</v>
      </c>
      <c r="C102" s="69" t="s">
        <v>767</v>
      </c>
      <c r="D102" s="69" t="s">
        <v>748</v>
      </c>
      <c r="E102" s="74">
        <v>21560</v>
      </c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  <c r="BZ102" s="43"/>
      <c r="CA102" s="43"/>
      <c r="CB102" s="43"/>
      <c r="CC102" s="43"/>
      <c r="CD102" s="43"/>
      <c r="CE102" s="43"/>
      <c r="CF102" s="43"/>
      <c r="CG102" s="43"/>
      <c r="CH102" s="43"/>
      <c r="CI102" s="43"/>
      <c r="CJ102" s="43"/>
      <c r="CK102" s="43"/>
      <c r="CL102" s="43"/>
      <c r="CM102" s="43"/>
      <c r="CN102" s="43"/>
      <c r="CO102" s="43"/>
      <c r="CP102" s="43"/>
      <c r="CQ102" s="43"/>
      <c r="CR102" s="43"/>
      <c r="CS102" s="43"/>
      <c r="CT102" s="43"/>
      <c r="CU102" s="43"/>
      <c r="CV102" s="43"/>
      <c r="CW102" s="43"/>
      <c r="CX102" s="43"/>
      <c r="CY102" s="43"/>
      <c r="CZ102" s="43"/>
      <c r="DA102" s="43"/>
      <c r="DB102" s="43"/>
      <c r="DC102" s="43"/>
      <c r="DD102" s="43"/>
      <c r="DE102" s="43"/>
      <c r="DF102" s="43"/>
      <c r="DG102" s="43"/>
      <c r="DH102" s="43"/>
      <c r="DI102" s="43"/>
      <c r="DJ102" s="43"/>
      <c r="DK102" s="43"/>
      <c r="DL102" s="43"/>
      <c r="DM102" s="43"/>
      <c r="DN102" s="43"/>
      <c r="DO102" s="43"/>
      <c r="DP102" s="43"/>
      <c r="DQ102" s="43"/>
      <c r="DR102" s="43"/>
      <c r="DS102" s="43"/>
      <c r="DT102" s="43"/>
      <c r="DU102" s="43"/>
      <c r="DV102" s="43"/>
      <c r="DW102" s="43"/>
      <c r="DX102" s="43"/>
      <c r="DY102" s="43"/>
      <c r="DZ102" s="43"/>
      <c r="EA102" s="43"/>
      <c r="EB102" s="43"/>
      <c r="EC102" s="43"/>
      <c r="ED102" s="43"/>
      <c r="EE102" s="43"/>
      <c r="EF102" s="43"/>
      <c r="EG102" s="43"/>
      <c r="EH102" s="43"/>
      <c r="EI102" s="43"/>
      <c r="EJ102" s="43"/>
      <c r="EK102" s="43"/>
      <c r="EL102" s="43"/>
      <c r="EM102" s="43"/>
      <c r="EN102" s="43"/>
      <c r="EO102" s="43"/>
      <c r="EP102" s="43"/>
      <c r="EQ102" s="43"/>
      <c r="ER102" s="43"/>
      <c r="ES102" s="43"/>
      <c r="ET102" s="43"/>
      <c r="EU102" s="43"/>
      <c r="EV102" s="43"/>
      <c r="EW102" s="43"/>
      <c r="EX102" s="43"/>
      <c r="EY102" s="43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</row>
    <row r="103" spans="1:190" s="24" customFormat="1" ht="15.75" customHeight="1">
      <c r="A103" s="73">
        <v>42672</v>
      </c>
      <c r="B103" s="70" t="s">
        <v>376</v>
      </c>
      <c r="C103" s="71" t="s">
        <v>767</v>
      </c>
      <c r="D103" s="71" t="s">
        <v>748</v>
      </c>
      <c r="E103" s="75">
        <v>21560</v>
      </c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  <c r="EB103" s="43"/>
      <c r="EC103" s="43"/>
      <c r="ED103" s="43"/>
      <c r="EE103" s="43"/>
      <c r="EF103" s="43"/>
      <c r="EG103" s="43"/>
      <c r="EH103" s="43"/>
      <c r="EI103" s="43"/>
      <c r="EJ103" s="43"/>
      <c r="EK103" s="43"/>
      <c r="EL103" s="43"/>
      <c r="EM103" s="43"/>
      <c r="EN103" s="43"/>
      <c r="EO103" s="43"/>
      <c r="EP103" s="43"/>
      <c r="EQ103" s="43"/>
      <c r="ER103" s="43"/>
      <c r="ES103" s="43"/>
      <c r="ET103" s="43"/>
      <c r="EU103" s="43"/>
      <c r="EV103" s="43"/>
      <c r="EW103" s="43"/>
      <c r="EX103" s="43"/>
      <c r="EY103" s="43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</row>
    <row r="104" spans="1:190" s="24" customFormat="1" ht="15.75" customHeight="1">
      <c r="A104" s="72">
        <v>42730</v>
      </c>
      <c r="B104" s="68" t="s">
        <v>376</v>
      </c>
      <c r="C104" s="69" t="s">
        <v>767</v>
      </c>
      <c r="D104" s="69" t="s">
        <v>748</v>
      </c>
      <c r="E104" s="74">
        <v>21560</v>
      </c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43"/>
      <c r="BR104" s="43"/>
      <c r="BS104" s="43"/>
      <c r="BT104" s="43"/>
      <c r="BU104" s="43"/>
      <c r="BV104" s="43"/>
      <c r="BW104" s="43"/>
      <c r="BX104" s="43"/>
      <c r="BY104" s="43"/>
      <c r="BZ104" s="43"/>
      <c r="CA104" s="43"/>
      <c r="CB104" s="43"/>
      <c r="CC104" s="43"/>
      <c r="CD104" s="43"/>
      <c r="CE104" s="43"/>
      <c r="CF104" s="43"/>
      <c r="CG104" s="43"/>
      <c r="CH104" s="43"/>
      <c r="CI104" s="43"/>
      <c r="CJ104" s="43"/>
      <c r="CK104" s="43"/>
      <c r="CL104" s="43"/>
      <c r="CM104" s="43"/>
      <c r="CN104" s="43"/>
      <c r="CO104" s="43"/>
      <c r="CP104" s="43"/>
      <c r="CQ104" s="43"/>
      <c r="CR104" s="43"/>
      <c r="CS104" s="43"/>
      <c r="CT104" s="43"/>
      <c r="CU104" s="43"/>
      <c r="CV104" s="43"/>
      <c r="CW104" s="43"/>
      <c r="CX104" s="43"/>
      <c r="CY104" s="43"/>
      <c r="CZ104" s="43"/>
      <c r="DA104" s="43"/>
      <c r="DB104" s="43"/>
      <c r="DC104" s="43"/>
      <c r="DD104" s="43"/>
      <c r="DE104" s="43"/>
      <c r="DF104" s="43"/>
      <c r="DG104" s="43"/>
      <c r="DH104" s="43"/>
      <c r="DI104" s="43"/>
      <c r="DJ104" s="43"/>
      <c r="DK104" s="43"/>
      <c r="DL104" s="43"/>
      <c r="DM104" s="43"/>
      <c r="DN104" s="43"/>
      <c r="DO104" s="43"/>
      <c r="DP104" s="43"/>
      <c r="DQ104" s="43"/>
      <c r="DR104" s="43"/>
      <c r="DS104" s="43"/>
      <c r="DT104" s="43"/>
      <c r="DU104" s="43"/>
      <c r="DV104" s="43"/>
      <c r="DW104" s="43"/>
      <c r="DX104" s="43"/>
      <c r="DY104" s="43"/>
      <c r="DZ104" s="43"/>
      <c r="EA104" s="43"/>
      <c r="EB104" s="43"/>
      <c r="EC104" s="43"/>
      <c r="ED104" s="43"/>
      <c r="EE104" s="43"/>
      <c r="EF104" s="43"/>
      <c r="EG104" s="43"/>
      <c r="EH104" s="43"/>
      <c r="EI104" s="43"/>
      <c r="EJ104" s="43"/>
      <c r="EK104" s="43"/>
      <c r="EL104" s="43"/>
      <c r="EM104" s="43"/>
      <c r="EN104" s="43"/>
      <c r="EO104" s="43"/>
      <c r="EP104" s="43"/>
      <c r="EQ104" s="43"/>
      <c r="ER104" s="43"/>
      <c r="ES104" s="43"/>
      <c r="ET104" s="43"/>
      <c r="EU104" s="43"/>
      <c r="EV104" s="43"/>
      <c r="EW104" s="43"/>
      <c r="EX104" s="43"/>
      <c r="EY104" s="43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</row>
    <row r="105" spans="1:190" s="24" customFormat="1" ht="15.75" customHeight="1">
      <c r="A105" s="73">
        <v>42683</v>
      </c>
      <c r="B105" s="70" t="s">
        <v>578</v>
      </c>
      <c r="C105" s="71" t="s">
        <v>791</v>
      </c>
      <c r="D105" s="71" t="s">
        <v>776</v>
      </c>
      <c r="E105" s="75">
        <v>22300</v>
      </c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  <c r="CC105" s="43"/>
      <c r="CD105" s="43"/>
      <c r="CE105" s="43"/>
      <c r="CF105" s="43"/>
      <c r="CG105" s="43"/>
      <c r="CH105" s="43"/>
      <c r="CI105" s="43"/>
      <c r="CJ105" s="43"/>
      <c r="CK105" s="43"/>
      <c r="CL105" s="43"/>
      <c r="CM105" s="43"/>
      <c r="CN105" s="43"/>
      <c r="CO105" s="43"/>
      <c r="CP105" s="43"/>
      <c r="CQ105" s="43"/>
      <c r="CR105" s="43"/>
      <c r="CS105" s="43"/>
      <c r="CT105" s="43"/>
      <c r="CU105" s="43"/>
      <c r="CV105" s="43"/>
      <c r="CW105" s="43"/>
      <c r="CX105" s="43"/>
      <c r="CY105" s="43"/>
      <c r="CZ105" s="43"/>
      <c r="DA105" s="43"/>
      <c r="DB105" s="43"/>
      <c r="DC105" s="43"/>
      <c r="DD105" s="43"/>
      <c r="DE105" s="43"/>
      <c r="DF105" s="43"/>
      <c r="DG105" s="43"/>
      <c r="DH105" s="43"/>
      <c r="DI105" s="43"/>
      <c r="DJ105" s="43"/>
      <c r="DK105" s="43"/>
      <c r="DL105" s="43"/>
      <c r="DM105" s="43"/>
      <c r="DN105" s="43"/>
      <c r="DO105" s="43"/>
      <c r="DP105" s="43"/>
      <c r="DQ105" s="43"/>
      <c r="DR105" s="43"/>
      <c r="DS105" s="43"/>
      <c r="DT105" s="43"/>
      <c r="DU105" s="43"/>
      <c r="DV105" s="43"/>
      <c r="DW105" s="43"/>
      <c r="DX105" s="43"/>
      <c r="DY105" s="43"/>
      <c r="DZ105" s="43"/>
      <c r="EA105" s="43"/>
      <c r="EB105" s="43"/>
      <c r="EC105" s="43"/>
      <c r="ED105" s="43"/>
      <c r="EE105" s="43"/>
      <c r="EF105" s="43"/>
      <c r="EG105" s="43"/>
      <c r="EH105" s="43"/>
      <c r="EI105" s="43"/>
      <c r="EJ105" s="43"/>
      <c r="EK105" s="43"/>
      <c r="EL105" s="43"/>
      <c r="EM105" s="43"/>
      <c r="EN105" s="43"/>
      <c r="EO105" s="43"/>
      <c r="EP105" s="43"/>
      <c r="EQ105" s="43"/>
      <c r="ER105" s="43"/>
      <c r="ES105" s="43"/>
      <c r="ET105" s="43"/>
      <c r="EU105" s="43"/>
      <c r="EV105" s="43"/>
      <c r="EW105" s="43"/>
      <c r="EX105" s="43"/>
      <c r="EY105" s="43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</row>
    <row r="106" spans="1:190" s="24" customFormat="1" ht="15.75" customHeight="1">
      <c r="A106" s="72">
        <v>42102</v>
      </c>
      <c r="B106" s="68" t="s">
        <v>376</v>
      </c>
      <c r="C106" s="69" t="s">
        <v>791</v>
      </c>
      <c r="D106" s="69" t="s">
        <v>776</v>
      </c>
      <c r="E106" s="74">
        <v>22300</v>
      </c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/>
      <c r="CI106" s="43"/>
      <c r="CJ106" s="43"/>
      <c r="CK106" s="43"/>
      <c r="CL106" s="43"/>
      <c r="CM106" s="43"/>
      <c r="CN106" s="43"/>
      <c r="CO106" s="43"/>
      <c r="CP106" s="43"/>
      <c r="CQ106" s="43"/>
      <c r="CR106" s="43"/>
      <c r="CS106" s="43"/>
      <c r="CT106" s="43"/>
      <c r="CU106" s="43"/>
      <c r="CV106" s="43"/>
      <c r="CW106" s="43"/>
      <c r="CX106" s="43"/>
      <c r="CY106" s="43"/>
      <c r="CZ106" s="43"/>
      <c r="DA106" s="43"/>
      <c r="DB106" s="43"/>
      <c r="DC106" s="43"/>
      <c r="DD106" s="43"/>
      <c r="DE106" s="43"/>
      <c r="DF106" s="43"/>
      <c r="DG106" s="43"/>
      <c r="DH106" s="43"/>
      <c r="DI106" s="43"/>
      <c r="DJ106" s="43"/>
      <c r="DK106" s="43"/>
      <c r="DL106" s="43"/>
      <c r="DM106" s="43"/>
      <c r="DN106" s="43"/>
      <c r="DO106" s="43"/>
      <c r="DP106" s="43"/>
      <c r="DQ106" s="43"/>
      <c r="DR106" s="43"/>
      <c r="DS106" s="43"/>
      <c r="DT106" s="43"/>
      <c r="DU106" s="43"/>
      <c r="DV106" s="43"/>
      <c r="DW106" s="43"/>
      <c r="DX106" s="43"/>
      <c r="DY106" s="43"/>
      <c r="DZ106" s="43"/>
      <c r="EA106" s="43"/>
      <c r="EB106" s="43"/>
      <c r="EC106" s="43"/>
      <c r="ED106" s="43"/>
      <c r="EE106" s="43"/>
      <c r="EF106" s="43"/>
      <c r="EG106" s="43"/>
      <c r="EH106" s="43"/>
      <c r="EI106" s="43"/>
      <c r="EJ106" s="43"/>
      <c r="EK106" s="43"/>
      <c r="EL106" s="43"/>
      <c r="EM106" s="43"/>
      <c r="EN106" s="43"/>
      <c r="EO106" s="43"/>
      <c r="EP106" s="43"/>
      <c r="EQ106" s="43"/>
      <c r="ER106" s="43"/>
      <c r="ES106" s="43"/>
      <c r="ET106" s="43"/>
      <c r="EU106" s="43"/>
      <c r="EV106" s="43"/>
      <c r="EW106" s="43"/>
      <c r="EX106" s="43"/>
      <c r="EY106" s="43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</row>
    <row r="107" spans="1:190" s="24" customFormat="1" ht="15.75" customHeight="1">
      <c r="A107" s="73">
        <v>42394</v>
      </c>
      <c r="B107" s="70" t="s">
        <v>376</v>
      </c>
      <c r="C107" s="71" t="s">
        <v>791</v>
      </c>
      <c r="D107" s="71" t="s">
        <v>776</v>
      </c>
      <c r="E107" s="75">
        <v>22300</v>
      </c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/>
      <c r="CI107" s="43"/>
      <c r="CJ107" s="43"/>
      <c r="CK107" s="43"/>
      <c r="CL107" s="43"/>
      <c r="CM107" s="43"/>
      <c r="CN107" s="43"/>
      <c r="CO107" s="43"/>
      <c r="CP107" s="43"/>
      <c r="CQ107" s="43"/>
      <c r="CR107" s="43"/>
      <c r="CS107" s="43"/>
      <c r="CT107" s="43"/>
      <c r="CU107" s="43"/>
      <c r="CV107" s="43"/>
      <c r="CW107" s="43"/>
      <c r="CX107" s="43"/>
      <c r="CY107" s="43"/>
      <c r="CZ107" s="43"/>
      <c r="DA107" s="43"/>
      <c r="DB107" s="43"/>
      <c r="DC107" s="43"/>
      <c r="DD107" s="43"/>
      <c r="DE107" s="43"/>
      <c r="DF107" s="43"/>
      <c r="DG107" s="43"/>
      <c r="DH107" s="43"/>
      <c r="DI107" s="43"/>
      <c r="DJ107" s="43"/>
      <c r="DK107" s="43"/>
      <c r="DL107" s="43"/>
      <c r="DM107" s="43"/>
      <c r="DN107" s="43"/>
      <c r="DO107" s="43"/>
      <c r="DP107" s="43"/>
      <c r="DQ107" s="43"/>
      <c r="DR107" s="43"/>
      <c r="DS107" s="43"/>
      <c r="DT107" s="43"/>
      <c r="DU107" s="43"/>
      <c r="DV107" s="43"/>
      <c r="DW107" s="43"/>
      <c r="DX107" s="43"/>
      <c r="DY107" s="43"/>
      <c r="DZ107" s="43"/>
      <c r="EA107" s="43"/>
      <c r="EB107" s="43"/>
      <c r="EC107" s="43"/>
      <c r="ED107" s="43"/>
      <c r="EE107" s="43"/>
      <c r="EF107" s="43"/>
      <c r="EG107" s="43"/>
      <c r="EH107" s="43"/>
      <c r="EI107" s="43"/>
      <c r="EJ107" s="43"/>
      <c r="EK107" s="43"/>
      <c r="EL107" s="43"/>
      <c r="EM107" s="43"/>
      <c r="EN107" s="43"/>
      <c r="EO107" s="43"/>
      <c r="EP107" s="43"/>
      <c r="EQ107" s="43"/>
      <c r="ER107" s="43"/>
      <c r="ES107" s="43"/>
      <c r="ET107" s="43"/>
      <c r="EU107" s="43"/>
      <c r="EV107" s="43"/>
      <c r="EW107" s="43"/>
      <c r="EX107" s="43"/>
      <c r="EY107" s="43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</row>
    <row r="108" spans="1:190" s="24" customFormat="1" ht="15.75" customHeight="1">
      <c r="A108" s="72">
        <v>42496</v>
      </c>
      <c r="B108" s="68" t="s">
        <v>376</v>
      </c>
      <c r="C108" s="69" t="s">
        <v>791</v>
      </c>
      <c r="D108" s="69" t="s">
        <v>776</v>
      </c>
      <c r="E108" s="74">
        <v>22300</v>
      </c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3"/>
      <c r="CA108" s="43"/>
      <c r="CB108" s="43"/>
      <c r="CC108" s="43"/>
      <c r="CD108" s="43"/>
      <c r="CE108" s="43"/>
      <c r="CF108" s="43"/>
      <c r="CG108" s="43"/>
      <c r="CH108" s="43"/>
      <c r="CI108" s="43"/>
      <c r="CJ108" s="43"/>
      <c r="CK108" s="43"/>
      <c r="CL108" s="43"/>
      <c r="CM108" s="43"/>
      <c r="CN108" s="43"/>
      <c r="CO108" s="43"/>
      <c r="CP108" s="43"/>
      <c r="CQ108" s="43"/>
      <c r="CR108" s="43"/>
      <c r="CS108" s="43"/>
      <c r="CT108" s="43"/>
      <c r="CU108" s="43"/>
      <c r="CV108" s="43"/>
      <c r="CW108" s="43"/>
      <c r="CX108" s="43"/>
      <c r="CY108" s="43"/>
      <c r="CZ108" s="43"/>
      <c r="DA108" s="43"/>
      <c r="DB108" s="43"/>
      <c r="DC108" s="43"/>
      <c r="DD108" s="43"/>
      <c r="DE108" s="43"/>
      <c r="DF108" s="43"/>
      <c r="DG108" s="43"/>
      <c r="DH108" s="43"/>
      <c r="DI108" s="43"/>
      <c r="DJ108" s="43"/>
      <c r="DK108" s="43"/>
      <c r="DL108" s="43"/>
      <c r="DM108" s="43"/>
      <c r="DN108" s="43"/>
      <c r="DO108" s="43"/>
      <c r="DP108" s="43"/>
      <c r="DQ108" s="43"/>
      <c r="DR108" s="43"/>
      <c r="DS108" s="43"/>
      <c r="DT108" s="43"/>
      <c r="DU108" s="43"/>
      <c r="DV108" s="43"/>
      <c r="DW108" s="43"/>
      <c r="DX108" s="43"/>
      <c r="DY108" s="43"/>
      <c r="DZ108" s="43"/>
      <c r="EA108" s="43"/>
      <c r="EB108" s="43"/>
      <c r="EC108" s="43"/>
      <c r="ED108" s="43"/>
      <c r="EE108" s="43"/>
      <c r="EF108" s="43"/>
      <c r="EG108" s="43"/>
      <c r="EH108" s="43"/>
      <c r="EI108" s="43"/>
      <c r="EJ108" s="43"/>
      <c r="EK108" s="43"/>
      <c r="EL108" s="43"/>
      <c r="EM108" s="43"/>
      <c r="EN108" s="43"/>
      <c r="EO108" s="43"/>
      <c r="EP108" s="43"/>
      <c r="EQ108" s="43"/>
      <c r="ER108" s="43"/>
      <c r="ES108" s="43"/>
      <c r="ET108" s="43"/>
      <c r="EU108" s="43"/>
      <c r="EV108" s="43"/>
      <c r="EW108" s="43"/>
      <c r="EX108" s="43"/>
      <c r="EY108" s="43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</row>
    <row r="109" spans="1:190" s="24" customFormat="1" ht="15.75" customHeight="1">
      <c r="A109" s="73">
        <v>42715</v>
      </c>
      <c r="B109" s="70" t="s">
        <v>578</v>
      </c>
      <c r="C109" s="71" t="s">
        <v>793</v>
      </c>
      <c r="D109" s="71" t="s">
        <v>776</v>
      </c>
      <c r="E109" s="75">
        <v>22300</v>
      </c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  <c r="CS109" s="43"/>
      <c r="CT109" s="43"/>
      <c r="CU109" s="43"/>
      <c r="CV109" s="43"/>
      <c r="CW109" s="43"/>
      <c r="CX109" s="43"/>
      <c r="CY109" s="43"/>
      <c r="CZ109" s="43"/>
      <c r="DA109" s="43"/>
      <c r="DB109" s="43"/>
      <c r="DC109" s="43"/>
      <c r="DD109" s="43"/>
      <c r="DE109" s="43"/>
      <c r="DF109" s="43"/>
      <c r="DG109" s="43"/>
      <c r="DH109" s="43"/>
      <c r="DI109" s="43"/>
      <c r="DJ109" s="43"/>
      <c r="DK109" s="43"/>
      <c r="DL109" s="43"/>
      <c r="DM109" s="43"/>
      <c r="DN109" s="43"/>
      <c r="DO109" s="43"/>
      <c r="DP109" s="43"/>
      <c r="DQ109" s="43"/>
      <c r="DR109" s="43"/>
      <c r="DS109" s="43"/>
      <c r="DT109" s="43"/>
      <c r="DU109" s="43"/>
      <c r="DV109" s="43"/>
      <c r="DW109" s="43"/>
      <c r="DX109" s="43"/>
      <c r="DY109" s="43"/>
      <c r="DZ109" s="43"/>
      <c r="EA109" s="43"/>
      <c r="EB109" s="43"/>
      <c r="EC109" s="43"/>
      <c r="ED109" s="43"/>
      <c r="EE109" s="43"/>
      <c r="EF109" s="43"/>
      <c r="EG109" s="43"/>
      <c r="EH109" s="43"/>
      <c r="EI109" s="43"/>
      <c r="EJ109" s="43"/>
      <c r="EK109" s="43"/>
      <c r="EL109" s="43"/>
      <c r="EM109" s="43"/>
      <c r="EN109" s="43"/>
      <c r="EO109" s="43"/>
      <c r="EP109" s="43"/>
      <c r="EQ109" s="43"/>
      <c r="ER109" s="43"/>
      <c r="ES109" s="43"/>
      <c r="ET109" s="43"/>
      <c r="EU109" s="43"/>
      <c r="EV109" s="43"/>
      <c r="EW109" s="43"/>
      <c r="EX109" s="43"/>
      <c r="EY109" s="43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</row>
    <row r="110" spans="1:190" s="24" customFormat="1" ht="15.75" customHeight="1">
      <c r="A110" s="72">
        <v>42230</v>
      </c>
      <c r="B110" s="68" t="s">
        <v>578</v>
      </c>
      <c r="C110" s="69" t="s">
        <v>754</v>
      </c>
      <c r="D110" s="69" t="s">
        <v>750</v>
      </c>
      <c r="E110" s="74">
        <v>5400</v>
      </c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3"/>
      <c r="CB110" s="43"/>
      <c r="CC110" s="43"/>
      <c r="CD110" s="43"/>
      <c r="CE110" s="43"/>
      <c r="CF110" s="43"/>
      <c r="CG110" s="43"/>
      <c r="CH110" s="43"/>
      <c r="CI110" s="43"/>
      <c r="CJ110" s="43"/>
      <c r="CK110" s="43"/>
      <c r="CL110" s="43"/>
      <c r="CM110" s="43"/>
      <c r="CN110" s="43"/>
      <c r="CO110" s="43"/>
      <c r="CP110" s="43"/>
      <c r="CQ110" s="43"/>
      <c r="CR110" s="43"/>
      <c r="CS110" s="43"/>
      <c r="CT110" s="43"/>
      <c r="CU110" s="43"/>
      <c r="CV110" s="43"/>
      <c r="CW110" s="43"/>
      <c r="CX110" s="43"/>
      <c r="CY110" s="43"/>
      <c r="CZ110" s="43"/>
      <c r="DA110" s="43"/>
      <c r="DB110" s="43"/>
      <c r="DC110" s="43"/>
      <c r="DD110" s="43"/>
      <c r="DE110" s="43"/>
      <c r="DF110" s="43"/>
      <c r="DG110" s="43"/>
      <c r="DH110" s="43"/>
      <c r="DI110" s="43"/>
      <c r="DJ110" s="43"/>
      <c r="DK110" s="43"/>
      <c r="DL110" s="43"/>
      <c r="DM110" s="43"/>
      <c r="DN110" s="43"/>
      <c r="DO110" s="43"/>
      <c r="DP110" s="43"/>
      <c r="DQ110" s="43"/>
      <c r="DR110" s="43"/>
      <c r="DS110" s="43"/>
      <c r="DT110" s="43"/>
      <c r="DU110" s="43"/>
      <c r="DV110" s="43"/>
      <c r="DW110" s="43"/>
      <c r="DX110" s="43"/>
      <c r="DY110" s="43"/>
      <c r="DZ110" s="43"/>
      <c r="EA110" s="43"/>
      <c r="EB110" s="43"/>
      <c r="EC110" s="43"/>
      <c r="ED110" s="43"/>
      <c r="EE110" s="43"/>
      <c r="EF110" s="43"/>
      <c r="EG110" s="43"/>
      <c r="EH110" s="43"/>
      <c r="EI110" s="43"/>
      <c r="EJ110" s="43"/>
      <c r="EK110" s="43"/>
      <c r="EL110" s="43"/>
      <c r="EM110" s="43"/>
      <c r="EN110" s="43"/>
      <c r="EO110" s="43"/>
      <c r="EP110" s="43"/>
      <c r="EQ110" s="43"/>
      <c r="ER110" s="43"/>
      <c r="ES110" s="43"/>
      <c r="ET110" s="43"/>
      <c r="EU110" s="43"/>
      <c r="EV110" s="43"/>
      <c r="EW110" s="43"/>
      <c r="EX110" s="43"/>
      <c r="EY110" s="43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</row>
    <row r="111" spans="1:190" s="24" customFormat="1" ht="15.75" customHeight="1">
      <c r="A111" s="73">
        <v>42263</v>
      </c>
      <c r="B111" s="70" t="s">
        <v>578</v>
      </c>
      <c r="C111" s="71" t="s">
        <v>754</v>
      </c>
      <c r="D111" s="71" t="s">
        <v>750</v>
      </c>
      <c r="E111" s="75">
        <v>5400</v>
      </c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  <c r="BZ111" s="43"/>
      <c r="CA111" s="43"/>
      <c r="CB111" s="43"/>
      <c r="CC111" s="43"/>
      <c r="CD111" s="43"/>
      <c r="CE111" s="43"/>
      <c r="CF111" s="43"/>
      <c r="CG111" s="43"/>
      <c r="CH111" s="43"/>
      <c r="CI111" s="43"/>
      <c r="CJ111" s="43"/>
      <c r="CK111" s="43"/>
      <c r="CL111" s="43"/>
      <c r="CM111" s="43"/>
      <c r="CN111" s="43"/>
      <c r="CO111" s="43"/>
      <c r="CP111" s="43"/>
      <c r="CQ111" s="43"/>
      <c r="CR111" s="43"/>
      <c r="CS111" s="43"/>
      <c r="CT111" s="43"/>
      <c r="CU111" s="43"/>
      <c r="CV111" s="43"/>
      <c r="CW111" s="43"/>
      <c r="CX111" s="43"/>
      <c r="CY111" s="43"/>
      <c r="CZ111" s="43"/>
      <c r="DA111" s="43"/>
      <c r="DB111" s="43"/>
      <c r="DC111" s="43"/>
      <c r="DD111" s="43"/>
      <c r="DE111" s="43"/>
      <c r="DF111" s="43"/>
      <c r="DG111" s="43"/>
      <c r="DH111" s="43"/>
      <c r="DI111" s="43"/>
      <c r="DJ111" s="43"/>
      <c r="DK111" s="43"/>
      <c r="DL111" s="43"/>
      <c r="DM111" s="43"/>
      <c r="DN111" s="43"/>
      <c r="DO111" s="43"/>
      <c r="DP111" s="43"/>
      <c r="DQ111" s="43"/>
      <c r="DR111" s="43"/>
      <c r="DS111" s="43"/>
      <c r="DT111" s="43"/>
      <c r="DU111" s="43"/>
      <c r="DV111" s="43"/>
      <c r="DW111" s="43"/>
      <c r="DX111" s="43"/>
      <c r="DY111" s="43"/>
      <c r="DZ111" s="43"/>
      <c r="EA111" s="43"/>
      <c r="EB111" s="43"/>
      <c r="EC111" s="43"/>
      <c r="ED111" s="43"/>
      <c r="EE111" s="43"/>
      <c r="EF111" s="43"/>
      <c r="EG111" s="43"/>
      <c r="EH111" s="43"/>
      <c r="EI111" s="43"/>
      <c r="EJ111" s="43"/>
      <c r="EK111" s="43"/>
      <c r="EL111" s="43"/>
      <c r="EM111" s="43"/>
      <c r="EN111" s="43"/>
      <c r="EO111" s="43"/>
      <c r="EP111" s="43"/>
      <c r="EQ111" s="43"/>
      <c r="ER111" s="43"/>
      <c r="ES111" s="43"/>
      <c r="ET111" s="43"/>
      <c r="EU111" s="43"/>
      <c r="EV111" s="43"/>
      <c r="EW111" s="43"/>
      <c r="EX111" s="43"/>
      <c r="EY111" s="43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</row>
    <row r="112" spans="1:190" s="24" customFormat="1" ht="15.75" customHeight="1">
      <c r="A112" s="72">
        <v>42014</v>
      </c>
      <c r="B112" s="68" t="s">
        <v>376</v>
      </c>
      <c r="C112" s="69" t="s">
        <v>754</v>
      </c>
      <c r="D112" s="69" t="s">
        <v>750</v>
      </c>
      <c r="E112" s="74">
        <v>5400</v>
      </c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3"/>
      <c r="CB112" s="43"/>
      <c r="CC112" s="43"/>
      <c r="CD112" s="43"/>
      <c r="CE112" s="43"/>
      <c r="CF112" s="43"/>
      <c r="CG112" s="43"/>
      <c r="CH112" s="43"/>
      <c r="CI112" s="43"/>
      <c r="CJ112" s="43"/>
      <c r="CK112" s="43"/>
      <c r="CL112" s="43"/>
      <c r="CM112" s="43"/>
      <c r="CN112" s="43"/>
      <c r="CO112" s="43"/>
      <c r="CP112" s="43"/>
      <c r="CQ112" s="43"/>
      <c r="CR112" s="43"/>
      <c r="CS112" s="43"/>
      <c r="CT112" s="43"/>
      <c r="CU112" s="43"/>
      <c r="CV112" s="43"/>
      <c r="CW112" s="43"/>
      <c r="CX112" s="43"/>
      <c r="CY112" s="43"/>
      <c r="CZ112" s="43"/>
      <c r="DA112" s="43"/>
      <c r="DB112" s="43"/>
      <c r="DC112" s="43"/>
      <c r="DD112" s="43"/>
      <c r="DE112" s="43"/>
      <c r="DF112" s="43"/>
      <c r="DG112" s="43"/>
      <c r="DH112" s="43"/>
      <c r="DI112" s="43"/>
      <c r="DJ112" s="43"/>
      <c r="DK112" s="43"/>
      <c r="DL112" s="43"/>
      <c r="DM112" s="43"/>
      <c r="DN112" s="43"/>
      <c r="DO112" s="43"/>
      <c r="DP112" s="43"/>
      <c r="DQ112" s="43"/>
      <c r="DR112" s="43"/>
      <c r="DS112" s="43"/>
      <c r="DT112" s="43"/>
      <c r="DU112" s="43"/>
      <c r="DV112" s="43"/>
      <c r="DW112" s="43"/>
      <c r="DX112" s="43"/>
      <c r="DY112" s="43"/>
      <c r="DZ112" s="43"/>
      <c r="EA112" s="43"/>
      <c r="EB112" s="43"/>
      <c r="EC112" s="43"/>
      <c r="ED112" s="43"/>
      <c r="EE112" s="43"/>
      <c r="EF112" s="43"/>
      <c r="EG112" s="43"/>
      <c r="EH112" s="43"/>
      <c r="EI112" s="43"/>
      <c r="EJ112" s="43"/>
      <c r="EK112" s="43"/>
      <c r="EL112" s="43"/>
      <c r="EM112" s="43"/>
      <c r="EN112" s="43"/>
      <c r="EO112" s="43"/>
      <c r="EP112" s="43"/>
      <c r="EQ112" s="43"/>
      <c r="ER112" s="43"/>
      <c r="ES112" s="43"/>
      <c r="ET112" s="43"/>
      <c r="EU112" s="43"/>
      <c r="EV112" s="43"/>
      <c r="EW112" s="43"/>
      <c r="EX112" s="43"/>
      <c r="EY112" s="43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</row>
    <row r="113" spans="1:190" s="24" customFormat="1" ht="15.75" customHeight="1">
      <c r="A113" s="73">
        <v>42018</v>
      </c>
      <c r="B113" s="70" t="s">
        <v>376</v>
      </c>
      <c r="C113" s="71" t="s">
        <v>754</v>
      </c>
      <c r="D113" s="71" t="s">
        <v>750</v>
      </c>
      <c r="E113" s="75">
        <v>5400</v>
      </c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3"/>
      <c r="CA113" s="43"/>
      <c r="CB113" s="43"/>
      <c r="CC113" s="43"/>
      <c r="CD113" s="43"/>
      <c r="CE113" s="43"/>
      <c r="CF113" s="43"/>
      <c r="CG113" s="43"/>
      <c r="CH113" s="43"/>
      <c r="CI113" s="43"/>
      <c r="CJ113" s="43"/>
      <c r="CK113" s="43"/>
      <c r="CL113" s="43"/>
      <c r="CM113" s="43"/>
      <c r="CN113" s="43"/>
      <c r="CO113" s="43"/>
      <c r="CP113" s="43"/>
      <c r="CQ113" s="43"/>
      <c r="CR113" s="43"/>
      <c r="CS113" s="43"/>
      <c r="CT113" s="43"/>
      <c r="CU113" s="43"/>
      <c r="CV113" s="43"/>
      <c r="CW113" s="43"/>
      <c r="CX113" s="43"/>
      <c r="CY113" s="43"/>
      <c r="CZ113" s="43"/>
      <c r="DA113" s="43"/>
      <c r="DB113" s="43"/>
      <c r="DC113" s="43"/>
      <c r="DD113" s="43"/>
      <c r="DE113" s="43"/>
      <c r="DF113" s="43"/>
      <c r="DG113" s="43"/>
      <c r="DH113" s="43"/>
      <c r="DI113" s="43"/>
      <c r="DJ113" s="43"/>
      <c r="DK113" s="43"/>
      <c r="DL113" s="43"/>
      <c r="DM113" s="43"/>
      <c r="DN113" s="43"/>
      <c r="DO113" s="43"/>
      <c r="DP113" s="43"/>
      <c r="DQ113" s="43"/>
      <c r="DR113" s="43"/>
      <c r="DS113" s="43"/>
      <c r="DT113" s="43"/>
      <c r="DU113" s="43"/>
      <c r="DV113" s="43"/>
      <c r="DW113" s="43"/>
      <c r="DX113" s="43"/>
      <c r="DY113" s="43"/>
      <c r="DZ113" s="43"/>
      <c r="EA113" s="43"/>
      <c r="EB113" s="43"/>
      <c r="EC113" s="43"/>
      <c r="ED113" s="43"/>
      <c r="EE113" s="43"/>
      <c r="EF113" s="43"/>
      <c r="EG113" s="43"/>
      <c r="EH113" s="43"/>
      <c r="EI113" s="43"/>
      <c r="EJ113" s="43"/>
      <c r="EK113" s="43"/>
      <c r="EL113" s="43"/>
      <c r="EM113" s="43"/>
      <c r="EN113" s="43"/>
      <c r="EO113" s="43"/>
      <c r="EP113" s="43"/>
      <c r="EQ113" s="43"/>
      <c r="ER113" s="43"/>
      <c r="ES113" s="43"/>
      <c r="ET113" s="43"/>
      <c r="EU113" s="43"/>
      <c r="EV113" s="43"/>
      <c r="EW113" s="43"/>
      <c r="EX113" s="43"/>
      <c r="EY113" s="43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</row>
    <row r="114" spans="1:190" s="24" customFormat="1" ht="15.75" customHeight="1">
      <c r="A114" s="72">
        <v>42050</v>
      </c>
      <c r="B114" s="68" t="s">
        <v>376</v>
      </c>
      <c r="C114" s="69" t="s">
        <v>754</v>
      </c>
      <c r="D114" s="69" t="s">
        <v>750</v>
      </c>
      <c r="E114" s="74">
        <v>5400</v>
      </c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3"/>
      <c r="BZ114" s="43"/>
      <c r="CA114" s="43"/>
      <c r="CB114" s="43"/>
      <c r="CC114" s="43"/>
      <c r="CD114" s="43"/>
      <c r="CE114" s="43"/>
      <c r="CF114" s="43"/>
      <c r="CG114" s="43"/>
      <c r="CH114" s="43"/>
      <c r="CI114" s="43"/>
      <c r="CJ114" s="43"/>
      <c r="CK114" s="43"/>
      <c r="CL114" s="43"/>
      <c r="CM114" s="43"/>
      <c r="CN114" s="43"/>
      <c r="CO114" s="43"/>
      <c r="CP114" s="43"/>
      <c r="CQ114" s="43"/>
      <c r="CR114" s="43"/>
      <c r="CS114" s="43"/>
      <c r="CT114" s="43"/>
      <c r="CU114" s="43"/>
      <c r="CV114" s="43"/>
      <c r="CW114" s="43"/>
      <c r="CX114" s="43"/>
      <c r="CY114" s="43"/>
      <c r="CZ114" s="43"/>
      <c r="DA114" s="43"/>
      <c r="DB114" s="43"/>
      <c r="DC114" s="43"/>
      <c r="DD114" s="43"/>
      <c r="DE114" s="43"/>
      <c r="DF114" s="43"/>
      <c r="DG114" s="43"/>
      <c r="DH114" s="43"/>
      <c r="DI114" s="43"/>
      <c r="DJ114" s="43"/>
      <c r="DK114" s="43"/>
      <c r="DL114" s="43"/>
      <c r="DM114" s="43"/>
      <c r="DN114" s="43"/>
      <c r="DO114" s="43"/>
      <c r="DP114" s="43"/>
      <c r="DQ114" s="43"/>
      <c r="DR114" s="43"/>
      <c r="DS114" s="43"/>
      <c r="DT114" s="43"/>
      <c r="DU114" s="43"/>
      <c r="DV114" s="43"/>
      <c r="DW114" s="43"/>
      <c r="DX114" s="43"/>
      <c r="DY114" s="43"/>
      <c r="DZ114" s="43"/>
      <c r="EA114" s="43"/>
      <c r="EB114" s="43"/>
      <c r="EC114" s="43"/>
      <c r="ED114" s="43"/>
      <c r="EE114" s="43"/>
      <c r="EF114" s="43"/>
      <c r="EG114" s="43"/>
      <c r="EH114" s="43"/>
      <c r="EI114" s="43"/>
      <c r="EJ114" s="43"/>
      <c r="EK114" s="43"/>
      <c r="EL114" s="43"/>
      <c r="EM114" s="43"/>
      <c r="EN114" s="43"/>
      <c r="EO114" s="43"/>
      <c r="EP114" s="43"/>
      <c r="EQ114" s="43"/>
      <c r="ER114" s="43"/>
      <c r="ES114" s="43"/>
      <c r="ET114" s="43"/>
      <c r="EU114" s="43"/>
      <c r="EV114" s="43"/>
      <c r="EW114" s="43"/>
      <c r="EX114" s="43"/>
      <c r="EY114" s="43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</row>
    <row r="115" spans="1:190" s="24" customFormat="1" ht="15.75" customHeight="1">
      <c r="A115" s="73">
        <v>42054</v>
      </c>
      <c r="B115" s="70" t="s">
        <v>376</v>
      </c>
      <c r="C115" s="71" t="s">
        <v>754</v>
      </c>
      <c r="D115" s="71" t="s">
        <v>750</v>
      </c>
      <c r="E115" s="75">
        <v>5400</v>
      </c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3"/>
      <c r="BZ115" s="43"/>
      <c r="CA115" s="43"/>
      <c r="CB115" s="43"/>
      <c r="CC115" s="43"/>
      <c r="CD115" s="43"/>
      <c r="CE115" s="43"/>
      <c r="CF115" s="43"/>
      <c r="CG115" s="43"/>
      <c r="CH115" s="43"/>
      <c r="CI115" s="43"/>
      <c r="CJ115" s="43"/>
      <c r="CK115" s="43"/>
      <c r="CL115" s="43"/>
      <c r="CM115" s="43"/>
      <c r="CN115" s="43"/>
      <c r="CO115" s="43"/>
      <c r="CP115" s="43"/>
      <c r="CQ115" s="43"/>
      <c r="CR115" s="43"/>
      <c r="CS115" s="43"/>
      <c r="CT115" s="43"/>
      <c r="CU115" s="43"/>
      <c r="CV115" s="43"/>
      <c r="CW115" s="43"/>
      <c r="CX115" s="43"/>
      <c r="CY115" s="43"/>
      <c r="CZ115" s="43"/>
      <c r="DA115" s="43"/>
      <c r="DB115" s="43"/>
      <c r="DC115" s="43"/>
      <c r="DD115" s="43"/>
      <c r="DE115" s="43"/>
      <c r="DF115" s="43"/>
      <c r="DG115" s="43"/>
      <c r="DH115" s="43"/>
      <c r="DI115" s="43"/>
      <c r="DJ115" s="43"/>
      <c r="DK115" s="43"/>
      <c r="DL115" s="43"/>
      <c r="DM115" s="43"/>
      <c r="DN115" s="43"/>
      <c r="DO115" s="43"/>
      <c r="DP115" s="43"/>
      <c r="DQ115" s="43"/>
      <c r="DR115" s="43"/>
      <c r="DS115" s="43"/>
      <c r="DT115" s="43"/>
      <c r="DU115" s="43"/>
      <c r="DV115" s="43"/>
      <c r="DW115" s="43"/>
      <c r="DX115" s="43"/>
      <c r="DY115" s="43"/>
      <c r="DZ115" s="43"/>
      <c r="EA115" s="43"/>
      <c r="EB115" s="43"/>
      <c r="EC115" s="43"/>
      <c r="ED115" s="43"/>
      <c r="EE115" s="43"/>
      <c r="EF115" s="43"/>
      <c r="EG115" s="43"/>
      <c r="EH115" s="43"/>
      <c r="EI115" s="43"/>
      <c r="EJ115" s="43"/>
      <c r="EK115" s="43"/>
      <c r="EL115" s="43"/>
      <c r="EM115" s="43"/>
      <c r="EN115" s="43"/>
      <c r="EO115" s="43"/>
      <c r="EP115" s="43"/>
      <c r="EQ115" s="43"/>
      <c r="ER115" s="43"/>
      <c r="ES115" s="43"/>
      <c r="ET115" s="43"/>
      <c r="EU115" s="43"/>
      <c r="EV115" s="43"/>
      <c r="EW115" s="43"/>
      <c r="EX115" s="43"/>
      <c r="EY115" s="43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</row>
    <row r="116" spans="1:190" s="24" customFormat="1" ht="15.75" customHeight="1">
      <c r="A116" s="72">
        <v>42619</v>
      </c>
      <c r="B116" s="68" t="s">
        <v>376</v>
      </c>
      <c r="C116" s="69" t="s">
        <v>754</v>
      </c>
      <c r="D116" s="69" t="s">
        <v>750</v>
      </c>
      <c r="E116" s="74">
        <v>5400</v>
      </c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43"/>
      <c r="BN116" s="43"/>
      <c r="BO116" s="43"/>
      <c r="BP116" s="43"/>
      <c r="BQ116" s="43"/>
      <c r="BR116" s="43"/>
      <c r="BS116" s="43"/>
      <c r="BT116" s="43"/>
      <c r="BU116" s="43"/>
      <c r="BV116" s="43"/>
      <c r="BW116" s="43"/>
      <c r="BX116" s="43"/>
      <c r="BY116" s="43"/>
      <c r="BZ116" s="43"/>
      <c r="CA116" s="43"/>
      <c r="CB116" s="43"/>
      <c r="CC116" s="43"/>
      <c r="CD116" s="43"/>
      <c r="CE116" s="43"/>
      <c r="CF116" s="43"/>
      <c r="CG116" s="43"/>
      <c r="CH116" s="43"/>
      <c r="CI116" s="43"/>
      <c r="CJ116" s="43"/>
      <c r="CK116" s="43"/>
      <c r="CL116" s="43"/>
      <c r="CM116" s="43"/>
      <c r="CN116" s="43"/>
      <c r="CO116" s="43"/>
      <c r="CP116" s="43"/>
      <c r="CQ116" s="43"/>
      <c r="CR116" s="43"/>
      <c r="CS116" s="43"/>
      <c r="CT116" s="43"/>
      <c r="CU116" s="43"/>
      <c r="CV116" s="43"/>
      <c r="CW116" s="43"/>
      <c r="CX116" s="43"/>
      <c r="CY116" s="43"/>
      <c r="CZ116" s="43"/>
      <c r="DA116" s="43"/>
      <c r="DB116" s="43"/>
      <c r="DC116" s="43"/>
      <c r="DD116" s="43"/>
      <c r="DE116" s="43"/>
      <c r="DF116" s="43"/>
      <c r="DG116" s="43"/>
      <c r="DH116" s="43"/>
      <c r="DI116" s="43"/>
      <c r="DJ116" s="43"/>
      <c r="DK116" s="43"/>
      <c r="DL116" s="43"/>
      <c r="DM116" s="43"/>
      <c r="DN116" s="43"/>
      <c r="DO116" s="43"/>
      <c r="DP116" s="43"/>
      <c r="DQ116" s="43"/>
      <c r="DR116" s="43"/>
      <c r="DS116" s="43"/>
      <c r="DT116" s="43"/>
      <c r="DU116" s="43"/>
      <c r="DV116" s="43"/>
      <c r="DW116" s="43"/>
      <c r="DX116" s="43"/>
      <c r="DY116" s="43"/>
      <c r="DZ116" s="43"/>
      <c r="EA116" s="43"/>
      <c r="EB116" s="43"/>
      <c r="EC116" s="43"/>
      <c r="ED116" s="43"/>
      <c r="EE116" s="43"/>
      <c r="EF116" s="43"/>
      <c r="EG116" s="43"/>
      <c r="EH116" s="43"/>
      <c r="EI116" s="43"/>
      <c r="EJ116" s="43"/>
      <c r="EK116" s="43"/>
      <c r="EL116" s="43"/>
      <c r="EM116" s="43"/>
      <c r="EN116" s="43"/>
      <c r="EO116" s="43"/>
      <c r="EP116" s="43"/>
      <c r="EQ116" s="43"/>
      <c r="ER116" s="43"/>
      <c r="ES116" s="43"/>
      <c r="ET116" s="43"/>
      <c r="EU116" s="43"/>
      <c r="EV116" s="43"/>
      <c r="EW116" s="43"/>
      <c r="EX116" s="43"/>
      <c r="EY116" s="43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</row>
    <row r="117" spans="1:190" s="24" customFormat="1" ht="15.75" customHeight="1">
      <c r="A117" s="73">
        <v>42620</v>
      </c>
      <c r="B117" s="70" t="s">
        <v>376</v>
      </c>
      <c r="C117" s="71" t="s">
        <v>754</v>
      </c>
      <c r="D117" s="71" t="s">
        <v>750</v>
      </c>
      <c r="E117" s="75">
        <v>5400</v>
      </c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  <c r="EB117" s="43"/>
      <c r="EC117" s="43"/>
      <c r="ED117" s="43"/>
      <c r="EE117" s="43"/>
      <c r="EF117" s="43"/>
      <c r="EG117" s="43"/>
      <c r="EH117" s="43"/>
      <c r="EI117" s="43"/>
      <c r="EJ117" s="43"/>
      <c r="EK117" s="43"/>
      <c r="EL117" s="43"/>
      <c r="EM117" s="43"/>
      <c r="EN117" s="43"/>
      <c r="EO117" s="43"/>
      <c r="EP117" s="43"/>
      <c r="EQ117" s="43"/>
      <c r="ER117" s="43"/>
      <c r="ES117" s="43"/>
      <c r="ET117" s="43"/>
      <c r="EU117" s="43"/>
      <c r="EV117" s="43"/>
      <c r="EW117" s="43"/>
      <c r="EX117" s="43"/>
      <c r="EY117" s="43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</row>
    <row r="118" spans="1:190" s="24" customFormat="1" ht="15.75" customHeight="1">
      <c r="A118" s="72">
        <v>42395</v>
      </c>
      <c r="B118" s="68" t="s">
        <v>578</v>
      </c>
      <c r="C118" s="69" t="s">
        <v>773</v>
      </c>
      <c r="D118" s="69" t="s">
        <v>748</v>
      </c>
      <c r="E118" s="74">
        <v>265</v>
      </c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3"/>
      <c r="BZ118" s="43"/>
      <c r="CA118" s="43"/>
      <c r="CB118" s="43"/>
      <c r="CC118" s="43"/>
      <c r="CD118" s="43"/>
      <c r="CE118" s="43"/>
      <c r="CF118" s="43"/>
      <c r="CG118" s="43"/>
      <c r="CH118" s="43"/>
      <c r="CI118" s="43"/>
      <c r="CJ118" s="43"/>
      <c r="CK118" s="43"/>
      <c r="CL118" s="43"/>
      <c r="CM118" s="43"/>
      <c r="CN118" s="43"/>
      <c r="CO118" s="43"/>
      <c r="CP118" s="43"/>
      <c r="CQ118" s="43"/>
      <c r="CR118" s="43"/>
      <c r="CS118" s="43"/>
      <c r="CT118" s="43"/>
      <c r="CU118" s="43"/>
      <c r="CV118" s="43"/>
      <c r="CW118" s="43"/>
      <c r="CX118" s="43"/>
      <c r="CY118" s="43"/>
      <c r="CZ118" s="43"/>
      <c r="DA118" s="43"/>
      <c r="DB118" s="43"/>
      <c r="DC118" s="43"/>
      <c r="DD118" s="43"/>
      <c r="DE118" s="43"/>
      <c r="DF118" s="43"/>
      <c r="DG118" s="43"/>
      <c r="DH118" s="43"/>
      <c r="DI118" s="43"/>
      <c r="DJ118" s="43"/>
      <c r="DK118" s="43"/>
      <c r="DL118" s="43"/>
      <c r="DM118" s="43"/>
      <c r="DN118" s="43"/>
      <c r="DO118" s="43"/>
      <c r="DP118" s="43"/>
      <c r="DQ118" s="43"/>
      <c r="DR118" s="43"/>
      <c r="DS118" s="43"/>
      <c r="DT118" s="43"/>
      <c r="DU118" s="43"/>
      <c r="DV118" s="43"/>
      <c r="DW118" s="43"/>
      <c r="DX118" s="43"/>
      <c r="DY118" s="43"/>
      <c r="DZ118" s="43"/>
      <c r="EA118" s="43"/>
      <c r="EB118" s="43"/>
      <c r="EC118" s="43"/>
      <c r="ED118" s="43"/>
      <c r="EE118" s="43"/>
      <c r="EF118" s="43"/>
      <c r="EG118" s="43"/>
      <c r="EH118" s="43"/>
      <c r="EI118" s="43"/>
      <c r="EJ118" s="43"/>
      <c r="EK118" s="43"/>
      <c r="EL118" s="43"/>
      <c r="EM118" s="43"/>
      <c r="EN118" s="43"/>
      <c r="EO118" s="43"/>
      <c r="EP118" s="43"/>
      <c r="EQ118" s="43"/>
      <c r="ER118" s="43"/>
      <c r="ES118" s="43"/>
      <c r="ET118" s="43"/>
      <c r="EU118" s="43"/>
      <c r="EV118" s="43"/>
      <c r="EW118" s="43"/>
      <c r="EX118" s="43"/>
      <c r="EY118" s="43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</row>
    <row r="119" spans="1:190" s="24" customFormat="1" ht="15.75" customHeight="1">
      <c r="A119" s="73">
        <v>42443</v>
      </c>
      <c r="B119" s="70" t="s">
        <v>578</v>
      </c>
      <c r="C119" s="71" t="s">
        <v>778</v>
      </c>
      <c r="D119" s="71" t="s">
        <v>748</v>
      </c>
      <c r="E119" s="75">
        <v>55000</v>
      </c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  <c r="EB119" s="43"/>
      <c r="EC119" s="43"/>
      <c r="ED119" s="43"/>
      <c r="EE119" s="43"/>
      <c r="EF119" s="43"/>
      <c r="EG119" s="43"/>
      <c r="EH119" s="43"/>
      <c r="EI119" s="43"/>
      <c r="EJ119" s="43"/>
      <c r="EK119" s="43"/>
      <c r="EL119" s="43"/>
      <c r="EM119" s="43"/>
      <c r="EN119" s="43"/>
      <c r="EO119" s="43"/>
      <c r="EP119" s="43"/>
      <c r="EQ119" s="43"/>
      <c r="ER119" s="43"/>
      <c r="ES119" s="43"/>
      <c r="ET119" s="43"/>
      <c r="EU119" s="43"/>
      <c r="EV119" s="43"/>
      <c r="EW119" s="43"/>
      <c r="EX119" s="43"/>
      <c r="EY119" s="43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</row>
    <row r="120" spans="1:190" s="24" customFormat="1" ht="15.75" customHeight="1">
      <c r="A120" s="72">
        <v>42555</v>
      </c>
      <c r="B120" s="68" t="s">
        <v>578</v>
      </c>
      <c r="C120" s="69" t="s">
        <v>787</v>
      </c>
      <c r="D120" s="69" t="s">
        <v>750</v>
      </c>
      <c r="E120" s="74">
        <v>36000</v>
      </c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3"/>
      <c r="BZ120" s="43"/>
      <c r="CA120" s="43"/>
      <c r="CB120" s="43"/>
      <c r="CC120" s="43"/>
      <c r="CD120" s="43"/>
      <c r="CE120" s="43"/>
      <c r="CF120" s="43"/>
      <c r="CG120" s="43"/>
      <c r="CH120" s="43"/>
      <c r="CI120" s="43"/>
      <c r="CJ120" s="43"/>
      <c r="CK120" s="43"/>
      <c r="CL120" s="43"/>
      <c r="CM120" s="43"/>
      <c r="CN120" s="43"/>
      <c r="CO120" s="43"/>
      <c r="CP120" s="43"/>
      <c r="CQ120" s="43"/>
      <c r="CR120" s="43"/>
      <c r="CS120" s="43"/>
      <c r="CT120" s="43"/>
      <c r="CU120" s="43"/>
      <c r="CV120" s="43"/>
      <c r="CW120" s="43"/>
      <c r="CX120" s="43"/>
      <c r="CY120" s="43"/>
      <c r="CZ120" s="43"/>
      <c r="DA120" s="43"/>
      <c r="DB120" s="43"/>
      <c r="DC120" s="43"/>
      <c r="DD120" s="43"/>
      <c r="DE120" s="43"/>
      <c r="DF120" s="43"/>
      <c r="DG120" s="43"/>
      <c r="DH120" s="43"/>
      <c r="DI120" s="43"/>
      <c r="DJ120" s="43"/>
      <c r="DK120" s="43"/>
      <c r="DL120" s="43"/>
      <c r="DM120" s="43"/>
      <c r="DN120" s="43"/>
      <c r="DO120" s="43"/>
      <c r="DP120" s="43"/>
      <c r="DQ120" s="43"/>
      <c r="DR120" s="43"/>
      <c r="DS120" s="43"/>
      <c r="DT120" s="43"/>
      <c r="DU120" s="43"/>
      <c r="DV120" s="43"/>
      <c r="DW120" s="43"/>
      <c r="DX120" s="43"/>
      <c r="DY120" s="43"/>
      <c r="DZ120" s="43"/>
      <c r="EA120" s="43"/>
      <c r="EB120" s="43"/>
      <c r="EC120" s="43"/>
      <c r="ED120" s="43"/>
      <c r="EE120" s="43"/>
      <c r="EF120" s="43"/>
      <c r="EG120" s="43"/>
      <c r="EH120" s="43"/>
      <c r="EI120" s="43"/>
      <c r="EJ120" s="43"/>
      <c r="EK120" s="43"/>
      <c r="EL120" s="43"/>
      <c r="EM120" s="43"/>
      <c r="EN120" s="43"/>
      <c r="EO120" s="43"/>
      <c r="EP120" s="43"/>
      <c r="EQ120" s="43"/>
      <c r="ER120" s="43"/>
      <c r="ES120" s="43"/>
      <c r="ET120" s="43"/>
      <c r="EU120" s="43"/>
      <c r="EV120" s="43"/>
      <c r="EW120" s="43"/>
      <c r="EX120" s="43"/>
      <c r="EY120" s="43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</row>
    <row r="121" spans="1:190" s="24" customFormat="1" ht="15.75" customHeight="1">
      <c r="A121" s="73">
        <v>42362</v>
      </c>
      <c r="B121" s="70" t="s">
        <v>376</v>
      </c>
      <c r="C121" s="71" t="s">
        <v>787</v>
      </c>
      <c r="D121" s="71" t="s">
        <v>750</v>
      </c>
      <c r="E121" s="75">
        <v>36000</v>
      </c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3"/>
      <c r="BZ121" s="43"/>
      <c r="CA121" s="43"/>
      <c r="CB121" s="43"/>
      <c r="CC121" s="43"/>
      <c r="CD121" s="43"/>
      <c r="CE121" s="43"/>
      <c r="CF121" s="43"/>
      <c r="CG121" s="43"/>
      <c r="CH121" s="43"/>
      <c r="CI121" s="43"/>
      <c r="CJ121" s="43"/>
      <c r="CK121" s="43"/>
      <c r="CL121" s="43"/>
      <c r="CM121" s="43"/>
      <c r="CN121" s="43"/>
      <c r="CO121" s="43"/>
      <c r="CP121" s="43"/>
      <c r="CQ121" s="43"/>
      <c r="CR121" s="43"/>
      <c r="CS121" s="43"/>
      <c r="CT121" s="43"/>
      <c r="CU121" s="43"/>
      <c r="CV121" s="43"/>
      <c r="CW121" s="43"/>
      <c r="CX121" s="43"/>
      <c r="CY121" s="43"/>
      <c r="CZ121" s="43"/>
      <c r="DA121" s="43"/>
      <c r="DB121" s="43"/>
      <c r="DC121" s="43"/>
      <c r="DD121" s="43"/>
      <c r="DE121" s="43"/>
      <c r="DF121" s="43"/>
      <c r="DG121" s="43"/>
      <c r="DH121" s="43"/>
      <c r="DI121" s="43"/>
      <c r="DJ121" s="43"/>
      <c r="DK121" s="43"/>
      <c r="DL121" s="43"/>
      <c r="DM121" s="43"/>
      <c r="DN121" s="43"/>
      <c r="DO121" s="43"/>
      <c r="DP121" s="43"/>
      <c r="DQ121" s="43"/>
      <c r="DR121" s="43"/>
      <c r="DS121" s="43"/>
      <c r="DT121" s="43"/>
      <c r="DU121" s="43"/>
      <c r="DV121" s="43"/>
      <c r="DW121" s="43"/>
      <c r="DX121" s="43"/>
      <c r="DY121" s="43"/>
      <c r="DZ121" s="43"/>
      <c r="EA121" s="43"/>
      <c r="EB121" s="43"/>
      <c r="EC121" s="43"/>
      <c r="ED121" s="43"/>
      <c r="EE121" s="43"/>
      <c r="EF121" s="43"/>
      <c r="EG121" s="43"/>
      <c r="EH121" s="43"/>
      <c r="EI121" s="43"/>
      <c r="EJ121" s="43"/>
      <c r="EK121" s="43"/>
      <c r="EL121" s="43"/>
      <c r="EM121" s="43"/>
      <c r="EN121" s="43"/>
      <c r="EO121" s="43"/>
      <c r="EP121" s="43"/>
      <c r="EQ121" s="43"/>
      <c r="ER121" s="43"/>
      <c r="ES121" s="43"/>
      <c r="ET121" s="43"/>
      <c r="EU121" s="43"/>
      <c r="EV121" s="43"/>
      <c r="EW121" s="43"/>
      <c r="EX121" s="43"/>
      <c r="EY121" s="43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</row>
    <row r="122" spans="1:190" s="24" customFormat="1" ht="15.75" customHeight="1">
      <c r="A122" s="72">
        <v>42264</v>
      </c>
      <c r="B122" s="68" t="s">
        <v>578</v>
      </c>
      <c r="C122" s="69" t="s">
        <v>756</v>
      </c>
      <c r="D122" s="69" t="s">
        <v>748</v>
      </c>
      <c r="E122" s="74">
        <v>19860</v>
      </c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  <c r="BZ122" s="43"/>
      <c r="CA122" s="43"/>
      <c r="CB122" s="43"/>
      <c r="CC122" s="43"/>
      <c r="CD122" s="43"/>
      <c r="CE122" s="43"/>
      <c r="CF122" s="43"/>
      <c r="CG122" s="43"/>
      <c r="CH122" s="43"/>
      <c r="CI122" s="43"/>
      <c r="CJ122" s="43"/>
      <c r="CK122" s="43"/>
      <c r="CL122" s="43"/>
      <c r="CM122" s="43"/>
      <c r="CN122" s="43"/>
      <c r="CO122" s="43"/>
      <c r="CP122" s="43"/>
      <c r="CQ122" s="43"/>
      <c r="CR122" s="43"/>
      <c r="CS122" s="43"/>
      <c r="CT122" s="43"/>
      <c r="CU122" s="43"/>
      <c r="CV122" s="43"/>
      <c r="CW122" s="43"/>
      <c r="CX122" s="43"/>
      <c r="CY122" s="43"/>
      <c r="CZ122" s="43"/>
      <c r="DA122" s="43"/>
      <c r="DB122" s="43"/>
      <c r="DC122" s="43"/>
      <c r="DD122" s="43"/>
      <c r="DE122" s="43"/>
      <c r="DF122" s="43"/>
      <c r="DG122" s="43"/>
      <c r="DH122" s="43"/>
      <c r="DI122" s="43"/>
      <c r="DJ122" s="43"/>
      <c r="DK122" s="43"/>
      <c r="DL122" s="43"/>
      <c r="DM122" s="43"/>
      <c r="DN122" s="43"/>
      <c r="DO122" s="43"/>
      <c r="DP122" s="43"/>
      <c r="DQ122" s="43"/>
      <c r="DR122" s="43"/>
      <c r="DS122" s="43"/>
      <c r="DT122" s="43"/>
      <c r="DU122" s="43"/>
      <c r="DV122" s="43"/>
      <c r="DW122" s="43"/>
      <c r="DX122" s="43"/>
      <c r="DY122" s="43"/>
      <c r="DZ122" s="43"/>
      <c r="EA122" s="43"/>
      <c r="EB122" s="43"/>
      <c r="EC122" s="43"/>
      <c r="ED122" s="43"/>
      <c r="EE122" s="43"/>
      <c r="EF122" s="43"/>
      <c r="EG122" s="43"/>
      <c r="EH122" s="43"/>
      <c r="EI122" s="43"/>
      <c r="EJ122" s="43"/>
      <c r="EK122" s="43"/>
      <c r="EL122" s="43"/>
      <c r="EM122" s="43"/>
      <c r="EN122" s="43"/>
      <c r="EO122" s="43"/>
      <c r="EP122" s="43"/>
      <c r="EQ122" s="43"/>
      <c r="ER122" s="43"/>
      <c r="ES122" s="43"/>
      <c r="ET122" s="43"/>
      <c r="EU122" s="43"/>
      <c r="EV122" s="43"/>
      <c r="EW122" s="43"/>
      <c r="EX122" s="43"/>
      <c r="EY122" s="43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</row>
    <row r="123" spans="1:190" s="24" customFormat="1" ht="15.75" customHeight="1">
      <c r="A123" s="73">
        <v>42022</v>
      </c>
      <c r="B123" s="70" t="s">
        <v>376</v>
      </c>
      <c r="C123" s="71" t="s">
        <v>756</v>
      </c>
      <c r="D123" s="71" t="s">
        <v>748</v>
      </c>
      <c r="E123" s="75">
        <v>19860</v>
      </c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3"/>
      <c r="CD123" s="43"/>
      <c r="CE123" s="43"/>
      <c r="CF123" s="43"/>
      <c r="CG123" s="43"/>
      <c r="CH123" s="43"/>
      <c r="CI123" s="43"/>
      <c r="CJ123" s="43"/>
      <c r="CK123" s="43"/>
      <c r="CL123" s="43"/>
      <c r="CM123" s="43"/>
      <c r="CN123" s="43"/>
      <c r="CO123" s="43"/>
      <c r="CP123" s="43"/>
      <c r="CQ123" s="43"/>
      <c r="CR123" s="43"/>
      <c r="CS123" s="43"/>
      <c r="CT123" s="43"/>
      <c r="CU123" s="43"/>
      <c r="CV123" s="43"/>
      <c r="CW123" s="43"/>
      <c r="CX123" s="43"/>
      <c r="CY123" s="43"/>
      <c r="CZ123" s="43"/>
      <c r="DA123" s="43"/>
      <c r="DB123" s="43"/>
      <c r="DC123" s="43"/>
      <c r="DD123" s="43"/>
      <c r="DE123" s="43"/>
      <c r="DF123" s="43"/>
      <c r="DG123" s="43"/>
      <c r="DH123" s="43"/>
      <c r="DI123" s="43"/>
      <c r="DJ123" s="43"/>
      <c r="DK123" s="43"/>
      <c r="DL123" s="43"/>
      <c r="DM123" s="43"/>
      <c r="DN123" s="43"/>
      <c r="DO123" s="43"/>
      <c r="DP123" s="43"/>
      <c r="DQ123" s="43"/>
      <c r="DR123" s="43"/>
      <c r="DS123" s="43"/>
      <c r="DT123" s="43"/>
      <c r="DU123" s="43"/>
      <c r="DV123" s="43"/>
      <c r="DW123" s="43"/>
      <c r="DX123" s="43"/>
      <c r="DY123" s="43"/>
      <c r="DZ123" s="43"/>
      <c r="EA123" s="43"/>
      <c r="EB123" s="43"/>
      <c r="EC123" s="43"/>
      <c r="ED123" s="43"/>
      <c r="EE123" s="43"/>
      <c r="EF123" s="43"/>
      <c r="EG123" s="43"/>
      <c r="EH123" s="43"/>
      <c r="EI123" s="43"/>
      <c r="EJ123" s="43"/>
      <c r="EK123" s="43"/>
      <c r="EL123" s="43"/>
      <c r="EM123" s="43"/>
      <c r="EN123" s="43"/>
      <c r="EO123" s="43"/>
      <c r="EP123" s="43"/>
      <c r="EQ123" s="43"/>
      <c r="ER123" s="43"/>
      <c r="ES123" s="43"/>
      <c r="ET123" s="43"/>
      <c r="EU123" s="43"/>
      <c r="EV123" s="43"/>
      <c r="EW123" s="43"/>
      <c r="EX123" s="43"/>
      <c r="EY123" s="43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</row>
    <row r="124" spans="1:190" s="24" customFormat="1" ht="15.75" customHeight="1">
      <c r="A124" s="72">
        <v>42058</v>
      </c>
      <c r="B124" s="68" t="s">
        <v>376</v>
      </c>
      <c r="C124" s="69" t="s">
        <v>756</v>
      </c>
      <c r="D124" s="69" t="s">
        <v>748</v>
      </c>
      <c r="E124" s="74">
        <v>19860</v>
      </c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  <c r="CC124" s="43"/>
      <c r="CD124" s="43"/>
      <c r="CE124" s="43"/>
      <c r="CF124" s="43"/>
      <c r="CG124" s="43"/>
      <c r="CH124" s="43"/>
      <c r="CI124" s="43"/>
      <c r="CJ124" s="43"/>
      <c r="CK124" s="43"/>
      <c r="CL124" s="43"/>
      <c r="CM124" s="43"/>
      <c r="CN124" s="43"/>
      <c r="CO124" s="43"/>
      <c r="CP124" s="43"/>
      <c r="CQ124" s="43"/>
      <c r="CR124" s="43"/>
      <c r="CS124" s="43"/>
      <c r="CT124" s="43"/>
      <c r="CU124" s="43"/>
      <c r="CV124" s="43"/>
      <c r="CW124" s="43"/>
      <c r="CX124" s="43"/>
      <c r="CY124" s="43"/>
      <c r="CZ124" s="43"/>
      <c r="DA124" s="43"/>
      <c r="DB124" s="43"/>
      <c r="DC124" s="43"/>
      <c r="DD124" s="43"/>
      <c r="DE124" s="43"/>
      <c r="DF124" s="43"/>
      <c r="DG124" s="43"/>
      <c r="DH124" s="43"/>
      <c r="DI124" s="43"/>
      <c r="DJ124" s="43"/>
      <c r="DK124" s="43"/>
      <c r="DL124" s="43"/>
      <c r="DM124" s="43"/>
      <c r="DN124" s="43"/>
      <c r="DO124" s="43"/>
      <c r="DP124" s="43"/>
      <c r="DQ124" s="43"/>
      <c r="DR124" s="43"/>
      <c r="DS124" s="43"/>
      <c r="DT124" s="43"/>
      <c r="DU124" s="43"/>
      <c r="DV124" s="43"/>
      <c r="DW124" s="43"/>
      <c r="DX124" s="43"/>
      <c r="DY124" s="43"/>
      <c r="DZ124" s="43"/>
      <c r="EA124" s="43"/>
      <c r="EB124" s="43"/>
      <c r="EC124" s="43"/>
      <c r="ED124" s="43"/>
      <c r="EE124" s="43"/>
      <c r="EF124" s="43"/>
      <c r="EG124" s="43"/>
      <c r="EH124" s="43"/>
      <c r="EI124" s="43"/>
      <c r="EJ124" s="43"/>
      <c r="EK124" s="43"/>
      <c r="EL124" s="43"/>
      <c r="EM124" s="43"/>
      <c r="EN124" s="43"/>
      <c r="EO124" s="43"/>
      <c r="EP124" s="43"/>
      <c r="EQ124" s="43"/>
      <c r="ER124" s="43"/>
      <c r="ES124" s="43"/>
      <c r="ET124" s="43"/>
      <c r="EU124" s="43"/>
      <c r="EV124" s="43"/>
      <c r="EW124" s="43"/>
      <c r="EX124" s="43"/>
      <c r="EY124" s="43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</row>
    <row r="125" spans="1:190" s="24" customFormat="1" ht="15.75" customHeight="1">
      <c r="A125" s="73">
        <v>42037</v>
      </c>
      <c r="B125" s="70" t="s">
        <v>578</v>
      </c>
      <c r="C125" s="71" t="s">
        <v>770</v>
      </c>
      <c r="D125" s="71" t="s">
        <v>748</v>
      </c>
      <c r="E125" s="75">
        <v>8960</v>
      </c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  <c r="CP125" s="43"/>
      <c r="CQ125" s="43"/>
      <c r="CR125" s="43"/>
      <c r="CS125" s="43"/>
      <c r="CT125" s="43"/>
      <c r="CU125" s="43"/>
      <c r="CV125" s="43"/>
      <c r="CW125" s="43"/>
      <c r="CX125" s="43"/>
      <c r="CY125" s="43"/>
      <c r="CZ125" s="43"/>
      <c r="DA125" s="43"/>
      <c r="DB125" s="43"/>
      <c r="DC125" s="43"/>
      <c r="DD125" s="43"/>
      <c r="DE125" s="43"/>
      <c r="DF125" s="43"/>
      <c r="DG125" s="43"/>
      <c r="DH125" s="43"/>
      <c r="DI125" s="43"/>
      <c r="DJ125" s="43"/>
      <c r="DK125" s="43"/>
      <c r="DL125" s="43"/>
      <c r="DM125" s="43"/>
      <c r="DN125" s="43"/>
      <c r="DO125" s="43"/>
      <c r="DP125" s="43"/>
      <c r="DQ125" s="43"/>
      <c r="DR125" s="43"/>
      <c r="DS125" s="43"/>
      <c r="DT125" s="43"/>
      <c r="DU125" s="43"/>
      <c r="DV125" s="43"/>
      <c r="DW125" s="43"/>
      <c r="DX125" s="43"/>
      <c r="DY125" s="43"/>
      <c r="DZ125" s="43"/>
      <c r="EA125" s="43"/>
      <c r="EB125" s="43"/>
      <c r="EC125" s="43"/>
      <c r="ED125" s="43"/>
      <c r="EE125" s="43"/>
      <c r="EF125" s="43"/>
      <c r="EG125" s="43"/>
      <c r="EH125" s="43"/>
      <c r="EI125" s="43"/>
      <c r="EJ125" s="43"/>
      <c r="EK125" s="43"/>
      <c r="EL125" s="43"/>
      <c r="EM125" s="43"/>
      <c r="EN125" s="43"/>
      <c r="EO125" s="43"/>
      <c r="EP125" s="43"/>
      <c r="EQ125" s="43"/>
      <c r="ER125" s="43"/>
      <c r="ES125" s="43"/>
      <c r="ET125" s="43"/>
      <c r="EU125" s="43"/>
      <c r="EV125" s="43"/>
      <c r="EW125" s="43"/>
      <c r="EX125" s="43"/>
      <c r="EY125" s="43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</row>
    <row r="126" spans="1:190" s="24" customFormat="1" ht="15.75" customHeight="1">
      <c r="A126" s="72">
        <v>42491</v>
      </c>
      <c r="B126" s="68" t="s">
        <v>578</v>
      </c>
      <c r="C126" s="69" t="s">
        <v>782</v>
      </c>
      <c r="D126" s="69" t="s">
        <v>750</v>
      </c>
      <c r="E126" s="74">
        <v>45000</v>
      </c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  <c r="CC126" s="43"/>
      <c r="CD126" s="43"/>
      <c r="CE126" s="43"/>
      <c r="CF126" s="43"/>
      <c r="CG126" s="43"/>
      <c r="CH126" s="43"/>
      <c r="CI126" s="43"/>
      <c r="CJ126" s="43"/>
      <c r="CK126" s="43"/>
      <c r="CL126" s="43"/>
      <c r="CM126" s="43"/>
      <c r="CN126" s="43"/>
      <c r="CO126" s="43"/>
      <c r="CP126" s="43"/>
      <c r="CQ126" s="43"/>
      <c r="CR126" s="43"/>
      <c r="CS126" s="43"/>
      <c r="CT126" s="43"/>
      <c r="CU126" s="43"/>
      <c r="CV126" s="43"/>
      <c r="CW126" s="43"/>
      <c r="CX126" s="43"/>
      <c r="CY126" s="43"/>
      <c r="CZ126" s="43"/>
      <c r="DA126" s="43"/>
      <c r="DB126" s="43"/>
      <c r="DC126" s="43"/>
      <c r="DD126" s="43"/>
      <c r="DE126" s="43"/>
      <c r="DF126" s="43"/>
      <c r="DG126" s="43"/>
      <c r="DH126" s="43"/>
      <c r="DI126" s="43"/>
      <c r="DJ126" s="43"/>
      <c r="DK126" s="43"/>
      <c r="DL126" s="43"/>
      <c r="DM126" s="43"/>
      <c r="DN126" s="43"/>
      <c r="DO126" s="43"/>
      <c r="DP126" s="43"/>
      <c r="DQ126" s="43"/>
      <c r="DR126" s="43"/>
      <c r="DS126" s="43"/>
      <c r="DT126" s="43"/>
      <c r="DU126" s="43"/>
      <c r="DV126" s="43"/>
      <c r="DW126" s="43"/>
      <c r="DX126" s="43"/>
      <c r="DY126" s="43"/>
      <c r="DZ126" s="43"/>
      <c r="EA126" s="43"/>
      <c r="EB126" s="43"/>
      <c r="EC126" s="43"/>
      <c r="ED126" s="43"/>
      <c r="EE126" s="43"/>
      <c r="EF126" s="43"/>
      <c r="EG126" s="43"/>
      <c r="EH126" s="43"/>
      <c r="EI126" s="43"/>
      <c r="EJ126" s="43"/>
      <c r="EK126" s="43"/>
      <c r="EL126" s="43"/>
      <c r="EM126" s="43"/>
      <c r="EN126" s="43"/>
      <c r="EO126" s="43"/>
      <c r="EP126" s="43"/>
      <c r="EQ126" s="43"/>
      <c r="ER126" s="43"/>
      <c r="ES126" s="43"/>
      <c r="ET126" s="43"/>
      <c r="EU126" s="43"/>
      <c r="EV126" s="43"/>
      <c r="EW126" s="43"/>
      <c r="EX126" s="43"/>
      <c r="EY126" s="43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</row>
    <row r="127" spans="1:190" s="24" customFormat="1" ht="15.75" customHeight="1">
      <c r="A127" s="73">
        <v>42389</v>
      </c>
      <c r="B127" s="70" t="s">
        <v>578</v>
      </c>
      <c r="C127" s="71" t="s">
        <v>772</v>
      </c>
      <c r="D127" s="71" t="s">
        <v>750</v>
      </c>
      <c r="E127" s="75">
        <v>15600</v>
      </c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  <c r="BZ127" s="43"/>
      <c r="CA127" s="43"/>
      <c r="CB127" s="43"/>
      <c r="CC127" s="43"/>
      <c r="CD127" s="43"/>
      <c r="CE127" s="43"/>
      <c r="CF127" s="43"/>
      <c r="CG127" s="43"/>
      <c r="CH127" s="43"/>
      <c r="CI127" s="43"/>
      <c r="CJ127" s="43"/>
      <c r="CK127" s="43"/>
      <c r="CL127" s="43"/>
      <c r="CM127" s="43"/>
      <c r="CN127" s="43"/>
      <c r="CO127" s="43"/>
      <c r="CP127" s="43"/>
      <c r="CQ127" s="43"/>
      <c r="CR127" s="43"/>
      <c r="CS127" s="43"/>
      <c r="CT127" s="43"/>
      <c r="CU127" s="43"/>
      <c r="CV127" s="43"/>
      <c r="CW127" s="43"/>
      <c r="CX127" s="43"/>
      <c r="CY127" s="43"/>
      <c r="CZ127" s="43"/>
      <c r="DA127" s="43"/>
      <c r="DB127" s="43"/>
      <c r="DC127" s="43"/>
      <c r="DD127" s="43"/>
      <c r="DE127" s="43"/>
      <c r="DF127" s="43"/>
      <c r="DG127" s="43"/>
      <c r="DH127" s="43"/>
      <c r="DI127" s="43"/>
      <c r="DJ127" s="43"/>
      <c r="DK127" s="43"/>
      <c r="DL127" s="43"/>
      <c r="DM127" s="43"/>
      <c r="DN127" s="43"/>
      <c r="DO127" s="43"/>
      <c r="DP127" s="43"/>
      <c r="DQ127" s="43"/>
      <c r="DR127" s="43"/>
      <c r="DS127" s="43"/>
      <c r="DT127" s="43"/>
      <c r="DU127" s="43"/>
      <c r="DV127" s="43"/>
      <c r="DW127" s="43"/>
      <c r="DX127" s="43"/>
      <c r="DY127" s="43"/>
      <c r="DZ127" s="43"/>
      <c r="EA127" s="43"/>
      <c r="EB127" s="43"/>
      <c r="EC127" s="43"/>
      <c r="ED127" s="43"/>
      <c r="EE127" s="43"/>
      <c r="EF127" s="43"/>
      <c r="EG127" s="43"/>
      <c r="EH127" s="43"/>
      <c r="EI127" s="43"/>
      <c r="EJ127" s="43"/>
      <c r="EK127" s="43"/>
      <c r="EL127" s="43"/>
      <c r="EM127" s="43"/>
      <c r="EN127" s="43"/>
      <c r="EO127" s="43"/>
      <c r="EP127" s="43"/>
      <c r="EQ127" s="43"/>
      <c r="ER127" s="43"/>
      <c r="ES127" s="43"/>
      <c r="ET127" s="43"/>
      <c r="EU127" s="43"/>
      <c r="EV127" s="43"/>
      <c r="EW127" s="43"/>
      <c r="EX127" s="43"/>
      <c r="EY127" s="43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</row>
    <row r="128" spans="1:190" s="24" customFormat="1" ht="15.75" customHeight="1">
      <c r="A128" s="72">
        <v>42523</v>
      </c>
      <c r="B128" s="68" t="s">
        <v>578</v>
      </c>
      <c r="C128" s="69" t="s">
        <v>772</v>
      </c>
      <c r="D128" s="69" t="s">
        <v>750</v>
      </c>
      <c r="E128" s="74">
        <v>15600</v>
      </c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  <c r="CI128" s="43"/>
      <c r="CJ128" s="43"/>
      <c r="CK128" s="43"/>
      <c r="CL128" s="43"/>
      <c r="CM128" s="43"/>
      <c r="CN128" s="43"/>
      <c r="CO128" s="43"/>
      <c r="CP128" s="43"/>
      <c r="CQ128" s="43"/>
      <c r="CR128" s="43"/>
      <c r="CS128" s="43"/>
      <c r="CT128" s="43"/>
      <c r="CU128" s="43"/>
      <c r="CV128" s="43"/>
      <c r="CW128" s="43"/>
      <c r="CX128" s="43"/>
      <c r="CY128" s="43"/>
      <c r="CZ128" s="43"/>
      <c r="DA128" s="43"/>
      <c r="DB128" s="43"/>
      <c r="DC128" s="43"/>
      <c r="DD128" s="43"/>
      <c r="DE128" s="43"/>
      <c r="DF128" s="43"/>
      <c r="DG128" s="43"/>
      <c r="DH128" s="43"/>
      <c r="DI128" s="43"/>
      <c r="DJ128" s="43"/>
      <c r="DK128" s="43"/>
      <c r="DL128" s="43"/>
      <c r="DM128" s="43"/>
      <c r="DN128" s="43"/>
      <c r="DO128" s="43"/>
      <c r="DP128" s="43"/>
      <c r="DQ128" s="43"/>
      <c r="DR128" s="43"/>
      <c r="DS128" s="43"/>
      <c r="DT128" s="43"/>
      <c r="DU128" s="43"/>
      <c r="DV128" s="43"/>
      <c r="DW128" s="43"/>
      <c r="DX128" s="43"/>
      <c r="DY128" s="43"/>
      <c r="DZ128" s="43"/>
      <c r="EA128" s="43"/>
      <c r="EB128" s="43"/>
      <c r="EC128" s="43"/>
      <c r="ED128" s="43"/>
      <c r="EE128" s="43"/>
      <c r="EF128" s="43"/>
      <c r="EG128" s="43"/>
      <c r="EH128" s="43"/>
      <c r="EI128" s="43"/>
      <c r="EJ128" s="43"/>
      <c r="EK128" s="43"/>
      <c r="EL128" s="43"/>
      <c r="EM128" s="43"/>
      <c r="EN128" s="43"/>
      <c r="EO128" s="43"/>
      <c r="EP128" s="43"/>
      <c r="EQ128" s="43"/>
      <c r="ER128" s="43"/>
      <c r="ES128" s="43"/>
      <c r="ET128" s="43"/>
      <c r="EU128" s="43"/>
      <c r="EV128" s="43"/>
      <c r="EW128" s="43"/>
      <c r="EX128" s="43"/>
      <c r="EY128" s="43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</row>
    <row r="129" spans="1:190" s="24" customFormat="1" ht="15.75" customHeight="1">
      <c r="A129" s="73">
        <v>42357</v>
      </c>
      <c r="B129" s="70" t="s">
        <v>376</v>
      </c>
      <c r="C129" s="71" t="s">
        <v>772</v>
      </c>
      <c r="D129" s="71" t="s">
        <v>750</v>
      </c>
      <c r="E129" s="75">
        <v>15600</v>
      </c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  <c r="CW129" s="43"/>
      <c r="CX129" s="43"/>
      <c r="CY129" s="43"/>
      <c r="CZ129" s="43"/>
      <c r="DA129" s="43"/>
      <c r="DB129" s="43"/>
      <c r="DC129" s="43"/>
      <c r="DD129" s="43"/>
      <c r="DE129" s="43"/>
      <c r="DF129" s="43"/>
      <c r="DG129" s="43"/>
      <c r="DH129" s="43"/>
      <c r="DI129" s="43"/>
      <c r="DJ129" s="43"/>
      <c r="DK129" s="43"/>
      <c r="DL129" s="43"/>
      <c r="DM129" s="43"/>
      <c r="DN129" s="43"/>
      <c r="DO129" s="43"/>
      <c r="DP129" s="43"/>
      <c r="DQ129" s="43"/>
      <c r="DR129" s="43"/>
      <c r="DS129" s="43"/>
      <c r="DT129" s="43"/>
      <c r="DU129" s="43"/>
      <c r="DV129" s="43"/>
      <c r="DW129" s="43"/>
      <c r="DX129" s="43"/>
      <c r="DY129" s="43"/>
      <c r="DZ129" s="43"/>
      <c r="EA129" s="43"/>
      <c r="EB129" s="43"/>
      <c r="EC129" s="43"/>
      <c r="ED129" s="43"/>
      <c r="EE129" s="43"/>
      <c r="EF129" s="43"/>
      <c r="EG129" s="43"/>
      <c r="EH129" s="43"/>
      <c r="EI129" s="43"/>
      <c r="EJ129" s="43"/>
      <c r="EK129" s="43"/>
      <c r="EL129" s="43"/>
      <c r="EM129" s="43"/>
      <c r="EN129" s="43"/>
      <c r="EO129" s="43"/>
      <c r="EP129" s="43"/>
      <c r="EQ129" s="43"/>
      <c r="ER129" s="43"/>
      <c r="ES129" s="43"/>
      <c r="ET129" s="43"/>
      <c r="EU129" s="43"/>
      <c r="EV129" s="43"/>
      <c r="EW129" s="43"/>
      <c r="EX129" s="43"/>
      <c r="EY129" s="43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</row>
    <row r="130" spans="1:190" s="24" customFormat="1" ht="15.75" customHeight="1">
      <c r="A130" s="72">
        <v>42363</v>
      </c>
      <c r="B130" s="68" t="s">
        <v>376</v>
      </c>
      <c r="C130" s="69" t="s">
        <v>772</v>
      </c>
      <c r="D130" s="69" t="s">
        <v>750</v>
      </c>
      <c r="E130" s="74">
        <v>15600</v>
      </c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  <c r="BR130" s="43"/>
      <c r="BS130" s="43"/>
      <c r="BT130" s="43"/>
      <c r="BU130" s="43"/>
      <c r="BV130" s="43"/>
      <c r="BW130" s="43"/>
      <c r="BX130" s="43"/>
      <c r="BY130" s="43"/>
      <c r="BZ130" s="43"/>
      <c r="CA130" s="43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  <c r="CP130" s="43"/>
      <c r="CQ130" s="43"/>
      <c r="CR130" s="43"/>
      <c r="CS130" s="43"/>
      <c r="CT130" s="43"/>
      <c r="CU130" s="43"/>
      <c r="CV130" s="43"/>
      <c r="CW130" s="43"/>
      <c r="CX130" s="43"/>
      <c r="CY130" s="43"/>
      <c r="CZ130" s="43"/>
      <c r="DA130" s="43"/>
      <c r="DB130" s="43"/>
      <c r="DC130" s="43"/>
      <c r="DD130" s="43"/>
      <c r="DE130" s="43"/>
      <c r="DF130" s="43"/>
      <c r="DG130" s="43"/>
      <c r="DH130" s="43"/>
      <c r="DI130" s="43"/>
      <c r="DJ130" s="43"/>
      <c r="DK130" s="43"/>
      <c r="DL130" s="43"/>
      <c r="DM130" s="43"/>
      <c r="DN130" s="43"/>
      <c r="DO130" s="43"/>
      <c r="DP130" s="43"/>
      <c r="DQ130" s="43"/>
      <c r="DR130" s="43"/>
      <c r="DS130" s="43"/>
      <c r="DT130" s="43"/>
      <c r="DU130" s="43"/>
      <c r="DV130" s="43"/>
      <c r="DW130" s="43"/>
      <c r="DX130" s="43"/>
      <c r="DY130" s="43"/>
      <c r="DZ130" s="43"/>
      <c r="EA130" s="43"/>
      <c r="EB130" s="43"/>
      <c r="EC130" s="43"/>
      <c r="ED130" s="43"/>
      <c r="EE130" s="43"/>
      <c r="EF130" s="43"/>
      <c r="EG130" s="43"/>
      <c r="EH130" s="43"/>
      <c r="EI130" s="43"/>
      <c r="EJ130" s="43"/>
      <c r="EK130" s="43"/>
      <c r="EL130" s="43"/>
      <c r="EM130" s="43"/>
      <c r="EN130" s="43"/>
      <c r="EO130" s="43"/>
      <c r="EP130" s="43"/>
      <c r="EQ130" s="43"/>
      <c r="ER130" s="43"/>
      <c r="ES130" s="43"/>
      <c r="ET130" s="43"/>
      <c r="EU130" s="43"/>
      <c r="EV130" s="43"/>
      <c r="EW130" s="43"/>
      <c r="EX130" s="43"/>
      <c r="EY130" s="43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</row>
    <row r="131" spans="1:190" s="24" customFormat="1" ht="15.75" customHeight="1">
      <c r="A131" s="73">
        <v>42450</v>
      </c>
      <c r="B131" s="70" t="s">
        <v>376</v>
      </c>
      <c r="C131" s="71" t="s">
        <v>772</v>
      </c>
      <c r="D131" s="71" t="s">
        <v>750</v>
      </c>
      <c r="E131" s="75">
        <v>15600</v>
      </c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  <c r="BP131" s="43"/>
      <c r="BQ131" s="43"/>
      <c r="BR131" s="43"/>
      <c r="BS131" s="43"/>
      <c r="BT131" s="43"/>
      <c r="BU131" s="43"/>
      <c r="BV131" s="43"/>
      <c r="BW131" s="43"/>
      <c r="BX131" s="43"/>
      <c r="BY131" s="43"/>
      <c r="BZ131" s="43"/>
      <c r="CA131" s="43"/>
      <c r="CB131" s="43"/>
      <c r="CC131" s="43"/>
      <c r="CD131" s="43"/>
      <c r="CE131" s="43"/>
      <c r="CF131" s="43"/>
      <c r="CG131" s="43"/>
      <c r="CH131" s="43"/>
      <c r="CI131" s="43"/>
      <c r="CJ131" s="43"/>
      <c r="CK131" s="43"/>
      <c r="CL131" s="43"/>
      <c r="CM131" s="43"/>
      <c r="CN131" s="43"/>
      <c r="CO131" s="43"/>
      <c r="CP131" s="43"/>
      <c r="CQ131" s="43"/>
      <c r="CR131" s="43"/>
      <c r="CS131" s="43"/>
      <c r="CT131" s="43"/>
      <c r="CU131" s="43"/>
      <c r="CV131" s="43"/>
      <c r="CW131" s="43"/>
      <c r="CX131" s="43"/>
      <c r="CY131" s="43"/>
      <c r="CZ131" s="43"/>
      <c r="DA131" s="43"/>
      <c r="DB131" s="43"/>
      <c r="DC131" s="43"/>
      <c r="DD131" s="43"/>
      <c r="DE131" s="43"/>
      <c r="DF131" s="43"/>
      <c r="DG131" s="43"/>
      <c r="DH131" s="43"/>
      <c r="DI131" s="43"/>
      <c r="DJ131" s="43"/>
      <c r="DK131" s="43"/>
      <c r="DL131" s="43"/>
      <c r="DM131" s="43"/>
      <c r="DN131" s="43"/>
      <c r="DO131" s="43"/>
      <c r="DP131" s="43"/>
      <c r="DQ131" s="43"/>
      <c r="DR131" s="43"/>
      <c r="DS131" s="43"/>
      <c r="DT131" s="43"/>
      <c r="DU131" s="43"/>
      <c r="DV131" s="43"/>
      <c r="DW131" s="43"/>
      <c r="DX131" s="43"/>
      <c r="DY131" s="43"/>
      <c r="DZ131" s="43"/>
      <c r="EA131" s="43"/>
      <c r="EB131" s="43"/>
      <c r="EC131" s="43"/>
      <c r="ED131" s="43"/>
      <c r="EE131" s="43"/>
      <c r="EF131" s="43"/>
      <c r="EG131" s="43"/>
      <c r="EH131" s="43"/>
      <c r="EI131" s="43"/>
      <c r="EJ131" s="43"/>
      <c r="EK131" s="43"/>
      <c r="EL131" s="43"/>
      <c r="EM131" s="43"/>
      <c r="EN131" s="43"/>
      <c r="EO131" s="43"/>
      <c r="EP131" s="43"/>
      <c r="EQ131" s="43"/>
      <c r="ER131" s="43"/>
      <c r="ES131" s="43"/>
      <c r="ET131" s="43"/>
      <c r="EU131" s="43"/>
      <c r="EV131" s="43"/>
      <c r="EW131" s="43"/>
      <c r="EX131" s="43"/>
      <c r="EY131" s="43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</row>
    <row r="132" spans="1:190" s="24" customFormat="1" ht="15.75" customHeight="1">
      <c r="A132" s="72">
        <v>42475</v>
      </c>
      <c r="B132" s="68" t="s">
        <v>578</v>
      </c>
      <c r="C132" s="69" t="s">
        <v>781</v>
      </c>
      <c r="D132" s="69" t="s">
        <v>750</v>
      </c>
      <c r="E132" s="74">
        <v>16200</v>
      </c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43"/>
      <c r="BN132" s="43"/>
      <c r="BO132" s="43"/>
      <c r="BP132" s="43"/>
      <c r="BQ132" s="43"/>
      <c r="BR132" s="43"/>
      <c r="BS132" s="43"/>
      <c r="BT132" s="43"/>
      <c r="BU132" s="43"/>
      <c r="BV132" s="43"/>
      <c r="BW132" s="43"/>
      <c r="BX132" s="43"/>
      <c r="BY132" s="43"/>
      <c r="BZ132" s="43"/>
      <c r="CA132" s="43"/>
      <c r="CB132" s="43"/>
      <c r="CC132" s="43"/>
      <c r="CD132" s="43"/>
      <c r="CE132" s="43"/>
      <c r="CF132" s="43"/>
      <c r="CG132" s="43"/>
      <c r="CH132" s="43"/>
      <c r="CI132" s="43"/>
      <c r="CJ132" s="43"/>
      <c r="CK132" s="43"/>
      <c r="CL132" s="43"/>
      <c r="CM132" s="43"/>
      <c r="CN132" s="43"/>
      <c r="CO132" s="43"/>
      <c r="CP132" s="43"/>
      <c r="CQ132" s="43"/>
      <c r="CR132" s="43"/>
      <c r="CS132" s="43"/>
      <c r="CT132" s="43"/>
      <c r="CU132" s="43"/>
      <c r="CV132" s="43"/>
      <c r="CW132" s="43"/>
      <c r="CX132" s="43"/>
      <c r="CY132" s="43"/>
      <c r="CZ132" s="43"/>
      <c r="DA132" s="43"/>
      <c r="DB132" s="43"/>
      <c r="DC132" s="43"/>
      <c r="DD132" s="43"/>
      <c r="DE132" s="43"/>
      <c r="DF132" s="43"/>
      <c r="DG132" s="43"/>
      <c r="DH132" s="43"/>
      <c r="DI132" s="43"/>
      <c r="DJ132" s="43"/>
      <c r="DK132" s="43"/>
      <c r="DL132" s="43"/>
      <c r="DM132" s="43"/>
      <c r="DN132" s="43"/>
      <c r="DO132" s="43"/>
      <c r="DP132" s="43"/>
      <c r="DQ132" s="43"/>
      <c r="DR132" s="43"/>
      <c r="DS132" s="43"/>
      <c r="DT132" s="43"/>
      <c r="DU132" s="43"/>
      <c r="DV132" s="43"/>
      <c r="DW132" s="43"/>
      <c r="DX132" s="43"/>
      <c r="DY132" s="43"/>
      <c r="DZ132" s="43"/>
      <c r="EA132" s="43"/>
      <c r="EB132" s="43"/>
      <c r="EC132" s="43"/>
      <c r="ED132" s="43"/>
      <c r="EE132" s="43"/>
      <c r="EF132" s="43"/>
      <c r="EG132" s="43"/>
      <c r="EH132" s="43"/>
      <c r="EI132" s="43"/>
      <c r="EJ132" s="43"/>
      <c r="EK132" s="43"/>
      <c r="EL132" s="43"/>
      <c r="EM132" s="43"/>
      <c r="EN132" s="43"/>
      <c r="EO132" s="43"/>
      <c r="EP132" s="43"/>
      <c r="EQ132" s="43"/>
      <c r="ER132" s="43"/>
      <c r="ES132" s="43"/>
      <c r="ET132" s="43"/>
      <c r="EU132" s="43"/>
      <c r="EV132" s="43"/>
      <c r="EW132" s="43"/>
      <c r="EX132" s="43"/>
      <c r="EY132" s="43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</row>
    <row r="133" spans="1:190" s="24" customFormat="1" ht="15.75" customHeight="1">
      <c r="A133" s="73">
        <v>42459</v>
      </c>
      <c r="B133" s="70" t="s">
        <v>578</v>
      </c>
      <c r="C133" s="71" t="s">
        <v>779</v>
      </c>
      <c r="D133" s="71" t="s">
        <v>748</v>
      </c>
      <c r="E133" s="75">
        <v>1987</v>
      </c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  <c r="BM133" s="43"/>
      <c r="BN133" s="43"/>
      <c r="BO133" s="43"/>
      <c r="BP133" s="43"/>
      <c r="BQ133" s="43"/>
      <c r="BR133" s="43"/>
      <c r="BS133" s="43"/>
      <c r="BT133" s="43"/>
      <c r="BU133" s="43"/>
      <c r="BV133" s="43"/>
      <c r="BW133" s="43"/>
      <c r="BX133" s="43"/>
      <c r="BY133" s="43"/>
      <c r="BZ133" s="43"/>
      <c r="CA133" s="43"/>
      <c r="CB133" s="43"/>
      <c r="CC133" s="43"/>
      <c r="CD133" s="43"/>
      <c r="CE133" s="43"/>
      <c r="CF133" s="43"/>
      <c r="CG133" s="43"/>
      <c r="CH133" s="43"/>
      <c r="CI133" s="43"/>
      <c r="CJ133" s="43"/>
      <c r="CK133" s="43"/>
      <c r="CL133" s="43"/>
      <c r="CM133" s="43"/>
      <c r="CN133" s="43"/>
      <c r="CO133" s="43"/>
      <c r="CP133" s="43"/>
      <c r="CQ133" s="43"/>
      <c r="CR133" s="43"/>
      <c r="CS133" s="43"/>
      <c r="CT133" s="43"/>
      <c r="CU133" s="43"/>
      <c r="CV133" s="43"/>
      <c r="CW133" s="43"/>
      <c r="CX133" s="43"/>
      <c r="CY133" s="43"/>
      <c r="CZ133" s="43"/>
      <c r="DA133" s="43"/>
      <c r="DB133" s="43"/>
      <c r="DC133" s="43"/>
      <c r="DD133" s="43"/>
      <c r="DE133" s="43"/>
      <c r="DF133" s="43"/>
      <c r="DG133" s="43"/>
      <c r="DH133" s="43"/>
      <c r="DI133" s="43"/>
      <c r="DJ133" s="43"/>
      <c r="DK133" s="43"/>
      <c r="DL133" s="43"/>
      <c r="DM133" s="43"/>
      <c r="DN133" s="43"/>
      <c r="DO133" s="43"/>
      <c r="DP133" s="43"/>
      <c r="DQ133" s="43"/>
      <c r="DR133" s="43"/>
      <c r="DS133" s="43"/>
      <c r="DT133" s="43"/>
      <c r="DU133" s="43"/>
      <c r="DV133" s="43"/>
      <c r="DW133" s="43"/>
      <c r="DX133" s="43"/>
      <c r="DY133" s="43"/>
      <c r="DZ133" s="43"/>
      <c r="EA133" s="43"/>
      <c r="EB133" s="43"/>
      <c r="EC133" s="43"/>
      <c r="ED133" s="43"/>
      <c r="EE133" s="43"/>
      <c r="EF133" s="43"/>
      <c r="EG133" s="43"/>
      <c r="EH133" s="43"/>
      <c r="EI133" s="43"/>
      <c r="EJ133" s="43"/>
      <c r="EK133" s="43"/>
      <c r="EL133" s="43"/>
      <c r="EM133" s="43"/>
      <c r="EN133" s="43"/>
      <c r="EO133" s="43"/>
      <c r="EP133" s="43"/>
      <c r="EQ133" s="43"/>
      <c r="ER133" s="43"/>
      <c r="ES133" s="43"/>
      <c r="ET133" s="43"/>
      <c r="EU133" s="43"/>
      <c r="EV133" s="43"/>
      <c r="EW133" s="43"/>
      <c r="EX133" s="43"/>
      <c r="EY133" s="43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</row>
    <row r="134" spans="1:190" s="24" customFormat="1" ht="15.75" customHeight="1">
      <c r="A134" s="72">
        <v>42367</v>
      </c>
      <c r="B134" s="68" t="s">
        <v>578</v>
      </c>
      <c r="C134" s="69" t="s">
        <v>768</v>
      </c>
      <c r="D134" s="69" t="s">
        <v>748</v>
      </c>
      <c r="E134" s="74">
        <v>450</v>
      </c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  <c r="BL134" s="43"/>
      <c r="BM134" s="43"/>
      <c r="BN134" s="43"/>
      <c r="BO134" s="43"/>
      <c r="BP134" s="43"/>
      <c r="BQ134" s="43"/>
      <c r="BR134" s="43"/>
      <c r="BS134" s="43"/>
      <c r="BT134" s="43"/>
      <c r="BU134" s="43"/>
      <c r="BV134" s="43"/>
      <c r="BW134" s="43"/>
      <c r="BX134" s="43"/>
      <c r="BY134" s="43"/>
      <c r="BZ134" s="43"/>
      <c r="CA134" s="43"/>
      <c r="CB134" s="43"/>
      <c r="CC134" s="43"/>
      <c r="CD134" s="43"/>
      <c r="CE134" s="43"/>
      <c r="CF134" s="43"/>
      <c r="CG134" s="43"/>
      <c r="CH134" s="43"/>
      <c r="CI134" s="43"/>
      <c r="CJ134" s="43"/>
      <c r="CK134" s="43"/>
      <c r="CL134" s="43"/>
      <c r="CM134" s="43"/>
      <c r="CN134" s="43"/>
      <c r="CO134" s="43"/>
      <c r="CP134" s="43"/>
      <c r="CQ134" s="43"/>
      <c r="CR134" s="43"/>
      <c r="CS134" s="43"/>
      <c r="CT134" s="43"/>
      <c r="CU134" s="43"/>
      <c r="CV134" s="43"/>
      <c r="CW134" s="43"/>
      <c r="CX134" s="43"/>
      <c r="CY134" s="43"/>
      <c r="CZ134" s="43"/>
      <c r="DA134" s="43"/>
      <c r="DB134" s="43"/>
      <c r="DC134" s="43"/>
      <c r="DD134" s="43"/>
      <c r="DE134" s="43"/>
      <c r="DF134" s="43"/>
      <c r="DG134" s="43"/>
      <c r="DH134" s="43"/>
      <c r="DI134" s="43"/>
      <c r="DJ134" s="43"/>
      <c r="DK134" s="43"/>
      <c r="DL134" s="43"/>
      <c r="DM134" s="43"/>
      <c r="DN134" s="43"/>
      <c r="DO134" s="43"/>
      <c r="DP134" s="43"/>
      <c r="DQ134" s="43"/>
      <c r="DR134" s="43"/>
      <c r="DS134" s="43"/>
      <c r="DT134" s="43"/>
      <c r="DU134" s="43"/>
      <c r="DV134" s="43"/>
      <c r="DW134" s="43"/>
      <c r="DX134" s="43"/>
      <c r="DY134" s="43"/>
      <c r="DZ134" s="43"/>
      <c r="EA134" s="43"/>
      <c r="EB134" s="43"/>
      <c r="EC134" s="43"/>
      <c r="ED134" s="43"/>
      <c r="EE134" s="43"/>
      <c r="EF134" s="43"/>
      <c r="EG134" s="43"/>
      <c r="EH134" s="43"/>
      <c r="EI134" s="43"/>
      <c r="EJ134" s="43"/>
      <c r="EK134" s="43"/>
      <c r="EL134" s="43"/>
      <c r="EM134" s="43"/>
      <c r="EN134" s="43"/>
      <c r="EO134" s="43"/>
      <c r="EP134" s="43"/>
      <c r="EQ134" s="43"/>
      <c r="ER134" s="43"/>
      <c r="ES134" s="43"/>
      <c r="ET134" s="43"/>
      <c r="EU134" s="43"/>
      <c r="EV134" s="43"/>
      <c r="EW134" s="43"/>
      <c r="EX134" s="43"/>
      <c r="EY134" s="43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</row>
    <row r="135" spans="1:190" s="24" customFormat="1" ht="15.75" customHeight="1">
      <c r="A135" s="73">
        <v>42574</v>
      </c>
      <c r="B135" s="70" t="s">
        <v>578</v>
      </c>
      <c r="C135" s="71" t="s">
        <v>768</v>
      </c>
      <c r="D135" s="71" t="s">
        <v>748</v>
      </c>
      <c r="E135" s="75">
        <v>450</v>
      </c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  <c r="BP135" s="43"/>
      <c r="BQ135" s="43"/>
      <c r="BR135" s="43"/>
      <c r="BS135" s="43"/>
      <c r="BT135" s="43"/>
      <c r="BU135" s="43"/>
      <c r="BV135" s="43"/>
      <c r="BW135" s="43"/>
      <c r="BX135" s="43"/>
      <c r="BY135" s="43"/>
      <c r="BZ135" s="43"/>
      <c r="CA135" s="43"/>
      <c r="CB135" s="43"/>
      <c r="CC135" s="43"/>
      <c r="CD135" s="43"/>
      <c r="CE135" s="43"/>
      <c r="CF135" s="43"/>
      <c r="CG135" s="43"/>
      <c r="CH135" s="43"/>
      <c r="CI135" s="43"/>
      <c r="CJ135" s="43"/>
      <c r="CK135" s="43"/>
      <c r="CL135" s="43"/>
      <c r="CM135" s="43"/>
      <c r="CN135" s="43"/>
      <c r="CO135" s="43"/>
      <c r="CP135" s="43"/>
      <c r="CQ135" s="43"/>
      <c r="CR135" s="43"/>
      <c r="CS135" s="43"/>
      <c r="CT135" s="43"/>
      <c r="CU135" s="43"/>
      <c r="CV135" s="43"/>
      <c r="CW135" s="43"/>
      <c r="CX135" s="43"/>
      <c r="CY135" s="43"/>
      <c r="CZ135" s="43"/>
      <c r="DA135" s="43"/>
      <c r="DB135" s="43"/>
      <c r="DC135" s="43"/>
      <c r="DD135" s="43"/>
      <c r="DE135" s="43"/>
      <c r="DF135" s="43"/>
      <c r="DG135" s="43"/>
      <c r="DH135" s="43"/>
      <c r="DI135" s="43"/>
      <c r="DJ135" s="43"/>
      <c r="DK135" s="43"/>
      <c r="DL135" s="43"/>
      <c r="DM135" s="43"/>
      <c r="DN135" s="43"/>
      <c r="DO135" s="43"/>
      <c r="DP135" s="43"/>
      <c r="DQ135" s="43"/>
      <c r="DR135" s="43"/>
      <c r="DS135" s="43"/>
      <c r="DT135" s="43"/>
      <c r="DU135" s="43"/>
      <c r="DV135" s="43"/>
      <c r="DW135" s="43"/>
      <c r="DX135" s="43"/>
      <c r="DY135" s="43"/>
      <c r="DZ135" s="43"/>
      <c r="EA135" s="43"/>
      <c r="EB135" s="43"/>
      <c r="EC135" s="43"/>
      <c r="ED135" s="43"/>
      <c r="EE135" s="43"/>
      <c r="EF135" s="43"/>
      <c r="EG135" s="43"/>
      <c r="EH135" s="43"/>
      <c r="EI135" s="43"/>
      <c r="EJ135" s="43"/>
      <c r="EK135" s="43"/>
      <c r="EL135" s="43"/>
      <c r="EM135" s="43"/>
      <c r="EN135" s="43"/>
      <c r="EO135" s="43"/>
      <c r="EP135" s="43"/>
      <c r="EQ135" s="43"/>
      <c r="ER135" s="43"/>
      <c r="ES135" s="43"/>
      <c r="ET135" s="43"/>
      <c r="EU135" s="43"/>
      <c r="EV135" s="43"/>
      <c r="EW135" s="43"/>
      <c r="EX135" s="43"/>
      <c r="EY135" s="43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</row>
    <row r="136" spans="1:190" s="24" customFormat="1" ht="15.75" customHeight="1">
      <c r="A136" s="72">
        <v>42358</v>
      </c>
      <c r="B136" s="68" t="s">
        <v>376</v>
      </c>
      <c r="C136" s="69" t="s">
        <v>768</v>
      </c>
      <c r="D136" s="69" t="s">
        <v>748</v>
      </c>
      <c r="E136" s="74">
        <v>450</v>
      </c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43"/>
      <c r="BN136" s="43"/>
      <c r="BO136" s="43"/>
      <c r="BP136" s="43"/>
      <c r="BQ136" s="43"/>
      <c r="BR136" s="43"/>
      <c r="BS136" s="43"/>
      <c r="BT136" s="43"/>
      <c r="BU136" s="43"/>
      <c r="BV136" s="43"/>
      <c r="BW136" s="43"/>
      <c r="BX136" s="43"/>
      <c r="BY136" s="43"/>
      <c r="BZ136" s="43"/>
      <c r="CA136" s="43"/>
      <c r="CB136" s="43"/>
      <c r="CC136" s="43"/>
      <c r="CD136" s="43"/>
      <c r="CE136" s="43"/>
      <c r="CF136" s="43"/>
      <c r="CG136" s="43"/>
      <c r="CH136" s="43"/>
      <c r="CI136" s="43"/>
      <c r="CJ136" s="43"/>
      <c r="CK136" s="43"/>
      <c r="CL136" s="43"/>
      <c r="CM136" s="43"/>
      <c r="CN136" s="43"/>
      <c r="CO136" s="43"/>
      <c r="CP136" s="43"/>
      <c r="CQ136" s="43"/>
      <c r="CR136" s="43"/>
      <c r="CS136" s="43"/>
      <c r="CT136" s="43"/>
      <c r="CU136" s="43"/>
      <c r="CV136" s="43"/>
      <c r="CW136" s="43"/>
      <c r="CX136" s="43"/>
      <c r="CY136" s="43"/>
      <c r="CZ136" s="43"/>
      <c r="DA136" s="43"/>
      <c r="DB136" s="43"/>
      <c r="DC136" s="43"/>
      <c r="DD136" s="43"/>
      <c r="DE136" s="43"/>
      <c r="DF136" s="43"/>
      <c r="DG136" s="43"/>
      <c r="DH136" s="43"/>
      <c r="DI136" s="43"/>
      <c r="DJ136" s="43"/>
      <c r="DK136" s="43"/>
      <c r="DL136" s="43"/>
      <c r="DM136" s="43"/>
      <c r="DN136" s="43"/>
      <c r="DO136" s="43"/>
      <c r="DP136" s="43"/>
      <c r="DQ136" s="43"/>
      <c r="DR136" s="43"/>
      <c r="DS136" s="43"/>
      <c r="DT136" s="43"/>
      <c r="DU136" s="43"/>
      <c r="DV136" s="43"/>
      <c r="DW136" s="43"/>
      <c r="DX136" s="43"/>
      <c r="DY136" s="43"/>
      <c r="DZ136" s="43"/>
      <c r="EA136" s="43"/>
      <c r="EB136" s="43"/>
      <c r="EC136" s="43"/>
      <c r="ED136" s="43"/>
      <c r="EE136" s="43"/>
      <c r="EF136" s="43"/>
      <c r="EG136" s="43"/>
      <c r="EH136" s="43"/>
      <c r="EI136" s="43"/>
      <c r="EJ136" s="43"/>
      <c r="EK136" s="43"/>
      <c r="EL136" s="43"/>
      <c r="EM136" s="43"/>
      <c r="EN136" s="43"/>
      <c r="EO136" s="43"/>
      <c r="EP136" s="43"/>
      <c r="EQ136" s="43"/>
      <c r="ER136" s="43"/>
      <c r="ES136" s="43"/>
      <c r="ET136" s="43"/>
      <c r="EU136" s="43"/>
      <c r="EV136" s="43"/>
      <c r="EW136" s="43"/>
      <c r="EX136" s="43"/>
      <c r="EY136" s="43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</row>
    <row r="137" spans="1:190" s="24" customFormat="1" ht="15.75" customHeight="1">
      <c r="A137" s="73">
        <v>42513</v>
      </c>
      <c r="B137" s="70" t="s">
        <v>376</v>
      </c>
      <c r="C137" s="71" t="s">
        <v>768</v>
      </c>
      <c r="D137" s="71" t="s">
        <v>748</v>
      </c>
      <c r="E137" s="75">
        <v>450</v>
      </c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  <c r="BL137" s="43"/>
      <c r="BM137" s="43"/>
      <c r="BN137" s="43"/>
      <c r="BO137" s="43"/>
      <c r="BP137" s="43"/>
      <c r="BQ137" s="43"/>
      <c r="BR137" s="43"/>
      <c r="BS137" s="43"/>
      <c r="BT137" s="43"/>
      <c r="BU137" s="43"/>
      <c r="BV137" s="43"/>
      <c r="BW137" s="43"/>
      <c r="BX137" s="43"/>
      <c r="BY137" s="43"/>
      <c r="BZ137" s="43"/>
      <c r="CA137" s="43"/>
      <c r="CB137" s="43"/>
      <c r="CC137" s="43"/>
      <c r="CD137" s="43"/>
      <c r="CE137" s="43"/>
      <c r="CF137" s="43"/>
      <c r="CG137" s="43"/>
      <c r="CH137" s="43"/>
      <c r="CI137" s="43"/>
      <c r="CJ137" s="43"/>
      <c r="CK137" s="43"/>
      <c r="CL137" s="43"/>
      <c r="CM137" s="43"/>
      <c r="CN137" s="43"/>
      <c r="CO137" s="43"/>
      <c r="CP137" s="43"/>
      <c r="CQ137" s="43"/>
      <c r="CR137" s="43"/>
      <c r="CS137" s="43"/>
      <c r="CT137" s="43"/>
      <c r="CU137" s="43"/>
      <c r="CV137" s="43"/>
      <c r="CW137" s="43"/>
      <c r="CX137" s="43"/>
      <c r="CY137" s="43"/>
      <c r="CZ137" s="43"/>
      <c r="DA137" s="43"/>
      <c r="DB137" s="43"/>
      <c r="DC137" s="43"/>
      <c r="DD137" s="43"/>
      <c r="DE137" s="43"/>
      <c r="DF137" s="43"/>
      <c r="DG137" s="43"/>
      <c r="DH137" s="43"/>
      <c r="DI137" s="43"/>
      <c r="DJ137" s="43"/>
      <c r="DK137" s="43"/>
      <c r="DL137" s="43"/>
      <c r="DM137" s="43"/>
      <c r="DN137" s="43"/>
      <c r="DO137" s="43"/>
      <c r="DP137" s="43"/>
      <c r="DQ137" s="43"/>
      <c r="DR137" s="43"/>
      <c r="DS137" s="43"/>
      <c r="DT137" s="43"/>
      <c r="DU137" s="43"/>
      <c r="DV137" s="43"/>
      <c r="DW137" s="43"/>
      <c r="DX137" s="43"/>
      <c r="DY137" s="43"/>
      <c r="DZ137" s="43"/>
      <c r="EA137" s="43"/>
      <c r="EB137" s="43"/>
      <c r="EC137" s="43"/>
      <c r="ED137" s="43"/>
      <c r="EE137" s="43"/>
      <c r="EF137" s="43"/>
      <c r="EG137" s="43"/>
      <c r="EH137" s="43"/>
      <c r="EI137" s="43"/>
      <c r="EJ137" s="43"/>
      <c r="EK137" s="43"/>
      <c r="EL137" s="43"/>
      <c r="EM137" s="43"/>
      <c r="EN137" s="43"/>
      <c r="EO137" s="43"/>
      <c r="EP137" s="43"/>
      <c r="EQ137" s="43"/>
      <c r="ER137" s="43"/>
      <c r="ES137" s="43"/>
      <c r="ET137" s="43"/>
      <c r="EU137" s="43"/>
      <c r="EV137" s="43"/>
      <c r="EW137" s="43"/>
      <c r="EX137" s="43"/>
      <c r="EY137" s="43"/>
      <c r="EZ137" s="43"/>
      <c r="FA137" s="43"/>
      <c r="FB137" s="43"/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</row>
    <row r="138" spans="1:190" s="24" customFormat="1" ht="15.75" customHeight="1">
      <c r="A138" s="72">
        <v>42632</v>
      </c>
      <c r="B138" s="68" t="s">
        <v>376</v>
      </c>
      <c r="C138" s="69" t="s">
        <v>768</v>
      </c>
      <c r="D138" s="69" t="s">
        <v>748</v>
      </c>
      <c r="E138" s="74">
        <v>450</v>
      </c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43"/>
      <c r="BM138" s="43"/>
      <c r="BN138" s="43"/>
      <c r="BO138" s="43"/>
      <c r="BP138" s="43"/>
      <c r="BQ138" s="43"/>
      <c r="BR138" s="43"/>
      <c r="BS138" s="43"/>
      <c r="BT138" s="43"/>
      <c r="BU138" s="43"/>
      <c r="BV138" s="43"/>
      <c r="BW138" s="43"/>
      <c r="BX138" s="43"/>
      <c r="BY138" s="43"/>
      <c r="BZ138" s="43"/>
      <c r="CA138" s="43"/>
      <c r="CB138" s="43"/>
      <c r="CC138" s="43"/>
      <c r="CD138" s="43"/>
      <c r="CE138" s="43"/>
      <c r="CF138" s="43"/>
      <c r="CG138" s="43"/>
      <c r="CH138" s="43"/>
      <c r="CI138" s="43"/>
      <c r="CJ138" s="43"/>
      <c r="CK138" s="43"/>
      <c r="CL138" s="43"/>
      <c r="CM138" s="43"/>
      <c r="CN138" s="43"/>
      <c r="CO138" s="43"/>
      <c r="CP138" s="43"/>
      <c r="CQ138" s="43"/>
      <c r="CR138" s="43"/>
      <c r="CS138" s="43"/>
      <c r="CT138" s="43"/>
      <c r="CU138" s="43"/>
      <c r="CV138" s="43"/>
      <c r="CW138" s="43"/>
      <c r="CX138" s="43"/>
      <c r="CY138" s="43"/>
      <c r="CZ138" s="43"/>
      <c r="DA138" s="43"/>
      <c r="DB138" s="43"/>
      <c r="DC138" s="43"/>
      <c r="DD138" s="43"/>
      <c r="DE138" s="43"/>
      <c r="DF138" s="43"/>
      <c r="DG138" s="43"/>
      <c r="DH138" s="43"/>
      <c r="DI138" s="43"/>
      <c r="DJ138" s="43"/>
      <c r="DK138" s="43"/>
      <c r="DL138" s="43"/>
      <c r="DM138" s="43"/>
      <c r="DN138" s="43"/>
      <c r="DO138" s="43"/>
      <c r="DP138" s="43"/>
      <c r="DQ138" s="43"/>
      <c r="DR138" s="43"/>
      <c r="DS138" s="43"/>
      <c r="DT138" s="43"/>
      <c r="DU138" s="43"/>
      <c r="DV138" s="43"/>
      <c r="DW138" s="43"/>
      <c r="DX138" s="43"/>
      <c r="DY138" s="43"/>
      <c r="DZ138" s="43"/>
      <c r="EA138" s="43"/>
      <c r="EB138" s="43"/>
      <c r="EC138" s="43"/>
      <c r="ED138" s="43"/>
      <c r="EE138" s="43"/>
      <c r="EF138" s="43"/>
      <c r="EG138" s="43"/>
      <c r="EH138" s="43"/>
      <c r="EI138" s="43"/>
      <c r="EJ138" s="43"/>
      <c r="EK138" s="43"/>
      <c r="EL138" s="43"/>
      <c r="EM138" s="43"/>
      <c r="EN138" s="43"/>
      <c r="EO138" s="43"/>
      <c r="EP138" s="43"/>
      <c r="EQ138" s="43"/>
      <c r="ER138" s="43"/>
      <c r="ES138" s="43"/>
      <c r="ET138" s="43"/>
      <c r="EU138" s="43"/>
      <c r="EV138" s="43"/>
      <c r="EW138" s="43"/>
      <c r="EX138" s="43"/>
      <c r="EY138" s="43"/>
      <c r="EZ138" s="43"/>
      <c r="FA138" s="43"/>
      <c r="FB138" s="43"/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</row>
    <row r="139" spans="1:190" s="24" customFormat="1" ht="15.75" customHeight="1">
      <c r="A139" s="73">
        <v>42635</v>
      </c>
      <c r="B139" s="70" t="s">
        <v>376</v>
      </c>
      <c r="C139" s="71" t="s">
        <v>768</v>
      </c>
      <c r="D139" s="71" t="s">
        <v>748</v>
      </c>
      <c r="E139" s="75">
        <v>450</v>
      </c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/>
      <c r="BR139" s="43"/>
      <c r="BS139" s="43"/>
      <c r="BT139" s="43"/>
      <c r="BU139" s="43"/>
      <c r="BV139" s="43"/>
      <c r="BW139" s="43"/>
      <c r="BX139" s="43"/>
      <c r="BY139" s="43"/>
      <c r="BZ139" s="43"/>
      <c r="CA139" s="43"/>
      <c r="CB139" s="43"/>
      <c r="CC139" s="43"/>
      <c r="CD139" s="43"/>
      <c r="CE139" s="43"/>
      <c r="CF139" s="43"/>
      <c r="CG139" s="43"/>
      <c r="CH139" s="43"/>
      <c r="CI139" s="43"/>
      <c r="CJ139" s="43"/>
      <c r="CK139" s="43"/>
      <c r="CL139" s="43"/>
      <c r="CM139" s="43"/>
      <c r="CN139" s="43"/>
      <c r="CO139" s="43"/>
      <c r="CP139" s="43"/>
      <c r="CQ139" s="43"/>
      <c r="CR139" s="43"/>
      <c r="CS139" s="43"/>
      <c r="CT139" s="43"/>
      <c r="CU139" s="43"/>
      <c r="CV139" s="43"/>
      <c r="CW139" s="43"/>
      <c r="CX139" s="43"/>
      <c r="CY139" s="43"/>
      <c r="CZ139" s="43"/>
      <c r="DA139" s="43"/>
      <c r="DB139" s="43"/>
      <c r="DC139" s="43"/>
      <c r="DD139" s="43"/>
      <c r="DE139" s="43"/>
      <c r="DF139" s="43"/>
      <c r="DG139" s="43"/>
      <c r="DH139" s="43"/>
      <c r="DI139" s="43"/>
      <c r="DJ139" s="43"/>
      <c r="DK139" s="43"/>
      <c r="DL139" s="43"/>
      <c r="DM139" s="43"/>
      <c r="DN139" s="43"/>
      <c r="DO139" s="43"/>
      <c r="DP139" s="43"/>
      <c r="DQ139" s="43"/>
      <c r="DR139" s="43"/>
      <c r="DS139" s="43"/>
      <c r="DT139" s="43"/>
      <c r="DU139" s="43"/>
      <c r="DV139" s="43"/>
      <c r="DW139" s="43"/>
      <c r="DX139" s="43"/>
      <c r="DY139" s="43"/>
      <c r="DZ139" s="43"/>
      <c r="EA139" s="43"/>
      <c r="EB139" s="43"/>
      <c r="EC139" s="43"/>
      <c r="ED139" s="43"/>
      <c r="EE139" s="43"/>
      <c r="EF139" s="43"/>
      <c r="EG139" s="43"/>
      <c r="EH139" s="43"/>
      <c r="EI139" s="43"/>
      <c r="EJ139" s="43"/>
      <c r="EK139" s="43"/>
      <c r="EL139" s="43"/>
      <c r="EM139" s="43"/>
      <c r="EN139" s="43"/>
      <c r="EO139" s="43"/>
      <c r="EP139" s="43"/>
      <c r="EQ139" s="43"/>
      <c r="ER139" s="43"/>
      <c r="ES139" s="43"/>
      <c r="ET139" s="43"/>
      <c r="EU139" s="43"/>
      <c r="EV139" s="43"/>
      <c r="EW139" s="43"/>
      <c r="EX139" s="43"/>
      <c r="EY139" s="43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</row>
    <row r="140" spans="1:190" s="24" customFormat="1" ht="15.75" customHeight="1">
      <c r="A140" s="72">
        <v>42731</v>
      </c>
      <c r="B140" s="68" t="s">
        <v>376</v>
      </c>
      <c r="C140" s="69" t="s">
        <v>768</v>
      </c>
      <c r="D140" s="69" t="s">
        <v>748</v>
      </c>
      <c r="E140" s="74">
        <v>450</v>
      </c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  <c r="EB140" s="43"/>
      <c r="EC140" s="43"/>
      <c r="ED140" s="43"/>
      <c r="EE140" s="43"/>
      <c r="EF140" s="43"/>
      <c r="EG140" s="43"/>
      <c r="EH140" s="43"/>
      <c r="EI140" s="43"/>
      <c r="EJ140" s="43"/>
      <c r="EK140" s="43"/>
      <c r="EL140" s="43"/>
      <c r="EM140" s="43"/>
      <c r="EN140" s="43"/>
      <c r="EO140" s="43"/>
      <c r="EP140" s="43"/>
      <c r="EQ140" s="43"/>
      <c r="ER140" s="43"/>
      <c r="ES140" s="43"/>
      <c r="ET140" s="43"/>
      <c r="EU140" s="43"/>
      <c r="EV140" s="43"/>
      <c r="EW140" s="43"/>
      <c r="EX140" s="43"/>
      <c r="EY140" s="43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</row>
    <row r="141" spans="1:190" s="24" customFormat="1" ht="15.75" customHeight="1">
      <c r="A141" s="73">
        <v>42026</v>
      </c>
      <c r="B141" s="70" t="s">
        <v>578</v>
      </c>
      <c r="C141" s="71" t="s">
        <v>749</v>
      </c>
      <c r="D141" s="71" t="s">
        <v>750</v>
      </c>
      <c r="E141" s="75">
        <v>25120</v>
      </c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  <c r="CC141" s="43"/>
      <c r="CD141" s="43"/>
      <c r="CE141" s="43"/>
      <c r="CF141" s="43"/>
      <c r="CG141" s="43"/>
      <c r="CH141" s="43"/>
      <c r="CI141" s="43"/>
      <c r="CJ141" s="43"/>
      <c r="CK141" s="43"/>
      <c r="CL141" s="43"/>
      <c r="CM141" s="43"/>
      <c r="CN141" s="43"/>
      <c r="CO141" s="43"/>
      <c r="CP141" s="43"/>
      <c r="CQ141" s="43"/>
      <c r="CR141" s="43"/>
      <c r="CS141" s="43"/>
      <c r="CT141" s="43"/>
      <c r="CU141" s="43"/>
      <c r="CV141" s="43"/>
      <c r="CW141" s="43"/>
      <c r="CX141" s="43"/>
      <c r="CY141" s="43"/>
      <c r="CZ141" s="43"/>
      <c r="DA141" s="43"/>
      <c r="DB141" s="43"/>
      <c r="DC141" s="43"/>
      <c r="DD141" s="43"/>
      <c r="DE141" s="43"/>
      <c r="DF141" s="43"/>
      <c r="DG141" s="43"/>
      <c r="DH141" s="43"/>
      <c r="DI141" s="43"/>
      <c r="DJ141" s="43"/>
      <c r="DK141" s="43"/>
      <c r="DL141" s="43"/>
      <c r="DM141" s="43"/>
      <c r="DN141" s="43"/>
      <c r="DO141" s="43"/>
      <c r="DP141" s="43"/>
      <c r="DQ141" s="43"/>
      <c r="DR141" s="43"/>
      <c r="DS141" s="43"/>
      <c r="DT141" s="43"/>
      <c r="DU141" s="43"/>
      <c r="DV141" s="43"/>
      <c r="DW141" s="43"/>
      <c r="DX141" s="43"/>
      <c r="DY141" s="43"/>
      <c r="DZ141" s="43"/>
      <c r="EA141" s="43"/>
      <c r="EB141" s="43"/>
      <c r="EC141" s="43"/>
      <c r="ED141" s="43"/>
      <c r="EE141" s="43"/>
      <c r="EF141" s="43"/>
      <c r="EG141" s="43"/>
      <c r="EH141" s="43"/>
      <c r="EI141" s="43"/>
      <c r="EJ141" s="43"/>
      <c r="EK141" s="43"/>
      <c r="EL141" s="43"/>
      <c r="EM141" s="43"/>
      <c r="EN141" s="43"/>
      <c r="EO141" s="43"/>
      <c r="EP141" s="43"/>
      <c r="EQ141" s="43"/>
      <c r="ER141" s="43"/>
      <c r="ES141" s="43"/>
      <c r="ET141" s="43"/>
      <c r="EU141" s="43"/>
      <c r="EV141" s="43"/>
      <c r="EW141" s="43"/>
      <c r="EX141" s="43"/>
      <c r="EY141" s="43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</row>
    <row r="142" spans="1:190" s="24" customFormat="1" ht="15.75" customHeight="1">
      <c r="A142" s="72">
        <v>42265</v>
      </c>
      <c r="B142" s="68" t="s">
        <v>578</v>
      </c>
      <c r="C142" s="69" t="s">
        <v>749</v>
      </c>
      <c r="D142" s="69" t="s">
        <v>750</v>
      </c>
      <c r="E142" s="74">
        <v>25120</v>
      </c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  <c r="BZ142" s="43"/>
      <c r="CA142" s="43"/>
      <c r="CB142" s="43"/>
      <c r="CC142" s="43"/>
      <c r="CD142" s="43"/>
      <c r="CE142" s="43"/>
      <c r="CF142" s="43"/>
      <c r="CG142" s="43"/>
      <c r="CH142" s="43"/>
      <c r="CI142" s="43"/>
      <c r="CJ142" s="43"/>
      <c r="CK142" s="43"/>
      <c r="CL142" s="43"/>
      <c r="CM142" s="43"/>
      <c r="CN142" s="43"/>
      <c r="CO142" s="43"/>
      <c r="CP142" s="43"/>
      <c r="CQ142" s="43"/>
      <c r="CR142" s="43"/>
      <c r="CS142" s="43"/>
      <c r="CT142" s="43"/>
      <c r="CU142" s="43"/>
      <c r="CV142" s="43"/>
      <c r="CW142" s="43"/>
      <c r="CX142" s="43"/>
      <c r="CY142" s="43"/>
      <c r="CZ142" s="43"/>
      <c r="DA142" s="43"/>
      <c r="DB142" s="43"/>
      <c r="DC142" s="43"/>
      <c r="DD142" s="43"/>
      <c r="DE142" s="43"/>
      <c r="DF142" s="43"/>
      <c r="DG142" s="43"/>
      <c r="DH142" s="43"/>
      <c r="DI142" s="43"/>
      <c r="DJ142" s="43"/>
      <c r="DK142" s="43"/>
      <c r="DL142" s="43"/>
      <c r="DM142" s="43"/>
      <c r="DN142" s="43"/>
      <c r="DO142" s="43"/>
      <c r="DP142" s="43"/>
      <c r="DQ142" s="43"/>
      <c r="DR142" s="43"/>
      <c r="DS142" s="43"/>
      <c r="DT142" s="43"/>
      <c r="DU142" s="43"/>
      <c r="DV142" s="43"/>
      <c r="DW142" s="43"/>
      <c r="DX142" s="43"/>
      <c r="DY142" s="43"/>
      <c r="DZ142" s="43"/>
      <c r="EA142" s="43"/>
      <c r="EB142" s="43"/>
      <c r="EC142" s="43"/>
      <c r="ED142" s="43"/>
      <c r="EE142" s="43"/>
      <c r="EF142" s="43"/>
      <c r="EG142" s="43"/>
      <c r="EH142" s="43"/>
      <c r="EI142" s="43"/>
      <c r="EJ142" s="43"/>
      <c r="EK142" s="43"/>
      <c r="EL142" s="43"/>
      <c r="EM142" s="43"/>
      <c r="EN142" s="43"/>
      <c r="EO142" s="43"/>
      <c r="EP142" s="43"/>
      <c r="EQ142" s="43"/>
      <c r="ER142" s="43"/>
      <c r="ES142" s="43"/>
      <c r="ET142" s="43"/>
      <c r="EU142" s="43"/>
      <c r="EV142" s="43"/>
      <c r="EW142" s="43"/>
      <c r="EX142" s="43"/>
      <c r="EY142" s="43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</row>
    <row r="143" spans="1:190" s="24" customFormat="1" ht="15.75" customHeight="1">
      <c r="A143" s="73">
        <v>42266</v>
      </c>
      <c r="B143" s="70" t="s">
        <v>578</v>
      </c>
      <c r="C143" s="71" t="s">
        <v>749</v>
      </c>
      <c r="D143" s="71" t="s">
        <v>750</v>
      </c>
      <c r="E143" s="75">
        <v>25120</v>
      </c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43"/>
      <c r="BQ143" s="43"/>
      <c r="BR143" s="43"/>
      <c r="BS143" s="43"/>
      <c r="BT143" s="43"/>
      <c r="BU143" s="43"/>
      <c r="BV143" s="43"/>
      <c r="BW143" s="43"/>
      <c r="BX143" s="43"/>
      <c r="BY143" s="43"/>
      <c r="BZ143" s="43"/>
      <c r="CA143" s="43"/>
      <c r="CB143" s="43"/>
      <c r="CC143" s="43"/>
      <c r="CD143" s="43"/>
      <c r="CE143" s="43"/>
      <c r="CF143" s="43"/>
      <c r="CG143" s="43"/>
      <c r="CH143" s="43"/>
      <c r="CI143" s="43"/>
      <c r="CJ143" s="43"/>
      <c r="CK143" s="43"/>
      <c r="CL143" s="43"/>
      <c r="CM143" s="43"/>
      <c r="CN143" s="43"/>
      <c r="CO143" s="43"/>
      <c r="CP143" s="43"/>
      <c r="CQ143" s="43"/>
      <c r="CR143" s="43"/>
      <c r="CS143" s="43"/>
      <c r="CT143" s="43"/>
      <c r="CU143" s="43"/>
      <c r="CV143" s="43"/>
      <c r="CW143" s="43"/>
      <c r="CX143" s="43"/>
      <c r="CY143" s="43"/>
      <c r="CZ143" s="43"/>
      <c r="DA143" s="43"/>
      <c r="DB143" s="43"/>
      <c r="DC143" s="43"/>
      <c r="DD143" s="43"/>
      <c r="DE143" s="43"/>
      <c r="DF143" s="43"/>
      <c r="DG143" s="43"/>
      <c r="DH143" s="43"/>
      <c r="DI143" s="43"/>
      <c r="DJ143" s="43"/>
      <c r="DK143" s="43"/>
      <c r="DL143" s="43"/>
      <c r="DM143" s="43"/>
      <c r="DN143" s="43"/>
      <c r="DO143" s="43"/>
      <c r="DP143" s="43"/>
      <c r="DQ143" s="43"/>
      <c r="DR143" s="43"/>
      <c r="DS143" s="43"/>
      <c r="DT143" s="43"/>
      <c r="DU143" s="43"/>
      <c r="DV143" s="43"/>
      <c r="DW143" s="43"/>
      <c r="DX143" s="43"/>
      <c r="DY143" s="43"/>
      <c r="DZ143" s="43"/>
      <c r="EA143" s="43"/>
      <c r="EB143" s="43"/>
      <c r="EC143" s="43"/>
      <c r="ED143" s="43"/>
      <c r="EE143" s="43"/>
      <c r="EF143" s="43"/>
      <c r="EG143" s="43"/>
      <c r="EH143" s="43"/>
      <c r="EI143" s="43"/>
      <c r="EJ143" s="43"/>
      <c r="EK143" s="43"/>
      <c r="EL143" s="43"/>
      <c r="EM143" s="43"/>
      <c r="EN143" s="43"/>
      <c r="EO143" s="43"/>
      <c r="EP143" s="43"/>
      <c r="EQ143" s="43"/>
      <c r="ER143" s="43"/>
      <c r="ES143" s="43"/>
      <c r="ET143" s="43"/>
      <c r="EU143" s="43"/>
      <c r="EV143" s="43"/>
      <c r="EW143" s="43"/>
      <c r="EX143" s="43"/>
      <c r="EY143" s="43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/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</row>
    <row r="144" spans="1:190" s="24" customFormat="1" ht="15.75" customHeight="1">
      <c r="A144" s="72">
        <v>42267</v>
      </c>
      <c r="B144" s="68" t="s">
        <v>578</v>
      </c>
      <c r="C144" s="69" t="s">
        <v>749</v>
      </c>
      <c r="D144" s="69" t="s">
        <v>750</v>
      </c>
      <c r="E144" s="74">
        <v>25120</v>
      </c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43"/>
      <c r="BM144" s="43"/>
      <c r="BN144" s="43"/>
      <c r="BO144" s="43"/>
      <c r="BP144" s="43"/>
      <c r="BQ144" s="43"/>
      <c r="BR144" s="43"/>
      <c r="BS144" s="43"/>
      <c r="BT144" s="43"/>
      <c r="BU144" s="43"/>
      <c r="BV144" s="43"/>
      <c r="BW144" s="43"/>
      <c r="BX144" s="43"/>
      <c r="BY144" s="43"/>
      <c r="BZ144" s="43"/>
      <c r="CA144" s="43"/>
      <c r="CB144" s="43"/>
      <c r="CC144" s="43"/>
      <c r="CD144" s="43"/>
      <c r="CE144" s="43"/>
      <c r="CF144" s="43"/>
      <c r="CG144" s="43"/>
      <c r="CH144" s="43"/>
      <c r="CI144" s="43"/>
      <c r="CJ144" s="43"/>
      <c r="CK144" s="43"/>
      <c r="CL144" s="43"/>
      <c r="CM144" s="43"/>
      <c r="CN144" s="43"/>
      <c r="CO144" s="43"/>
      <c r="CP144" s="43"/>
      <c r="CQ144" s="43"/>
      <c r="CR144" s="43"/>
      <c r="CS144" s="43"/>
      <c r="CT144" s="43"/>
      <c r="CU144" s="43"/>
      <c r="CV144" s="43"/>
      <c r="CW144" s="43"/>
      <c r="CX144" s="43"/>
      <c r="CY144" s="43"/>
      <c r="CZ144" s="43"/>
      <c r="DA144" s="43"/>
      <c r="DB144" s="43"/>
      <c r="DC144" s="43"/>
      <c r="DD144" s="43"/>
      <c r="DE144" s="43"/>
      <c r="DF144" s="43"/>
      <c r="DG144" s="43"/>
      <c r="DH144" s="43"/>
      <c r="DI144" s="43"/>
      <c r="DJ144" s="43"/>
      <c r="DK144" s="43"/>
      <c r="DL144" s="43"/>
      <c r="DM144" s="43"/>
      <c r="DN144" s="43"/>
      <c r="DO144" s="43"/>
      <c r="DP144" s="43"/>
      <c r="DQ144" s="43"/>
      <c r="DR144" s="43"/>
      <c r="DS144" s="43"/>
      <c r="DT144" s="43"/>
      <c r="DU144" s="43"/>
      <c r="DV144" s="43"/>
      <c r="DW144" s="43"/>
      <c r="DX144" s="43"/>
      <c r="DY144" s="43"/>
      <c r="DZ144" s="43"/>
      <c r="EA144" s="43"/>
      <c r="EB144" s="43"/>
      <c r="EC144" s="43"/>
      <c r="ED144" s="43"/>
      <c r="EE144" s="43"/>
      <c r="EF144" s="43"/>
      <c r="EG144" s="43"/>
      <c r="EH144" s="43"/>
      <c r="EI144" s="43"/>
      <c r="EJ144" s="43"/>
      <c r="EK144" s="43"/>
      <c r="EL144" s="43"/>
      <c r="EM144" s="43"/>
      <c r="EN144" s="43"/>
      <c r="EO144" s="43"/>
      <c r="EP144" s="43"/>
      <c r="EQ144" s="43"/>
      <c r="ER144" s="43"/>
      <c r="ES144" s="43"/>
      <c r="ET144" s="43"/>
      <c r="EU144" s="43"/>
      <c r="EV144" s="43"/>
      <c r="EW144" s="43"/>
      <c r="EX144" s="43"/>
      <c r="EY144" s="43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/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</row>
    <row r="145" spans="1:190" s="24" customFormat="1" ht="15.75" customHeight="1">
      <c r="A145" s="73">
        <v>42268</v>
      </c>
      <c r="B145" s="70" t="s">
        <v>578</v>
      </c>
      <c r="C145" s="71" t="s">
        <v>749</v>
      </c>
      <c r="D145" s="71" t="s">
        <v>750</v>
      </c>
      <c r="E145" s="75">
        <v>25120</v>
      </c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  <c r="BM145" s="43"/>
      <c r="BN145" s="43"/>
      <c r="BO145" s="43"/>
      <c r="BP145" s="43"/>
      <c r="BQ145" s="43"/>
      <c r="BR145" s="43"/>
      <c r="BS145" s="43"/>
      <c r="BT145" s="43"/>
      <c r="BU145" s="43"/>
      <c r="BV145" s="43"/>
      <c r="BW145" s="43"/>
      <c r="BX145" s="43"/>
      <c r="BY145" s="43"/>
      <c r="BZ145" s="43"/>
      <c r="CA145" s="43"/>
      <c r="CB145" s="43"/>
      <c r="CC145" s="43"/>
      <c r="CD145" s="43"/>
      <c r="CE145" s="43"/>
      <c r="CF145" s="43"/>
      <c r="CG145" s="43"/>
      <c r="CH145" s="43"/>
      <c r="CI145" s="43"/>
      <c r="CJ145" s="43"/>
      <c r="CK145" s="43"/>
      <c r="CL145" s="43"/>
      <c r="CM145" s="43"/>
      <c r="CN145" s="43"/>
      <c r="CO145" s="43"/>
      <c r="CP145" s="43"/>
      <c r="CQ145" s="43"/>
      <c r="CR145" s="43"/>
      <c r="CS145" s="43"/>
      <c r="CT145" s="43"/>
      <c r="CU145" s="43"/>
      <c r="CV145" s="43"/>
      <c r="CW145" s="43"/>
      <c r="CX145" s="43"/>
      <c r="CY145" s="43"/>
      <c r="CZ145" s="43"/>
      <c r="DA145" s="43"/>
      <c r="DB145" s="43"/>
      <c r="DC145" s="43"/>
      <c r="DD145" s="43"/>
      <c r="DE145" s="43"/>
      <c r="DF145" s="43"/>
      <c r="DG145" s="43"/>
      <c r="DH145" s="43"/>
      <c r="DI145" s="43"/>
      <c r="DJ145" s="43"/>
      <c r="DK145" s="43"/>
      <c r="DL145" s="43"/>
      <c r="DM145" s="43"/>
      <c r="DN145" s="43"/>
      <c r="DO145" s="43"/>
      <c r="DP145" s="43"/>
      <c r="DQ145" s="43"/>
      <c r="DR145" s="43"/>
      <c r="DS145" s="43"/>
      <c r="DT145" s="43"/>
      <c r="DU145" s="43"/>
      <c r="DV145" s="43"/>
      <c r="DW145" s="43"/>
      <c r="DX145" s="43"/>
      <c r="DY145" s="43"/>
      <c r="DZ145" s="43"/>
      <c r="EA145" s="43"/>
      <c r="EB145" s="43"/>
      <c r="EC145" s="43"/>
      <c r="ED145" s="43"/>
      <c r="EE145" s="43"/>
      <c r="EF145" s="43"/>
      <c r="EG145" s="43"/>
      <c r="EH145" s="43"/>
      <c r="EI145" s="43"/>
      <c r="EJ145" s="43"/>
      <c r="EK145" s="43"/>
      <c r="EL145" s="43"/>
      <c r="EM145" s="43"/>
      <c r="EN145" s="43"/>
      <c r="EO145" s="43"/>
      <c r="EP145" s="43"/>
      <c r="EQ145" s="43"/>
      <c r="ER145" s="43"/>
      <c r="ES145" s="43"/>
      <c r="ET145" s="43"/>
      <c r="EU145" s="43"/>
      <c r="EV145" s="43"/>
      <c r="EW145" s="43"/>
      <c r="EX145" s="43"/>
      <c r="EY145" s="43"/>
      <c r="EZ145" s="43"/>
      <c r="FA145" s="43"/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</row>
    <row r="146" spans="1:190" s="24" customFormat="1" ht="15.75" customHeight="1">
      <c r="A146" s="72">
        <v>42030</v>
      </c>
      <c r="B146" s="68" t="s">
        <v>376</v>
      </c>
      <c r="C146" s="69" t="s">
        <v>749</v>
      </c>
      <c r="D146" s="69" t="s">
        <v>750</v>
      </c>
      <c r="E146" s="74">
        <v>25120</v>
      </c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  <c r="BM146" s="43"/>
      <c r="BN146" s="43"/>
      <c r="BO146" s="43"/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3"/>
      <c r="CA146" s="43"/>
      <c r="CB146" s="43"/>
      <c r="CC146" s="43"/>
      <c r="CD146" s="43"/>
      <c r="CE146" s="43"/>
      <c r="CF146" s="43"/>
      <c r="CG146" s="43"/>
      <c r="CH146" s="43"/>
      <c r="CI146" s="43"/>
      <c r="CJ146" s="43"/>
      <c r="CK146" s="43"/>
      <c r="CL146" s="43"/>
      <c r="CM146" s="43"/>
      <c r="CN146" s="43"/>
      <c r="CO146" s="43"/>
      <c r="CP146" s="43"/>
      <c r="CQ146" s="43"/>
      <c r="CR146" s="43"/>
      <c r="CS146" s="43"/>
      <c r="CT146" s="43"/>
      <c r="CU146" s="43"/>
      <c r="CV146" s="43"/>
      <c r="CW146" s="43"/>
      <c r="CX146" s="43"/>
      <c r="CY146" s="43"/>
      <c r="CZ146" s="43"/>
      <c r="DA146" s="43"/>
      <c r="DB146" s="43"/>
      <c r="DC146" s="43"/>
      <c r="DD146" s="43"/>
      <c r="DE146" s="43"/>
      <c r="DF146" s="43"/>
      <c r="DG146" s="43"/>
      <c r="DH146" s="43"/>
      <c r="DI146" s="43"/>
      <c r="DJ146" s="43"/>
      <c r="DK146" s="43"/>
      <c r="DL146" s="43"/>
      <c r="DM146" s="43"/>
      <c r="DN146" s="43"/>
      <c r="DO146" s="43"/>
      <c r="DP146" s="43"/>
      <c r="DQ146" s="43"/>
      <c r="DR146" s="43"/>
      <c r="DS146" s="43"/>
      <c r="DT146" s="43"/>
      <c r="DU146" s="43"/>
      <c r="DV146" s="43"/>
      <c r="DW146" s="43"/>
      <c r="DX146" s="43"/>
      <c r="DY146" s="43"/>
      <c r="DZ146" s="43"/>
      <c r="EA146" s="43"/>
      <c r="EB146" s="43"/>
      <c r="EC146" s="43"/>
      <c r="ED146" s="43"/>
      <c r="EE146" s="43"/>
      <c r="EF146" s="43"/>
      <c r="EG146" s="43"/>
      <c r="EH146" s="43"/>
      <c r="EI146" s="43"/>
      <c r="EJ146" s="43"/>
      <c r="EK146" s="43"/>
      <c r="EL146" s="43"/>
      <c r="EM146" s="43"/>
      <c r="EN146" s="43"/>
      <c r="EO146" s="43"/>
      <c r="EP146" s="43"/>
      <c r="EQ146" s="43"/>
      <c r="ER146" s="43"/>
      <c r="ES146" s="43"/>
      <c r="ET146" s="43"/>
      <c r="EU146" s="43"/>
      <c r="EV146" s="43"/>
      <c r="EW146" s="43"/>
      <c r="EX146" s="43"/>
      <c r="EY146" s="43"/>
      <c r="EZ146" s="43"/>
      <c r="FA146" s="43"/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</row>
    <row r="147" spans="1:190" s="24" customFormat="1" ht="15.75" customHeight="1">
      <c r="A147" s="73">
        <v>42034</v>
      </c>
      <c r="B147" s="70" t="s">
        <v>376</v>
      </c>
      <c r="C147" s="71" t="s">
        <v>749</v>
      </c>
      <c r="D147" s="71" t="s">
        <v>750</v>
      </c>
      <c r="E147" s="75">
        <v>25120</v>
      </c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  <c r="BM147" s="43"/>
      <c r="BN147" s="43"/>
      <c r="BO147" s="43"/>
      <c r="BP147" s="43"/>
      <c r="BQ147" s="43"/>
      <c r="BR147" s="43"/>
      <c r="BS147" s="43"/>
      <c r="BT147" s="43"/>
      <c r="BU147" s="43"/>
      <c r="BV147" s="43"/>
      <c r="BW147" s="43"/>
      <c r="BX147" s="43"/>
      <c r="BY147" s="43"/>
      <c r="BZ147" s="43"/>
      <c r="CA147" s="43"/>
      <c r="CB147" s="43"/>
      <c r="CC147" s="43"/>
      <c r="CD147" s="43"/>
      <c r="CE147" s="43"/>
      <c r="CF147" s="43"/>
      <c r="CG147" s="43"/>
      <c r="CH147" s="43"/>
      <c r="CI147" s="43"/>
      <c r="CJ147" s="43"/>
      <c r="CK147" s="43"/>
      <c r="CL147" s="43"/>
      <c r="CM147" s="43"/>
      <c r="CN147" s="43"/>
      <c r="CO147" s="43"/>
      <c r="CP147" s="43"/>
      <c r="CQ147" s="43"/>
      <c r="CR147" s="43"/>
      <c r="CS147" s="43"/>
      <c r="CT147" s="43"/>
      <c r="CU147" s="43"/>
      <c r="CV147" s="43"/>
      <c r="CW147" s="43"/>
      <c r="CX147" s="43"/>
      <c r="CY147" s="43"/>
      <c r="CZ147" s="43"/>
      <c r="DA147" s="43"/>
      <c r="DB147" s="43"/>
      <c r="DC147" s="43"/>
      <c r="DD147" s="43"/>
      <c r="DE147" s="43"/>
      <c r="DF147" s="43"/>
      <c r="DG147" s="43"/>
      <c r="DH147" s="43"/>
      <c r="DI147" s="43"/>
      <c r="DJ147" s="43"/>
      <c r="DK147" s="43"/>
      <c r="DL147" s="43"/>
      <c r="DM147" s="43"/>
      <c r="DN147" s="43"/>
      <c r="DO147" s="43"/>
      <c r="DP147" s="43"/>
      <c r="DQ147" s="43"/>
      <c r="DR147" s="43"/>
      <c r="DS147" s="43"/>
      <c r="DT147" s="43"/>
      <c r="DU147" s="43"/>
      <c r="DV147" s="43"/>
      <c r="DW147" s="43"/>
      <c r="DX147" s="43"/>
      <c r="DY147" s="43"/>
      <c r="DZ147" s="43"/>
      <c r="EA147" s="43"/>
      <c r="EB147" s="43"/>
      <c r="EC147" s="43"/>
      <c r="ED147" s="43"/>
      <c r="EE147" s="43"/>
      <c r="EF147" s="43"/>
      <c r="EG147" s="43"/>
      <c r="EH147" s="43"/>
      <c r="EI147" s="43"/>
      <c r="EJ147" s="43"/>
      <c r="EK147" s="43"/>
      <c r="EL147" s="43"/>
      <c r="EM147" s="43"/>
      <c r="EN147" s="43"/>
      <c r="EO147" s="43"/>
      <c r="EP147" s="43"/>
      <c r="EQ147" s="43"/>
      <c r="ER147" s="43"/>
      <c r="ES147" s="43"/>
      <c r="ET147" s="43"/>
      <c r="EU147" s="43"/>
      <c r="EV147" s="43"/>
      <c r="EW147" s="43"/>
      <c r="EX147" s="43"/>
      <c r="EY147" s="43"/>
      <c r="EZ147" s="43"/>
      <c r="FA147" s="43"/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</row>
    <row r="148" spans="1:190" s="24" customFormat="1" ht="15.75" customHeight="1">
      <c r="A148" s="72">
        <v>42038</v>
      </c>
      <c r="B148" s="68" t="s">
        <v>376</v>
      </c>
      <c r="C148" s="69" t="s">
        <v>749</v>
      </c>
      <c r="D148" s="69" t="s">
        <v>750</v>
      </c>
      <c r="E148" s="74">
        <v>25120</v>
      </c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/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3"/>
      <c r="CA148" s="43"/>
      <c r="CB148" s="43"/>
      <c r="CC148" s="43"/>
      <c r="CD148" s="43"/>
      <c r="CE148" s="43"/>
      <c r="CF148" s="43"/>
      <c r="CG148" s="43"/>
      <c r="CH148" s="43"/>
      <c r="CI148" s="43"/>
      <c r="CJ148" s="43"/>
      <c r="CK148" s="43"/>
      <c r="CL148" s="43"/>
      <c r="CM148" s="43"/>
      <c r="CN148" s="43"/>
      <c r="CO148" s="43"/>
      <c r="CP148" s="43"/>
      <c r="CQ148" s="43"/>
      <c r="CR148" s="43"/>
      <c r="CS148" s="43"/>
      <c r="CT148" s="43"/>
      <c r="CU148" s="43"/>
      <c r="CV148" s="43"/>
      <c r="CW148" s="43"/>
      <c r="CX148" s="43"/>
      <c r="CY148" s="43"/>
      <c r="CZ148" s="43"/>
      <c r="DA148" s="43"/>
      <c r="DB148" s="43"/>
      <c r="DC148" s="43"/>
      <c r="DD148" s="43"/>
      <c r="DE148" s="43"/>
      <c r="DF148" s="43"/>
      <c r="DG148" s="43"/>
      <c r="DH148" s="43"/>
      <c r="DI148" s="43"/>
      <c r="DJ148" s="43"/>
      <c r="DK148" s="43"/>
      <c r="DL148" s="43"/>
      <c r="DM148" s="43"/>
      <c r="DN148" s="43"/>
      <c r="DO148" s="43"/>
      <c r="DP148" s="43"/>
      <c r="DQ148" s="43"/>
      <c r="DR148" s="43"/>
      <c r="DS148" s="43"/>
      <c r="DT148" s="43"/>
      <c r="DU148" s="43"/>
      <c r="DV148" s="43"/>
      <c r="DW148" s="43"/>
      <c r="DX148" s="43"/>
      <c r="DY148" s="43"/>
      <c r="DZ148" s="43"/>
      <c r="EA148" s="43"/>
      <c r="EB148" s="43"/>
      <c r="EC148" s="43"/>
      <c r="ED148" s="43"/>
      <c r="EE148" s="43"/>
      <c r="EF148" s="43"/>
      <c r="EG148" s="43"/>
      <c r="EH148" s="43"/>
      <c r="EI148" s="43"/>
      <c r="EJ148" s="43"/>
      <c r="EK148" s="43"/>
      <c r="EL148" s="43"/>
      <c r="EM148" s="43"/>
      <c r="EN148" s="43"/>
      <c r="EO148" s="43"/>
      <c r="EP148" s="43"/>
      <c r="EQ148" s="43"/>
      <c r="ER148" s="43"/>
      <c r="ES148" s="43"/>
      <c r="ET148" s="43"/>
      <c r="EU148" s="43"/>
      <c r="EV148" s="43"/>
      <c r="EW148" s="43"/>
      <c r="EX148" s="43"/>
      <c r="EY148" s="43"/>
      <c r="EZ148" s="43"/>
      <c r="FA148" s="43"/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</row>
    <row r="149" spans="1:190" s="24" customFormat="1" ht="15.75" customHeight="1">
      <c r="A149" s="73">
        <v>42062</v>
      </c>
      <c r="B149" s="70" t="s">
        <v>376</v>
      </c>
      <c r="C149" s="71" t="s">
        <v>749</v>
      </c>
      <c r="D149" s="71" t="s">
        <v>750</v>
      </c>
      <c r="E149" s="75">
        <v>25120</v>
      </c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43"/>
      <c r="BN149" s="43"/>
      <c r="BO149" s="43"/>
      <c r="BP149" s="43"/>
      <c r="BQ149" s="43"/>
      <c r="BR149" s="43"/>
      <c r="BS149" s="43"/>
      <c r="BT149" s="43"/>
      <c r="BU149" s="43"/>
      <c r="BV149" s="43"/>
      <c r="BW149" s="43"/>
      <c r="BX149" s="43"/>
      <c r="BY149" s="43"/>
      <c r="BZ149" s="43"/>
      <c r="CA149" s="43"/>
      <c r="CB149" s="43"/>
      <c r="CC149" s="43"/>
      <c r="CD149" s="43"/>
      <c r="CE149" s="43"/>
      <c r="CF149" s="43"/>
      <c r="CG149" s="43"/>
      <c r="CH149" s="43"/>
      <c r="CI149" s="43"/>
      <c r="CJ149" s="43"/>
      <c r="CK149" s="43"/>
      <c r="CL149" s="43"/>
      <c r="CM149" s="43"/>
      <c r="CN149" s="43"/>
      <c r="CO149" s="43"/>
      <c r="CP149" s="43"/>
      <c r="CQ149" s="43"/>
      <c r="CR149" s="43"/>
      <c r="CS149" s="43"/>
      <c r="CT149" s="43"/>
      <c r="CU149" s="43"/>
      <c r="CV149" s="43"/>
      <c r="CW149" s="43"/>
      <c r="CX149" s="43"/>
      <c r="CY149" s="43"/>
      <c r="CZ149" s="43"/>
      <c r="DA149" s="43"/>
      <c r="DB149" s="43"/>
      <c r="DC149" s="43"/>
      <c r="DD149" s="43"/>
      <c r="DE149" s="43"/>
      <c r="DF149" s="43"/>
      <c r="DG149" s="43"/>
      <c r="DH149" s="43"/>
      <c r="DI149" s="43"/>
      <c r="DJ149" s="43"/>
      <c r="DK149" s="43"/>
      <c r="DL149" s="43"/>
      <c r="DM149" s="43"/>
      <c r="DN149" s="43"/>
      <c r="DO149" s="43"/>
      <c r="DP149" s="43"/>
      <c r="DQ149" s="43"/>
      <c r="DR149" s="43"/>
      <c r="DS149" s="43"/>
      <c r="DT149" s="43"/>
      <c r="DU149" s="43"/>
      <c r="DV149" s="43"/>
      <c r="DW149" s="43"/>
      <c r="DX149" s="43"/>
      <c r="DY149" s="43"/>
      <c r="DZ149" s="43"/>
      <c r="EA149" s="43"/>
      <c r="EB149" s="43"/>
      <c r="EC149" s="43"/>
      <c r="ED149" s="43"/>
      <c r="EE149" s="43"/>
      <c r="EF149" s="43"/>
      <c r="EG149" s="43"/>
      <c r="EH149" s="43"/>
      <c r="EI149" s="43"/>
      <c r="EJ149" s="43"/>
      <c r="EK149" s="43"/>
      <c r="EL149" s="43"/>
      <c r="EM149" s="43"/>
      <c r="EN149" s="43"/>
      <c r="EO149" s="43"/>
      <c r="EP149" s="43"/>
      <c r="EQ149" s="43"/>
      <c r="ER149" s="43"/>
      <c r="ES149" s="43"/>
      <c r="ET149" s="43"/>
      <c r="EU149" s="43"/>
      <c r="EV149" s="43"/>
      <c r="EW149" s="43"/>
      <c r="EX149" s="43"/>
      <c r="EY149" s="43"/>
      <c r="EZ149" s="43"/>
      <c r="FA149" s="43"/>
      <c r="FB149" s="43"/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</row>
    <row r="150" spans="1:190" s="24" customFormat="1" ht="15.75" customHeight="1">
      <c r="A150" s="72">
        <v>42066</v>
      </c>
      <c r="B150" s="68" t="s">
        <v>376</v>
      </c>
      <c r="C150" s="69" t="s">
        <v>749</v>
      </c>
      <c r="D150" s="69" t="s">
        <v>750</v>
      </c>
      <c r="E150" s="74">
        <v>25120</v>
      </c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43"/>
      <c r="BN150" s="43"/>
      <c r="BO150" s="43"/>
      <c r="BP150" s="43"/>
      <c r="BQ150" s="43"/>
      <c r="BR150" s="43"/>
      <c r="BS150" s="43"/>
      <c r="BT150" s="43"/>
      <c r="BU150" s="43"/>
      <c r="BV150" s="43"/>
      <c r="BW150" s="43"/>
      <c r="BX150" s="43"/>
      <c r="BY150" s="43"/>
      <c r="BZ150" s="43"/>
      <c r="CA150" s="43"/>
      <c r="CB150" s="43"/>
      <c r="CC150" s="43"/>
      <c r="CD150" s="43"/>
      <c r="CE150" s="43"/>
      <c r="CF150" s="43"/>
      <c r="CG150" s="43"/>
      <c r="CH150" s="43"/>
      <c r="CI150" s="43"/>
      <c r="CJ150" s="43"/>
      <c r="CK150" s="43"/>
      <c r="CL150" s="43"/>
      <c r="CM150" s="43"/>
      <c r="CN150" s="43"/>
      <c r="CO150" s="43"/>
      <c r="CP150" s="43"/>
      <c r="CQ150" s="43"/>
      <c r="CR150" s="43"/>
      <c r="CS150" s="43"/>
      <c r="CT150" s="43"/>
      <c r="CU150" s="43"/>
      <c r="CV150" s="43"/>
      <c r="CW150" s="43"/>
      <c r="CX150" s="43"/>
      <c r="CY150" s="43"/>
      <c r="CZ150" s="43"/>
      <c r="DA150" s="43"/>
      <c r="DB150" s="43"/>
      <c r="DC150" s="43"/>
      <c r="DD150" s="43"/>
      <c r="DE150" s="43"/>
      <c r="DF150" s="43"/>
      <c r="DG150" s="43"/>
      <c r="DH150" s="43"/>
      <c r="DI150" s="43"/>
      <c r="DJ150" s="43"/>
      <c r="DK150" s="43"/>
      <c r="DL150" s="43"/>
      <c r="DM150" s="43"/>
      <c r="DN150" s="43"/>
      <c r="DO150" s="43"/>
      <c r="DP150" s="43"/>
      <c r="DQ150" s="43"/>
      <c r="DR150" s="43"/>
      <c r="DS150" s="43"/>
      <c r="DT150" s="43"/>
      <c r="DU150" s="43"/>
      <c r="DV150" s="43"/>
      <c r="DW150" s="43"/>
      <c r="DX150" s="43"/>
      <c r="DY150" s="43"/>
      <c r="DZ150" s="43"/>
      <c r="EA150" s="43"/>
      <c r="EB150" s="43"/>
      <c r="EC150" s="43"/>
      <c r="ED150" s="43"/>
      <c r="EE150" s="43"/>
      <c r="EF150" s="43"/>
      <c r="EG150" s="43"/>
      <c r="EH150" s="43"/>
      <c r="EI150" s="43"/>
      <c r="EJ150" s="43"/>
      <c r="EK150" s="43"/>
      <c r="EL150" s="43"/>
      <c r="EM150" s="43"/>
      <c r="EN150" s="43"/>
      <c r="EO150" s="43"/>
      <c r="EP150" s="43"/>
      <c r="EQ150" s="43"/>
      <c r="ER150" s="43"/>
      <c r="ES150" s="43"/>
      <c r="ET150" s="43"/>
      <c r="EU150" s="43"/>
      <c r="EV150" s="43"/>
      <c r="EW150" s="43"/>
      <c r="EX150" s="43"/>
      <c r="EY150" s="43"/>
      <c r="EZ150" s="43"/>
      <c r="FA150" s="43"/>
      <c r="FB150" s="43"/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</row>
    <row r="151" spans="1:190" s="24" customFormat="1" ht="15.75" customHeight="1">
      <c r="A151" s="73">
        <v>42070</v>
      </c>
      <c r="B151" s="70" t="s">
        <v>376</v>
      </c>
      <c r="C151" s="71" t="s">
        <v>749</v>
      </c>
      <c r="D151" s="71" t="s">
        <v>750</v>
      </c>
      <c r="E151" s="75">
        <v>25120</v>
      </c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43"/>
      <c r="BN151" s="43"/>
      <c r="BO151" s="43"/>
      <c r="BP151" s="43"/>
      <c r="BQ151" s="43"/>
      <c r="BR151" s="43"/>
      <c r="BS151" s="43"/>
      <c r="BT151" s="43"/>
      <c r="BU151" s="43"/>
      <c r="BV151" s="43"/>
      <c r="BW151" s="43"/>
      <c r="BX151" s="43"/>
      <c r="BY151" s="43"/>
      <c r="BZ151" s="43"/>
      <c r="CA151" s="43"/>
      <c r="CB151" s="43"/>
      <c r="CC151" s="43"/>
      <c r="CD151" s="43"/>
      <c r="CE151" s="43"/>
      <c r="CF151" s="43"/>
      <c r="CG151" s="43"/>
      <c r="CH151" s="43"/>
      <c r="CI151" s="43"/>
      <c r="CJ151" s="43"/>
      <c r="CK151" s="43"/>
      <c r="CL151" s="43"/>
      <c r="CM151" s="43"/>
      <c r="CN151" s="43"/>
      <c r="CO151" s="43"/>
      <c r="CP151" s="43"/>
      <c r="CQ151" s="43"/>
      <c r="CR151" s="43"/>
      <c r="CS151" s="43"/>
      <c r="CT151" s="43"/>
      <c r="CU151" s="43"/>
      <c r="CV151" s="43"/>
      <c r="CW151" s="43"/>
      <c r="CX151" s="43"/>
      <c r="CY151" s="43"/>
      <c r="CZ151" s="43"/>
      <c r="DA151" s="43"/>
      <c r="DB151" s="43"/>
      <c r="DC151" s="43"/>
      <c r="DD151" s="43"/>
      <c r="DE151" s="43"/>
      <c r="DF151" s="43"/>
      <c r="DG151" s="43"/>
      <c r="DH151" s="43"/>
      <c r="DI151" s="43"/>
      <c r="DJ151" s="43"/>
      <c r="DK151" s="43"/>
      <c r="DL151" s="43"/>
      <c r="DM151" s="43"/>
      <c r="DN151" s="43"/>
      <c r="DO151" s="43"/>
      <c r="DP151" s="43"/>
      <c r="DQ151" s="43"/>
      <c r="DR151" s="43"/>
      <c r="DS151" s="43"/>
      <c r="DT151" s="43"/>
      <c r="DU151" s="43"/>
      <c r="DV151" s="43"/>
      <c r="DW151" s="43"/>
      <c r="DX151" s="43"/>
      <c r="DY151" s="43"/>
      <c r="DZ151" s="43"/>
      <c r="EA151" s="43"/>
      <c r="EB151" s="43"/>
      <c r="EC151" s="43"/>
      <c r="ED151" s="43"/>
      <c r="EE151" s="43"/>
      <c r="EF151" s="43"/>
      <c r="EG151" s="43"/>
      <c r="EH151" s="43"/>
      <c r="EI151" s="43"/>
      <c r="EJ151" s="43"/>
      <c r="EK151" s="43"/>
      <c r="EL151" s="43"/>
      <c r="EM151" s="43"/>
      <c r="EN151" s="43"/>
      <c r="EO151" s="43"/>
      <c r="EP151" s="43"/>
      <c r="EQ151" s="43"/>
      <c r="ER151" s="43"/>
      <c r="ES151" s="43"/>
      <c r="ET151" s="43"/>
      <c r="EU151" s="43"/>
      <c r="EV151" s="43"/>
      <c r="EW151" s="43"/>
      <c r="EX151" s="43"/>
      <c r="EY151" s="43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/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</row>
    <row r="152" spans="1:190" s="24" customFormat="1" ht="15.75" customHeight="1">
      <c r="A152" s="72">
        <v>42074</v>
      </c>
      <c r="B152" s="68" t="s">
        <v>376</v>
      </c>
      <c r="C152" s="69" t="s">
        <v>749</v>
      </c>
      <c r="D152" s="69" t="s">
        <v>750</v>
      </c>
      <c r="E152" s="74">
        <v>25120</v>
      </c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3"/>
      <c r="BP152" s="43"/>
      <c r="BQ152" s="43"/>
      <c r="BR152" s="43"/>
      <c r="BS152" s="43"/>
      <c r="BT152" s="43"/>
      <c r="BU152" s="43"/>
      <c r="BV152" s="43"/>
      <c r="BW152" s="43"/>
      <c r="BX152" s="43"/>
      <c r="BY152" s="43"/>
      <c r="BZ152" s="43"/>
      <c r="CA152" s="43"/>
      <c r="CB152" s="43"/>
      <c r="CC152" s="43"/>
      <c r="CD152" s="43"/>
      <c r="CE152" s="43"/>
      <c r="CF152" s="43"/>
      <c r="CG152" s="43"/>
      <c r="CH152" s="43"/>
      <c r="CI152" s="43"/>
      <c r="CJ152" s="43"/>
      <c r="CK152" s="43"/>
      <c r="CL152" s="43"/>
      <c r="CM152" s="43"/>
      <c r="CN152" s="43"/>
      <c r="CO152" s="43"/>
      <c r="CP152" s="43"/>
      <c r="CQ152" s="43"/>
      <c r="CR152" s="43"/>
      <c r="CS152" s="43"/>
      <c r="CT152" s="43"/>
      <c r="CU152" s="43"/>
      <c r="CV152" s="43"/>
      <c r="CW152" s="43"/>
      <c r="CX152" s="43"/>
      <c r="CY152" s="43"/>
      <c r="CZ152" s="43"/>
      <c r="DA152" s="43"/>
      <c r="DB152" s="43"/>
      <c r="DC152" s="43"/>
      <c r="DD152" s="43"/>
      <c r="DE152" s="43"/>
      <c r="DF152" s="43"/>
      <c r="DG152" s="43"/>
      <c r="DH152" s="43"/>
      <c r="DI152" s="43"/>
      <c r="DJ152" s="43"/>
      <c r="DK152" s="43"/>
      <c r="DL152" s="43"/>
      <c r="DM152" s="43"/>
      <c r="DN152" s="43"/>
      <c r="DO152" s="43"/>
      <c r="DP152" s="43"/>
      <c r="DQ152" s="43"/>
      <c r="DR152" s="43"/>
      <c r="DS152" s="43"/>
      <c r="DT152" s="43"/>
      <c r="DU152" s="43"/>
      <c r="DV152" s="43"/>
      <c r="DW152" s="43"/>
      <c r="DX152" s="43"/>
      <c r="DY152" s="43"/>
      <c r="DZ152" s="43"/>
      <c r="EA152" s="43"/>
      <c r="EB152" s="43"/>
      <c r="EC152" s="43"/>
      <c r="ED152" s="43"/>
      <c r="EE152" s="43"/>
      <c r="EF152" s="43"/>
      <c r="EG152" s="43"/>
      <c r="EH152" s="43"/>
      <c r="EI152" s="43"/>
      <c r="EJ152" s="43"/>
      <c r="EK152" s="43"/>
      <c r="EL152" s="43"/>
      <c r="EM152" s="43"/>
      <c r="EN152" s="43"/>
      <c r="EO152" s="43"/>
      <c r="EP152" s="43"/>
      <c r="EQ152" s="43"/>
      <c r="ER152" s="43"/>
      <c r="ES152" s="43"/>
      <c r="ET152" s="43"/>
      <c r="EU152" s="43"/>
      <c r="EV152" s="43"/>
      <c r="EW152" s="43"/>
      <c r="EX152" s="43"/>
      <c r="EY152" s="43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/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</row>
    <row r="153" spans="1:190" s="24" customFormat="1" ht="15.75" customHeight="1">
      <c r="A153" s="73">
        <v>42269</v>
      </c>
      <c r="B153" s="70" t="s">
        <v>578</v>
      </c>
      <c r="C153" s="71" t="s">
        <v>757</v>
      </c>
      <c r="D153" s="71" t="s">
        <v>750</v>
      </c>
      <c r="E153" s="75">
        <v>12360</v>
      </c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3"/>
      <c r="BL153" s="43"/>
      <c r="BM153" s="43"/>
      <c r="BN153" s="43"/>
      <c r="BO153" s="43"/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3"/>
      <c r="CA153" s="43"/>
      <c r="CB153" s="43"/>
      <c r="CC153" s="43"/>
      <c r="CD153" s="43"/>
      <c r="CE153" s="43"/>
      <c r="CF153" s="43"/>
      <c r="CG153" s="43"/>
      <c r="CH153" s="43"/>
      <c r="CI153" s="43"/>
      <c r="CJ153" s="43"/>
      <c r="CK153" s="43"/>
      <c r="CL153" s="43"/>
      <c r="CM153" s="43"/>
      <c r="CN153" s="43"/>
      <c r="CO153" s="43"/>
      <c r="CP153" s="43"/>
      <c r="CQ153" s="43"/>
      <c r="CR153" s="43"/>
      <c r="CS153" s="43"/>
      <c r="CT153" s="43"/>
      <c r="CU153" s="43"/>
      <c r="CV153" s="43"/>
      <c r="CW153" s="43"/>
      <c r="CX153" s="43"/>
      <c r="CY153" s="43"/>
      <c r="CZ153" s="43"/>
      <c r="DA153" s="43"/>
      <c r="DB153" s="43"/>
      <c r="DC153" s="43"/>
      <c r="DD153" s="43"/>
      <c r="DE153" s="43"/>
      <c r="DF153" s="43"/>
      <c r="DG153" s="43"/>
      <c r="DH153" s="43"/>
      <c r="DI153" s="43"/>
      <c r="DJ153" s="43"/>
      <c r="DK153" s="43"/>
      <c r="DL153" s="43"/>
      <c r="DM153" s="43"/>
      <c r="DN153" s="43"/>
      <c r="DO153" s="43"/>
      <c r="DP153" s="43"/>
      <c r="DQ153" s="43"/>
      <c r="DR153" s="43"/>
      <c r="DS153" s="43"/>
      <c r="DT153" s="43"/>
      <c r="DU153" s="43"/>
      <c r="DV153" s="43"/>
      <c r="DW153" s="43"/>
      <c r="DX153" s="43"/>
      <c r="DY153" s="43"/>
      <c r="DZ153" s="43"/>
      <c r="EA153" s="43"/>
      <c r="EB153" s="43"/>
      <c r="EC153" s="43"/>
      <c r="ED153" s="43"/>
      <c r="EE153" s="43"/>
      <c r="EF153" s="43"/>
      <c r="EG153" s="43"/>
      <c r="EH153" s="43"/>
      <c r="EI153" s="43"/>
      <c r="EJ153" s="43"/>
      <c r="EK153" s="43"/>
      <c r="EL153" s="43"/>
      <c r="EM153" s="43"/>
      <c r="EN153" s="43"/>
      <c r="EO153" s="43"/>
      <c r="EP153" s="43"/>
      <c r="EQ153" s="43"/>
      <c r="ER153" s="43"/>
      <c r="ES153" s="43"/>
      <c r="ET153" s="43"/>
      <c r="EU153" s="43"/>
      <c r="EV153" s="43"/>
      <c r="EW153" s="43"/>
      <c r="EX153" s="43"/>
      <c r="EY153" s="43"/>
      <c r="EZ153" s="43"/>
      <c r="FA153" s="43"/>
      <c r="FB153" s="43"/>
      <c r="FC153" s="43"/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</row>
    <row r="154" spans="1:190" s="24" customFormat="1" ht="15.75" customHeight="1">
      <c r="A154" s="72">
        <v>42292</v>
      </c>
      <c r="B154" s="68" t="s">
        <v>578</v>
      </c>
      <c r="C154" s="69" t="s">
        <v>757</v>
      </c>
      <c r="D154" s="69" t="s">
        <v>750</v>
      </c>
      <c r="E154" s="74">
        <v>12360</v>
      </c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  <c r="BM154" s="43"/>
      <c r="BN154" s="43"/>
      <c r="BO154" s="43"/>
      <c r="BP154" s="43"/>
      <c r="BQ154" s="43"/>
      <c r="BR154" s="43"/>
      <c r="BS154" s="43"/>
      <c r="BT154" s="43"/>
      <c r="BU154" s="43"/>
      <c r="BV154" s="43"/>
      <c r="BW154" s="43"/>
      <c r="BX154" s="43"/>
      <c r="BY154" s="43"/>
      <c r="BZ154" s="43"/>
      <c r="CA154" s="43"/>
      <c r="CB154" s="43"/>
      <c r="CC154" s="43"/>
      <c r="CD154" s="43"/>
      <c r="CE154" s="43"/>
      <c r="CF154" s="43"/>
      <c r="CG154" s="43"/>
      <c r="CH154" s="43"/>
      <c r="CI154" s="43"/>
      <c r="CJ154" s="43"/>
      <c r="CK154" s="43"/>
      <c r="CL154" s="43"/>
      <c r="CM154" s="43"/>
      <c r="CN154" s="43"/>
      <c r="CO154" s="43"/>
      <c r="CP154" s="43"/>
      <c r="CQ154" s="43"/>
      <c r="CR154" s="43"/>
      <c r="CS154" s="43"/>
      <c r="CT154" s="43"/>
      <c r="CU154" s="43"/>
      <c r="CV154" s="43"/>
      <c r="CW154" s="43"/>
      <c r="CX154" s="43"/>
      <c r="CY154" s="43"/>
      <c r="CZ154" s="43"/>
      <c r="DA154" s="43"/>
      <c r="DB154" s="43"/>
      <c r="DC154" s="43"/>
      <c r="DD154" s="43"/>
      <c r="DE154" s="43"/>
      <c r="DF154" s="43"/>
      <c r="DG154" s="43"/>
      <c r="DH154" s="43"/>
      <c r="DI154" s="43"/>
      <c r="DJ154" s="43"/>
      <c r="DK154" s="43"/>
      <c r="DL154" s="43"/>
      <c r="DM154" s="43"/>
      <c r="DN154" s="43"/>
      <c r="DO154" s="43"/>
      <c r="DP154" s="43"/>
      <c r="DQ154" s="43"/>
      <c r="DR154" s="43"/>
      <c r="DS154" s="43"/>
      <c r="DT154" s="43"/>
      <c r="DU154" s="43"/>
      <c r="DV154" s="43"/>
      <c r="DW154" s="43"/>
      <c r="DX154" s="43"/>
      <c r="DY154" s="43"/>
      <c r="DZ154" s="43"/>
      <c r="EA154" s="43"/>
      <c r="EB154" s="43"/>
      <c r="EC154" s="43"/>
      <c r="ED154" s="43"/>
      <c r="EE154" s="43"/>
      <c r="EF154" s="43"/>
      <c r="EG154" s="43"/>
      <c r="EH154" s="43"/>
      <c r="EI154" s="43"/>
      <c r="EJ154" s="43"/>
      <c r="EK154" s="43"/>
      <c r="EL154" s="43"/>
      <c r="EM154" s="43"/>
      <c r="EN154" s="43"/>
      <c r="EO154" s="43"/>
      <c r="EP154" s="43"/>
      <c r="EQ154" s="43"/>
      <c r="ER154" s="43"/>
      <c r="ES154" s="43"/>
      <c r="ET154" s="43"/>
      <c r="EU154" s="43"/>
      <c r="EV154" s="43"/>
      <c r="EW154" s="43"/>
      <c r="EX154" s="43"/>
      <c r="EY154" s="43"/>
      <c r="EZ154" s="43"/>
      <c r="FA154" s="43"/>
      <c r="FB154" s="43"/>
      <c r="FC154" s="43"/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</row>
    <row r="155" spans="1:190" s="24" customFormat="1" ht="15.75" customHeight="1">
      <c r="A155" s="73">
        <v>42302</v>
      </c>
      <c r="B155" s="70" t="s">
        <v>578</v>
      </c>
      <c r="C155" s="71" t="s">
        <v>757</v>
      </c>
      <c r="D155" s="71" t="s">
        <v>750</v>
      </c>
      <c r="E155" s="75">
        <v>12360</v>
      </c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43"/>
      <c r="BP155" s="43"/>
      <c r="BQ155" s="43"/>
      <c r="BR155" s="43"/>
      <c r="BS155" s="43"/>
      <c r="BT155" s="43"/>
      <c r="BU155" s="43"/>
      <c r="BV155" s="43"/>
      <c r="BW155" s="43"/>
      <c r="BX155" s="43"/>
      <c r="BY155" s="43"/>
      <c r="BZ155" s="43"/>
      <c r="CA155" s="43"/>
      <c r="CB155" s="43"/>
      <c r="CC155" s="43"/>
      <c r="CD155" s="43"/>
      <c r="CE155" s="43"/>
      <c r="CF155" s="43"/>
      <c r="CG155" s="43"/>
      <c r="CH155" s="43"/>
      <c r="CI155" s="43"/>
      <c r="CJ155" s="43"/>
      <c r="CK155" s="43"/>
      <c r="CL155" s="43"/>
      <c r="CM155" s="43"/>
      <c r="CN155" s="43"/>
      <c r="CO155" s="43"/>
      <c r="CP155" s="43"/>
      <c r="CQ155" s="43"/>
      <c r="CR155" s="43"/>
      <c r="CS155" s="43"/>
      <c r="CT155" s="43"/>
      <c r="CU155" s="43"/>
      <c r="CV155" s="43"/>
      <c r="CW155" s="43"/>
      <c r="CX155" s="43"/>
      <c r="CY155" s="43"/>
      <c r="CZ155" s="43"/>
      <c r="DA155" s="43"/>
      <c r="DB155" s="43"/>
      <c r="DC155" s="43"/>
      <c r="DD155" s="43"/>
      <c r="DE155" s="43"/>
      <c r="DF155" s="43"/>
      <c r="DG155" s="43"/>
      <c r="DH155" s="43"/>
      <c r="DI155" s="43"/>
      <c r="DJ155" s="43"/>
      <c r="DK155" s="43"/>
      <c r="DL155" s="43"/>
      <c r="DM155" s="43"/>
      <c r="DN155" s="43"/>
      <c r="DO155" s="43"/>
      <c r="DP155" s="43"/>
      <c r="DQ155" s="43"/>
      <c r="DR155" s="43"/>
      <c r="DS155" s="43"/>
      <c r="DT155" s="43"/>
      <c r="DU155" s="43"/>
      <c r="DV155" s="43"/>
      <c r="DW155" s="43"/>
      <c r="DX155" s="43"/>
      <c r="DY155" s="43"/>
      <c r="DZ155" s="43"/>
      <c r="EA155" s="43"/>
      <c r="EB155" s="43"/>
      <c r="EC155" s="43"/>
      <c r="ED155" s="43"/>
      <c r="EE155" s="43"/>
      <c r="EF155" s="43"/>
      <c r="EG155" s="43"/>
      <c r="EH155" s="43"/>
      <c r="EI155" s="43"/>
      <c r="EJ155" s="43"/>
      <c r="EK155" s="43"/>
      <c r="EL155" s="43"/>
      <c r="EM155" s="43"/>
      <c r="EN155" s="43"/>
      <c r="EO155" s="43"/>
      <c r="EP155" s="43"/>
      <c r="EQ155" s="43"/>
      <c r="ER155" s="43"/>
      <c r="ES155" s="43"/>
      <c r="ET155" s="43"/>
      <c r="EU155" s="43"/>
      <c r="EV155" s="43"/>
      <c r="EW155" s="43"/>
      <c r="EX155" s="43"/>
      <c r="EY155" s="43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</row>
    <row r="156" spans="1:190" s="24" customFormat="1" ht="15.75" customHeight="1">
      <c r="A156" s="72">
        <v>42042</v>
      </c>
      <c r="B156" s="68" t="s">
        <v>376</v>
      </c>
      <c r="C156" s="69" t="s">
        <v>757</v>
      </c>
      <c r="D156" s="69" t="s">
        <v>750</v>
      </c>
      <c r="E156" s="74">
        <v>12360</v>
      </c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43"/>
      <c r="BP156" s="43"/>
      <c r="BQ156" s="43"/>
      <c r="BR156" s="43"/>
      <c r="BS156" s="43"/>
      <c r="BT156" s="43"/>
      <c r="BU156" s="43"/>
      <c r="BV156" s="43"/>
      <c r="BW156" s="43"/>
      <c r="BX156" s="43"/>
      <c r="BY156" s="43"/>
      <c r="BZ156" s="43"/>
      <c r="CA156" s="43"/>
      <c r="CB156" s="43"/>
      <c r="CC156" s="43"/>
      <c r="CD156" s="43"/>
      <c r="CE156" s="43"/>
      <c r="CF156" s="43"/>
      <c r="CG156" s="43"/>
      <c r="CH156" s="43"/>
      <c r="CI156" s="43"/>
      <c r="CJ156" s="43"/>
      <c r="CK156" s="43"/>
      <c r="CL156" s="43"/>
      <c r="CM156" s="43"/>
      <c r="CN156" s="43"/>
      <c r="CO156" s="43"/>
      <c r="CP156" s="43"/>
      <c r="CQ156" s="43"/>
      <c r="CR156" s="43"/>
      <c r="CS156" s="43"/>
      <c r="CT156" s="43"/>
      <c r="CU156" s="43"/>
      <c r="CV156" s="43"/>
      <c r="CW156" s="43"/>
      <c r="CX156" s="43"/>
      <c r="CY156" s="43"/>
      <c r="CZ156" s="43"/>
      <c r="DA156" s="43"/>
      <c r="DB156" s="43"/>
      <c r="DC156" s="43"/>
      <c r="DD156" s="43"/>
      <c r="DE156" s="43"/>
      <c r="DF156" s="43"/>
      <c r="DG156" s="43"/>
      <c r="DH156" s="43"/>
      <c r="DI156" s="43"/>
      <c r="DJ156" s="43"/>
      <c r="DK156" s="43"/>
      <c r="DL156" s="43"/>
      <c r="DM156" s="43"/>
      <c r="DN156" s="43"/>
      <c r="DO156" s="43"/>
      <c r="DP156" s="43"/>
      <c r="DQ156" s="43"/>
      <c r="DR156" s="43"/>
      <c r="DS156" s="43"/>
      <c r="DT156" s="43"/>
      <c r="DU156" s="43"/>
      <c r="DV156" s="43"/>
      <c r="DW156" s="43"/>
      <c r="DX156" s="43"/>
      <c r="DY156" s="43"/>
      <c r="DZ156" s="43"/>
      <c r="EA156" s="43"/>
      <c r="EB156" s="43"/>
      <c r="EC156" s="43"/>
      <c r="ED156" s="43"/>
      <c r="EE156" s="43"/>
      <c r="EF156" s="43"/>
      <c r="EG156" s="43"/>
      <c r="EH156" s="43"/>
      <c r="EI156" s="43"/>
      <c r="EJ156" s="43"/>
      <c r="EK156" s="43"/>
      <c r="EL156" s="43"/>
      <c r="EM156" s="43"/>
      <c r="EN156" s="43"/>
      <c r="EO156" s="43"/>
      <c r="EP156" s="43"/>
      <c r="EQ156" s="43"/>
      <c r="ER156" s="43"/>
      <c r="ES156" s="43"/>
      <c r="ET156" s="43"/>
      <c r="EU156" s="43"/>
      <c r="EV156" s="43"/>
      <c r="EW156" s="43"/>
      <c r="EX156" s="43"/>
      <c r="EY156" s="43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</row>
    <row r="157" spans="1:190" s="24" customFormat="1" ht="15.75" customHeight="1">
      <c r="A157" s="73">
        <v>42078</v>
      </c>
      <c r="B157" s="70" t="s">
        <v>376</v>
      </c>
      <c r="C157" s="71" t="s">
        <v>757</v>
      </c>
      <c r="D157" s="71" t="s">
        <v>750</v>
      </c>
      <c r="E157" s="75">
        <v>12360</v>
      </c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43"/>
      <c r="BP157" s="43"/>
      <c r="BQ157" s="43"/>
      <c r="BR157" s="43"/>
      <c r="BS157" s="43"/>
      <c r="BT157" s="43"/>
      <c r="BU157" s="43"/>
      <c r="BV157" s="43"/>
      <c r="BW157" s="43"/>
      <c r="BX157" s="43"/>
      <c r="BY157" s="43"/>
      <c r="BZ157" s="43"/>
      <c r="CA157" s="43"/>
      <c r="CB157" s="43"/>
      <c r="CC157" s="43"/>
      <c r="CD157" s="43"/>
      <c r="CE157" s="43"/>
      <c r="CF157" s="43"/>
      <c r="CG157" s="43"/>
      <c r="CH157" s="43"/>
      <c r="CI157" s="43"/>
      <c r="CJ157" s="43"/>
      <c r="CK157" s="43"/>
      <c r="CL157" s="43"/>
      <c r="CM157" s="43"/>
      <c r="CN157" s="43"/>
      <c r="CO157" s="43"/>
      <c r="CP157" s="43"/>
      <c r="CQ157" s="43"/>
      <c r="CR157" s="43"/>
      <c r="CS157" s="43"/>
      <c r="CT157" s="43"/>
      <c r="CU157" s="43"/>
      <c r="CV157" s="43"/>
      <c r="CW157" s="43"/>
      <c r="CX157" s="43"/>
      <c r="CY157" s="43"/>
      <c r="CZ157" s="43"/>
      <c r="DA157" s="43"/>
      <c r="DB157" s="43"/>
      <c r="DC157" s="43"/>
      <c r="DD157" s="43"/>
      <c r="DE157" s="43"/>
      <c r="DF157" s="43"/>
      <c r="DG157" s="43"/>
      <c r="DH157" s="43"/>
      <c r="DI157" s="43"/>
      <c r="DJ157" s="43"/>
      <c r="DK157" s="43"/>
      <c r="DL157" s="43"/>
      <c r="DM157" s="43"/>
      <c r="DN157" s="43"/>
      <c r="DO157" s="43"/>
      <c r="DP157" s="43"/>
      <c r="DQ157" s="43"/>
      <c r="DR157" s="43"/>
      <c r="DS157" s="43"/>
      <c r="DT157" s="43"/>
      <c r="DU157" s="43"/>
      <c r="DV157" s="43"/>
      <c r="DW157" s="43"/>
      <c r="DX157" s="43"/>
      <c r="DY157" s="43"/>
      <c r="DZ157" s="43"/>
      <c r="EA157" s="43"/>
      <c r="EB157" s="43"/>
      <c r="EC157" s="43"/>
      <c r="ED157" s="43"/>
      <c r="EE157" s="43"/>
      <c r="EF157" s="43"/>
      <c r="EG157" s="43"/>
      <c r="EH157" s="43"/>
      <c r="EI157" s="43"/>
      <c r="EJ157" s="43"/>
      <c r="EK157" s="43"/>
      <c r="EL157" s="43"/>
      <c r="EM157" s="43"/>
      <c r="EN157" s="43"/>
      <c r="EO157" s="43"/>
      <c r="EP157" s="43"/>
      <c r="EQ157" s="43"/>
      <c r="ER157" s="43"/>
      <c r="ES157" s="43"/>
      <c r="ET157" s="43"/>
      <c r="EU157" s="43"/>
      <c r="EV157" s="43"/>
      <c r="EW157" s="43"/>
      <c r="EX157" s="43"/>
      <c r="EY157" s="43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</row>
    <row r="158" spans="1:190" s="24" customFormat="1" ht="15.75" customHeight="1">
      <c r="A158" s="72">
        <v>42312</v>
      </c>
      <c r="B158" s="68" t="s">
        <v>578</v>
      </c>
      <c r="C158" s="69" t="s">
        <v>758</v>
      </c>
      <c r="D158" s="69" t="s">
        <v>748</v>
      </c>
      <c r="E158" s="74">
        <v>12600</v>
      </c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  <c r="BP158" s="43"/>
      <c r="BQ158" s="43"/>
      <c r="BR158" s="43"/>
      <c r="BS158" s="43"/>
      <c r="BT158" s="43"/>
      <c r="BU158" s="43"/>
      <c r="BV158" s="43"/>
      <c r="BW158" s="43"/>
      <c r="BX158" s="43"/>
      <c r="BY158" s="43"/>
      <c r="BZ158" s="43"/>
      <c r="CA158" s="43"/>
      <c r="CB158" s="43"/>
      <c r="CC158" s="43"/>
      <c r="CD158" s="43"/>
      <c r="CE158" s="43"/>
      <c r="CF158" s="43"/>
      <c r="CG158" s="43"/>
      <c r="CH158" s="43"/>
      <c r="CI158" s="43"/>
      <c r="CJ158" s="43"/>
      <c r="CK158" s="43"/>
      <c r="CL158" s="43"/>
      <c r="CM158" s="43"/>
      <c r="CN158" s="43"/>
      <c r="CO158" s="43"/>
      <c r="CP158" s="43"/>
      <c r="CQ158" s="43"/>
      <c r="CR158" s="43"/>
      <c r="CS158" s="43"/>
      <c r="CT158" s="43"/>
      <c r="CU158" s="43"/>
      <c r="CV158" s="43"/>
      <c r="CW158" s="43"/>
      <c r="CX158" s="43"/>
      <c r="CY158" s="43"/>
      <c r="CZ158" s="43"/>
      <c r="DA158" s="43"/>
      <c r="DB158" s="43"/>
      <c r="DC158" s="43"/>
      <c r="DD158" s="43"/>
      <c r="DE158" s="43"/>
      <c r="DF158" s="43"/>
      <c r="DG158" s="43"/>
      <c r="DH158" s="43"/>
      <c r="DI158" s="43"/>
      <c r="DJ158" s="43"/>
      <c r="DK158" s="43"/>
      <c r="DL158" s="43"/>
      <c r="DM158" s="43"/>
      <c r="DN158" s="43"/>
      <c r="DO158" s="43"/>
      <c r="DP158" s="43"/>
      <c r="DQ158" s="43"/>
      <c r="DR158" s="43"/>
      <c r="DS158" s="43"/>
      <c r="DT158" s="43"/>
      <c r="DU158" s="43"/>
      <c r="DV158" s="43"/>
      <c r="DW158" s="43"/>
      <c r="DX158" s="43"/>
      <c r="DY158" s="43"/>
      <c r="DZ158" s="43"/>
      <c r="EA158" s="43"/>
      <c r="EB158" s="43"/>
      <c r="EC158" s="43"/>
      <c r="ED158" s="43"/>
      <c r="EE158" s="43"/>
      <c r="EF158" s="43"/>
      <c r="EG158" s="43"/>
      <c r="EH158" s="43"/>
      <c r="EI158" s="43"/>
      <c r="EJ158" s="43"/>
      <c r="EK158" s="43"/>
      <c r="EL158" s="43"/>
      <c r="EM158" s="43"/>
      <c r="EN158" s="43"/>
      <c r="EO158" s="43"/>
      <c r="EP158" s="43"/>
      <c r="EQ158" s="43"/>
      <c r="ER158" s="43"/>
      <c r="ES158" s="43"/>
      <c r="ET158" s="43"/>
      <c r="EU158" s="43"/>
      <c r="EV158" s="43"/>
      <c r="EW158" s="43"/>
      <c r="EX158" s="43"/>
      <c r="EY158" s="43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</row>
    <row r="159" spans="1:190" s="24" customFormat="1" ht="15.75" customHeight="1">
      <c r="A159" s="73">
        <v>42322</v>
      </c>
      <c r="B159" s="70" t="s">
        <v>578</v>
      </c>
      <c r="C159" s="71" t="s">
        <v>759</v>
      </c>
      <c r="D159" s="71" t="s">
        <v>748</v>
      </c>
      <c r="E159" s="75">
        <v>10230</v>
      </c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43"/>
      <c r="BN159" s="43"/>
      <c r="BO159" s="43"/>
      <c r="BP159" s="43"/>
      <c r="BQ159" s="43"/>
      <c r="BR159" s="43"/>
      <c r="BS159" s="43"/>
      <c r="BT159" s="43"/>
      <c r="BU159" s="43"/>
      <c r="BV159" s="43"/>
      <c r="BW159" s="43"/>
      <c r="BX159" s="43"/>
      <c r="BY159" s="43"/>
      <c r="BZ159" s="43"/>
      <c r="CA159" s="43"/>
      <c r="CB159" s="43"/>
      <c r="CC159" s="43"/>
      <c r="CD159" s="43"/>
      <c r="CE159" s="43"/>
      <c r="CF159" s="43"/>
      <c r="CG159" s="43"/>
      <c r="CH159" s="43"/>
      <c r="CI159" s="43"/>
      <c r="CJ159" s="43"/>
      <c r="CK159" s="43"/>
      <c r="CL159" s="43"/>
      <c r="CM159" s="43"/>
      <c r="CN159" s="43"/>
      <c r="CO159" s="43"/>
      <c r="CP159" s="43"/>
      <c r="CQ159" s="43"/>
      <c r="CR159" s="43"/>
      <c r="CS159" s="43"/>
      <c r="CT159" s="43"/>
      <c r="CU159" s="43"/>
      <c r="CV159" s="43"/>
      <c r="CW159" s="43"/>
      <c r="CX159" s="43"/>
      <c r="CY159" s="43"/>
      <c r="CZ159" s="43"/>
      <c r="DA159" s="43"/>
      <c r="DB159" s="43"/>
      <c r="DC159" s="43"/>
      <c r="DD159" s="43"/>
      <c r="DE159" s="43"/>
      <c r="DF159" s="43"/>
      <c r="DG159" s="43"/>
      <c r="DH159" s="43"/>
      <c r="DI159" s="43"/>
      <c r="DJ159" s="43"/>
      <c r="DK159" s="43"/>
      <c r="DL159" s="43"/>
      <c r="DM159" s="43"/>
      <c r="DN159" s="43"/>
      <c r="DO159" s="43"/>
      <c r="DP159" s="43"/>
      <c r="DQ159" s="43"/>
      <c r="DR159" s="43"/>
      <c r="DS159" s="43"/>
      <c r="DT159" s="43"/>
      <c r="DU159" s="43"/>
      <c r="DV159" s="43"/>
      <c r="DW159" s="43"/>
      <c r="DX159" s="43"/>
      <c r="DY159" s="43"/>
      <c r="DZ159" s="43"/>
      <c r="EA159" s="43"/>
      <c r="EB159" s="43"/>
      <c r="EC159" s="43"/>
      <c r="ED159" s="43"/>
      <c r="EE159" s="43"/>
      <c r="EF159" s="43"/>
      <c r="EG159" s="43"/>
      <c r="EH159" s="43"/>
      <c r="EI159" s="43"/>
      <c r="EJ159" s="43"/>
      <c r="EK159" s="43"/>
      <c r="EL159" s="43"/>
      <c r="EM159" s="43"/>
      <c r="EN159" s="43"/>
      <c r="EO159" s="43"/>
      <c r="EP159" s="43"/>
      <c r="EQ159" s="43"/>
      <c r="ER159" s="43"/>
      <c r="ES159" s="43"/>
      <c r="ET159" s="43"/>
      <c r="EU159" s="43"/>
      <c r="EV159" s="43"/>
      <c r="EW159" s="43"/>
      <c r="EX159" s="43"/>
      <c r="EY159" s="43"/>
      <c r="EZ159" s="43"/>
      <c r="FA159" s="43"/>
      <c r="FB159" s="43"/>
      <c r="FC159" s="43"/>
      <c r="FD159" s="43"/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</row>
    <row r="160" spans="1:190" s="24" customFormat="1" ht="15.75" customHeight="1">
      <c r="A160" s="72">
        <v>42332</v>
      </c>
      <c r="B160" s="68" t="s">
        <v>578</v>
      </c>
      <c r="C160" s="69" t="s">
        <v>760</v>
      </c>
      <c r="D160" s="69" t="s">
        <v>748</v>
      </c>
      <c r="E160" s="74">
        <v>13250</v>
      </c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43"/>
      <c r="BO160" s="43"/>
      <c r="BP160" s="43"/>
      <c r="BQ160" s="43"/>
      <c r="BR160" s="43"/>
      <c r="BS160" s="43"/>
      <c r="BT160" s="43"/>
      <c r="BU160" s="43"/>
      <c r="BV160" s="43"/>
      <c r="BW160" s="43"/>
      <c r="BX160" s="43"/>
      <c r="BY160" s="43"/>
      <c r="BZ160" s="43"/>
      <c r="CA160" s="43"/>
      <c r="CB160" s="43"/>
      <c r="CC160" s="43"/>
      <c r="CD160" s="43"/>
      <c r="CE160" s="43"/>
      <c r="CF160" s="43"/>
      <c r="CG160" s="43"/>
      <c r="CH160" s="43"/>
      <c r="CI160" s="43"/>
      <c r="CJ160" s="43"/>
      <c r="CK160" s="43"/>
      <c r="CL160" s="43"/>
      <c r="CM160" s="43"/>
      <c r="CN160" s="43"/>
      <c r="CO160" s="43"/>
      <c r="CP160" s="43"/>
      <c r="CQ160" s="43"/>
      <c r="CR160" s="43"/>
      <c r="CS160" s="43"/>
      <c r="CT160" s="43"/>
      <c r="CU160" s="43"/>
      <c r="CV160" s="43"/>
      <c r="CW160" s="43"/>
      <c r="CX160" s="43"/>
      <c r="CY160" s="43"/>
      <c r="CZ160" s="43"/>
      <c r="DA160" s="43"/>
      <c r="DB160" s="43"/>
      <c r="DC160" s="43"/>
      <c r="DD160" s="43"/>
      <c r="DE160" s="43"/>
      <c r="DF160" s="43"/>
      <c r="DG160" s="43"/>
      <c r="DH160" s="43"/>
      <c r="DI160" s="43"/>
      <c r="DJ160" s="43"/>
      <c r="DK160" s="43"/>
      <c r="DL160" s="43"/>
      <c r="DM160" s="43"/>
      <c r="DN160" s="43"/>
      <c r="DO160" s="43"/>
      <c r="DP160" s="43"/>
      <c r="DQ160" s="43"/>
      <c r="DR160" s="43"/>
      <c r="DS160" s="43"/>
      <c r="DT160" s="43"/>
      <c r="DU160" s="43"/>
      <c r="DV160" s="43"/>
      <c r="DW160" s="43"/>
      <c r="DX160" s="43"/>
      <c r="DY160" s="43"/>
      <c r="DZ160" s="43"/>
      <c r="EA160" s="43"/>
      <c r="EB160" s="43"/>
      <c r="EC160" s="43"/>
      <c r="ED160" s="43"/>
      <c r="EE160" s="43"/>
      <c r="EF160" s="43"/>
      <c r="EG160" s="43"/>
      <c r="EH160" s="43"/>
      <c r="EI160" s="43"/>
      <c r="EJ160" s="43"/>
      <c r="EK160" s="43"/>
      <c r="EL160" s="43"/>
      <c r="EM160" s="43"/>
      <c r="EN160" s="43"/>
      <c r="EO160" s="43"/>
      <c r="EP160" s="43"/>
      <c r="EQ160" s="43"/>
      <c r="ER160" s="43"/>
      <c r="ES160" s="43"/>
      <c r="ET160" s="43"/>
      <c r="EU160" s="43"/>
      <c r="EV160" s="43"/>
      <c r="EW160" s="43"/>
      <c r="EX160" s="43"/>
      <c r="EY160" s="43"/>
      <c r="EZ160" s="43"/>
      <c r="FA160" s="43"/>
      <c r="FB160" s="43"/>
      <c r="FC160" s="43"/>
      <c r="FD160" s="43"/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</row>
    <row r="161" spans="1:190" s="24" customFormat="1" ht="15.75" customHeight="1">
      <c r="A161" s="73">
        <v>42587</v>
      </c>
      <c r="B161" s="70" t="s">
        <v>578</v>
      </c>
      <c r="C161" s="71" t="s">
        <v>788</v>
      </c>
      <c r="D161" s="71" t="s">
        <v>776</v>
      </c>
      <c r="E161" s="75">
        <v>986</v>
      </c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43"/>
      <c r="BQ161" s="43"/>
      <c r="BR161" s="43"/>
      <c r="BS161" s="43"/>
      <c r="BT161" s="43"/>
      <c r="BU161" s="43"/>
      <c r="BV161" s="43"/>
      <c r="BW161" s="43"/>
      <c r="BX161" s="43"/>
      <c r="BY161" s="43"/>
      <c r="BZ161" s="43"/>
      <c r="CA161" s="43"/>
      <c r="CB161" s="43"/>
      <c r="CC161" s="43"/>
      <c r="CD161" s="43"/>
      <c r="CE161" s="43"/>
      <c r="CF161" s="43"/>
      <c r="CG161" s="43"/>
      <c r="CH161" s="43"/>
      <c r="CI161" s="43"/>
      <c r="CJ161" s="43"/>
      <c r="CK161" s="43"/>
      <c r="CL161" s="43"/>
      <c r="CM161" s="43"/>
      <c r="CN161" s="43"/>
      <c r="CO161" s="43"/>
      <c r="CP161" s="43"/>
      <c r="CQ161" s="43"/>
      <c r="CR161" s="43"/>
      <c r="CS161" s="43"/>
      <c r="CT161" s="43"/>
      <c r="CU161" s="43"/>
      <c r="CV161" s="43"/>
      <c r="CW161" s="43"/>
      <c r="CX161" s="43"/>
      <c r="CY161" s="43"/>
      <c r="CZ161" s="43"/>
      <c r="DA161" s="43"/>
      <c r="DB161" s="43"/>
      <c r="DC161" s="43"/>
      <c r="DD161" s="43"/>
      <c r="DE161" s="43"/>
      <c r="DF161" s="43"/>
      <c r="DG161" s="43"/>
      <c r="DH161" s="43"/>
      <c r="DI161" s="43"/>
      <c r="DJ161" s="43"/>
      <c r="DK161" s="43"/>
      <c r="DL161" s="43"/>
      <c r="DM161" s="43"/>
      <c r="DN161" s="43"/>
      <c r="DO161" s="43"/>
      <c r="DP161" s="43"/>
      <c r="DQ161" s="43"/>
      <c r="DR161" s="43"/>
      <c r="DS161" s="43"/>
      <c r="DT161" s="43"/>
      <c r="DU161" s="43"/>
      <c r="DV161" s="43"/>
      <c r="DW161" s="43"/>
      <c r="DX161" s="43"/>
      <c r="DY161" s="43"/>
      <c r="DZ161" s="43"/>
      <c r="EA161" s="43"/>
      <c r="EB161" s="43"/>
      <c r="EC161" s="43"/>
      <c r="ED161" s="43"/>
      <c r="EE161" s="43"/>
      <c r="EF161" s="43"/>
      <c r="EG161" s="43"/>
      <c r="EH161" s="43"/>
      <c r="EI161" s="43"/>
      <c r="EJ161" s="43"/>
      <c r="EK161" s="43"/>
      <c r="EL161" s="43"/>
      <c r="EM161" s="43"/>
      <c r="EN161" s="43"/>
      <c r="EO161" s="43"/>
      <c r="EP161" s="43"/>
      <c r="EQ161" s="43"/>
      <c r="ER161" s="43"/>
      <c r="ES161" s="43"/>
      <c r="ET161" s="43"/>
      <c r="EU161" s="43"/>
      <c r="EV161" s="43"/>
      <c r="EW161" s="43"/>
      <c r="EX161" s="43"/>
      <c r="EY161" s="43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</row>
    <row r="162" spans="1:190" s="24" customFormat="1" ht="15.75" customHeight="1">
      <c r="A162" s="72">
        <v>42368</v>
      </c>
      <c r="B162" s="68" t="s">
        <v>376</v>
      </c>
      <c r="C162" s="69" t="s">
        <v>788</v>
      </c>
      <c r="D162" s="69" t="s">
        <v>776</v>
      </c>
      <c r="E162" s="74">
        <v>958</v>
      </c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43"/>
      <c r="BQ162" s="43"/>
      <c r="BR162" s="43"/>
      <c r="BS162" s="43"/>
      <c r="BT162" s="43"/>
      <c r="BU162" s="43"/>
      <c r="BV162" s="43"/>
      <c r="BW162" s="43"/>
      <c r="BX162" s="43"/>
      <c r="BY162" s="43"/>
      <c r="BZ162" s="43"/>
      <c r="CA162" s="43"/>
      <c r="CB162" s="43"/>
      <c r="CC162" s="43"/>
      <c r="CD162" s="43"/>
      <c r="CE162" s="43"/>
      <c r="CF162" s="43"/>
      <c r="CG162" s="43"/>
      <c r="CH162" s="43"/>
      <c r="CI162" s="43"/>
      <c r="CJ162" s="43"/>
      <c r="CK162" s="43"/>
      <c r="CL162" s="43"/>
      <c r="CM162" s="43"/>
      <c r="CN162" s="43"/>
      <c r="CO162" s="43"/>
      <c r="CP162" s="43"/>
      <c r="CQ162" s="43"/>
      <c r="CR162" s="43"/>
      <c r="CS162" s="43"/>
      <c r="CT162" s="43"/>
      <c r="CU162" s="43"/>
      <c r="CV162" s="43"/>
      <c r="CW162" s="43"/>
      <c r="CX162" s="43"/>
      <c r="CY162" s="43"/>
      <c r="CZ162" s="43"/>
      <c r="DA162" s="43"/>
      <c r="DB162" s="43"/>
      <c r="DC162" s="43"/>
      <c r="DD162" s="43"/>
      <c r="DE162" s="43"/>
      <c r="DF162" s="43"/>
      <c r="DG162" s="43"/>
      <c r="DH162" s="43"/>
      <c r="DI162" s="43"/>
      <c r="DJ162" s="43"/>
      <c r="DK162" s="43"/>
      <c r="DL162" s="43"/>
      <c r="DM162" s="43"/>
      <c r="DN162" s="43"/>
      <c r="DO162" s="43"/>
      <c r="DP162" s="43"/>
      <c r="DQ162" s="43"/>
      <c r="DR162" s="43"/>
      <c r="DS162" s="43"/>
      <c r="DT162" s="43"/>
      <c r="DU162" s="43"/>
      <c r="DV162" s="43"/>
      <c r="DW162" s="43"/>
      <c r="DX162" s="43"/>
      <c r="DY162" s="43"/>
      <c r="DZ162" s="43"/>
      <c r="EA162" s="43"/>
      <c r="EB162" s="43"/>
      <c r="EC162" s="43"/>
      <c r="ED162" s="43"/>
      <c r="EE162" s="43"/>
      <c r="EF162" s="43"/>
      <c r="EG162" s="43"/>
      <c r="EH162" s="43"/>
      <c r="EI162" s="43"/>
      <c r="EJ162" s="43"/>
      <c r="EK162" s="43"/>
      <c r="EL162" s="43"/>
      <c r="EM162" s="43"/>
      <c r="EN162" s="43"/>
      <c r="EO162" s="43"/>
      <c r="EP162" s="43"/>
      <c r="EQ162" s="43"/>
      <c r="ER162" s="43"/>
      <c r="ES162" s="43"/>
      <c r="ET162" s="43"/>
      <c r="EU162" s="43"/>
      <c r="EV162" s="43"/>
      <c r="EW162" s="43"/>
      <c r="EX162" s="43"/>
      <c r="EY162" s="43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</row>
    <row r="163" spans="1:190" s="24" customFormat="1" ht="15.75" customHeight="1">
      <c r="A163" s="73">
        <v>42699</v>
      </c>
      <c r="B163" s="70" t="s">
        <v>578</v>
      </c>
      <c r="C163" s="71" t="s">
        <v>792</v>
      </c>
      <c r="D163" s="71" t="s">
        <v>776</v>
      </c>
      <c r="E163" s="75">
        <v>650</v>
      </c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43"/>
      <c r="BQ163" s="43"/>
      <c r="BR163" s="43"/>
      <c r="BS163" s="43"/>
      <c r="BT163" s="43"/>
      <c r="BU163" s="43"/>
      <c r="BV163" s="43"/>
      <c r="BW163" s="43"/>
      <c r="BX163" s="43"/>
      <c r="BY163" s="43"/>
      <c r="BZ163" s="43"/>
      <c r="CA163" s="43"/>
      <c r="CB163" s="43"/>
      <c r="CC163" s="43"/>
      <c r="CD163" s="43"/>
      <c r="CE163" s="43"/>
      <c r="CF163" s="43"/>
      <c r="CG163" s="43"/>
      <c r="CH163" s="43"/>
      <c r="CI163" s="43"/>
      <c r="CJ163" s="43"/>
      <c r="CK163" s="43"/>
      <c r="CL163" s="43"/>
      <c r="CM163" s="43"/>
      <c r="CN163" s="43"/>
      <c r="CO163" s="43"/>
      <c r="CP163" s="43"/>
      <c r="CQ163" s="43"/>
      <c r="CR163" s="43"/>
      <c r="CS163" s="43"/>
      <c r="CT163" s="43"/>
      <c r="CU163" s="43"/>
      <c r="CV163" s="43"/>
      <c r="CW163" s="43"/>
      <c r="CX163" s="43"/>
      <c r="CY163" s="43"/>
      <c r="CZ163" s="43"/>
      <c r="DA163" s="43"/>
      <c r="DB163" s="43"/>
      <c r="DC163" s="43"/>
      <c r="DD163" s="43"/>
      <c r="DE163" s="43"/>
      <c r="DF163" s="43"/>
      <c r="DG163" s="43"/>
      <c r="DH163" s="43"/>
      <c r="DI163" s="43"/>
      <c r="DJ163" s="43"/>
      <c r="DK163" s="43"/>
      <c r="DL163" s="43"/>
      <c r="DM163" s="43"/>
      <c r="DN163" s="43"/>
      <c r="DO163" s="43"/>
      <c r="DP163" s="43"/>
      <c r="DQ163" s="43"/>
      <c r="DR163" s="43"/>
      <c r="DS163" s="43"/>
      <c r="DT163" s="43"/>
      <c r="DU163" s="43"/>
      <c r="DV163" s="43"/>
      <c r="DW163" s="43"/>
      <c r="DX163" s="43"/>
      <c r="DY163" s="43"/>
      <c r="DZ163" s="43"/>
      <c r="EA163" s="43"/>
      <c r="EB163" s="43"/>
      <c r="EC163" s="43"/>
      <c r="ED163" s="43"/>
      <c r="EE163" s="43"/>
      <c r="EF163" s="43"/>
      <c r="EG163" s="43"/>
      <c r="EH163" s="43"/>
      <c r="EI163" s="43"/>
      <c r="EJ163" s="43"/>
      <c r="EK163" s="43"/>
      <c r="EL163" s="43"/>
      <c r="EM163" s="43"/>
      <c r="EN163" s="43"/>
      <c r="EO163" s="43"/>
      <c r="EP163" s="43"/>
      <c r="EQ163" s="43"/>
      <c r="ER163" s="43"/>
      <c r="ES163" s="43"/>
      <c r="ET163" s="43"/>
      <c r="EU163" s="43"/>
      <c r="EV163" s="43"/>
      <c r="EW163" s="43"/>
      <c r="EX163" s="43"/>
      <c r="EY163" s="43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</row>
    <row r="164" spans="1:190" s="24" customFormat="1" ht="15.75" customHeight="1">
      <c r="A164" s="72">
        <v>42500</v>
      </c>
      <c r="B164" s="68" t="s">
        <v>578</v>
      </c>
      <c r="C164" s="69" t="s">
        <v>783</v>
      </c>
      <c r="D164" s="69" t="s">
        <v>776</v>
      </c>
      <c r="E164" s="74">
        <v>560</v>
      </c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  <c r="BQ164" s="43"/>
      <c r="BR164" s="43"/>
      <c r="BS164" s="43"/>
      <c r="BT164" s="43"/>
      <c r="BU164" s="43"/>
      <c r="BV164" s="43"/>
      <c r="BW164" s="43"/>
      <c r="BX164" s="43"/>
      <c r="BY164" s="43"/>
      <c r="BZ164" s="43"/>
      <c r="CA164" s="43"/>
      <c r="CB164" s="43"/>
      <c r="CC164" s="43"/>
      <c r="CD164" s="43"/>
      <c r="CE164" s="43"/>
      <c r="CF164" s="43"/>
      <c r="CG164" s="43"/>
      <c r="CH164" s="43"/>
      <c r="CI164" s="43"/>
      <c r="CJ164" s="43"/>
      <c r="CK164" s="43"/>
      <c r="CL164" s="43"/>
      <c r="CM164" s="43"/>
      <c r="CN164" s="43"/>
      <c r="CO164" s="43"/>
      <c r="CP164" s="43"/>
      <c r="CQ164" s="43"/>
      <c r="CR164" s="43"/>
      <c r="CS164" s="43"/>
      <c r="CT164" s="43"/>
      <c r="CU164" s="43"/>
      <c r="CV164" s="43"/>
      <c r="CW164" s="43"/>
      <c r="CX164" s="43"/>
      <c r="CY164" s="43"/>
      <c r="CZ164" s="43"/>
      <c r="DA164" s="43"/>
      <c r="DB164" s="43"/>
      <c r="DC164" s="43"/>
      <c r="DD164" s="43"/>
      <c r="DE164" s="43"/>
      <c r="DF164" s="43"/>
      <c r="DG164" s="43"/>
      <c r="DH164" s="43"/>
      <c r="DI164" s="43"/>
      <c r="DJ164" s="43"/>
      <c r="DK164" s="43"/>
      <c r="DL164" s="43"/>
      <c r="DM164" s="43"/>
      <c r="DN164" s="43"/>
      <c r="DO164" s="43"/>
      <c r="DP164" s="43"/>
      <c r="DQ164" s="43"/>
      <c r="DR164" s="43"/>
      <c r="DS164" s="43"/>
      <c r="DT164" s="43"/>
      <c r="DU164" s="43"/>
      <c r="DV164" s="43"/>
      <c r="DW164" s="43"/>
      <c r="DX164" s="43"/>
      <c r="DY164" s="43"/>
      <c r="DZ164" s="43"/>
      <c r="EA164" s="43"/>
      <c r="EB164" s="43"/>
      <c r="EC164" s="43"/>
      <c r="ED164" s="43"/>
      <c r="EE164" s="43"/>
      <c r="EF164" s="43"/>
      <c r="EG164" s="43"/>
      <c r="EH164" s="43"/>
      <c r="EI164" s="43"/>
      <c r="EJ164" s="43"/>
      <c r="EK164" s="43"/>
      <c r="EL164" s="43"/>
      <c r="EM164" s="43"/>
      <c r="EN164" s="43"/>
      <c r="EO164" s="43"/>
      <c r="EP164" s="43"/>
      <c r="EQ164" s="43"/>
      <c r="ER164" s="43"/>
      <c r="ES164" s="43"/>
      <c r="ET164" s="43"/>
      <c r="EU164" s="43"/>
      <c r="EV164" s="43"/>
      <c r="EW164" s="43"/>
      <c r="EX164" s="43"/>
      <c r="EY164" s="43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</row>
    <row r="165" spans="1:190" s="24" customFormat="1" ht="15.75" customHeight="1">
      <c r="A165" s="73">
        <v>42635</v>
      </c>
      <c r="B165" s="70" t="s">
        <v>578</v>
      </c>
      <c r="C165" s="71" t="s">
        <v>783</v>
      </c>
      <c r="D165" s="71" t="s">
        <v>776</v>
      </c>
      <c r="E165" s="75">
        <v>560</v>
      </c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  <c r="BQ165" s="43"/>
      <c r="BR165" s="43"/>
      <c r="BS165" s="43"/>
      <c r="BT165" s="43"/>
      <c r="BU165" s="43"/>
      <c r="BV165" s="43"/>
      <c r="BW165" s="43"/>
      <c r="BX165" s="43"/>
      <c r="BY165" s="43"/>
      <c r="BZ165" s="43"/>
      <c r="CA165" s="43"/>
      <c r="CB165" s="43"/>
      <c r="CC165" s="43"/>
      <c r="CD165" s="43"/>
      <c r="CE165" s="43"/>
      <c r="CF165" s="43"/>
      <c r="CG165" s="43"/>
      <c r="CH165" s="43"/>
      <c r="CI165" s="43"/>
      <c r="CJ165" s="43"/>
      <c r="CK165" s="43"/>
      <c r="CL165" s="43"/>
      <c r="CM165" s="43"/>
      <c r="CN165" s="43"/>
      <c r="CO165" s="43"/>
      <c r="CP165" s="43"/>
      <c r="CQ165" s="43"/>
      <c r="CR165" s="43"/>
      <c r="CS165" s="43"/>
      <c r="CT165" s="43"/>
      <c r="CU165" s="43"/>
      <c r="CV165" s="43"/>
      <c r="CW165" s="43"/>
      <c r="CX165" s="43"/>
      <c r="CY165" s="43"/>
      <c r="CZ165" s="43"/>
      <c r="DA165" s="43"/>
      <c r="DB165" s="43"/>
      <c r="DC165" s="43"/>
      <c r="DD165" s="43"/>
      <c r="DE165" s="43"/>
      <c r="DF165" s="43"/>
      <c r="DG165" s="43"/>
      <c r="DH165" s="43"/>
      <c r="DI165" s="43"/>
      <c r="DJ165" s="43"/>
      <c r="DK165" s="43"/>
      <c r="DL165" s="43"/>
      <c r="DM165" s="43"/>
      <c r="DN165" s="43"/>
      <c r="DO165" s="43"/>
      <c r="DP165" s="43"/>
      <c r="DQ165" s="43"/>
      <c r="DR165" s="43"/>
      <c r="DS165" s="43"/>
      <c r="DT165" s="43"/>
      <c r="DU165" s="43"/>
      <c r="DV165" s="43"/>
      <c r="DW165" s="43"/>
      <c r="DX165" s="43"/>
      <c r="DY165" s="43"/>
      <c r="DZ165" s="43"/>
      <c r="EA165" s="43"/>
      <c r="EB165" s="43"/>
      <c r="EC165" s="43"/>
      <c r="ED165" s="43"/>
      <c r="EE165" s="43"/>
      <c r="EF165" s="43"/>
      <c r="EG165" s="43"/>
      <c r="EH165" s="43"/>
      <c r="EI165" s="43"/>
      <c r="EJ165" s="43"/>
      <c r="EK165" s="43"/>
      <c r="EL165" s="43"/>
      <c r="EM165" s="43"/>
      <c r="EN165" s="43"/>
      <c r="EO165" s="43"/>
      <c r="EP165" s="43"/>
      <c r="EQ165" s="43"/>
      <c r="ER165" s="43"/>
      <c r="ES165" s="43"/>
      <c r="ET165" s="43"/>
      <c r="EU165" s="43"/>
      <c r="EV165" s="43"/>
      <c r="EW165" s="43"/>
      <c r="EX165" s="43"/>
      <c r="EY165" s="43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</row>
    <row r="166" spans="1:190" s="24" customFormat="1" ht="15.75" customHeight="1">
      <c r="A166" s="72">
        <v>42668</v>
      </c>
      <c r="B166" s="68" t="s">
        <v>578</v>
      </c>
      <c r="C166" s="69" t="s">
        <v>783</v>
      </c>
      <c r="D166" s="69" t="s">
        <v>776</v>
      </c>
      <c r="E166" s="74">
        <v>560</v>
      </c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43"/>
      <c r="BQ166" s="43"/>
      <c r="BR166" s="43"/>
      <c r="BS166" s="43"/>
      <c r="BT166" s="43"/>
      <c r="BU166" s="43"/>
      <c r="BV166" s="43"/>
      <c r="BW166" s="43"/>
      <c r="BX166" s="43"/>
      <c r="BY166" s="43"/>
      <c r="BZ166" s="43"/>
      <c r="CA166" s="43"/>
      <c r="CB166" s="43"/>
      <c r="CC166" s="43"/>
      <c r="CD166" s="43"/>
      <c r="CE166" s="43"/>
      <c r="CF166" s="43"/>
      <c r="CG166" s="43"/>
      <c r="CH166" s="43"/>
      <c r="CI166" s="43"/>
      <c r="CJ166" s="43"/>
      <c r="CK166" s="43"/>
      <c r="CL166" s="43"/>
      <c r="CM166" s="43"/>
      <c r="CN166" s="43"/>
      <c r="CO166" s="43"/>
      <c r="CP166" s="43"/>
      <c r="CQ166" s="43"/>
      <c r="CR166" s="43"/>
      <c r="CS166" s="43"/>
      <c r="CT166" s="43"/>
      <c r="CU166" s="43"/>
      <c r="CV166" s="43"/>
      <c r="CW166" s="43"/>
      <c r="CX166" s="43"/>
      <c r="CY166" s="43"/>
      <c r="CZ166" s="43"/>
      <c r="DA166" s="43"/>
      <c r="DB166" s="43"/>
      <c r="DC166" s="43"/>
      <c r="DD166" s="43"/>
      <c r="DE166" s="43"/>
      <c r="DF166" s="43"/>
      <c r="DG166" s="43"/>
      <c r="DH166" s="43"/>
      <c r="DI166" s="43"/>
      <c r="DJ166" s="43"/>
      <c r="DK166" s="43"/>
      <c r="DL166" s="43"/>
      <c r="DM166" s="43"/>
      <c r="DN166" s="43"/>
      <c r="DO166" s="43"/>
      <c r="DP166" s="43"/>
      <c r="DQ166" s="43"/>
      <c r="DR166" s="43"/>
      <c r="DS166" s="43"/>
      <c r="DT166" s="43"/>
      <c r="DU166" s="43"/>
      <c r="DV166" s="43"/>
      <c r="DW166" s="43"/>
      <c r="DX166" s="43"/>
      <c r="DY166" s="43"/>
      <c r="DZ166" s="43"/>
      <c r="EA166" s="43"/>
      <c r="EB166" s="43"/>
      <c r="EC166" s="43"/>
      <c r="ED166" s="43"/>
      <c r="EE166" s="43"/>
      <c r="EF166" s="43"/>
      <c r="EG166" s="43"/>
      <c r="EH166" s="43"/>
      <c r="EI166" s="43"/>
      <c r="EJ166" s="43"/>
      <c r="EK166" s="43"/>
      <c r="EL166" s="43"/>
      <c r="EM166" s="43"/>
      <c r="EN166" s="43"/>
      <c r="EO166" s="43"/>
      <c r="EP166" s="43"/>
      <c r="EQ166" s="43"/>
      <c r="ER166" s="43"/>
      <c r="ES166" s="43"/>
      <c r="ET166" s="43"/>
      <c r="EU166" s="43"/>
      <c r="EV166" s="43"/>
      <c r="EW166" s="43"/>
      <c r="EX166" s="43"/>
      <c r="EY166" s="43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</row>
    <row r="167" spans="1:190" s="24" customFormat="1" ht="15.75" customHeight="1">
      <c r="A167" s="73">
        <v>42090</v>
      </c>
      <c r="B167" s="70" t="s">
        <v>376</v>
      </c>
      <c r="C167" s="71" t="s">
        <v>783</v>
      </c>
      <c r="D167" s="71" t="s">
        <v>776</v>
      </c>
      <c r="E167" s="75">
        <v>560</v>
      </c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  <c r="BQ167" s="43"/>
      <c r="BR167" s="43"/>
      <c r="BS167" s="43"/>
      <c r="BT167" s="43"/>
      <c r="BU167" s="43"/>
      <c r="BV167" s="43"/>
      <c r="BW167" s="43"/>
      <c r="BX167" s="43"/>
      <c r="BY167" s="43"/>
      <c r="BZ167" s="43"/>
      <c r="CA167" s="43"/>
      <c r="CB167" s="43"/>
      <c r="CC167" s="43"/>
      <c r="CD167" s="43"/>
      <c r="CE167" s="43"/>
      <c r="CF167" s="43"/>
      <c r="CG167" s="43"/>
      <c r="CH167" s="43"/>
      <c r="CI167" s="43"/>
      <c r="CJ167" s="43"/>
      <c r="CK167" s="43"/>
      <c r="CL167" s="43"/>
      <c r="CM167" s="43"/>
      <c r="CN167" s="43"/>
      <c r="CO167" s="43"/>
      <c r="CP167" s="43"/>
      <c r="CQ167" s="43"/>
      <c r="CR167" s="43"/>
      <c r="CS167" s="43"/>
      <c r="CT167" s="43"/>
      <c r="CU167" s="43"/>
      <c r="CV167" s="43"/>
      <c r="CW167" s="43"/>
      <c r="CX167" s="43"/>
      <c r="CY167" s="43"/>
      <c r="CZ167" s="43"/>
      <c r="DA167" s="43"/>
      <c r="DB167" s="43"/>
      <c r="DC167" s="43"/>
      <c r="DD167" s="43"/>
      <c r="DE167" s="43"/>
      <c r="DF167" s="43"/>
      <c r="DG167" s="43"/>
      <c r="DH167" s="43"/>
      <c r="DI167" s="43"/>
      <c r="DJ167" s="43"/>
      <c r="DK167" s="43"/>
      <c r="DL167" s="43"/>
      <c r="DM167" s="43"/>
      <c r="DN167" s="43"/>
      <c r="DO167" s="43"/>
      <c r="DP167" s="43"/>
      <c r="DQ167" s="43"/>
      <c r="DR167" s="43"/>
      <c r="DS167" s="43"/>
      <c r="DT167" s="43"/>
      <c r="DU167" s="43"/>
      <c r="DV167" s="43"/>
      <c r="DW167" s="43"/>
      <c r="DX167" s="43"/>
      <c r="DY167" s="43"/>
      <c r="DZ167" s="43"/>
      <c r="EA167" s="43"/>
      <c r="EB167" s="43"/>
      <c r="EC167" s="43"/>
      <c r="ED167" s="43"/>
      <c r="EE167" s="43"/>
      <c r="EF167" s="43"/>
      <c r="EG167" s="43"/>
      <c r="EH167" s="43"/>
      <c r="EI167" s="43"/>
      <c r="EJ167" s="43"/>
      <c r="EK167" s="43"/>
      <c r="EL167" s="43"/>
      <c r="EM167" s="43"/>
      <c r="EN167" s="43"/>
      <c r="EO167" s="43"/>
      <c r="EP167" s="43"/>
      <c r="EQ167" s="43"/>
      <c r="ER167" s="43"/>
      <c r="ES167" s="43"/>
      <c r="ET167" s="43"/>
      <c r="EU167" s="43"/>
      <c r="EV167" s="43"/>
      <c r="EW167" s="43"/>
      <c r="EX167" s="43"/>
      <c r="EY167" s="43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</row>
    <row r="168" spans="1:190" s="24" customFormat="1" ht="15.75" customHeight="1">
      <c r="A168" s="72">
        <v>42114</v>
      </c>
      <c r="B168" s="68" t="s">
        <v>376</v>
      </c>
      <c r="C168" s="69" t="s">
        <v>783</v>
      </c>
      <c r="D168" s="69" t="s">
        <v>776</v>
      </c>
      <c r="E168" s="74">
        <v>560</v>
      </c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43"/>
      <c r="BP168" s="43"/>
      <c r="BQ168" s="43"/>
      <c r="BR168" s="43"/>
      <c r="BS168" s="43"/>
      <c r="BT168" s="43"/>
      <c r="BU168" s="43"/>
      <c r="BV168" s="43"/>
      <c r="BW168" s="43"/>
      <c r="BX168" s="43"/>
      <c r="BY168" s="43"/>
      <c r="BZ168" s="43"/>
      <c r="CA168" s="43"/>
      <c r="CB168" s="43"/>
      <c r="CC168" s="43"/>
      <c r="CD168" s="43"/>
      <c r="CE168" s="43"/>
      <c r="CF168" s="43"/>
      <c r="CG168" s="43"/>
      <c r="CH168" s="43"/>
      <c r="CI168" s="43"/>
      <c r="CJ168" s="43"/>
      <c r="CK168" s="43"/>
      <c r="CL168" s="43"/>
      <c r="CM168" s="43"/>
      <c r="CN168" s="43"/>
      <c r="CO168" s="43"/>
      <c r="CP168" s="43"/>
      <c r="CQ168" s="43"/>
      <c r="CR168" s="43"/>
      <c r="CS168" s="43"/>
      <c r="CT168" s="43"/>
      <c r="CU168" s="43"/>
      <c r="CV168" s="43"/>
      <c r="CW168" s="43"/>
      <c r="CX168" s="43"/>
      <c r="CY168" s="43"/>
      <c r="CZ168" s="43"/>
      <c r="DA168" s="43"/>
      <c r="DB168" s="43"/>
      <c r="DC168" s="43"/>
      <c r="DD168" s="43"/>
      <c r="DE168" s="43"/>
      <c r="DF168" s="43"/>
      <c r="DG168" s="43"/>
      <c r="DH168" s="43"/>
      <c r="DI168" s="43"/>
      <c r="DJ168" s="43"/>
      <c r="DK168" s="43"/>
      <c r="DL168" s="43"/>
      <c r="DM168" s="43"/>
      <c r="DN168" s="43"/>
      <c r="DO168" s="43"/>
      <c r="DP168" s="43"/>
      <c r="DQ168" s="43"/>
      <c r="DR168" s="43"/>
      <c r="DS168" s="43"/>
      <c r="DT168" s="43"/>
      <c r="DU168" s="43"/>
      <c r="DV168" s="43"/>
      <c r="DW168" s="43"/>
      <c r="DX168" s="43"/>
      <c r="DY168" s="43"/>
      <c r="DZ168" s="43"/>
      <c r="EA168" s="43"/>
      <c r="EB168" s="43"/>
      <c r="EC168" s="43"/>
      <c r="ED168" s="43"/>
      <c r="EE168" s="43"/>
      <c r="EF168" s="43"/>
      <c r="EG168" s="43"/>
      <c r="EH168" s="43"/>
      <c r="EI168" s="43"/>
      <c r="EJ168" s="43"/>
      <c r="EK168" s="43"/>
      <c r="EL168" s="43"/>
      <c r="EM168" s="43"/>
      <c r="EN168" s="43"/>
      <c r="EO168" s="43"/>
      <c r="EP168" s="43"/>
      <c r="EQ168" s="43"/>
      <c r="ER168" s="43"/>
      <c r="ES168" s="43"/>
      <c r="ET168" s="43"/>
      <c r="EU168" s="43"/>
      <c r="EV168" s="43"/>
      <c r="EW168" s="43"/>
      <c r="EX168" s="43"/>
      <c r="EY168" s="43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</row>
    <row r="169" spans="1:190" s="24" customFormat="1" ht="15.75" customHeight="1">
      <c r="A169" s="73">
        <v>42359</v>
      </c>
      <c r="B169" s="70" t="s">
        <v>376</v>
      </c>
      <c r="C169" s="71" t="s">
        <v>783</v>
      </c>
      <c r="D169" s="71" t="s">
        <v>776</v>
      </c>
      <c r="E169" s="75">
        <v>560</v>
      </c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43"/>
      <c r="BP169" s="43"/>
      <c r="BQ169" s="43"/>
      <c r="BR169" s="43"/>
      <c r="BS169" s="43"/>
      <c r="BT169" s="43"/>
      <c r="BU169" s="43"/>
      <c r="BV169" s="43"/>
      <c r="BW169" s="43"/>
      <c r="BX169" s="43"/>
      <c r="BY169" s="43"/>
      <c r="BZ169" s="43"/>
      <c r="CA169" s="43"/>
      <c r="CB169" s="43"/>
      <c r="CC169" s="43"/>
      <c r="CD169" s="43"/>
      <c r="CE169" s="43"/>
      <c r="CF169" s="43"/>
      <c r="CG169" s="43"/>
      <c r="CH169" s="43"/>
      <c r="CI169" s="43"/>
      <c r="CJ169" s="43"/>
      <c r="CK169" s="43"/>
      <c r="CL169" s="43"/>
      <c r="CM169" s="43"/>
      <c r="CN169" s="43"/>
      <c r="CO169" s="43"/>
      <c r="CP169" s="43"/>
      <c r="CQ169" s="43"/>
      <c r="CR169" s="43"/>
      <c r="CS169" s="43"/>
      <c r="CT169" s="43"/>
      <c r="CU169" s="43"/>
      <c r="CV169" s="43"/>
      <c r="CW169" s="43"/>
      <c r="CX169" s="43"/>
      <c r="CY169" s="43"/>
      <c r="CZ169" s="43"/>
      <c r="DA169" s="43"/>
      <c r="DB169" s="43"/>
      <c r="DC169" s="43"/>
      <c r="DD169" s="43"/>
      <c r="DE169" s="43"/>
      <c r="DF169" s="43"/>
      <c r="DG169" s="43"/>
      <c r="DH169" s="43"/>
      <c r="DI169" s="43"/>
      <c r="DJ169" s="43"/>
      <c r="DK169" s="43"/>
      <c r="DL169" s="43"/>
      <c r="DM169" s="43"/>
      <c r="DN169" s="43"/>
      <c r="DO169" s="43"/>
      <c r="DP169" s="43"/>
      <c r="DQ169" s="43"/>
      <c r="DR169" s="43"/>
      <c r="DS169" s="43"/>
      <c r="DT169" s="43"/>
      <c r="DU169" s="43"/>
      <c r="DV169" s="43"/>
      <c r="DW169" s="43"/>
      <c r="DX169" s="43"/>
      <c r="DY169" s="43"/>
      <c r="DZ169" s="43"/>
      <c r="EA169" s="43"/>
      <c r="EB169" s="43"/>
      <c r="EC169" s="43"/>
      <c r="ED169" s="43"/>
      <c r="EE169" s="43"/>
      <c r="EF169" s="43"/>
      <c r="EG169" s="43"/>
      <c r="EH169" s="43"/>
      <c r="EI169" s="43"/>
      <c r="EJ169" s="43"/>
      <c r="EK169" s="43"/>
      <c r="EL169" s="43"/>
      <c r="EM169" s="43"/>
      <c r="EN169" s="43"/>
      <c r="EO169" s="43"/>
      <c r="EP169" s="43"/>
      <c r="EQ169" s="43"/>
      <c r="ER169" s="43"/>
      <c r="ES169" s="43"/>
      <c r="ET169" s="43"/>
      <c r="EU169" s="43"/>
      <c r="EV169" s="43"/>
      <c r="EW169" s="43"/>
      <c r="EX169" s="43"/>
      <c r="EY169" s="43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</row>
    <row r="170" spans="1:190" s="24" customFormat="1" ht="15.75" customHeight="1">
      <c r="A170" s="72">
        <v>42413</v>
      </c>
      <c r="B170" s="68" t="s">
        <v>376</v>
      </c>
      <c r="C170" s="69" t="s">
        <v>783</v>
      </c>
      <c r="D170" s="69" t="s">
        <v>776</v>
      </c>
      <c r="E170" s="74">
        <v>560</v>
      </c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43"/>
      <c r="BQ170" s="43"/>
      <c r="BR170" s="43"/>
      <c r="BS170" s="43"/>
      <c r="BT170" s="43"/>
      <c r="BU170" s="43"/>
      <c r="BV170" s="43"/>
      <c r="BW170" s="43"/>
      <c r="BX170" s="43"/>
      <c r="BY170" s="43"/>
      <c r="BZ170" s="43"/>
      <c r="CA170" s="43"/>
      <c r="CB170" s="43"/>
      <c r="CC170" s="43"/>
      <c r="CD170" s="43"/>
      <c r="CE170" s="43"/>
      <c r="CF170" s="43"/>
      <c r="CG170" s="43"/>
      <c r="CH170" s="43"/>
      <c r="CI170" s="43"/>
      <c r="CJ170" s="43"/>
      <c r="CK170" s="43"/>
      <c r="CL170" s="43"/>
      <c r="CM170" s="43"/>
      <c r="CN170" s="43"/>
      <c r="CO170" s="43"/>
      <c r="CP170" s="43"/>
      <c r="CQ170" s="43"/>
      <c r="CR170" s="43"/>
      <c r="CS170" s="43"/>
      <c r="CT170" s="43"/>
      <c r="CU170" s="43"/>
      <c r="CV170" s="43"/>
      <c r="CW170" s="43"/>
      <c r="CX170" s="43"/>
      <c r="CY170" s="43"/>
      <c r="CZ170" s="43"/>
      <c r="DA170" s="43"/>
      <c r="DB170" s="43"/>
      <c r="DC170" s="43"/>
      <c r="DD170" s="43"/>
      <c r="DE170" s="43"/>
      <c r="DF170" s="43"/>
      <c r="DG170" s="43"/>
      <c r="DH170" s="43"/>
      <c r="DI170" s="43"/>
      <c r="DJ170" s="43"/>
      <c r="DK170" s="43"/>
      <c r="DL170" s="43"/>
      <c r="DM170" s="43"/>
      <c r="DN170" s="43"/>
      <c r="DO170" s="43"/>
      <c r="DP170" s="43"/>
      <c r="DQ170" s="43"/>
      <c r="DR170" s="43"/>
      <c r="DS170" s="43"/>
      <c r="DT170" s="43"/>
      <c r="DU170" s="43"/>
      <c r="DV170" s="43"/>
      <c r="DW170" s="43"/>
      <c r="DX170" s="43"/>
      <c r="DY170" s="43"/>
      <c r="DZ170" s="43"/>
      <c r="EA170" s="43"/>
      <c r="EB170" s="43"/>
      <c r="EC170" s="43"/>
      <c r="ED170" s="43"/>
      <c r="EE170" s="43"/>
      <c r="EF170" s="43"/>
      <c r="EG170" s="43"/>
      <c r="EH170" s="43"/>
      <c r="EI170" s="43"/>
      <c r="EJ170" s="43"/>
      <c r="EK170" s="43"/>
      <c r="EL170" s="43"/>
      <c r="EM170" s="43"/>
      <c r="EN170" s="43"/>
      <c r="EO170" s="43"/>
      <c r="EP170" s="43"/>
      <c r="EQ170" s="43"/>
      <c r="ER170" s="43"/>
      <c r="ES170" s="43"/>
      <c r="ET170" s="43"/>
      <c r="EU170" s="43"/>
      <c r="EV170" s="43"/>
      <c r="EW170" s="43"/>
      <c r="EX170" s="43"/>
      <c r="EY170" s="43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</row>
    <row r="171" spans="1:190" s="24" customFormat="1" ht="15.75" customHeight="1">
      <c r="A171" s="73">
        <v>42445</v>
      </c>
      <c r="B171" s="70" t="s">
        <v>376</v>
      </c>
      <c r="C171" s="71" t="s">
        <v>783</v>
      </c>
      <c r="D171" s="71" t="s">
        <v>776</v>
      </c>
      <c r="E171" s="75">
        <v>560</v>
      </c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43"/>
      <c r="BN171" s="43"/>
      <c r="BO171" s="43"/>
      <c r="BP171" s="43"/>
      <c r="BQ171" s="43"/>
      <c r="BR171" s="43"/>
      <c r="BS171" s="43"/>
      <c r="BT171" s="43"/>
      <c r="BU171" s="43"/>
      <c r="BV171" s="43"/>
      <c r="BW171" s="43"/>
      <c r="BX171" s="43"/>
      <c r="BY171" s="43"/>
      <c r="BZ171" s="43"/>
      <c r="CA171" s="43"/>
      <c r="CB171" s="43"/>
      <c r="CC171" s="43"/>
      <c r="CD171" s="43"/>
      <c r="CE171" s="43"/>
      <c r="CF171" s="43"/>
      <c r="CG171" s="43"/>
      <c r="CH171" s="43"/>
      <c r="CI171" s="43"/>
      <c r="CJ171" s="43"/>
      <c r="CK171" s="43"/>
      <c r="CL171" s="43"/>
      <c r="CM171" s="43"/>
      <c r="CN171" s="43"/>
      <c r="CO171" s="43"/>
      <c r="CP171" s="43"/>
      <c r="CQ171" s="43"/>
      <c r="CR171" s="43"/>
      <c r="CS171" s="43"/>
      <c r="CT171" s="43"/>
      <c r="CU171" s="43"/>
      <c r="CV171" s="43"/>
      <c r="CW171" s="43"/>
      <c r="CX171" s="43"/>
      <c r="CY171" s="43"/>
      <c r="CZ171" s="43"/>
      <c r="DA171" s="43"/>
      <c r="DB171" s="43"/>
      <c r="DC171" s="43"/>
      <c r="DD171" s="43"/>
      <c r="DE171" s="43"/>
      <c r="DF171" s="43"/>
      <c r="DG171" s="43"/>
      <c r="DH171" s="43"/>
      <c r="DI171" s="43"/>
      <c r="DJ171" s="43"/>
      <c r="DK171" s="43"/>
      <c r="DL171" s="43"/>
      <c r="DM171" s="43"/>
      <c r="DN171" s="43"/>
      <c r="DO171" s="43"/>
      <c r="DP171" s="43"/>
      <c r="DQ171" s="43"/>
      <c r="DR171" s="43"/>
      <c r="DS171" s="43"/>
      <c r="DT171" s="43"/>
      <c r="DU171" s="43"/>
      <c r="DV171" s="43"/>
      <c r="DW171" s="43"/>
      <c r="DX171" s="43"/>
      <c r="DY171" s="43"/>
      <c r="DZ171" s="43"/>
      <c r="EA171" s="43"/>
      <c r="EB171" s="43"/>
      <c r="EC171" s="43"/>
      <c r="ED171" s="43"/>
      <c r="EE171" s="43"/>
      <c r="EF171" s="43"/>
      <c r="EG171" s="43"/>
      <c r="EH171" s="43"/>
      <c r="EI171" s="43"/>
      <c r="EJ171" s="43"/>
      <c r="EK171" s="43"/>
      <c r="EL171" s="43"/>
      <c r="EM171" s="43"/>
      <c r="EN171" s="43"/>
      <c r="EO171" s="43"/>
      <c r="EP171" s="43"/>
      <c r="EQ171" s="43"/>
      <c r="ER171" s="43"/>
      <c r="ES171" s="43"/>
      <c r="ET171" s="43"/>
      <c r="EU171" s="43"/>
      <c r="EV171" s="43"/>
      <c r="EW171" s="43"/>
      <c r="EX171" s="43"/>
      <c r="EY171" s="43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</row>
    <row r="172" spans="1:190" s="24" customFormat="1" ht="15.75" customHeight="1">
      <c r="A172" s="72">
        <v>42561</v>
      </c>
      <c r="B172" s="68" t="s">
        <v>376</v>
      </c>
      <c r="C172" s="69" t="s">
        <v>783</v>
      </c>
      <c r="D172" s="69" t="s">
        <v>776</v>
      </c>
      <c r="E172" s="74">
        <v>560</v>
      </c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43"/>
      <c r="BN172" s="43"/>
      <c r="BO172" s="43"/>
      <c r="BP172" s="43"/>
      <c r="BQ172" s="43"/>
      <c r="BR172" s="43"/>
      <c r="BS172" s="43"/>
      <c r="BT172" s="43"/>
      <c r="BU172" s="43"/>
      <c r="BV172" s="43"/>
      <c r="BW172" s="43"/>
      <c r="BX172" s="43"/>
      <c r="BY172" s="43"/>
      <c r="BZ172" s="43"/>
      <c r="CA172" s="43"/>
      <c r="CB172" s="43"/>
      <c r="CC172" s="43"/>
      <c r="CD172" s="43"/>
      <c r="CE172" s="43"/>
      <c r="CF172" s="43"/>
      <c r="CG172" s="43"/>
      <c r="CH172" s="43"/>
      <c r="CI172" s="43"/>
      <c r="CJ172" s="43"/>
      <c r="CK172" s="43"/>
      <c r="CL172" s="43"/>
      <c r="CM172" s="43"/>
      <c r="CN172" s="43"/>
      <c r="CO172" s="43"/>
      <c r="CP172" s="43"/>
      <c r="CQ172" s="43"/>
      <c r="CR172" s="43"/>
      <c r="CS172" s="43"/>
      <c r="CT172" s="43"/>
      <c r="CU172" s="43"/>
      <c r="CV172" s="43"/>
      <c r="CW172" s="43"/>
      <c r="CX172" s="43"/>
      <c r="CY172" s="43"/>
      <c r="CZ172" s="43"/>
      <c r="DA172" s="43"/>
      <c r="DB172" s="43"/>
      <c r="DC172" s="43"/>
      <c r="DD172" s="43"/>
      <c r="DE172" s="43"/>
      <c r="DF172" s="43"/>
      <c r="DG172" s="43"/>
      <c r="DH172" s="43"/>
      <c r="DI172" s="43"/>
      <c r="DJ172" s="43"/>
      <c r="DK172" s="43"/>
      <c r="DL172" s="43"/>
      <c r="DM172" s="43"/>
      <c r="DN172" s="43"/>
      <c r="DO172" s="43"/>
      <c r="DP172" s="43"/>
      <c r="DQ172" s="43"/>
      <c r="DR172" s="43"/>
      <c r="DS172" s="43"/>
      <c r="DT172" s="43"/>
      <c r="DU172" s="43"/>
      <c r="DV172" s="43"/>
      <c r="DW172" s="43"/>
      <c r="DX172" s="43"/>
      <c r="DY172" s="43"/>
      <c r="DZ172" s="43"/>
      <c r="EA172" s="43"/>
      <c r="EB172" s="43"/>
      <c r="EC172" s="43"/>
      <c r="ED172" s="43"/>
      <c r="EE172" s="43"/>
      <c r="EF172" s="43"/>
      <c r="EG172" s="43"/>
      <c r="EH172" s="43"/>
      <c r="EI172" s="43"/>
      <c r="EJ172" s="43"/>
      <c r="EK172" s="43"/>
      <c r="EL172" s="43"/>
      <c r="EM172" s="43"/>
      <c r="EN172" s="43"/>
      <c r="EO172" s="43"/>
      <c r="EP172" s="43"/>
      <c r="EQ172" s="43"/>
      <c r="ER172" s="43"/>
      <c r="ES172" s="43"/>
      <c r="ET172" s="43"/>
      <c r="EU172" s="43"/>
      <c r="EV172" s="43"/>
      <c r="EW172" s="43"/>
      <c r="EX172" s="43"/>
      <c r="EY172" s="43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</row>
    <row r="173" spans="1:190" s="24" customFormat="1" ht="15.75" customHeight="1">
      <c r="A173" s="73">
        <v>42342</v>
      </c>
      <c r="B173" s="70" t="s">
        <v>578</v>
      </c>
      <c r="C173" s="71" t="s">
        <v>761</v>
      </c>
      <c r="D173" s="71" t="s">
        <v>748</v>
      </c>
      <c r="E173" s="75">
        <v>1680</v>
      </c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  <c r="BM173" s="43"/>
      <c r="BN173" s="43"/>
      <c r="BO173" s="43"/>
      <c r="BP173" s="43"/>
      <c r="BQ173" s="43"/>
      <c r="BR173" s="43"/>
      <c r="BS173" s="43"/>
      <c r="BT173" s="43"/>
      <c r="BU173" s="43"/>
      <c r="BV173" s="43"/>
      <c r="BW173" s="43"/>
      <c r="BX173" s="43"/>
      <c r="BY173" s="43"/>
      <c r="BZ173" s="43"/>
      <c r="CA173" s="43"/>
      <c r="CB173" s="43"/>
      <c r="CC173" s="43"/>
      <c r="CD173" s="43"/>
      <c r="CE173" s="43"/>
      <c r="CF173" s="43"/>
      <c r="CG173" s="43"/>
      <c r="CH173" s="43"/>
      <c r="CI173" s="43"/>
      <c r="CJ173" s="43"/>
      <c r="CK173" s="43"/>
      <c r="CL173" s="43"/>
      <c r="CM173" s="43"/>
      <c r="CN173" s="43"/>
      <c r="CO173" s="43"/>
      <c r="CP173" s="43"/>
      <c r="CQ173" s="43"/>
      <c r="CR173" s="43"/>
      <c r="CS173" s="43"/>
      <c r="CT173" s="43"/>
      <c r="CU173" s="43"/>
      <c r="CV173" s="43"/>
      <c r="CW173" s="43"/>
      <c r="CX173" s="43"/>
      <c r="CY173" s="43"/>
      <c r="CZ173" s="43"/>
      <c r="DA173" s="43"/>
      <c r="DB173" s="43"/>
      <c r="DC173" s="43"/>
      <c r="DD173" s="43"/>
      <c r="DE173" s="43"/>
      <c r="DF173" s="43"/>
      <c r="DG173" s="43"/>
      <c r="DH173" s="43"/>
      <c r="DI173" s="43"/>
      <c r="DJ173" s="43"/>
      <c r="DK173" s="43"/>
      <c r="DL173" s="43"/>
      <c r="DM173" s="43"/>
      <c r="DN173" s="43"/>
      <c r="DO173" s="43"/>
      <c r="DP173" s="43"/>
      <c r="DQ173" s="43"/>
      <c r="DR173" s="43"/>
      <c r="DS173" s="43"/>
      <c r="DT173" s="43"/>
      <c r="DU173" s="43"/>
      <c r="DV173" s="43"/>
      <c r="DW173" s="43"/>
      <c r="DX173" s="43"/>
      <c r="DY173" s="43"/>
      <c r="DZ173" s="43"/>
      <c r="EA173" s="43"/>
      <c r="EB173" s="43"/>
      <c r="EC173" s="43"/>
      <c r="ED173" s="43"/>
      <c r="EE173" s="43"/>
      <c r="EF173" s="43"/>
      <c r="EG173" s="43"/>
      <c r="EH173" s="43"/>
      <c r="EI173" s="43"/>
      <c r="EJ173" s="43"/>
      <c r="EK173" s="43"/>
      <c r="EL173" s="43"/>
      <c r="EM173" s="43"/>
      <c r="EN173" s="43"/>
      <c r="EO173" s="43"/>
      <c r="EP173" s="43"/>
      <c r="EQ173" s="43"/>
      <c r="ER173" s="43"/>
      <c r="ES173" s="43"/>
      <c r="ET173" s="43"/>
      <c r="EU173" s="43"/>
      <c r="EV173" s="43"/>
      <c r="EW173" s="43"/>
      <c r="EX173" s="43"/>
      <c r="EY173" s="43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/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</row>
    <row r="174" spans="1:190" s="24" customFormat="1" ht="15.75" customHeight="1">
      <c r="A174" s="72">
        <v>42352</v>
      </c>
      <c r="B174" s="68" t="s">
        <v>578</v>
      </c>
      <c r="C174" s="69" t="s">
        <v>761</v>
      </c>
      <c r="D174" s="69" t="s">
        <v>748</v>
      </c>
      <c r="E174" s="74">
        <v>1680</v>
      </c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43"/>
      <c r="BM174" s="43"/>
      <c r="BN174" s="43"/>
      <c r="BO174" s="43"/>
      <c r="BP174" s="43"/>
      <c r="BQ174" s="43"/>
      <c r="BR174" s="43"/>
      <c r="BS174" s="43"/>
      <c r="BT174" s="43"/>
      <c r="BU174" s="43"/>
      <c r="BV174" s="43"/>
      <c r="BW174" s="43"/>
      <c r="BX174" s="43"/>
      <c r="BY174" s="43"/>
      <c r="BZ174" s="43"/>
      <c r="CA174" s="43"/>
      <c r="CB174" s="43"/>
      <c r="CC174" s="43"/>
      <c r="CD174" s="43"/>
      <c r="CE174" s="43"/>
      <c r="CF174" s="43"/>
      <c r="CG174" s="43"/>
      <c r="CH174" s="43"/>
      <c r="CI174" s="43"/>
      <c r="CJ174" s="43"/>
      <c r="CK174" s="43"/>
      <c r="CL174" s="43"/>
      <c r="CM174" s="43"/>
      <c r="CN174" s="43"/>
      <c r="CO174" s="43"/>
      <c r="CP174" s="43"/>
      <c r="CQ174" s="43"/>
      <c r="CR174" s="43"/>
      <c r="CS174" s="43"/>
      <c r="CT174" s="43"/>
      <c r="CU174" s="43"/>
      <c r="CV174" s="43"/>
      <c r="CW174" s="43"/>
      <c r="CX174" s="43"/>
      <c r="CY174" s="43"/>
      <c r="CZ174" s="43"/>
      <c r="DA174" s="43"/>
      <c r="DB174" s="43"/>
      <c r="DC174" s="43"/>
      <c r="DD174" s="43"/>
      <c r="DE174" s="43"/>
      <c r="DF174" s="43"/>
      <c r="DG174" s="43"/>
      <c r="DH174" s="43"/>
      <c r="DI174" s="43"/>
      <c r="DJ174" s="43"/>
      <c r="DK174" s="43"/>
      <c r="DL174" s="43"/>
      <c r="DM174" s="43"/>
      <c r="DN174" s="43"/>
      <c r="DO174" s="43"/>
      <c r="DP174" s="43"/>
      <c r="DQ174" s="43"/>
      <c r="DR174" s="43"/>
      <c r="DS174" s="43"/>
      <c r="DT174" s="43"/>
      <c r="DU174" s="43"/>
      <c r="DV174" s="43"/>
      <c r="DW174" s="43"/>
      <c r="DX174" s="43"/>
      <c r="DY174" s="43"/>
      <c r="DZ174" s="43"/>
      <c r="EA174" s="43"/>
      <c r="EB174" s="43"/>
      <c r="EC174" s="43"/>
      <c r="ED174" s="43"/>
      <c r="EE174" s="43"/>
      <c r="EF174" s="43"/>
      <c r="EG174" s="43"/>
      <c r="EH174" s="43"/>
      <c r="EI174" s="43"/>
      <c r="EJ174" s="43"/>
      <c r="EK174" s="43"/>
      <c r="EL174" s="43"/>
      <c r="EM174" s="43"/>
      <c r="EN174" s="43"/>
      <c r="EO174" s="43"/>
      <c r="EP174" s="43"/>
      <c r="EQ174" s="43"/>
      <c r="ER174" s="43"/>
      <c r="ES174" s="43"/>
      <c r="ET174" s="43"/>
      <c r="EU174" s="43"/>
      <c r="EV174" s="43"/>
      <c r="EW174" s="43"/>
      <c r="EX174" s="43"/>
      <c r="EY174" s="43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/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</row>
    <row r="175" spans="1:190" s="24" customFormat="1" ht="15.75" customHeight="1">
      <c r="A175" s="73">
        <v>42354</v>
      </c>
      <c r="B175" s="70" t="s">
        <v>578</v>
      </c>
      <c r="C175" s="71" t="s">
        <v>761</v>
      </c>
      <c r="D175" s="71" t="s">
        <v>748</v>
      </c>
      <c r="E175" s="75">
        <v>1680</v>
      </c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  <c r="BM175" s="43"/>
      <c r="BN175" s="43"/>
      <c r="BO175" s="43"/>
      <c r="BP175" s="43"/>
      <c r="BQ175" s="43"/>
      <c r="BR175" s="43"/>
      <c r="BS175" s="43"/>
      <c r="BT175" s="43"/>
      <c r="BU175" s="43"/>
      <c r="BV175" s="43"/>
      <c r="BW175" s="43"/>
      <c r="BX175" s="43"/>
      <c r="BY175" s="43"/>
      <c r="BZ175" s="43"/>
      <c r="CA175" s="43"/>
      <c r="CB175" s="43"/>
      <c r="CC175" s="43"/>
      <c r="CD175" s="43"/>
      <c r="CE175" s="43"/>
      <c r="CF175" s="43"/>
      <c r="CG175" s="43"/>
      <c r="CH175" s="43"/>
      <c r="CI175" s="43"/>
      <c r="CJ175" s="43"/>
      <c r="CK175" s="43"/>
      <c r="CL175" s="43"/>
      <c r="CM175" s="43"/>
      <c r="CN175" s="43"/>
      <c r="CO175" s="43"/>
      <c r="CP175" s="43"/>
      <c r="CQ175" s="43"/>
      <c r="CR175" s="43"/>
      <c r="CS175" s="43"/>
      <c r="CT175" s="43"/>
      <c r="CU175" s="43"/>
      <c r="CV175" s="43"/>
      <c r="CW175" s="43"/>
      <c r="CX175" s="43"/>
      <c r="CY175" s="43"/>
      <c r="CZ175" s="43"/>
      <c r="DA175" s="43"/>
      <c r="DB175" s="43"/>
      <c r="DC175" s="43"/>
      <c r="DD175" s="43"/>
      <c r="DE175" s="43"/>
      <c r="DF175" s="43"/>
      <c r="DG175" s="43"/>
      <c r="DH175" s="43"/>
      <c r="DI175" s="43"/>
      <c r="DJ175" s="43"/>
      <c r="DK175" s="43"/>
      <c r="DL175" s="43"/>
      <c r="DM175" s="43"/>
      <c r="DN175" s="43"/>
      <c r="DO175" s="43"/>
      <c r="DP175" s="43"/>
      <c r="DQ175" s="43"/>
      <c r="DR175" s="43"/>
      <c r="DS175" s="43"/>
      <c r="DT175" s="43"/>
      <c r="DU175" s="43"/>
      <c r="DV175" s="43"/>
      <c r="DW175" s="43"/>
      <c r="DX175" s="43"/>
      <c r="DY175" s="43"/>
      <c r="DZ175" s="43"/>
      <c r="EA175" s="43"/>
      <c r="EB175" s="43"/>
      <c r="EC175" s="43"/>
      <c r="ED175" s="43"/>
      <c r="EE175" s="43"/>
      <c r="EF175" s="43"/>
      <c r="EG175" s="43"/>
      <c r="EH175" s="43"/>
      <c r="EI175" s="43"/>
      <c r="EJ175" s="43"/>
      <c r="EK175" s="43"/>
      <c r="EL175" s="43"/>
      <c r="EM175" s="43"/>
      <c r="EN175" s="43"/>
      <c r="EO175" s="43"/>
      <c r="EP175" s="43"/>
      <c r="EQ175" s="43"/>
      <c r="ER175" s="43"/>
      <c r="ES175" s="43"/>
      <c r="ET175" s="43"/>
      <c r="EU175" s="43"/>
      <c r="EV175" s="43"/>
      <c r="EW175" s="43"/>
      <c r="EX175" s="43"/>
      <c r="EY175" s="43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/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</row>
    <row r="176" spans="1:190" s="24" customFormat="1" ht="15.75" customHeight="1">
      <c r="A176" s="72">
        <v>42355</v>
      </c>
      <c r="B176" s="68" t="s">
        <v>578</v>
      </c>
      <c r="C176" s="69" t="s">
        <v>762</v>
      </c>
      <c r="D176" s="69" t="s">
        <v>748</v>
      </c>
      <c r="E176" s="74">
        <v>2600</v>
      </c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/>
      <c r="BN176" s="43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3"/>
      <c r="CB176" s="43"/>
      <c r="CC176" s="43"/>
      <c r="CD176" s="43"/>
      <c r="CE176" s="43"/>
      <c r="CF176" s="43"/>
      <c r="CG176" s="43"/>
      <c r="CH176" s="43"/>
      <c r="CI176" s="43"/>
      <c r="CJ176" s="43"/>
      <c r="CK176" s="43"/>
      <c r="CL176" s="43"/>
      <c r="CM176" s="43"/>
      <c r="CN176" s="43"/>
      <c r="CO176" s="43"/>
      <c r="CP176" s="43"/>
      <c r="CQ176" s="43"/>
      <c r="CR176" s="43"/>
      <c r="CS176" s="43"/>
      <c r="CT176" s="43"/>
      <c r="CU176" s="43"/>
      <c r="CV176" s="43"/>
      <c r="CW176" s="43"/>
      <c r="CX176" s="43"/>
      <c r="CY176" s="43"/>
      <c r="CZ176" s="43"/>
      <c r="DA176" s="43"/>
      <c r="DB176" s="43"/>
      <c r="DC176" s="43"/>
      <c r="DD176" s="43"/>
      <c r="DE176" s="43"/>
      <c r="DF176" s="43"/>
      <c r="DG176" s="43"/>
      <c r="DH176" s="43"/>
      <c r="DI176" s="43"/>
      <c r="DJ176" s="43"/>
      <c r="DK176" s="43"/>
      <c r="DL176" s="43"/>
      <c r="DM176" s="43"/>
      <c r="DN176" s="43"/>
      <c r="DO176" s="43"/>
      <c r="DP176" s="43"/>
      <c r="DQ176" s="43"/>
      <c r="DR176" s="43"/>
      <c r="DS176" s="43"/>
      <c r="DT176" s="43"/>
      <c r="DU176" s="43"/>
      <c r="DV176" s="43"/>
      <c r="DW176" s="43"/>
      <c r="DX176" s="43"/>
      <c r="DY176" s="43"/>
      <c r="DZ176" s="43"/>
      <c r="EA176" s="43"/>
      <c r="EB176" s="43"/>
      <c r="EC176" s="43"/>
      <c r="ED176" s="43"/>
      <c r="EE176" s="43"/>
      <c r="EF176" s="43"/>
      <c r="EG176" s="43"/>
      <c r="EH176" s="43"/>
      <c r="EI176" s="43"/>
      <c r="EJ176" s="43"/>
      <c r="EK176" s="43"/>
      <c r="EL176" s="43"/>
      <c r="EM176" s="43"/>
      <c r="EN176" s="43"/>
      <c r="EO176" s="43"/>
      <c r="EP176" s="43"/>
      <c r="EQ176" s="43"/>
      <c r="ER176" s="43"/>
      <c r="ES176" s="43"/>
      <c r="ET176" s="43"/>
      <c r="EU176" s="43"/>
      <c r="EV176" s="43"/>
      <c r="EW176" s="43"/>
      <c r="EX176" s="43"/>
      <c r="EY176" s="43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</row>
    <row r="177" spans="1:190" s="24" customFormat="1" ht="15.75" customHeight="1">
      <c r="A177" s="73">
        <v>42356</v>
      </c>
      <c r="B177" s="70" t="s">
        <v>578</v>
      </c>
      <c r="C177" s="71" t="s">
        <v>827</v>
      </c>
      <c r="D177" s="71" t="s">
        <v>750</v>
      </c>
      <c r="E177" s="75">
        <v>45000</v>
      </c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43"/>
      <c r="BN177" s="43"/>
      <c r="BO177" s="43"/>
      <c r="BP177" s="43"/>
      <c r="BQ177" s="43"/>
      <c r="BR177" s="43"/>
      <c r="BS177" s="43"/>
      <c r="BT177" s="43"/>
      <c r="BU177" s="43"/>
      <c r="BV177" s="43"/>
      <c r="BW177" s="43"/>
      <c r="BX177" s="43"/>
      <c r="BY177" s="43"/>
      <c r="BZ177" s="43"/>
      <c r="CA177" s="43"/>
      <c r="CB177" s="43"/>
      <c r="CC177" s="43"/>
      <c r="CD177" s="43"/>
      <c r="CE177" s="43"/>
      <c r="CF177" s="43"/>
      <c r="CG177" s="43"/>
      <c r="CH177" s="43"/>
      <c r="CI177" s="43"/>
      <c r="CJ177" s="43"/>
      <c r="CK177" s="43"/>
      <c r="CL177" s="43"/>
      <c r="CM177" s="43"/>
      <c r="CN177" s="43"/>
      <c r="CO177" s="43"/>
      <c r="CP177" s="43"/>
      <c r="CQ177" s="43"/>
      <c r="CR177" s="43"/>
      <c r="CS177" s="43"/>
      <c r="CT177" s="43"/>
      <c r="CU177" s="43"/>
      <c r="CV177" s="43"/>
      <c r="CW177" s="43"/>
      <c r="CX177" s="43"/>
      <c r="CY177" s="43"/>
      <c r="CZ177" s="43"/>
      <c r="DA177" s="43"/>
      <c r="DB177" s="43"/>
      <c r="DC177" s="43"/>
      <c r="DD177" s="43"/>
      <c r="DE177" s="43"/>
      <c r="DF177" s="43"/>
      <c r="DG177" s="43"/>
      <c r="DH177" s="43"/>
      <c r="DI177" s="43"/>
      <c r="DJ177" s="43"/>
      <c r="DK177" s="43"/>
      <c r="DL177" s="43"/>
      <c r="DM177" s="43"/>
      <c r="DN177" s="43"/>
      <c r="DO177" s="43"/>
      <c r="DP177" s="43"/>
      <c r="DQ177" s="43"/>
      <c r="DR177" s="43"/>
      <c r="DS177" s="43"/>
      <c r="DT177" s="43"/>
      <c r="DU177" s="43"/>
      <c r="DV177" s="43"/>
      <c r="DW177" s="43"/>
      <c r="DX177" s="43"/>
      <c r="DY177" s="43"/>
      <c r="DZ177" s="43"/>
      <c r="EA177" s="43"/>
      <c r="EB177" s="43"/>
      <c r="EC177" s="43"/>
      <c r="ED177" s="43"/>
      <c r="EE177" s="43"/>
      <c r="EF177" s="43"/>
      <c r="EG177" s="43"/>
      <c r="EH177" s="43"/>
      <c r="EI177" s="43"/>
      <c r="EJ177" s="43"/>
      <c r="EK177" s="43"/>
      <c r="EL177" s="43"/>
      <c r="EM177" s="43"/>
      <c r="EN177" s="43"/>
      <c r="EO177" s="43"/>
      <c r="EP177" s="43"/>
      <c r="EQ177" s="43"/>
      <c r="ER177" s="43"/>
      <c r="ES177" s="43"/>
      <c r="ET177" s="43"/>
      <c r="EU177" s="43"/>
      <c r="EV177" s="43"/>
      <c r="EW177" s="43"/>
      <c r="EX177" s="43"/>
      <c r="EY177" s="43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</row>
    <row r="178" spans="1:190" s="24" customFormat="1" ht="15.75" customHeight="1">
      <c r="A178" s="72">
        <v>42357</v>
      </c>
      <c r="B178" s="68" t="s">
        <v>578</v>
      </c>
      <c r="C178" s="69" t="s">
        <v>763</v>
      </c>
      <c r="D178" s="69" t="s">
        <v>750</v>
      </c>
      <c r="E178" s="74">
        <v>26000</v>
      </c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43"/>
      <c r="BM178" s="43"/>
      <c r="BN178" s="43"/>
      <c r="BO178" s="43"/>
      <c r="BP178" s="43"/>
      <c r="BQ178" s="43"/>
      <c r="BR178" s="43"/>
      <c r="BS178" s="43"/>
      <c r="BT178" s="43"/>
      <c r="BU178" s="43"/>
      <c r="BV178" s="43"/>
      <c r="BW178" s="43"/>
      <c r="BX178" s="43"/>
      <c r="BY178" s="43"/>
      <c r="BZ178" s="43"/>
      <c r="CA178" s="43"/>
      <c r="CB178" s="43"/>
      <c r="CC178" s="43"/>
      <c r="CD178" s="43"/>
      <c r="CE178" s="43"/>
      <c r="CF178" s="43"/>
      <c r="CG178" s="43"/>
      <c r="CH178" s="43"/>
      <c r="CI178" s="43"/>
      <c r="CJ178" s="43"/>
      <c r="CK178" s="43"/>
      <c r="CL178" s="43"/>
      <c r="CM178" s="43"/>
      <c r="CN178" s="43"/>
      <c r="CO178" s="43"/>
      <c r="CP178" s="43"/>
      <c r="CQ178" s="43"/>
      <c r="CR178" s="43"/>
      <c r="CS178" s="43"/>
      <c r="CT178" s="43"/>
      <c r="CU178" s="43"/>
      <c r="CV178" s="43"/>
      <c r="CW178" s="43"/>
      <c r="CX178" s="43"/>
      <c r="CY178" s="43"/>
      <c r="CZ178" s="43"/>
      <c r="DA178" s="43"/>
      <c r="DB178" s="43"/>
      <c r="DC178" s="43"/>
      <c r="DD178" s="43"/>
      <c r="DE178" s="43"/>
      <c r="DF178" s="43"/>
      <c r="DG178" s="43"/>
      <c r="DH178" s="43"/>
      <c r="DI178" s="43"/>
      <c r="DJ178" s="43"/>
      <c r="DK178" s="43"/>
      <c r="DL178" s="43"/>
      <c r="DM178" s="43"/>
      <c r="DN178" s="43"/>
      <c r="DO178" s="43"/>
      <c r="DP178" s="43"/>
      <c r="DQ178" s="43"/>
      <c r="DR178" s="43"/>
      <c r="DS178" s="43"/>
      <c r="DT178" s="43"/>
      <c r="DU178" s="43"/>
      <c r="DV178" s="43"/>
      <c r="DW178" s="43"/>
      <c r="DX178" s="43"/>
      <c r="DY178" s="43"/>
      <c r="DZ178" s="43"/>
      <c r="EA178" s="43"/>
      <c r="EB178" s="43"/>
      <c r="EC178" s="43"/>
      <c r="ED178" s="43"/>
      <c r="EE178" s="43"/>
      <c r="EF178" s="43"/>
      <c r="EG178" s="43"/>
      <c r="EH178" s="43"/>
      <c r="EI178" s="43"/>
      <c r="EJ178" s="43"/>
      <c r="EK178" s="43"/>
      <c r="EL178" s="43"/>
      <c r="EM178" s="43"/>
      <c r="EN178" s="43"/>
      <c r="EO178" s="43"/>
      <c r="EP178" s="43"/>
      <c r="EQ178" s="43"/>
      <c r="ER178" s="43"/>
      <c r="ES178" s="43"/>
      <c r="ET178" s="43"/>
      <c r="EU178" s="43"/>
      <c r="EV178" s="43"/>
      <c r="EW178" s="43"/>
      <c r="EX178" s="43"/>
      <c r="EY178" s="43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</row>
    <row r="179" spans="1:190" s="24" customFormat="1" ht="15.75" customHeight="1">
      <c r="A179" s="73">
        <v>42358</v>
      </c>
      <c r="B179" s="70" t="s">
        <v>578</v>
      </c>
      <c r="C179" s="71" t="s">
        <v>763</v>
      </c>
      <c r="D179" s="71" t="s">
        <v>750</v>
      </c>
      <c r="E179" s="75">
        <v>26000</v>
      </c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  <c r="BM179" s="43"/>
      <c r="BN179" s="43"/>
      <c r="BO179" s="43"/>
      <c r="BP179" s="43"/>
      <c r="BQ179" s="43"/>
      <c r="BR179" s="43"/>
      <c r="BS179" s="43"/>
      <c r="BT179" s="43"/>
      <c r="BU179" s="43"/>
      <c r="BV179" s="43"/>
      <c r="BW179" s="43"/>
      <c r="BX179" s="43"/>
      <c r="BY179" s="43"/>
      <c r="BZ179" s="43"/>
      <c r="CA179" s="43"/>
      <c r="CB179" s="43"/>
      <c r="CC179" s="43"/>
      <c r="CD179" s="43"/>
      <c r="CE179" s="43"/>
      <c r="CF179" s="43"/>
      <c r="CG179" s="43"/>
      <c r="CH179" s="43"/>
      <c r="CI179" s="43"/>
      <c r="CJ179" s="43"/>
      <c r="CK179" s="43"/>
      <c r="CL179" s="43"/>
      <c r="CM179" s="43"/>
      <c r="CN179" s="43"/>
      <c r="CO179" s="43"/>
      <c r="CP179" s="43"/>
      <c r="CQ179" s="43"/>
      <c r="CR179" s="43"/>
      <c r="CS179" s="43"/>
      <c r="CT179" s="43"/>
      <c r="CU179" s="43"/>
      <c r="CV179" s="43"/>
      <c r="CW179" s="43"/>
      <c r="CX179" s="43"/>
      <c r="CY179" s="43"/>
      <c r="CZ179" s="43"/>
      <c r="DA179" s="43"/>
      <c r="DB179" s="43"/>
      <c r="DC179" s="43"/>
      <c r="DD179" s="43"/>
      <c r="DE179" s="43"/>
      <c r="DF179" s="43"/>
      <c r="DG179" s="43"/>
      <c r="DH179" s="43"/>
      <c r="DI179" s="43"/>
      <c r="DJ179" s="43"/>
      <c r="DK179" s="43"/>
      <c r="DL179" s="43"/>
      <c r="DM179" s="43"/>
      <c r="DN179" s="43"/>
      <c r="DO179" s="43"/>
      <c r="DP179" s="43"/>
      <c r="DQ179" s="43"/>
      <c r="DR179" s="43"/>
      <c r="DS179" s="43"/>
      <c r="DT179" s="43"/>
      <c r="DU179" s="43"/>
      <c r="DV179" s="43"/>
      <c r="DW179" s="43"/>
      <c r="DX179" s="43"/>
      <c r="DY179" s="43"/>
      <c r="DZ179" s="43"/>
      <c r="EA179" s="43"/>
      <c r="EB179" s="43"/>
      <c r="EC179" s="43"/>
      <c r="ED179" s="43"/>
      <c r="EE179" s="43"/>
      <c r="EF179" s="43"/>
      <c r="EG179" s="43"/>
      <c r="EH179" s="43"/>
      <c r="EI179" s="43"/>
      <c r="EJ179" s="43"/>
      <c r="EK179" s="43"/>
      <c r="EL179" s="43"/>
      <c r="EM179" s="43"/>
      <c r="EN179" s="43"/>
      <c r="EO179" s="43"/>
      <c r="EP179" s="43"/>
      <c r="EQ179" s="43"/>
      <c r="ER179" s="43"/>
      <c r="ES179" s="43"/>
      <c r="ET179" s="43"/>
      <c r="EU179" s="43"/>
      <c r="EV179" s="43"/>
      <c r="EW179" s="43"/>
      <c r="EX179" s="43"/>
      <c r="EY179" s="43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</row>
    <row r="180" spans="1:190" s="24" customFormat="1" ht="15.75" customHeight="1">
      <c r="A180" s="72">
        <v>42359</v>
      </c>
      <c r="B180" s="68" t="s">
        <v>578</v>
      </c>
      <c r="C180" s="69" t="s">
        <v>763</v>
      </c>
      <c r="D180" s="69" t="s">
        <v>750</v>
      </c>
      <c r="E180" s="74">
        <v>26000</v>
      </c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/>
      <c r="BN180" s="43"/>
      <c r="BO180" s="43"/>
      <c r="BP180" s="43"/>
      <c r="BQ180" s="43"/>
      <c r="BR180" s="43"/>
      <c r="BS180" s="43"/>
      <c r="BT180" s="43"/>
      <c r="BU180" s="43"/>
      <c r="BV180" s="43"/>
      <c r="BW180" s="43"/>
      <c r="BX180" s="43"/>
      <c r="BY180" s="43"/>
      <c r="BZ180" s="43"/>
      <c r="CA180" s="43"/>
      <c r="CB180" s="43"/>
      <c r="CC180" s="43"/>
      <c r="CD180" s="43"/>
      <c r="CE180" s="43"/>
      <c r="CF180" s="43"/>
      <c r="CG180" s="43"/>
      <c r="CH180" s="43"/>
      <c r="CI180" s="43"/>
      <c r="CJ180" s="43"/>
      <c r="CK180" s="43"/>
      <c r="CL180" s="43"/>
      <c r="CM180" s="43"/>
      <c r="CN180" s="43"/>
      <c r="CO180" s="43"/>
      <c r="CP180" s="43"/>
      <c r="CQ180" s="43"/>
      <c r="CR180" s="43"/>
      <c r="CS180" s="43"/>
      <c r="CT180" s="43"/>
      <c r="CU180" s="43"/>
      <c r="CV180" s="43"/>
      <c r="CW180" s="43"/>
      <c r="CX180" s="43"/>
      <c r="CY180" s="43"/>
      <c r="CZ180" s="43"/>
      <c r="DA180" s="43"/>
      <c r="DB180" s="43"/>
      <c r="DC180" s="43"/>
      <c r="DD180" s="43"/>
      <c r="DE180" s="43"/>
      <c r="DF180" s="43"/>
      <c r="DG180" s="43"/>
      <c r="DH180" s="43"/>
      <c r="DI180" s="43"/>
      <c r="DJ180" s="43"/>
      <c r="DK180" s="43"/>
      <c r="DL180" s="43"/>
      <c r="DM180" s="43"/>
      <c r="DN180" s="43"/>
      <c r="DO180" s="43"/>
      <c r="DP180" s="43"/>
      <c r="DQ180" s="43"/>
      <c r="DR180" s="43"/>
      <c r="DS180" s="43"/>
      <c r="DT180" s="43"/>
      <c r="DU180" s="43"/>
      <c r="DV180" s="43"/>
      <c r="DW180" s="43"/>
      <c r="DX180" s="43"/>
      <c r="DY180" s="43"/>
      <c r="DZ180" s="43"/>
      <c r="EA180" s="43"/>
      <c r="EB180" s="43"/>
      <c r="EC180" s="43"/>
      <c r="ED180" s="43"/>
      <c r="EE180" s="43"/>
      <c r="EF180" s="43"/>
      <c r="EG180" s="43"/>
      <c r="EH180" s="43"/>
      <c r="EI180" s="43"/>
      <c r="EJ180" s="43"/>
      <c r="EK180" s="43"/>
      <c r="EL180" s="43"/>
      <c r="EM180" s="43"/>
      <c r="EN180" s="43"/>
      <c r="EO180" s="43"/>
      <c r="EP180" s="43"/>
      <c r="EQ180" s="43"/>
      <c r="ER180" s="43"/>
      <c r="ES180" s="43"/>
      <c r="ET180" s="43"/>
      <c r="EU180" s="43"/>
      <c r="EV180" s="43"/>
      <c r="EW180" s="43"/>
      <c r="EX180" s="43"/>
      <c r="EY180" s="43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</row>
    <row r="181" spans="1:190" s="24" customFormat="1" ht="15.75" customHeight="1">
      <c r="A181" s="73">
        <v>42368</v>
      </c>
      <c r="B181" s="70" t="s">
        <v>578</v>
      </c>
      <c r="C181" s="71" t="s">
        <v>763</v>
      </c>
      <c r="D181" s="71" t="s">
        <v>750</v>
      </c>
      <c r="E181" s="75">
        <v>26000</v>
      </c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43"/>
      <c r="BN181" s="43"/>
      <c r="BO181" s="43"/>
      <c r="BP181" s="43"/>
      <c r="BQ181" s="43"/>
      <c r="BR181" s="43"/>
      <c r="BS181" s="43"/>
      <c r="BT181" s="43"/>
      <c r="BU181" s="43"/>
      <c r="BV181" s="43"/>
      <c r="BW181" s="43"/>
      <c r="BX181" s="43"/>
      <c r="BY181" s="43"/>
      <c r="BZ181" s="43"/>
      <c r="CA181" s="43"/>
      <c r="CB181" s="43"/>
      <c r="CC181" s="43"/>
      <c r="CD181" s="43"/>
      <c r="CE181" s="43"/>
      <c r="CF181" s="43"/>
      <c r="CG181" s="43"/>
      <c r="CH181" s="43"/>
      <c r="CI181" s="43"/>
      <c r="CJ181" s="43"/>
      <c r="CK181" s="43"/>
      <c r="CL181" s="43"/>
      <c r="CM181" s="43"/>
      <c r="CN181" s="43"/>
      <c r="CO181" s="43"/>
      <c r="CP181" s="43"/>
      <c r="CQ181" s="43"/>
      <c r="CR181" s="43"/>
      <c r="CS181" s="43"/>
      <c r="CT181" s="43"/>
      <c r="CU181" s="43"/>
      <c r="CV181" s="43"/>
      <c r="CW181" s="43"/>
      <c r="CX181" s="43"/>
      <c r="CY181" s="43"/>
      <c r="CZ181" s="43"/>
      <c r="DA181" s="43"/>
      <c r="DB181" s="43"/>
      <c r="DC181" s="43"/>
      <c r="DD181" s="43"/>
      <c r="DE181" s="43"/>
      <c r="DF181" s="43"/>
      <c r="DG181" s="43"/>
      <c r="DH181" s="43"/>
      <c r="DI181" s="43"/>
      <c r="DJ181" s="43"/>
      <c r="DK181" s="43"/>
      <c r="DL181" s="43"/>
      <c r="DM181" s="43"/>
      <c r="DN181" s="43"/>
      <c r="DO181" s="43"/>
      <c r="DP181" s="43"/>
      <c r="DQ181" s="43"/>
      <c r="DR181" s="43"/>
      <c r="DS181" s="43"/>
      <c r="DT181" s="43"/>
      <c r="DU181" s="43"/>
      <c r="DV181" s="43"/>
      <c r="DW181" s="43"/>
      <c r="DX181" s="43"/>
      <c r="DY181" s="43"/>
      <c r="DZ181" s="43"/>
      <c r="EA181" s="43"/>
      <c r="EB181" s="43"/>
      <c r="EC181" s="43"/>
      <c r="ED181" s="43"/>
      <c r="EE181" s="43"/>
      <c r="EF181" s="43"/>
      <c r="EG181" s="43"/>
      <c r="EH181" s="43"/>
      <c r="EI181" s="43"/>
      <c r="EJ181" s="43"/>
      <c r="EK181" s="43"/>
      <c r="EL181" s="43"/>
      <c r="EM181" s="43"/>
      <c r="EN181" s="43"/>
      <c r="EO181" s="43"/>
      <c r="EP181" s="43"/>
      <c r="EQ181" s="43"/>
      <c r="ER181" s="43"/>
      <c r="ES181" s="43"/>
      <c r="ET181" s="43"/>
      <c r="EU181" s="43"/>
      <c r="EV181" s="43"/>
      <c r="EW181" s="43"/>
      <c r="EX181" s="43"/>
      <c r="EY181" s="43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</row>
    <row r="182" spans="1:190" s="24" customFormat="1" ht="15.75" customHeight="1">
      <c r="A182" s="72">
        <v>42369</v>
      </c>
      <c r="B182" s="68" t="s">
        <v>578</v>
      </c>
      <c r="C182" s="69" t="s">
        <v>769</v>
      </c>
      <c r="D182" s="69" t="s">
        <v>750</v>
      </c>
      <c r="E182" s="74">
        <v>32000</v>
      </c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43"/>
      <c r="BN182" s="43"/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  <c r="BZ182" s="43"/>
      <c r="CA182" s="43"/>
      <c r="CB182" s="43"/>
      <c r="CC182" s="43"/>
      <c r="CD182" s="43"/>
      <c r="CE182" s="43"/>
      <c r="CF182" s="43"/>
      <c r="CG182" s="43"/>
      <c r="CH182" s="43"/>
      <c r="CI182" s="43"/>
      <c r="CJ182" s="43"/>
      <c r="CK182" s="43"/>
      <c r="CL182" s="43"/>
      <c r="CM182" s="43"/>
      <c r="CN182" s="43"/>
      <c r="CO182" s="43"/>
      <c r="CP182" s="43"/>
      <c r="CQ182" s="43"/>
      <c r="CR182" s="43"/>
      <c r="CS182" s="43"/>
      <c r="CT182" s="43"/>
      <c r="CU182" s="43"/>
      <c r="CV182" s="43"/>
      <c r="CW182" s="43"/>
      <c r="CX182" s="43"/>
      <c r="CY182" s="43"/>
      <c r="CZ182" s="43"/>
      <c r="DA182" s="43"/>
      <c r="DB182" s="43"/>
      <c r="DC182" s="43"/>
      <c r="DD182" s="43"/>
      <c r="DE182" s="43"/>
      <c r="DF182" s="43"/>
      <c r="DG182" s="43"/>
      <c r="DH182" s="43"/>
      <c r="DI182" s="43"/>
      <c r="DJ182" s="43"/>
      <c r="DK182" s="43"/>
      <c r="DL182" s="43"/>
      <c r="DM182" s="43"/>
      <c r="DN182" s="43"/>
      <c r="DO182" s="43"/>
      <c r="DP182" s="43"/>
      <c r="DQ182" s="43"/>
      <c r="DR182" s="43"/>
      <c r="DS182" s="43"/>
      <c r="DT182" s="43"/>
      <c r="DU182" s="43"/>
      <c r="DV182" s="43"/>
      <c r="DW182" s="43"/>
      <c r="DX182" s="43"/>
      <c r="DY182" s="43"/>
      <c r="DZ182" s="43"/>
      <c r="EA182" s="43"/>
      <c r="EB182" s="43"/>
      <c r="EC182" s="43"/>
      <c r="ED182" s="43"/>
      <c r="EE182" s="43"/>
      <c r="EF182" s="43"/>
      <c r="EG182" s="43"/>
      <c r="EH182" s="43"/>
      <c r="EI182" s="43"/>
      <c r="EJ182" s="43"/>
      <c r="EK182" s="43"/>
      <c r="EL182" s="43"/>
      <c r="EM182" s="43"/>
      <c r="EN182" s="43"/>
      <c r="EO182" s="43"/>
      <c r="EP182" s="43"/>
      <c r="EQ182" s="43"/>
      <c r="ER182" s="43"/>
      <c r="ES182" s="43"/>
      <c r="ET182" s="43"/>
      <c r="EU182" s="43"/>
      <c r="EV182" s="43"/>
      <c r="EW182" s="43"/>
      <c r="EX182" s="43"/>
      <c r="EY182" s="43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</row>
    <row r="183" spans="1:190" s="24" customFormat="1" ht="15.75" customHeight="1">
      <c r="A183" s="73">
        <v>42731</v>
      </c>
      <c r="B183" s="70" t="s">
        <v>578</v>
      </c>
      <c r="C183" s="71" t="s">
        <v>794</v>
      </c>
      <c r="D183" s="71" t="s">
        <v>776</v>
      </c>
      <c r="E183" s="75">
        <v>1100</v>
      </c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43"/>
      <c r="BN183" s="43"/>
      <c r="BO183" s="43"/>
      <c r="BP183" s="43"/>
      <c r="BQ183" s="43"/>
      <c r="BR183" s="43"/>
      <c r="BS183" s="43"/>
      <c r="BT183" s="43"/>
      <c r="BU183" s="43"/>
      <c r="BV183" s="43"/>
      <c r="BW183" s="43"/>
      <c r="BX183" s="43"/>
      <c r="BY183" s="43"/>
      <c r="BZ183" s="43"/>
      <c r="CA183" s="43"/>
      <c r="CB183" s="43"/>
      <c r="CC183" s="43"/>
      <c r="CD183" s="43"/>
      <c r="CE183" s="43"/>
      <c r="CF183" s="43"/>
      <c r="CG183" s="43"/>
      <c r="CH183" s="43"/>
      <c r="CI183" s="43"/>
      <c r="CJ183" s="43"/>
      <c r="CK183" s="43"/>
      <c r="CL183" s="43"/>
      <c r="CM183" s="43"/>
      <c r="CN183" s="43"/>
      <c r="CO183" s="43"/>
      <c r="CP183" s="43"/>
      <c r="CQ183" s="43"/>
      <c r="CR183" s="43"/>
      <c r="CS183" s="43"/>
      <c r="CT183" s="43"/>
      <c r="CU183" s="43"/>
      <c r="CV183" s="43"/>
      <c r="CW183" s="43"/>
      <c r="CX183" s="43"/>
      <c r="CY183" s="43"/>
      <c r="CZ183" s="43"/>
      <c r="DA183" s="43"/>
      <c r="DB183" s="43"/>
      <c r="DC183" s="43"/>
      <c r="DD183" s="43"/>
      <c r="DE183" s="43"/>
      <c r="DF183" s="43"/>
      <c r="DG183" s="43"/>
      <c r="DH183" s="43"/>
      <c r="DI183" s="43"/>
      <c r="DJ183" s="43"/>
      <c r="DK183" s="43"/>
      <c r="DL183" s="43"/>
      <c r="DM183" s="43"/>
      <c r="DN183" s="43"/>
      <c r="DO183" s="43"/>
      <c r="DP183" s="43"/>
      <c r="DQ183" s="43"/>
      <c r="DR183" s="43"/>
      <c r="DS183" s="43"/>
      <c r="DT183" s="43"/>
      <c r="DU183" s="43"/>
      <c r="DV183" s="43"/>
      <c r="DW183" s="43"/>
      <c r="DX183" s="43"/>
      <c r="DY183" s="43"/>
      <c r="DZ183" s="43"/>
      <c r="EA183" s="43"/>
      <c r="EB183" s="43"/>
      <c r="EC183" s="43"/>
      <c r="ED183" s="43"/>
      <c r="EE183" s="43"/>
      <c r="EF183" s="43"/>
      <c r="EG183" s="43"/>
      <c r="EH183" s="43"/>
      <c r="EI183" s="43"/>
      <c r="EJ183" s="43"/>
      <c r="EK183" s="43"/>
      <c r="EL183" s="43"/>
      <c r="EM183" s="43"/>
      <c r="EN183" s="43"/>
      <c r="EO183" s="43"/>
      <c r="EP183" s="43"/>
      <c r="EQ183" s="43"/>
      <c r="ER183" s="43"/>
      <c r="ES183" s="43"/>
      <c r="ET183" s="43"/>
      <c r="EU183" s="43"/>
      <c r="EV183" s="43"/>
      <c r="EW183" s="43"/>
      <c r="EX183" s="43"/>
      <c r="EY183" s="43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</row>
  </sheetData>
  <mergeCells count="1">
    <mergeCell ref="A1:E1"/>
  </mergeCells>
  <phoneticPr fontId="0" type="noConversion"/>
  <hyperlinks>
    <hyperlink ref="A1:E1" location="SOMMAIRE!A1" display="RETOUR AU SOMMAIRE"/>
  </hyperlinks>
  <pageMargins left="0.78740157499999996" right="0.78740157499999996" top="0.984251969" bottom="0.984251969" header="0.4921259845" footer="0.4921259845"/>
  <headerFooter alignWithMargins="0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7"/>
  <sheetViews>
    <sheetView showGridLines="0" workbookViewId="0">
      <selection activeCell="A7" sqref="A7"/>
    </sheetView>
  </sheetViews>
  <sheetFormatPr baseColWidth="10" defaultRowHeight="12.75"/>
  <cols>
    <col min="1" max="1" width="14.140625" customWidth="1"/>
    <col min="2" max="3" width="10.7109375" bestFit="1" customWidth="1"/>
    <col min="4" max="4" width="8.140625" bestFit="1" customWidth="1"/>
    <col min="5" max="5" width="11.5703125" customWidth="1"/>
  </cols>
  <sheetData>
    <row r="3" spans="1:5">
      <c r="A3" s="48" t="s">
        <v>840</v>
      </c>
      <c r="B3" s="48" t="s">
        <v>552</v>
      </c>
    </row>
    <row r="4" spans="1:5">
      <c r="A4" s="48" t="s">
        <v>845</v>
      </c>
      <c r="B4" t="s">
        <v>578</v>
      </c>
      <c r="C4" t="s">
        <v>376</v>
      </c>
      <c r="D4" t="s">
        <v>560</v>
      </c>
      <c r="E4" t="s">
        <v>841</v>
      </c>
    </row>
    <row r="5" spans="1:5">
      <c r="A5" s="50" t="s">
        <v>846</v>
      </c>
      <c r="B5" s="47"/>
      <c r="C5" s="47"/>
      <c r="D5" s="47"/>
      <c r="E5" s="47"/>
    </row>
    <row r="6" spans="1:5">
      <c r="A6" s="51" t="s">
        <v>847</v>
      </c>
      <c r="B6" s="47">
        <v>185340</v>
      </c>
      <c r="C6" s="47">
        <v>409745</v>
      </c>
      <c r="D6" s="47"/>
      <c r="E6" s="47">
        <v>595085</v>
      </c>
    </row>
    <row r="7" spans="1:5">
      <c r="A7" s="51" t="s">
        <v>848</v>
      </c>
      <c r="B7" s="47">
        <v>60000</v>
      </c>
      <c r="C7" s="47">
        <v>90465</v>
      </c>
      <c r="D7" s="47"/>
      <c r="E7" s="47">
        <v>150465</v>
      </c>
    </row>
    <row r="8" spans="1:5">
      <c r="A8" s="51" t="s">
        <v>849</v>
      </c>
      <c r="B8" s="47">
        <v>194000</v>
      </c>
      <c r="C8" s="47">
        <v>77040</v>
      </c>
      <c r="D8" s="47"/>
      <c r="E8" s="47">
        <v>271040</v>
      </c>
    </row>
    <row r="9" spans="1:5">
      <c r="A9" s="51" t="s">
        <v>850</v>
      </c>
      <c r="B9" s="47">
        <v>350840</v>
      </c>
      <c r="C9" s="47">
        <v>341645</v>
      </c>
      <c r="D9" s="47"/>
      <c r="E9" s="47">
        <v>692485</v>
      </c>
    </row>
    <row r="10" spans="1:5">
      <c r="A10" s="50" t="s">
        <v>852</v>
      </c>
      <c r="B10" s="47">
        <v>790180</v>
      </c>
      <c r="C10" s="47">
        <v>918895</v>
      </c>
      <c r="D10" s="47"/>
      <c r="E10" s="47">
        <v>1709075</v>
      </c>
    </row>
    <row r="11" spans="1:5">
      <c r="A11" s="50" t="s">
        <v>851</v>
      </c>
      <c r="B11" s="47"/>
      <c r="C11" s="47"/>
      <c r="D11" s="47"/>
      <c r="E11" s="47"/>
    </row>
    <row r="12" spans="1:5">
      <c r="A12" s="51" t="s">
        <v>847</v>
      </c>
      <c r="B12" s="47">
        <v>200492</v>
      </c>
      <c r="C12" s="47">
        <v>57830</v>
      </c>
      <c r="D12" s="47"/>
      <c r="E12" s="47">
        <v>258322</v>
      </c>
    </row>
    <row r="13" spans="1:5">
      <c r="A13" s="51" t="s">
        <v>848</v>
      </c>
      <c r="B13" s="47">
        <v>194216</v>
      </c>
      <c r="C13" s="47">
        <v>152155</v>
      </c>
      <c r="D13" s="47"/>
      <c r="E13" s="47">
        <v>346371</v>
      </c>
    </row>
    <row r="14" spans="1:5">
      <c r="A14" s="51" t="s">
        <v>849</v>
      </c>
      <c r="B14" s="47">
        <v>173956</v>
      </c>
      <c r="C14" s="47">
        <v>156095</v>
      </c>
      <c r="D14" s="47"/>
      <c r="E14" s="47">
        <v>330051</v>
      </c>
    </row>
    <row r="15" spans="1:5">
      <c r="A15" s="51" t="s">
        <v>850</v>
      </c>
      <c r="B15" s="47">
        <v>134210</v>
      </c>
      <c r="C15" s="47">
        <v>462572</v>
      </c>
      <c r="D15" s="47">
        <v>50000</v>
      </c>
      <c r="E15" s="47">
        <v>646782</v>
      </c>
    </row>
    <row r="16" spans="1:5">
      <c r="A16" s="50" t="s">
        <v>853</v>
      </c>
      <c r="B16" s="47">
        <v>702874</v>
      </c>
      <c r="C16" s="47">
        <v>828652</v>
      </c>
      <c r="D16" s="47">
        <v>50000</v>
      </c>
      <c r="E16" s="47">
        <v>1581526</v>
      </c>
    </row>
    <row r="17" spans="1:5">
      <c r="A17" s="50" t="s">
        <v>841</v>
      </c>
      <c r="B17" s="47">
        <v>1493054</v>
      </c>
      <c r="C17" s="47">
        <v>1747547</v>
      </c>
      <c r="D17" s="47">
        <v>50000</v>
      </c>
      <c r="E17" s="47">
        <v>3290601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>
    <tabColor indexed="44"/>
  </sheetPr>
  <dimension ref="A1:G103"/>
  <sheetViews>
    <sheetView showGridLines="0" workbookViewId="0">
      <selection sqref="A1:G1"/>
    </sheetView>
  </sheetViews>
  <sheetFormatPr baseColWidth="10" defaultRowHeight="16.5" customHeight="1"/>
  <cols>
    <col min="1" max="1" width="9.7109375" customWidth="1"/>
    <col min="2" max="2" width="13.42578125" customWidth="1"/>
    <col min="3" max="3" width="17.7109375" customWidth="1"/>
    <col min="4" max="4" width="10" customWidth="1"/>
    <col min="6" max="6" width="12.85546875" bestFit="1" customWidth="1"/>
    <col min="7" max="7" width="15.28515625" customWidth="1"/>
  </cols>
  <sheetData>
    <row r="1" spans="1:7" ht="18">
      <c r="A1" s="87" t="s">
        <v>594</v>
      </c>
      <c r="B1" s="87"/>
      <c r="C1" s="87"/>
      <c r="D1" s="87"/>
      <c r="E1" s="87"/>
      <c r="F1" s="87"/>
      <c r="G1" s="87"/>
    </row>
    <row r="2" spans="1:7" ht="84.75" customHeight="1">
      <c r="A2" s="28"/>
      <c r="B2" s="28"/>
      <c r="C2" s="28"/>
      <c r="D2" s="28"/>
      <c r="E2" s="28"/>
      <c r="F2" s="28"/>
      <c r="G2" s="28"/>
    </row>
    <row r="3" spans="1:7" ht="16.5" customHeight="1">
      <c r="A3" s="44" t="s">
        <v>795</v>
      </c>
      <c r="B3" s="44" t="s">
        <v>796</v>
      </c>
      <c r="C3" s="44" t="s">
        <v>797</v>
      </c>
      <c r="D3" s="44" t="s">
        <v>798</v>
      </c>
      <c r="E3" s="45" t="s">
        <v>799</v>
      </c>
      <c r="F3" s="46" t="s">
        <v>800</v>
      </c>
      <c r="G3" s="44" t="s">
        <v>801</v>
      </c>
    </row>
    <row r="4" spans="1:7" ht="16.5" customHeight="1">
      <c r="A4" s="24" t="s">
        <v>802</v>
      </c>
      <c r="B4" s="24" t="s">
        <v>803</v>
      </c>
      <c r="C4" s="24" t="s">
        <v>374</v>
      </c>
      <c r="D4" s="24" t="s">
        <v>804</v>
      </c>
      <c r="E4" s="27">
        <v>2500</v>
      </c>
      <c r="F4" s="29">
        <v>230000</v>
      </c>
      <c r="G4" s="24" t="s">
        <v>805</v>
      </c>
    </row>
    <row r="5" spans="1:7" ht="16.5" customHeight="1">
      <c r="A5" s="24" t="s">
        <v>802</v>
      </c>
      <c r="B5" s="24" t="s">
        <v>806</v>
      </c>
      <c r="C5" s="24" t="s">
        <v>225</v>
      </c>
      <c r="D5" s="24" t="s">
        <v>807</v>
      </c>
      <c r="E5" s="27">
        <v>3000</v>
      </c>
      <c r="F5" s="29">
        <v>200000</v>
      </c>
      <c r="G5" s="24" t="s">
        <v>808</v>
      </c>
    </row>
    <row r="6" spans="1:7" ht="16.5" customHeight="1">
      <c r="A6" s="24" t="s">
        <v>802</v>
      </c>
      <c r="B6" s="24" t="s">
        <v>809</v>
      </c>
      <c r="C6" s="24" t="s">
        <v>625</v>
      </c>
      <c r="D6" s="24" t="s">
        <v>810</v>
      </c>
      <c r="E6" s="27">
        <v>4000</v>
      </c>
      <c r="F6" s="29">
        <v>130000</v>
      </c>
      <c r="G6" s="24" t="s">
        <v>811</v>
      </c>
    </row>
    <row r="7" spans="1:7" ht="16.5" customHeight="1">
      <c r="A7" s="24" t="s">
        <v>802</v>
      </c>
      <c r="B7" s="24" t="s">
        <v>812</v>
      </c>
      <c r="C7" s="24" t="s">
        <v>813</v>
      </c>
      <c r="D7" s="24" t="s">
        <v>804</v>
      </c>
      <c r="E7" s="27">
        <v>1500</v>
      </c>
      <c r="F7" s="29">
        <v>150000</v>
      </c>
      <c r="G7" s="24" t="s">
        <v>814</v>
      </c>
    </row>
    <row r="8" spans="1:7" ht="16.5" customHeight="1">
      <c r="A8" s="24" t="s">
        <v>802</v>
      </c>
      <c r="B8" s="24" t="s">
        <v>803</v>
      </c>
      <c r="C8" s="24" t="s">
        <v>374</v>
      </c>
      <c r="D8" s="24" t="s">
        <v>815</v>
      </c>
      <c r="E8" s="27">
        <v>2500</v>
      </c>
      <c r="F8" s="29">
        <v>164000</v>
      </c>
      <c r="G8" s="24" t="s">
        <v>816</v>
      </c>
    </row>
    <row r="9" spans="1:7" ht="16.5" customHeight="1">
      <c r="A9" s="24" t="s">
        <v>802</v>
      </c>
      <c r="B9" s="24" t="s">
        <v>817</v>
      </c>
      <c r="C9" s="24" t="s">
        <v>625</v>
      </c>
      <c r="D9" s="24" t="s">
        <v>818</v>
      </c>
      <c r="E9" s="27">
        <v>2300</v>
      </c>
      <c r="F9" s="29">
        <v>130000</v>
      </c>
      <c r="G9" s="24" t="s">
        <v>805</v>
      </c>
    </row>
    <row r="10" spans="1:7" ht="16.5" customHeight="1">
      <c r="A10" s="24" t="s">
        <v>802</v>
      </c>
      <c r="B10" s="24" t="s">
        <v>806</v>
      </c>
      <c r="C10" s="24" t="s">
        <v>225</v>
      </c>
      <c r="D10" s="24" t="s">
        <v>810</v>
      </c>
      <c r="E10" s="27">
        <v>1500</v>
      </c>
      <c r="F10" s="29">
        <v>150000</v>
      </c>
      <c r="G10" s="24" t="s">
        <v>811</v>
      </c>
    </row>
    <row r="11" spans="1:7" ht="16.5" customHeight="1">
      <c r="A11" s="24" t="s">
        <v>802</v>
      </c>
      <c r="B11" s="24" t="s">
        <v>819</v>
      </c>
      <c r="C11" s="24" t="s">
        <v>374</v>
      </c>
      <c r="D11" s="24" t="s">
        <v>807</v>
      </c>
      <c r="E11" s="27">
        <v>1100</v>
      </c>
      <c r="F11" s="29">
        <v>230000</v>
      </c>
      <c r="G11" s="24" t="s">
        <v>820</v>
      </c>
    </row>
    <row r="12" spans="1:7" ht="16.5" customHeight="1">
      <c r="A12" s="24" t="s">
        <v>802</v>
      </c>
      <c r="B12" s="24" t="s">
        <v>809</v>
      </c>
      <c r="C12" s="24" t="s">
        <v>813</v>
      </c>
      <c r="D12" s="24" t="s">
        <v>815</v>
      </c>
      <c r="E12" s="27">
        <v>1300</v>
      </c>
      <c r="F12" s="29">
        <v>200000</v>
      </c>
      <c r="G12" s="24" t="s">
        <v>814</v>
      </c>
    </row>
    <row r="13" spans="1:7" ht="16.5" customHeight="1">
      <c r="A13" s="24" t="s">
        <v>802</v>
      </c>
      <c r="B13" s="24" t="s">
        <v>817</v>
      </c>
      <c r="C13" s="24" t="s">
        <v>821</v>
      </c>
      <c r="D13" s="24" t="s">
        <v>804</v>
      </c>
      <c r="E13" s="27">
        <v>2610</v>
      </c>
      <c r="F13" s="29">
        <v>300000</v>
      </c>
      <c r="G13" s="24" t="s">
        <v>820</v>
      </c>
    </row>
    <row r="14" spans="1:7" ht="16.5" customHeight="1">
      <c r="A14" s="24" t="s">
        <v>802</v>
      </c>
      <c r="B14" s="24" t="s">
        <v>806</v>
      </c>
      <c r="C14" s="24" t="s">
        <v>374</v>
      </c>
      <c r="D14" s="24" t="s">
        <v>810</v>
      </c>
      <c r="E14" s="27">
        <v>2600</v>
      </c>
      <c r="F14" s="29">
        <v>120000</v>
      </c>
      <c r="G14" s="24" t="s">
        <v>808</v>
      </c>
    </row>
    <row r="15" spans="1:7" ht="16.5" customHeight="1">
      <c r="A15" s="24" t="s">
        <v>822</v>
      </c>
      <c r="B15" s="24" t="s">
        <v>803</v>
      </c>
      <c r="C15" s="24" t="s">
        <v>813</v>
      </c>
      <c r="D15" s="24" t="s">
        <v>815</v>
      </c>
      <c r="E15" s="27">
        <v>3500</v>
      </c>
      <c r="F15" s="29">
        <v>160000</v>
      </c>
      <c r="G15" s="24" t="s">
        <v>811</v>
      </c>
    </row>
    <row r="16" spans="1:7" ht="16.5" customHeight="1">
      <c r="A16" s="24" t="s">
        <v>822</v>
      </c>
      <c r="B16" s="24" t="s">
        <v>812</v>
      </c>
      <c r="C16" s="24" t="s">
        <v>821</v>
      </c>
      <c r="D16" s="24" t="s">
        <v>818</v>
      </c>
      <c r="E16" s="27">
        <v>2300</v>
      </c>
      <c r="F16" s="29">
        <v>136400</v>
      </c>
      <c r="G16" s="24" t="s">
        <v>816</v>
      </c>
    </row>
    <row r="17" spans="1:7" ht="16.5" customHeight="1">
      <c r="A17" s="24" t="s">
        <v>822</v>
      </c>
      <c r="B17" s="24" t="s">
        <v>817</v>
      </c>
      <c r="C17" s="24" t="s">
        <v>225</v>
      </c>
      <c r="D17" s="24" t="s">
        <v>807</v>
      </c>
      <c r="E17" s="27">
        <v>1500</v>
      </c>
      <c r="F17" s="29">
        <v>150000</v>
      </c>
      <c r="G17" s="24" t="s">
        <v>811</v>
      </c>
    </row>
    <row r="18" spans="1:7" ht="16.5" customHeight="1">
      <c r="A18" s="24" t="s">
        <v>822</v>
      </c>
      <c r="B18" s="24" t="s">
        <v>806</v>
      </c>
      <c r="C18" s="24" t="s">
        <v>625</v>
      </c>
      <c r="D18" s="24" t="s">
        <v>810</v>
      </c>
      <c r="E18" s="27">
        <v>1200</v>
      </c>
      <c r="F18" s="29">
        <v>160000</v>
      </c>
      <c r="G18" s="24" t="s">
        <v>820</v>
      </c>
    </row>
    <row r="19" spans="1:7" ht="16.5" customHeight="1">
      <c r="A19" s="24" t="s">
        <v>822</v>
      </c>
      <c r="B19" s="24" t="s">
        <v>819</v>
      </c>
      <c r="C19" s="24" t="s">
        <v>374</v>
      </c>
      <c r="D19" s="24" t="s">
        <v>815</v>
      </c>
      <c r="E19" s="27">
        <v>1300</v>
      </c>
      <c r="F19" s="29">
        <v>154000</v>
      </c>
      <c r="G19" s="24" t="s">
        <v>805</v>
      </c>
    </row>
    <row r="20" spans="1:7" ht="16.5" customHeight="1">
      <c r="A20" s="32" t="s">
        <v>828</v>
      </c>
      <c r="B20" s="32" t="s">
        <v>829</v>
      </c>
      <c r="C20" s="32" t="s">
        <v>830</v>
      </c>
      <c r="D20" s="32" t="s">
        <v>818</v>
      </c>
      <c r="E20" s="27">
        <v>100000</v>
      </c>
      <c r="F20" s="29">
        <v>800000</v>
      </c>
      <c r="G20" s="32" t="s">
        <v>831</v>
      </c>
    </row>
    <row r="21" spans="1:7" ht="16.5" customHeight="1">
      <c r="A21" s="24" t="s">
        <v>822</v>
      </c>
      <c r="B21" s="24" t="s">
        <v>809</v>
      </c>
      <c r="C21" s="24" t="s">
        <v>813</v>
      </c>
      <c r="D21" s="24" t="s">
        <v>818</v>
      </c>
      <c r="E21" s="27">
        <v>1500</v>
      </c>
      <c r="F21" s="29">
        <v>136000</v>
      </c>
      <c r="G21" s="24" t="s">
        <v>814</v>
      </c>
    </row>
    <row r="22" spans="1:7" ht="16.5" customHeight="1">
      <c r="A22" s="24" t="s">
        <v>822</v>
      </c>
      <c r="B22" s="24" t="s">
        <v>806</v>
      </c>
      <c r="C22" s="24" t="s">
        <v>374</v>
      </c>
      <c r="D22" s="24" t="s">
        <v>810</v>
      </c>
      <c r="E22" s="27">
        <v>4000</v>
      </c>
      <c r="F22" s="29">
        <v>230000</v>
      </c>
      <c r="G22" s="24" t="s">
        <v>805</v>
      </c>
    </row>
    <row r="23" spans="1:7" ht="16.5" customHeight="1">
      <c r="A23" s="24" t="s">
        <v>822</v>
      </c>
      <c r="B23" s="24" t="s">
        <v>819</v>
      </c>
      <c r="C23" s="24" t="s">
        <v>225</v>
      </c>
      <c r="D23" s="24" t="s">
        <v>810</v>
      </c>
      <c r="E23" s="27">
        <v>3500</v>
      </c>
      <c r="F23" s="29">
        <v>200000</v>
      </c>
      <c r="G23" s="24" t="s">
        <v>808</v>
      </c>
    </row>
    <row r="24" spans="1:7" ht="16.5" customHeight="1">
      <c r="A24" s="24" t="s">
        <v>822</v>
      </c>
      <c r="B24" s="24" t="s">
        <v>809</v>
      </c>
      <c r="C24" s="24" t="s">
        <v>625</v>
      </c>
      <c r="D24" s="24" t="s">
        <v>810</v>
      </c>
      <c r="E24" s="27">
        <v>3000</v>
      </c>
      <c r="F24" s="29">
        <v>130000</v>
      </c>
      <c r="G24" s="24" t="s">
        <v>811</v>
      </c>
    </row>
    <row r="25" spans="1:7" ht="16.5" customHeight="1">
      <c r="A25" s="24" t="s">
        <v>822</v>
      </c>
      <c r="B25" s="24" t="s">
        <v>817</v>
      </c>
      <c r="C25" s="24" t="s">
        <v>813</v>
      </c>
      <c r="D25" s="24" t="s">
        <v>810</v>
      </c>
      <c r="E25" s="27">
        <v>2610</v>
      </c>
      <c r="F25" s="29">
        <v>150000</v>
      </c>
      <c r="G25" s="24" t="s">
        <v>814</v>
      </c>
    </row>
    <row r="26" spans="1:7" ht="16.5" customHeight="1">
      <c r="A26" s="24" t="s">
        <v>802</v>
      </c>
      <c r="B26" s="24" t="s">
        <v>806</v>
      </c>
      <c r="C26" s="24" t="s">
        <v>374</v>
      </c>
      <c r="D26" s="24" t="s">
        <v>804</v>
      </c>
      <c r="E26" s="27">
        <v>2600</v>
      </c>
      <c r="F26" s="29">
        <v>164000</v>
      </c>
      <c r="G26" s="24" t="s">
        <v>816</v>
      </c>
    </row>
    <row r="27" spans="1:7" ht="16.5" customHeight="1">
      <c r="A27" s="24" t="s">
        <v>802</v>
      </c>
      <c r="B27" s="24" t="s">
        <v>803</v>
      </c>
      <c r="C27" s="24" t="s">
        <v>625</v>
      </c>
      <c r="D27" s="24" t="s">
        <v>804</v>
      </c>
      <c r="E27" s="27">
        <v>2500</v>
      </c>
      <c r="F27" s="29">
        <v>130000</v>
      </c>
      <c r="G27" s="24" t="s">
        <v>805</v>
      </c>
    </row>
    <row r="28" spans="1:7" ht="16.5" customHeight="1">
      <c r="A28" s="24" t="s">
        <v>802</v>
      </c>
      <c r="B28" s="24" t="s">
        <v>812</v>
      </c>
      <c r="C28" s="24" t="s">
        <v>225</v>
      </c>
      <c r="D28" s="24" t="s">
        <v>804</v>
      </c>
      <c r="E28" s="27">
        <v>2500</v>
      </c>
      <c r="F28" s="29">
        <v>150000</v>
      </c>
      <c r="G28" s="24" t="s">
        <v>811</v>
      </c>
    </row>
    <row r="29" spans="1:7" ht="16.5" customHeight="1">
      <c r="A29" s="24" t="s">
        <v>802</v>
      </c>
      <c r="B29" s="24" t="s">
        <v>817</v>
      </c>
      <c r="C29" s="24" t="s">
        <v>374</v>
      </c>
      <c r="D29" s="24" t="s">
        <v>815</v>
      </c>
      <c r="E29" s="27">
        <v>2300</v>
      </c>
      <c r="F29" s="29">
        <v>230000</v>
      </c>
      <c r="G29" s="24" t="s">
        <v>820</v>
      </c>
    </row>
    <row r="30" spans="1:7" ht="16.5" customHeight="1">
      <c r="A30" s="24" t="s">
        <v>802</v>
      </c>
      <c r="B30" s="24" t="s">
        <v>806</v>
      </c>
      <c r="C30" s="24" t="s">
        <v>813</v>
      </c>
      <c r="D30" s="24" t="s">
        <v>815</v>
      </c>
      <c r="E30" s="27">
        <v>2300</v>
      </c>
      <c r="F30" s="29">
        <v>200000</v>
      </c>
      <c r="G30" s="24" t="s">
        <v>814</v>
      </c>
    </row>
    <row r="31" spans="1:7" ht="16.5" customHeight="1">
      <c r="A31" s="24" t="s">
        <v>802</v>
      </c>
      <c r="B31" s="24" t="s">
        <v>819</v>
      </c>
      <c r="C31" s="24" t="s">
        <v>821</v>
      </c>
      <c r="D31" s="24" t="s">
        <v>815</v>
      </c>
      <c r="E31" s="27">
        <v>1500</v>
      </c>
      <c r="F31" s="29">
        <v>300000</v>
      </c>
      <c r="G31" s="24" t="s">
        <v>820</v>
      </c>
    </row>
    <row r="32" spans="1:7" ht="16.5" customHeight="1">
      <c r="A32" s="24" t="s">
        <v>802</v>
      </c>
      <c r="B32" s="24" t="s">
        <v>809</v>
      </c>
      <c r="C32" s="24" t="s">
        <v>374</v>
      </c>
      <c r="D32" s="24" t="s">
        <v>815</v>
      </c>
      <c r="E32" s="27">
        <v>1500</v>
      </c>
      <c r="F32" s="29">
        <v>120000</v>
      </c>
      <c r="G32" s="24" t="s">
        <v>808</v>
      </c>
    </row>
    <row r="33" spans="1:7" ht="16.5" customHeight="1">
      <c r="A33" s="24" t="s">
        <v>802</v>
      </c>
      <c r="B33" s="24" t="s">
        <v>806</v>
      </c>
      <c r="C33" s="24" t="s">
        <v>813</v>
      </c>
      <c r="D33" s="24" t="s">
        <v>807</v>
      </c>
      <c r="E33" s="27">
        <v>1500</v>
      </c>
      <c r="F33" s="29">
        <v>160000</v>
      </c>
      <c r="G33" s="24" t="s">
        <v>811</v>
      </c>
    </row>
    <row r="34" spans="1:7" ht="16.5" customHeight="1">
      <c r="A34" s="24" t="s">
        <v>802</v>
      </c>
      <c r="B34" s="24" t="s">
        <v>819</v>
      </c>
      <c r="C34" s="24" t="s">
        <v>821</v>
      </c>
      <c r="D34" s="24" t="s">
        <v>807</v>
      </c>
      <c r="E34" s="27">
        <v>1500</v>
      </c>
      <c r="F34" s="29">
        <v>136400</v>
      </c>
      <c r="G34" s="24" t="s">
        <v>816</v>
      </c>
    </row>
    <row r="35" spans="1:7" ht="16.5" customHeight="1">
      <c r="A35" s="24" t="s">
        <v>802</v>
      </c>
      <c r="B35" s="24" t="s">
        <v>809</v>
      </c>
      <c r="C35" s="24" t="s">
        <v>225</v>
      </c>
      <c r="D35" s="24" t="s">
        <v>807</v>
      </c>
      <c r="E35" s="27">
        <v>1300</v>
      </c>
      <c r="F35" s="29">
        <v>150000</v>
      </c>
      <c r="G35" s="24" t="s">
        <v>811</v>
      </c>
    </row>
    <row r="36" spans="1:7" ht="16.5" customHeight="1">
      <c r="A36" s="24" t="s">
        <v>802</v>
      </c>
      <c r="B36" s="24" t="s">
        <v>817</v>
      </c>
      <c r="C36" s="24" t="s">
        <v>625</v>
      </c>
      <c r="D36" s="24" t="s">
        <v>818</v>
      </c>
      <c r="E36" s="27">
        <v>1300</v>
      </c>
      <c r="F36" s="29">
        <v>160000</v>
      </c>
      <c r="G36" s="24" t="s">
        <v>820</v>
      </c>
    </row>
    <row r="37" spans="1:7" ht="16.5" customHeight="1">
      <c r="A37" s="24" t="s">
        <v>822</v>
      </c>
      <c r="B37" s="24" t="s">
        <v>806</v>
      </c>
      <c r="C37" s="24" t="s">
        <v>374</v>
      </c>
      <c r="D37" s="24" t="s">
        <v>818</v>
      </c>
      <c r="E37" s="27">
        <v>1200</v>
      </c>
      <c r="F37" s="29">
        <v>154000</v>
      </c>
      <c r="G37" s="24" t="s">
        <v>805</v>
      </c>
    </row>
    <row r="38" spans="1:7" ht="16.5" customHeight="1">
      <c r="A38" s="24" t="s">
        <v>822</v>
      </c>
      <c r="B38" s="24" t="s">
        <v>803</v>
      </c>
      <c r="C38" s="24" t="s">
        <v>813</v>
      </c>
      <c r="D38" s="24" t="s">
        <v>818</v>
      </c>
      <c r="E38" s="27">
        <v>1100</v>
      </c>
      <c r="F38" s="29">
        <v>136000</v>
      </c>
      <c r="G38" s="24" t="s">
        <v>814</v>
      </c>
    </row>
    <row r="39" spans="1:7" ht="16.5" customHeight="1">
      <c r="A39" s="24" t="s">
        <v>822</v>
      </c>
      <c r="B39" s="24" t="s">
        <v>812</v>
      </c>
      <c r="C39" s="24" t="s">
        <v>374</v>
      </c>
      <c r="D39" s="24" t="s">
        <v>804</v>
      </c>
      <c r="E39" s="27">
        <v>1100</v>
      </c>
      <c r="F39" s="29">
        <v>120000</v>
      </c>
      <c r="G39" s="24" t="s">
        <v>805</v>
      </c>
    </row>
    <row r="40" spans="1:7" ht="16.5" customHeight="1">
      <c r="A40" s="24" t="s">
        <v>822</v>
      </c>
      <c r="B40" s="24" t="s">
        <v>817</v>
      </c>
      <c r="C40" s="24" t="s">
        <v>225</v>
      </c>
      <c r="D40" s="24" t="s">
        <v>807</v>
      </c>
      <c r="E40" s="27">
        <v>1100</v>
      </c>
      <c r="F40" s="29">
        <v>130000</v>
      </c>
      <c r="G40" s="24" t="s">
        <v>808</v>
      </c>
    </row>
    <row r="41" spans="1:7" ht="16.5" customHeight="1">
      <c r="A41" s="24" t="s">
        <v>822</v>
      </c>
      <c r="B41" s="24" t="s">
        <v>806</v>
      </c>
      <c r="C41" s="24" t="s">
        <v>625</v>
      </c>
      <c r="D41" s="24" t="s">
        <v>810</v>
      </c>
      <c r="E41" s="27">
        <v>1200</v>
      </c>
      <c r="F41" s="29">
        <v>130000</v>
      </c>
      <c r="G41" s="24" t="s">
        <v>811</v>
      </c>
    </row>
    <row r="42" spans="1:7" ht="16.5" customHeight="1">
      <c r="A42" s="24" t="s">
        <v>822</v>
      </c>
      <c r="B42" s="24" t="s">
        <v>819</v>
      </c>
      <c r="C42" s="24" t="s">
        <v>813</v>
      </c>
      <c r="D42" s="24" t="s">
        <v>804</v>
      </c>
      <c r="E42" s="27">
        <v>1200</v>
      </c>
      <c r="F42" s="29">
        <v>136000</v>
      </c>
      <c r="G42" s="24" t="s">
        <v>814</v>
      </c>
    </row>
    <row r="43" spans="1:7" ht="16.5" customHeight="1">
      <c r="A43" s="24" t="s">
        <v>822</v>
      </c>
      <c r="B43" s="24" t="s">
        <v>809</v>
      </c>
      <c r="C43" s="24" t="s">
        <v>374</v>
      </c>
      <c r="D43" s="24" t="s">
        <v>815</v>
      </c>
      <c r="E43" s="27">
        <v>1300</v>
      </c>
      <c r="F43" s="29">
        <v>136400</v>
      </c>
      <c r="G43" s="24" t="s">
        <v>816</v>
      </c>
    </row>
    <row r="44" spans="1:7" ht="16.5" customHeight="1">
      <c r="A44" s="24" t="s">
        <v>822</v>
      </c>
      <c r="B44" s="24" t="s">
        <v>806</v>
      </c>
      <c r="C44" s="24" t="s">
        <v>625</v>
      </c>
      <c r="D44" s="24" t="s">
        <v>818</v>
      </c>
      <c r="E44" s="27">
        <v>1300</v>
      </c>
      <c r="F44" s="29">
        <v>150000</v>
      </c>
      <c r="G44" s="24" t="s">
        <v>805</v>
      </c>
    </row>
    <row r="45" spans="1:7" ht="16.5" customHeight="1">
      <c r="A45" s="24" t="s">
        <v>822</v>
      </c>
      <c r="B45" s="24" t="s">
        <v>819</v>
      </c>
      <c r="C45" s="24" t="s">
        <v>225</v>
      </c>
      <c r="D45" s="24" t="s">
        <v>810</v>
      </c>
      <c r="E45" s="27">
        <v>1300</v>
      </c>
      <c r="F45" s="29">
        <v>150000</v>
      </c>
      <c r="G45" s="24" t="s">
        <v>811</v>
      </c>
    </row>
    <row r="46" spans="1:7" ht="16.5" customHeight="1">
      <c r="A46" s="24" t="s">
        <v>822</v>
      </c>
      <c r="B46" s="24" t="s">
        <v>809</v>
      </c>
      <c r="C46" s="24" t="s">
        <v>374</v>
      </c>
      <c r="D46" s="24" t="s">
        <v>807</v>
      </c>
      <c r="E46" s="27">
        <v>1300</v>
      </c>
      <c r="F46" s="29">
        <v>150000</v>
      </c>
      <c r="G46" s="24" t="s">
        <v>820</v>
      </c>
    </row>
    <row r="47" spans="1:7" ht="16.5" customHeight="1">
      <c r="A47" s="24" t="s">
        <v>802</v>
      </c>
      <c r="B47" s="24" t="s">
        <v>817</v>
      </c>
      <c r="C47" s="24" t="s">
        <v>813</v>
      </c>
      <c r="D47" s="24" t="s">
        <v>815</v>
      </c>
      <c r="E47" s="27">
        <v>1500</v>
      </c>
      <c r="F47" s="29">
        <v>154000</v>
      </c>
      <c r="G47" s="24" t="s">
        <v>814</v>
      </c>
    </row>
    <row r="48" spans="1:7" ht="16.5" customHeight="1">
      <c r="A48" s="24" t="s">
        <v>802</v>
      </c>
      <c r="B48" s="24" t="s">
        <v>806</v>
      </c>
      <c r="C48" s="24" t="s">
        <v>821</v>
      </c>
      <c r="D48" s="24" t="s">
        <v>804</v>
      </c>
      <c r="E48" s="27">
        <v>1500</v>
      </c>
      <c r="F48" s="29">
        <v>160000</v>
      </c>
      <c r="G48" s="24" t="s">
        <v>820</v>
      </c>
    </row>
    <row r="49" spans="1:7" ht="16.5" customHeight="1">
      <c r="A49" s="24" t="s">
        <v>802</v>
      </c>
      <c r="B49" s="24" t="s">
        <v>803</v>
      </c>
      <c r="C49" s="24" t="s">
        <v>374</v>
      </c>
      <c r="D49" s="24" t="s">
        <v>810</v>
      </c>
      <c r="E49" s="27">
        <v>1500</v>
      </c>
      <c r="F49" s="29">
        <v>160000</v>
      </c>
      <c r="G49" s="24" t="s">
        <v>808</v>
      </c>
    </row>
    <row r="50" spans="1:7" ht="16.5" customHeight="1">
      <c r="A50" s="24" t="s">
        <v>802</v>
      </c>
      <c r="B50" s="24" t="s">
        <v>812</v>
      </c>
      <c r="C50" s="24" t="s">
        <v>813</v>
      </c>
      <c r="D50" s="24" t="s">
        <v>815</v>
      </c>
      <c r="E50" s="27">
        <v>1500</v>
      </c>
      <c r="F50" s="29">
        <v>164000</v>
      </c>
      <c r="G50" s="24" t="s">
        <v>811</v>
      </c>
    </row>
    <row r="51" spans="1:7" ht="16.5" customHeight="1">
      <c r="A51" s="24" t="s">
        <v>802</v>
      </c>
      <c r="B51" s="24" t="s">
        <v>817</v>
      </c>
      <c r="C51" s="24" t="s">
        <v>821</v>
      </c>
      <c r="D51" s="24" t="s">
        <v>818</v>
      </c>
      <c r="E51" s="27">
        <v>1500</v>
      </c>
      <c r="F51" s="29">
        <v>200000</v>
      </c>
      <c r="G51" s="24" t="s">
        <v>816</v>
      </c>
    </row>
    <row r="52" spans="1:7" ht="16.5" customHeight="1">
      <c r="A52" s="24" t="s">
        <v>802</v>
      </c>
      <c r="B52" s="24" t="s">
        <v>806</v>
      </c>
      <c r="C52" s="24" t="s">
        <v>225</v>
      </c>
      <c r="D52" s="24" t="s">
        <v>807</v>
      </c>
      <c r="E52" s="27">
        <v>1500</v>
      </c>
      <c r="F52" s="29">
        <v>200000</v>
      </c>
      <c r="G52" s="24" t="s">
        <v>811</v>
      </c>
    </row>
    <row r="53" spans="1:7" ht="16.5" customHeight="1">
      <c r="A53" s="24" t="s">
        <v>802</v>
      </c>
      <c r="B53" s="24" t="s">
        <v>819</v>
      </c>
      <c r="C53" s="24" t="s">
        <v>625</v>
      </c>
      <c r="D53" s="24" t="s">
        <v>810</v>
      </c>
      <c r="E53" s="27">
        <v>1500</v>
      </c>
      <c r="F53" s="29">
        <v>230000</v>
      </c>
      <c r="G53" s="24" t="s">
        <v>820</v>
      </c>
    </row>
    <row r="54" spans="1:7" ht="16.5" customHeight="1">
      <c r="A54" s="24" t="s">
        <v>802</v>
      </c>
      <c r="B54" s="24" t="s">
        <v>809</v>
      </c>
      <c r="C54" s="24" t="s">
        <v>374</v>
      </c>
      <c r="D54" s="24" t="s">
        <v>815</v>
      </c>
      <c r="E54" s="27">
        <v>1500</v>
      </c>
      <c r="F54" s="29">
        <v>230000</v>
      </c>
      <c r="G54" s="24" t="s">
        <v>805</v>
      </c>
    </row>
    <row r="55" spans="1:7" ht="16.5" customHeight="1">
      <c r="A55" s="24" t="s">
        <v>802</v>
      </c>
      <c r="B55" s="24" t="s">
        <v>806</v>
      </c>
      <c r="C55" s="24" t="s">
        <v>813</v>
      </c>
      <c r="D55" s="24" t="s">
        <v>818</v>
      </c>
      <c r="E55" s="27">
        <v>2300</v>
      </c>
      <c r="F55" s="29">
        <v>300000</v>
      </c>
      <c r="G55" s="24" t="s">
        <v>814</v>
      </c>
    </row>
    <row r="56" spans="1:7" ht="16.5" customHeight="1">
      <c r="A56" s="24" t="s">
        <v>802</v>
      </c>
      <c r="B56" s="24" t="s">
        <v>819</v>
      </c>
      <c r="C56" s="24" t="s">
        <v>374</v>
      </c>
      <c r="D56" s="24" t="s">
        <v>810</v>
      </c>
      <c r="E56" s="27">
        <v>2300</v>
      </c>
      <c r="F56" s="29">
        <v>300000</v>
      </c>
      <c r="G56" s="24" t="s">
        <v>805</v>
      </c>
    </row>
    <row r="57" spans="1:7" ht="16.5" customHeight="1">
      <c r="A57" s="24" t="s">
        <v>802</v>
      </c>
      <c r="B57" s="24" t="s">
        <v>809</v>
      </c>
      <c r="C57" s="24" t="s">
        <v>225</v>
      </c>
      <c r="D57" s="24" t="s">
        <v>810</v>
      </c>
      <c r="E57" s="27">
        <v>2300</v>
      </c>
      <c r="F57" s="29">
        <v>230000</v>
      </c>
      <c r="G57" s="24" t="s">
        <v>808</v>
      </c>
    </row>
    <row r="58" spans="1:7" ht="16.5" customHeight="1">
      <c r="A58" s="24" t="s">
        <v>822</v>
      </c>
      <c r="B58" s="24" t="s">
        <v>817</v>
      </c>
      <c r="C58" s="24" t="s">
        <v>625</v>
      </c>
      <c r="D58" s="24" t="s">
        <v>810</v>
      </c>
      <c r="E58" s="27">
        <v>2300</v>
      </c>
      <c r="F58" s="29">
        <v>230000</v>
      </c>
      <c r="G58" s="24" t="s">
        <v>811</v>
      </c>
    </row>
    <row r="59" spans="1:7" ht="16.5" customHeight="1">
      <c r="A59" s="24" t="s">
        <v>822</v>
      </c>
      <c r="B59" s="24" t="s">
        <v>806</v>
      </c>
      <c r="C59" s="24" t="s">
        <v>813</v>
      </c>
      <c r="D59" s="24" t="s">
        <v>810</v>
      </c>
      <c r="E59" s="27">
        <v>2500</v>
      </c>
      <c r="F59" s="29">
        <v>200000</v>
      </c>
      <c r="G59" s="24" t="s">
        <v>814</v>
      </c>
    </row>
    <row r="60" spans="1:7" ht="16.5" customHeight="1">
      <c r="A60" s="24" t="s">
        <v>822</v>
      </c>
      <c r="B60" s="24" t="s">
        <v>803</v>
      </c>
      <c r="C60" s="24" t="s">
        <v>374</v>
      </c>
      <c r="D60" s="24" t="s">
        <v>804</v>
      </c>
      <c r="E60" s="27">
        <v>2500</v>
      </c>
      <c r="F60" s="29">
        <v>200000</v>
      </c>
      <c r="G60" s="24" t="s">
        <v>816</v>
      </c>
    </row>
    <row r="61" spans="1:7" ht="16.5" customHeight="1">
      <c r="A61" s="24" t="s">
        <v>822</v>
      </c>
      <c r="B61" s="24" t="s">
        <v>812</v>
      </c>
      <c r="C61" s="24" t="s">
        <v>625</v>
      </c>
      <c r="D61" s="24" t="s">
        <v>804</v>
      </c>
      <c r="E61" s="27">
        <v>2500</v>
      </c>
      <c r="F61" s="29">
        <v>164000</v>
      </c>
      <c r="G61" s="24" t="s">
        <v>805</v>
      </c>
    </row>
    <row r="62" spans="1:7" ht="16.5" customHeight="1">
      <c r="A62" s="24" t="s">
        <v>822</v>
      </c>
      <c r="B62" s="24" t="s">
        <v>817</v>
      </c>
      <c r="C62" s="24" t="s">
        <v>225</v>
      </c>
      <c r="D62" s="24" t="s">
        <v>804</v>
      </c>
      <c r="E62" s="27">
        <v>2500</v>
      </c>
      <c r="F62" s="29">
        <v>160000</v>
      </c>
      <c r="G62" s="24" t="s">
        <v>811</v>
      </c>
    </row>
    <row r="63" spans="1:7" ht="16.5" customHeight="1">
      <c r="A63" s="24" t="s">
        <v>822</v>
      </c>
      <c r="B63" s="24" t="s">
        <v>806</v>
      </c>
      <c r="C63" s="24" t="s">
        <v>374</v>
      </c>
      <c r="D63" s="24" t="s">
        <v>815</v>
      </c>
      <c r="E63" s="27">
        <v>2600</v>
      </c>
      <c r="F63" s="29">
        <v>160000</v>
      </c>
      <c r="G63" s="24" t="s">
        <v>820</v>
      </c>
    </row>
    <row r="64" spans="1:7" ht="16.5" customHeight="1">
      <c r="A64" s="24" t="s">
        <v>822</v>
      </c>
      <c r="B64" s="24" t="s">
        <v>819</v>
      </c>
      <c r="C64" s="24" t="s">
        <v>813</v>
      </c>
      <c r="D64" s="24" t="s">
        <v>815</v>
      </c>
      <c r="E64" s="27">
        <v>2600</v>
      </c>
      <c r="F64" s="29">
        <v>154000</v>
      </c>
      <c r="G64" s="24" t="s">
        <v>814</v>
      </c>
    </row>
    <row r="65" spans="1:7" ht="16.5" customHeight="1">
      <c r="A65" s="24" t="s">
        <v>822</v>
      </c>
      <c r="B65" s="24" t="s">
        <v>809</v>
      </c>
      <c r="C65" s="24" t="s">
        <v>821</v>
      </c>
      <c r="D65" s="24" t="s">
        <v>815</v>
      </c>
      <c r="E65" s="27">
        <v>2610</v>
      </c>
      <c r="F65" s="29">
        <v>150000</v>
      </c>
      <c r="G65" s="24" t="s">
        <v>820</v>
      </c>
    </row>
    <row r="66" spans="1:7" ht="16.5" customHeight="1">
      <c r="A66" s="24" t="s">
        <v>822</v>
      </c>
      <c r="B66" s="24" t="s">
        <v>806</v>
      </c>
      <c r="C66" s="24" t="s">
        <v>374</v>
      </c>
      <c r="D66" s="24" t="s">
        <v>815</v>
      </c>
      <c r="E66" s="27">
        <v>2610</v>
      </c>
      <c r="F66" s="29">
        <v>150000</v>
      </c>
      <c r="G66" s="24" t="s">
        <v>808</v>
      </c>
    </row>
    <row r="67" spans="1:7" ht="16.5" customHeight="1">
      <c r="A67" s="24" t="s">
        <v>822</v>
      </c>
      <c r="B67" s="24" t="s">
        <v>819</v>
      </c>
      <c r="C67" s="24" t="s">
        <v>813</v>
      </c>
      <c r="D67" s="24" t="s">
        <v>807</v>
      </c>
      <c r="E67" s="27">
        <v>3000</v>
      </c>
      <c r="F67" s="29">
        <v>150000</v>
      </c>
      <c r="G67" s="24" t="s">
        <v>811</v>
      </c>
    </row>
    <row r="68" spans="1:7" ht="16.5" customHeight="1">
      <c r="A68" s="24" t="s">
        <v>802</v>
      </c>
      <c r="B68" s="24" t="s">
        <v>809</v>
      </c>
      <c r="C68" s="24" t="s">
        <v>821</v>
      </c>
      <c r="D68" s="24" t="s">
        <v>807</v>
      </c>
      <c r="E68" s="27">
        <v>3000</v>
      </c>
      <c r="F68" s="29">
        <v>136400</v>
      </c>
      <c r="G68" s="24" t="s">
        <v>816</v>
      </c>
    </row>
    <row r="69" spans="1:7" ht="16.5" customHeight="1">
      <c r="A69" s="24" t="s">
        <v>802</v>
      </c>
      <c r="B69" s="24" t="s">
        <v>817</v>
      </c>
      <c r="C69" s="24" t="s">
        <v>225</v>
      </c>
      <c r="D69" s="24" t="s">
        <v>807</v>
      </c>
      <c r="E69" s="27">
        <v>3500</v>
      </c>
      <c r="F69" s="29">
        <v>136000</v>
      </c>
      <c r="G69" s="24" t="s">
        <v>811</v>
      </c>
    </row>
    <row r="70" spans="1:7" ht="16.5" customHeight="1">
      <c r="A70" s="24" t="s">
        <v>802</v>
      </c>
      <c r="B70" s="24" t="s">
        <v>806</v>
      </c>
      <c r="C70" s="24" t="s">
        <v>625</v>
      </c>
      <c r="D70" s="24" t="s">
        <v>818</v>
      </c>
      <c r="E70" s="27">
        <v>3500</v>
      </c>
      <c r="F70" s="29">
        <v>130000</v>
      </c>
      <c r="G70" s="24" t="s">
        <v>820</v>
      </c>
    </row>
    <row r="71" spans="1:7" ht="16.5" customHeight="1">
      <c r="A71" s="24" t="s">
        <v>802</v>
      </c>
      <c r="B71" s="24" t="s">
        <v>803</v>
      </c>
      <c r="C71" s="24" t="s">
        <v>374</v>
      </c>
      <c r="D71" s="24" t="s">
        <v>818</v>
      </c>
      <c r="E71" s="27">
        <v>4000</v>
      </c>
      <c r="F71" s="29">
        <v>130000</v>
      </c>
      <c r="G71" s="24" t="s">
        <v>805</v>
      </c>
    </row>
    <row r="72" spans="1:7" ht="16.5" customHeight="1">
      <c r="A72" s="24" t="s">
        <v>802</v>
      </c>
      <c r="B72" s="24" t="s">
        <v>812</v>
      </c>
      <c r="C72" s="24" t="s">
        <v>813</v>
      </c>
      <c r="D72" s="24" t="s">
        <v>818</v>
      </c>
      <c r="E72" s="27">
        <v>4000</v>
      </c>
      <c r="F72" s="29">
        <v>120000</v>
      </c>
      <c r="G72" s="24" t="s">
        <v>814</v>
      </c>
    </row>
    <row r="73" spans="1:7" ht="16.5" customHeight="1">
      <c r="A73" s="24" t="s">
        <v>802</v>
      </c>
      <c r="B73" s="24" t="s">
        <v>817</v>
      </c>
      <c r="C73" s="24" t="s">
        <v>374</v>
      </c>
      <c r="D73" s="24" t="s">
        <v>804</v>
      </c>
      <c r="E73" s="27">
        <v>1100</v>
      </c>
      <c r="F73" s="29">
        <v>300000</v>
      </c>
      <c r="G73" s="24" t="s">
        <v>805</v>
      </c>
    </row>
    <row r="74" spans="1:7" ht="16.5" customHeight="1">
      <c r="A74" s="24" t="s">
        <v>802</v>
      </c>
      <c r="B74" s="24" t="s">
        <v>806</v>
      </c>
      <c r="C74" s="24" t="s">
        <v>225</v>
      </c>
      <c r="D74" s="24" t="s">
        <v>807</v>
      </c>
      <c r="E74" s="27">
        <v>1100</v>
      </c>
      <c r="F74" s="29">
        <v>230000</v>
      </c>
      <c r="G74" s="24" t="s">
        <v>808</v>
      </c>
    </row>
    <row r="75" spans="1:7" ht="16.5" customHeight="1">
      <c r="A75" s="24" t="s">
        <v>802</v>
      </c>
      <c r="B75" s="24" t="s">
        <v>819</v>
      </c>
      <c r="C75" s="24" t="s">
        <v>625</v>
      </c>
      <c r="D75" s="24" t="s">
        <v>810</v>
      </c>
      <c r="E75" s="27">
        <v>1200</v>
      </c>
      <c r="F75" s="29">
        <v>230000</v>
      </c>
      <c r="G75" s="24" t="s">
        <v>811</v>
      </c>
    </row>
    <row r="76" spans="1:7" ht="16.5" customHeight="1">
      <c r="A76" s="24" t="s">
        <v>802</v>
      </c>
      <c r="B76" s="24" t="s">
        <v>809</v>
      </c>
      <c r="C76" s="24" t="s">
        <v>813</v>
      </c>
      <c r="D76" s="24" t="s">
        <v>804</v>
      </c>
      <c r="E76" s="27">
        <v>1200</v>
      </c>
      <c r="F76" s="29">
        <v>200000</v>
      </c>
      <c r="G76" s="24" t="s">
        <v>814</v>
      </c>
    </row>
    <row r="77" spans="1:7" ht="16.5" customHeight="1">
      <c r="A77" s="24" t="s">
        <v>802</v>
      </c>
      <c r="B77" s="24" t="s">
        <v>806</v>
      </c>
      <c r="C77" s="24" t="s">
        <v>374</v>
      </c>
      <c r="D77" s="24" t="s">
        <v>815</v>
      </c>
      <c r="E77" s="27">
        <v>1300</v>
      </c>
      <c r="F77" s="29">
        <v>200000</v>
      </c>
      <c r="G77" s="24" t="s">
        <v>816</v>
      </c>
    </row>
    <row r="78" spans="1:7" ht="16.5" customHeight="1">
      <c r="A78" s="24" t="s">
        <v>802</v>
      </c>
      <c r="B78" s="24" t="s">
        <v>819</v>
      </c>
      <c r="C78" s="24" t="s">
        <v>625</v>
      </c>
      <c r="D78" s="24" t="s">
        <v>818</v>
      </c>
      <c r="E78" s="27">
        <v>1300</v>
      </c>
      <c r="F78" s="29">
        <v>164000</v>
      </c>
      <c r="G78" s="24" t="s">
        <v>805</v>
      </c>
    </row>
    <row r="79" spans="1:7" ht="16.5" customHeight="1">
      <c r="A79" s="24" t="s">
        <v>822</v>
      </c>
      <c r="B79" s="24" t="s">
        <v>809</v>
      </c>
      <c r="C79" s="24" t="s">
        <v>225</v>
      </c>
      <c r="D79" s="24" t="s">
        <v>810</v>
      </c>
      <c r="E79" s="27">
        <v>1300</v>
      </c>
      <c r="F79" s="29">
        <v>160000</v>
      </c>
      <c r="G79" s="24" t="s">
        <v>811</v>
      </c>
    </row>
    <row r="80" spans="1:7" ht="16.5" customHeight="1">
      <c r="A80" s="24" t="s">
        <v>822</v>
      </c>
      <c r="B80" s="24" t="s">
        <v>817</v>
      </c>
      <c r="C80" s="24" t="s">
        <v>374</v>
      </c>
      <c r="D80" s="24" t="s">
        <v>807</v>
      </c>
      <c r="E80" s="27">
        <v>1300</v>
      </c>
      <c r="F80" s="29">
        <v>160000</v>
      </c>
      <c r="G80" s="24" t="s">
        <v>820</v>
      </c>
    </row>
    <row r="81" spans="1:7" ht="16.5" customHeight="1">
      <c r="A81" s="24" t="s">
        <v>822</v>
      </c>
      <c r="B81" s="24" t="s">
        <v>806</v>
      </c>
      <c r="C81" s="24" t="s">
        <v>813</v>
      </c>
      <c r="D81" s="24" t="s">
        <v>815</v>
      </c>
      <c r="E81" s="27">
        <v>1500</v>
      </c>
      <c r="F81" s="29">
        <v>154000</v>
      </c>
      <c r="G81" s="24" t="s">
        <v>814</v>
      </c>
    </row>
    <row r="82" spans="1:7" ht="16.5" customHeight="1">
      <c r="A82" s="24" t="s">
        <v>822</v>
      </c>
      <c r="B82" s="24" t="s">
        <v>803</v>
      </c>
      <c r="C82" s="24" t="s">
        <v>821</v>
      </c>
      <c r="D82" s="24" t="s">
        <v>804</v>
      </c>
      <c r="E82" s="27">
        <v>1500</v>
      </c>
      <c r="F82" s="29">
        <v>150000</v>
      </c>
      <c r="G82" s="24" t="s">
        <v>820</v>
      </c>
    </row>
    <row r="83" spans="1:7" ht="16.5" customHeight="1">
      <c r="A83" s="24" t="s">
        <v>822</v>
      </c>
      <c r="B83" s="24" t="s">
        <v>812</v>
      </c>
      <c r="C83" s="24" t="s">
        <v>374</v>
      </c>
      <c r="D83" s="24" t="s">
        <v>810</v>
      </c>
      <c r="E83" s="27">
        <v>1500</v>
      </c>
      <c r="F83" s="29">
        <v>150000</v>
      </c>
      <c r="G83" s="24" t="s">
        <v>808</v>
      </c>
    </row>
    <row r="84" spans="1:7" ht="16.5" customHeight="1">
      <c r="A84" s="24" t="s">
        <v>822</v>
      </c>
      <c r="B84" s="24" t="s">
        <v>817</v>
      </c>
      <c r="C84" s="24" t="s">
        <v>813</v>
      </c>
      <c r="D84" s="24" t="s">
        <v>815</v>
      </c>
      <c r="E84" s="27">
        <v>1500</v>
      </c>
      <c r="F84" s="29">
        <v>150000</v>
      </c>
      <c r="G84" s="24" t="s">
        <v>811</v>
      </c>
    </row>
    <row r="85" spans="1:7" ht="16.5" customHeight="1">
      <c r="A85" s="24" t="s">
        <v>822</v>
      </c>
      <c r="B85" s="24" t="s">
        <v>806</v>
      </c>
      <c r="C85" s="24" t="s">
        <v>821</v>
      </c>
      <c r="D85" s="24" t="s">
        <v>818</v>
      </c>
      <c r="E85" s="27">
        <v>1500</v>
      </c>
      <c r="F85" s="29">
        <v>136400</v>
      </c>
      <c r="G85" s="24" t="s">
        <v>816</v>
      </c>
    </row>
    <row r="86" spans="1:7" ht="16.5" customHeight="1">
      <c r="A86" s="24" t="s">
        <v>822</v>
      </c>
      <c r="B86" s="24" t="s">
        <v>819</v>
      </c>
      <c r="C86" s="24" t="s">
        <v>225</v>
      </c>
      <c r="D86" s="24" t="s">
        <v>807</v>
      </c>
      <c r="E86" s="27">
        <v>1500</v>
      </c>
      <c r="F86" s="29">
        <v>136000</v>
      </c>
      <c r="G86" s="24" t="s">
        <v>811</v>
      </c>
    </row>
    <row r="87" spans="1:7" ht="16.5" customHeight="1">
      <c r="A87" s="24" t="s">
        <v>822</v>
      </c>
      <c r="B87" s="24" t="s">
        <v>809</v>
      </c>
      <c r="C87" s="24" t="s">
        <v>625</v>
      </c>
      <c r="D87" s="24" t="s">
        <v>810</v>
      </c>
      <c r="E87" s="27">
        <v>1500</v>
      </c>
      <c r="F87" s="29">
        <v>130000</v>
      </c>
      <c r="G87" s="24" t="s">
        <v>820</v>
      </c>
    </row>
    <row r="88" spans="1:7" ht="16.5" customHeight="1">
      <c r="A88" s="24" t="s">
        <v>822</v>
      </c>
      <c r="B88" s="24" t="s">
        <v>806</v>
      </c>
      <c r="C88" s="24" t="s">
        <v>374</v>
      </c>
      <c r="D88" s="24" t="s">
        <v>815</v>
      </c>
      <c r="E88" s="27">
        <v>1500</v>
      </c>
      <c r="F88" s="29">
        <v>130000</v>
      </c>
      <c r="G88" s="24" t="s">
        <v>805</v>
      </c>
    </row>
    <row r="89" spans="1:7" ht="16.5" customHeight="1">
      <c r="A89" s="24" t="s">
        <v>802</v>
      </c>
      <c r="B89" s="24" t="s">
        <v>819</v>
      </c>
      <c r="C89" s="24" t="s">
        <v>813</v>
      </c>
      <c r="D89" s="24" t="s">
        <v>818</v>
      </c>
      <c r="E89" s="27">
        <v>2300</v>
      </c>
      <c r="F89" s="29">
        <v>120000</v>
      </c>
      <c r="G89" s="24" t="s">
        <v>814</v>
      </c>
    </row>
    <row r="90" spans="1:7" ht="16.5" customHeight="1">
      <c r="A90" s="24" t="s">
        <v>802</v>
      </c>
      <c r="B90" s="24" t="s">
        <v>809</v>
      </c>
      <c r="C90" s="24" t="s">
        <v>374</v>
      </c>
      <c r="D90" s="24" t="s">
        <v>810</v>
      </c>
      <c r="E90" s="27">
        <v>2300</v>
      </c>
      <c r="F90" s="29">
        <v>300000</v>
      </c>
      <c r="G90" s="24" t="s">
        <v>805</v>
      </c>
    </row>
    <row r="91" spans="1:7" ht="16.5" customHeight="1">
      <c r="A91" s="24" t="s">
        <v>802</v>
      </c>
      <c r="B91" s="24" t="s">
        <v>817</v>
      </c>
      <c r="C91" s="24" t="s">
        <v>225</v>
      </c>
      <c r="D91" s="24" t="s">
        <v>810</v>
      </c>
      <c r="E91" s="27">
        <v>2300</v>
      </c>
      <c r="F91" s="29">
        <v>230000</v>
      </c>
      <c r="G91" s="24" t="s">
        <v>808</v>
      </c>
    </row>
    <row r="92" spans="1:7" ht="16.5" customHeight="1">
      <c r="A92" s="24" t="s">
        <v>802</v>
      </c>
      <c r="B92" s="24" t="s">
        <v>806</v>
      </c>
      <c r="C92" s="24" t="s">
        <v>625</v>
      </c>
      <c r="D92" s="24" t="s">
        <v>810</v>
      </c>
      <c r="E92" s="27">
        <v>2300</v>
      </c>
      <c r="F92" s="29">
        <v>230000</v>
      </c>
      <c r="G92" s="24" t="s">
        <v>811</v>
      </c>
    </row>
    <row r="93" spans="1:7" ht="16.5" customHeight="1">
      <c r="A93" s="24" t="s">
        <v>802</v>
      </c>
      <c r="B93" s="24" t="s">
        <v>803</v>
      </c>
      <c r="C93" s="24" t="s">
        <v>813</v>
      </c>
      <c r="D93" s="24" t="s">
        <v>810</v>
      </c>
      <c r="E93" s="27">
        <v>2500</v>
      </c>
      <c r="F93" s="29">
        <v>200000</v>
      </c>
      <c r="G93" s="24" t="s">
        <v>814</v>
      </c>
    </row>
    <row r="94" spans="1:7" ht="16.5" customHeight="1">
      <c r="A94" s="24" t="s">
        <v>802</v>
      </c>
      <c r="B94" s="24" t="s">
        <v>812</v>
      </c>
      <c r="C94" s="24" t="s">
        <v>374</v>
      </c>
      <c r="D94" s="24" t="s">
        <v>804</v>
      </c>
      <c r="E94" s="27">
        <v>2500</v>
      </c>
      <c r="F94" s="29">
        <v>200000</v>
      </c>
      <c r="G94" s="24" t="s">
        <v>816</v>
      </c>
    </row>
    <row r="95" spans="1:7" ht="16.5" customHeight="1">
      <c r="A95" s="24" t="s">
        <v>802</v>
      </c>
      <c r="B95" s="24" t="s">
        <v>817</v>
      </c>
      <c r="C95" s="24" t="s">
        <v>625</v>
      </c>
      <c r="D95" s="24" t="s">
        <v>804</v>
      </c>
      <c r="E95" s="27">
        <v>2500</v>
      </c>
      <c r="F95" s="29">
        <v>164000</v>
      </c>
      <c r="G95" s="24" t="s">
        <v>805</v>
      </c>
    </row>
    <row r="96" spans="1:7" ht="16.5" customHeight="1">
      <c r="A96" s="24" t="s">
        <v>802</v>
      </c>
      <c r="B96" s="24" t="s">
        <v>806</v>
      </c>
      <c r="C96" s="24" t="s">
        <v>225</v>
      </c>
      <c r="D96" s="24" t="s">
        <v>804</v>
      </c>
      <c r="E96" s="27">
        <v>2500</v>
      </c>
      <c r="F96" s="29">
        <v>160000</v>
      </c>
      <c r="G96" s="24" t="s">
        <v>811</v>
      </c>
    </row>
    <row r="97" spans="1:7" ht="16.5" customHeight="1">
      <c r="A97" s="24" t="s">
        <v>802</v>
      </c>
      <c r="B97" s="24" t="s">
        <v>819</v>
      </c>
      <c r="C97" s="24" t="s">
        <v>374</v>
      </c>
      <c r="D97" s="24" t="s">
        <v>815</v>
      </c>
      <c r="E97" s="27">
        <v>2600</v>
      </c>
      <c r="F97" s="29">
        <v>160000</v>
      </c>
      <c r="G97" s="24" t="s">
        <v>820</v>
      </c>
    </row>
    <row r="98" spans="1:7" ht="16.5" customHeight="1">
      <c r="A98" s="24" t="s">
        <v>802</v>
      </c>
      <c r="B98" s="24" t="s">
        <v>809</v>
      </c>
      <c r="C98" s="24" t="s">
        <v>813</v>
      </c>
      <c r="D98" s="24" t="s">
        <v>815</v>
      </c>
      <c r="E98" s="27">
        <v>2600</v>
      </c>
      <c r="F98" s="29">
        <v>154000</v>
      </c>
      <c r="G98" s="24" t="s">
        <v>814</v>
      </c>
    </row>
    <row r="99" spans="1:7" ht="16.5" customHeight="1">
      <c r="A99" s="24" t="s">
        <v>802</v>
      </c>
      <c r="B99" s="24" t="s">
        <v>806</v>
      </c>
      <c r="C99" s="24" t="s">
        <v>821</v>
      </c>
      <c r="D99" s="24" t="s">
        <v>815</v>
      </c>
      <c r="E99" s="27">
        <v>2610</v>
      </c>
      <c r="F99" s="29">
        <v>150000</v>
      </c>
      <c r="G99" s="24" t="s">
        <v>820</v>
      </c>
    </row>
    <row r="100" spans="1:7" ht="16.5" customHeight="1">
      <c r="A100" s="24" t="s">
        <v>822</v>
      </c>
      <c r="B100" s="24" t="s">
        <v>819</v>
      </c>
      <c r="C100" s="24" t="s">
        <v>374</v>
      </c>
      <c r="D100" s="24" t="s">
        <v>815</v>
      </c>
      <c r="E100" s="27">
        <v>2610</v>
      </c>
      <c r="F100" s="29">
        <v>150000</v>
      </c>
      <c r="G100" s="24" t="s">
        <v>808</v>
      </c>
    </row>
    <row r="101" spans="1:7" ht="16.5" customHeight="1">
      <c r="A101" s="24" t="s">
        <v>822</v>
      </c>
      <c r="B101" s="24" t="s">
        <v>809</v>
      </c>
      <c r="C101" s="24" t="s">
        <v>813</v>
      </c>
      <c r="D101" s="24" t="s">
        <v>807</v>
      </c>
      <c r="E101" s="27">
        <v>3000</v>
      </c>
      <c r="F101" s="29">
        <v>150000</v>
      </c>
      <c r="G101" s="24" t="s">
        <v>811</v>
      </c>
    </row>
    <row r="102" spans="1:7" ht="16.5" customHeight="1">
      <c r="A102" s="24" t="s">
        <v>822</v>
      </c>
      <c r="B102" s="24" t="s">
        <v>817</v>
      </c>
      <c r="C102" s="24" t="s">
        <v>821</v>
      </c>
      <c r="D102" s="24" t="s">
        <v>807</v>
      </c>
      <c r="E102" s="27">
        <v>3000</v>
      </c>
      <c r="F102" s="29">
        <v>136400</v>
      </c>
      <c r="G102" s="24" t="s">
        <v>816</v>
      </c>
    </row>
    <row r="103" spans="1:7" ht="16.5" customHeight="1">
      <c r="A103" s="24" t="s">
        <v>822</v>
      </c>
      <c r="B103" s="24" t="s">
        <v>806</v>
      </c>
      <c r="C103" s="24" t="s">
        <v>225</v>
      </c>
      <c r="D103" s="24" t="s">
        <v>807</v>
      </c>
      <c r="E103" s="27">
        <v>3500</v>
      </c>
      <c r="F103" s="29">
        <v>136000</v>
      </c>
      <c r="G103" s="24" t="s">
        <v>811</v>
      </c>
    </row>
  </sheetData>
  <mergeCells count="1">
    <mergeCell ref="A1:G1"/>
  </mergeCells>
  <phoneticPr fontId="0" type="noConversion"/>
  <hyperlinks>
    <hyperlink ref="A1:G1" location="SOMMAIRE!A1" display="RETOUR AU SOMMAIRE"/>
  </hyperlinks>
  <pageMargins left="0.78740157499999996" right="0.78740157499999996" top="0.984251969" bottom="0.984251969" header="0.4921259845" footer="0.4921259845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tabSelected="1" workbookViewId="0">
      <selection activeCell="K19" sqref="K19"/>
    </sheetView>
  </sheetViews>
  <sheetFormatPr baseColWidth="10" defaultRowHeight="12.75"/>
  <cols>
    <col min="1" max="1" width="15.85546875" customWidth="1"/>
    <col min="2" max="6" width="10.7109375" customWidth="1"/>
    <col min="7" max="8" width="13.140625" customWidth="1"/>
    <col min="9" max="9" width="13.140625" bestFit="1" customWidth="1"/>
  </cols>
  <sheetData>
    <row r="1" spans="1:7">
      <c r="A1" s="48" t="s">
        <v>797</v>
      </c>
      <c r="B1" t="s">
        <v>842</v>
      </c>
    </row>
    <row r="2" spans="1:7">
      <c r="A2" s="48" t="s">
        <v>796</v>
      </c>
      <c r="B2" t="s">
        <v>842</v>
      </c>
    </row>
    <row r="4" spans="1:7">
      <c r="A4" s="48" t="s">
        <v>840</v>
      </c>
      <c r="B4" s="48" t="s">
        <v>798</v>
      </c>
    </row>
    <row r="5" spans="1:7">
      <c r="A5" s="48" t="s">
        <v>801</v>
      </c>
      <c r="B5" t="s">
        <v>810</v>
      </c>
      <c r="C5" t="s">
        <v>804</v>
      </c>
      <c r="D5" t="s">
        <v>815</v>
      </c>
      <c r="E5" t="s">
        <v>807</v>
      </c>
      <c r="F5" t="s">
        <v>818</v>
      </c>
      <c r="G5" t="s">
        <v>841</v>
      </c>
    </row>
    <row r="6" spans="1:7">
      <c r="A6" t="s">
        <v>808</v>
      </c>
      <c r="B6" s="47">
        <v>1090000</v>
      </c>
      <c r="C6" s="47"/>
      <c r="D6" s="47">
        <v>420000</v>
      </c>
      <c r="E6" s="47">
        <v>560000</v>
      </c>
      <c r="F6" s="47"/>
      <c r="G6" s="47">
        <v>2070000</v>
      </c>
    </row>
    <row r="7" spans="1:7">
      <c r="A7" t="s">
        <v>805</v>
      </c>
      <c r="B7" s="47">
        <v>830000</v>
      </c>
      <c r="C7" s="47">
        <v>1108000</v>
      </c>
      <c r="D7" s="47">
        <v>514000</v>
      </c>
      <c r="E7" s="47"/>
      <c r="F7" s="47">
        <v>728000</v>
      </c>
      <c r="G7" s="47">
        <v>3180000</v>
      </c>
    </row>
    <row r="8" spans="1:7">
      <c r="A8" t="s">
        <v>816</v>
      </c>
      <c r="B8" s="47"/>
      <c r="C8" s="47">
        <v>564000</v>
      </c>
      <c r="D8" s="47">
        <v>500400</v>
      </c>
      <c r="E8" s="47">
        <v>409200</v>
      </c>
      <c r="F8" s="47">
        <v>472800</v>
      </c>
      <c r="G8" s="47">
        <v>1946400</v>
      </c>
    </row>
    <row r="9" spans="1:7">
      <c r="A9" t="s">
        <v>820</v>
      </c>
      <c r="B9" s="47">
        <v>520000</v>
      </c>
      <c r="C9" s="47">
        <v>610000</v>
      </c>
      <c r="D9" s="47">
        <v>1150000</v>
      </c>
      <c r="E9" s="47">
        <v>540000</v>
      </c>
      <c r="F9" s="47">
        <v>290000</v>
      </c>
      <c r="G9" s="47">
        <v>3110000</v>
      </c>
    </row>
    <row r="10" spans="1:7">
      <c r="A10" t="s">
        <v>811</v>
      </c>
      <c r="B10" s="47">
        <v>1540000</v>
      </c>
      <c r="C10" s="47">
        <v>470000</v>
      </c>
      <c r="D10" s="47">
        <v>474000</v>
      </c>
      <c r="E10" s="47">
        <v>1368000</v>
      </c>
      <c r="F10" s="47"/>
      <c r="G10" s="47">
        <v>3852000</v>
      </c>
    </row>
    <row r="11" spans="1:7">
      <c r="A11" t="s">
        <v>814</v>
      </c>
      <c r="B11" s="47">
        <v>550000</v>
      </c>
      <c r="C11" s="47">
        <v>486000</v>
      </c>
      <c r="D11" s="47">
        <v>1016000</v>
      </c>
      <c r="E11" s="47"/>
      <c r="F11" s="47">
        <v>812000</v>
      </c>
      <c r="G11" s="47">
        <v>2864000</v>
      </c>
    </row>
    <row r="12" spans="1:7">
      <c r="A12" t="s">
        <v>841</v>
      </c>
      <c r="B12" s="47">
        <v>4530000</v>
      </c>
      <c r="C12" s="47">
        <v>3238000</v>
      </c>
      <c r="D12" s="47">
        <v>4074400</v>
      </c>
      <c r="E12" s="47">
        <v>2877200</v>
      </c>
      <c r="F12" s="47">
        <v>2302800</v>
      </c>
      <c r="G12" s="47">
        <v>17022400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5</vt:i4>
      </vt:variant>
    </vt:vector>
  </HeadingPairs>
  <TitlesOfParts>
    <vt:vector size="17" baseType="lpstr">
      <vt:lpstr>SOMMAIRE</vt:lpstr>
      <vt:lpstr>BDD CAVE</vt:lpstr>
      <vt:lpstr>Tcd cave</vt:lpstr>
      <vt:lpstr>BDD USINES</vt:lpstr>
      <vt:lpstr>Tcd usines</vt:lpstr>
      <vt:lpstr>FICHE EMPLOYE Recherv</vt:lpstr>
      <vt:lpstr>EMPLOYES NOV</vt:lpstr>
      <vt:lpstr>EMPLOYES DEC</vt:lpstr>
      <vt:lpstr>MUSIQUE</vt:lpstr>
      <vt:lpstr>Tcd musique</vt:lpstr>
      <vt:lpstr>REPRESENTANTS</vt:lpstr>
      <vt:lpstr>Tcd fournisseurs</vt:lpstr>
      <vt:lpstr>DECEMBRE</vt:lpstr>
      <vt:lpstr>EMPLOYE</vt:lpstr>
      <vt:lpstr>'BDD USINES'!Impression_des_titres</vt:lpstr>
      <vt:lpstr>novembre</vt:lpstr>
      <vt:lpstr>'BDD USINES'!Zone_d_impression</vt:lpstr>
    </vt:vector>
  </TitlesOfParts>
  <Company>greder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Veronique</dc:creator>
  <cp:lastModifiedBy>Stagiaire</cp:lastModifiedBy>
  <cp:lastPrinted>2016-09-09T07:03:27Z</cp:lastPrinted>
  <dcterms:created xsi:type="dcterms:W3CDTF">2001-11-01T23:02:50Z</dcterms:created>
  <dcterms:modified xsi:type="dcterms:W3CDTF">2016-11-29T07:25:38Z</dcterms:modified>
</cp:coreProperties>
</file>