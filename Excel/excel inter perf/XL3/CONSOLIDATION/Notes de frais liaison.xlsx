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20730" windowHeight="11760"/>
  </bookViews>
  <sheets>
    <sheet name="janvier" sheetId="1" r:id="rId1"/>
    <sheet name="fevrier" sheetId="4" r:id="rId2"/>
    <sheet name="mars" sheetId="5" r:id="rId3"/>
    <sheet name="avril" sheetId="10" r:id="rId4"/>
    <sheet name="mai" sheetId="11" r:id="rId5"/>
    <sheet name="juin" sheetId="6" r:id="rId6"/>
    <sheet name="juillet" sheetId="7" r:id="rId7"/>
    <sheet name="aout" sheetId="14" r:id="rId8"/>
    <sheet name="septembre" sheetId="12" r:id="rId9"/>
    <sheet name="octobre" sheetId="13" r:id="rId10"/>
    <sheet name="novembre" sheetId="15" r:id="rId11"/>
    <sheet name="decembre" sheetId="16" r:id="rId12"/>
    <sheet name="RECAP" sheetId="9" r:id="rId13"/>
  </sheets>
  <calcPr calcId="124519"/>
</workbook>
</file>

<file path=xl/calcChain.xml><?xml version="1.0" encoding="utf-8"?>
<calcChain xmlns="http://schemas.openxmlformats.org/spreadsheetml/2006/main">
  <c r="B24" i="9"/>
  <c r="B23"/>
  <c r="B22"/>
  <c r="B21"/>
  <c r="B15"/>
  <c r="B14"/>
  <c r="B13"/>
  <c r="B12"/>
  <c r="E9" i="11"/>
  <c r="B11" i="9"/>
  <c r="B10"/>
  <c r="B9"/>
  <c r="B7"/>
  <c r="B6"/>
  <c r="B5"/>
  <c r="B4"/>
  <c r="E9" i="16"/>
  <c r="B9"/>
  <c r="D8"/>
  <c r="F8" s="1"/>
  <c r="D7"/>
  <c r="F7" s="1"/>
  <c r="D6"/>
  <c r="F6" s="1"/>
  <c r="D5"/>
  <c r="F5" s="1"/>
  <c r="D4"/>
  <c r="E9" i="15"/>
  <c r="B9"/>
  <c r="D8"/>
  <c r="F8" s="1"/>
  <c r="D7"/>
  <c r="F7" s="1"/>
  <c r="D6"/>
  <c r="F6" s="1"/>
  <c r="D5"/>
  <c r="F5" s="1"/>
  <c r="D4"/>
  <c r="D9" s="1"/>
  <c r="E9" i="14"/>
  <c r="B9"/>
  <c r="D8"/>
  <c r="F8" s="1"/>
  <c r="D7"/>
  <c r="F7" s="1"/>
  <c r="D6"/>
  <c r="F6" s="1"/>
  <c r="D5"/>
  <c r="F5" s="1"/>
  <c r="D4"/>
  <c r="E9" i="13"/>
  <c r="B9"/>
  <c r="D8"/>
  <c r="F8" s="1"/>
  <c r="D7"/>
  <c r="F7" s="1"/>
  <c r="D6"/>
  <c r="F6" s="1"/>
  <c r="D5"/>
  <c r="F5" s="1"/>
  <c r="D4"/>
  <c r="D9" s="1"/>
  <c r="E9" i="12"/>
  <c r="B9"/>
  <c r="D8"/>
  <c r="F8" s="1"/>
  <c r="D7"/>
  <c r="F7" s="1"/>
  <c r="D6"/>
  <c r="F6" s="1"/>
  <c r="D5"/>
  <c r="F5" s="1"/>
  <c r="D4"/>
  <c r="B9" i="11"/>
  <c r="D8"/>
  <c r="F8" s="1"/>
  <c r="D7"/>
  <c r="F7" s="1"/>
  <c r="D6"/>
  <c r="F6" s="1"/>
  <c r="D5"/>
  <c r="F5" s="1"/>
  <c r="D4"/>
  <c r="E9" i="10"/>
  <c r="B9"/>
  <c r="D8"/>
  <c r="F8" s="1"/>
  <c r="D7"/>
  <c r="F7" s="1"/>
  <c r="D6"/>
  <c r="F6" s="1"/>
  <c r="D5"/>
  <c r="F5" s="1"/>
  <c r="D4"/>
  <c r="E9" i="7"/>
  <c r="B9"/>
  <c r="D8"/>
  <c r="F8" s="1"/>
  <c r="D7"/>
  <c r="F7" s="1"/>
  <c r="D6"/>
  <c r="F6" s="1"/>
  <c r="D5"/>
  <c r="F5" s="1"/>
  <c r="D4"/>
  <c r="E9" i="6"/>
  <c r="B9"/>
  <c r="D8"/>
  <c r="F8" s="1"/>
  <c r="D7"/>
  <c r="F7" s="1"/>
  <c r="D6"/>
  <c r="F6" s="1"/>
  <c r="D5"/>
  <c r="F5" s="1"/>
  <c r="D4"/>
  <c r="E9" i="5"/>
  <c r="B9"/>
  <c r="D8"/>
  <c r="F8" s="1"/>
  <c r="D7"/>
  <c r="F7" s="1"/>
  <c r="D6"/>
  <c r="F6" s="1"/>
  <c r="D5"/>
  <c r="F5" s="1"/>
  <c r="D4"/>
  <c r="E9" i="4"/>
  <c r="B9"/>
  <c r="D8"/>
  <c r="F8" s="1"/>
  <c r="D7"/>
  <c r="F7" s="1"/>
  <c r="D6"/>
  <c r="F6" s="1"/>
  <c r="D5"/>
  <c r="F5" s="1"/>
  <c r="D4"/>
  <c r="F9" i="1"/>
  <c r="B9"/>
  <c r="D9"/>
  <c r="E9"/>
  <c r="F5"/>
  <c r="F6"/>
  <c r="F7"/>
  <c r="F8"/>
  <c r="F4"/>
  <c r="D5"/>
  <c r="D6"/>
  <c r="D7"/>
  <c r="D8"/>
  <c r="D4"/>
  <c r="D9" i="11" l="1"/>
  <c r="D9" i="7"/>
  <c r="D9" i="6"/>
  <c r="F4" i="7"/>
  <c r="F9" s="1"/>
  <c r="D9" i="10"/>
  <c r="D9" i="12"/>
  <c r="D9" i="14"/>
  <c r="D9" i="16"/>
  <c r="D9" i="5"/>
  <c r="F4" i="16"/>
  <c r="F9" s="1"/>
  <c r="F4" i="15"/>
  <c r="F9" s="1"/>
  <c r="F4" i="14"/>
  <c r="F9" s="1"/>
  <c r="F4" i="13"/>
  <c r="F9" s="1"/>
  <c r="F4" i="12"/>
  <c r="F9" s="1"/>
  <c r="F4" i="11"/>
  <c r="F9" s="1"/>
  <c r="B8" i="9" s="1"/>
  <c r="B16" s="1"/>
  <c r="F4" i="10"/>
  <c r="F9" s="1"/>
  <c r="F4" i="6"/>
  <c r="F9" s="1"/>
  <c r="F4" i="5"/>
  <c r="F9" s="1"/>
  <c r="D9" i="4"/>
  <c r="F4"/>
  <c r="F9" s="1"/>
</calcChain>
</file>

<file path=xl/sharedStrings.xml><?xml version="1.0" encoding="utf-8"?>
<sst xmlns="http://schemas.openxmlformats.org/spreadsheetml/2006/main" count="165" uniqueCount="43">
  <si>
    <t>nbre de KM</t>
  </si>
  <si>
    <t>ForfaitKM</t>
  </si>
  <si>
    <t>Frais KM</t>
  </si>
  <si>
    <t>total</t>
  </si>
  <si>
    <t>Hotel</t>
  </si>
  <si>
    <t>semaine 1</t>
  </si>
  <si>
    <t>semaine 2</t>
  </si>
  <si>
    <t>semaine 3</t>
  </si>
  <si>
    <t>semaine 4</t>
  </si>
  <si>
    <t>semaine 5</t>
  </si>
  <si>
    <t>note de frais mois de janvier</t>
  </si>
  <si>
    <t>note de frais mois de février</t>
  </si>
  <si>
    <t>note de frais mois de mars</t>
  </si>
  <si>
    <t>note de frais mois de avril</t>
  </si>
  <si>
    <t>note de frais mois de mai</t>
  </si>
  <si>
    <t>note de frais mois de juin</t>
  </si>
  <si>
    <t>note de frais mois de juillet</t>
  </si>
  <si>
    <t>note de frais mois de aout</t>
  </si>
  <si>
    <t>note de frais mois de septembre</t>
  </si>
  <si>
    <t>note de frais mois de octobre</t>
  </si>
  <si>
    <t>note de frais mois de novembre</t>
  </si>
  <si>
    <t>note de frais mois de décembre</t>
  </si>
  <si>
    <t>Récapitulatif des frais 2014</t>
  </si>
  <si>
    <t>MOIS</t>
  </si>
  <si>
    <t>TOTAL FRAIS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</si>
  <si>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</si>
  <si>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</si>
  <si>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</si>
  <si>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</si>
  <si>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</si>
  <si>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</si>
  <si>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</si>
  <si>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</si>
  <si>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</si>
  <si>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</si>
  <si>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</si>
  <si>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</si>
  <si>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2014</t>
  </si>
  <si>
    <t>Recap 2014</t>
  </si>
  <si>
    <t>Total Frais</t>
  </si>
  <si>
    <t>Total Km</t>
  </si>
  <si>
    <t>Total Hotel</t>
  </si>
  <si>
    <t>nb de Kilo</t>
  </si>
</sst>
</file>

<file path=xl/styles.xml><?xml version="1.0" encoding="utf-8"?>
<styleSheet xmlns="http://schemas.openxmlformats.org/spreadsheetml/2006/main">
  <numFmts count="2">
    <numFmt numFmtId="44" formatCode="_-* #,##0.00\ &quot;€&quot;_-;\-* #,##0.00\ &quot;€&quot;_-;_-* &quot;-&quot;??\ &quot;€&quot;_-;_-@_-"/>
    <numFmt numFmtId="164" formatCode="#,##0.00\ &quot;€&quot;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medium">
        <color auto="1"/>
      </diagonal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0" borderId="15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2" borderId="9" xfId="0" applyNumberFormat="1" applyFont="1" applyFill="1" applyBorder="1" applyAlignment="1">
      <alignment vertical="center"/>
    </xf>
    <xf numFmtId="164" fontId="2" fillId="0" borderId="16" xfId="0" applyNumberFormat="1" applyFont="1" applyBorder="1" applyAlignment="1">
      <alignment vertical="center"/>
    </xf>
    <xf numFmtId="0" fontId="0" fillId="0" borderId="0" xfId="0" applyFont="1" applyAlignment="1"/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4" fontId="0" fillId="0" borderId="20" xfId="1" applyFont="1" applyBorder="1"/>
    <xf numFmtId="0" fontId="0" fillId="0" borderId="21" xfId="0" applyBorder="1"/>
    <xf numFmtId="44" fontId="0" fillId="0" borderId="22" xfId="1" applyFont="1" applyBorder="1"/>
    <xf numFmtId="0" fontId="4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F9"/>
  <sheetViews>
    <sheetView tabSelected="1"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10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>
        <v>250</v>
      </c>
      <c r="C4" s="4">
        <v>0.38</v>
      </c>
      <c r="D4" s="5">
        <f>B4*C4</f>
        <v>95</v>
      </c>
      <c r="E4" s="4">
        <v>200</v>
      </c>
      <c r="F4" s="6">
        <f>D4+E4</f>
        <v>295</v>
      </c>
    </row>
    <row r="5" spans="1:6" ht="24" customHeight="1">
      <c r="A5" s="7" t="s">
        <v>6</v>
      </c>
      <c r="B5" s="8">
        <v>345</v>
      </c>
      <c r="C5" s="9">
        <v>0.38</v>
      </c>
      <c r="D5" s="10">
        <f t="shared" ref="D5:D8" si="0">B5*C5</f>
        <v>131.1</v>
      </c>
      <c r="E5" s="9">
        <v>350</v>
      </c>
      <c r="F5" s="11">
        <f t="shared" ref="F5:F8" si="1">D5+E5</f>
        <v>481.1</v>
      </c>
    </row>
    <row r="6" spans="1:6" ht="24" customHeight="1">
      <c r="A6" s="7" t="s">
        <v>7</v>
      </c>
      <c r="B6" s="8">
        <v>280</v>
      </c>
      <c r="C6" s="9">
        <v>0.38</v>
      </c>
      <c r="D6" s="10">
        <f t="shared" si="0"/>
        <v>106.4</v>
      </c>
      <c r="E6" s="9">
        <v>230</v>
      </c>
      <c r="F6" s="11">
        <f t="shared" si="1"/>
        <v>336.4</v>
      </c>
    </row>
    <row r="7" spans="1:6" ht="24" customHeight="1">
      <c r="A7" s="7" t="s">
        <v>8</v>
      </c>
      <c r="B7" s="8">
        <v>410</v>
      </c>
      <c r="C7" s="9">
        <v>0.38</v>
      </c>
      <c r="D7" s="10">
        <f t="shared" si="0"/>
        <v>155.80000000000001</v>
      </c>
      <c r="E7" s="9">
        <v>280</v>
      </c>
      <c r="F7" s="11">
        <f t="shared" si="1"/>
        <v>435.8</v>
      </c>
    </row>
    <row r="8" spans="1:6" ht="24" customHeight="1">
      <c r="A8" s="12" t="s">
        <v>9</v>
      </c>
      <c r="B8" s="13">
        <v>520</v>
      </c>
      <c r="C8" s="14">
        <v>0.38</v>
      </c>
      <c r="D8" s="15">
        <f t="shared" si="0"/>
        <v>197.6</v>
      </c>
      <c r="E8" s="14">
        <v>350</v>
      </c>
      <c r="F8" s="16">
        <f t="shared" si="1"/>
        <v>547.6</v>
      </c>
    </row>
    <row r="9" spans="1:6" ht="24" customHeight="1" thickBot="1">
      <c r="A9" s="17" t="s">
        <v>3</v>
      </c>
      <c r="B9" s="18">
        <f>SUM(B4:B8)</f>
        <v>1805</v>
      </c>
      <c r="C9" s="24"/>
      <c r="D9" s="19">
        <f>SUM(D4:D8)</f>
        <v>685.9</v>
      </c>
      <c r="E9" s="19">
        <f>SUM(E4:E8)</f>
        <v>1410</v>
      </c>
      <c r="F9" s="23">
        <f>SUM(F4:F8)</f>
        <v>2095.9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11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>
        <v>125</v>
      </c>
      <c r="C4" s="4">
        <v>0.38</v>
      </c>
      <c r="D4" s="5">
        <f>B4*C4</f>
        <v>47.5</v>
      </c>
      <c r="E4" s="4">
        <v>200</v>
      </c>
      <c r="F4" s="6">
        <f>D4+E4</f>
        <v>247.5</v>
      </c>
    </row>
    <row r="5" spans="1:6" ht="24" customHeight="1">
      <c r="A5" s="7" t="s">
        <v>6</v>
      </c>
      <c r="B5" s="8">
        <v>360</v>
      </c>
      <c r="C5" s="9">
        <v>0.38</v>
      </c>
      <c r="D5" s="10">
        <f t="shared" ref="D5:D8" si="0">B5*C5</f>
        <v>136.80000000000001</v>
      </c>
      <c r="E5" s="9">
        <v>200</v>
      </c>
      <c r="F5" s="11">
        <f t="shared" ref="F5:F8" si="1">D5+E5</f>
        <v>336.8</v>
      </c>
    </row>
    <row r="6" spans="1:6" ht="24" customHeight="1">
      <c r="A6" s="7" t="s">
        <v>7</v>
      </c>
      <c r="B6" s="8">
        <v>280</v>
      </c>
      <c r="C6" s="9">
        <v>0.38</v>
      </c>
      <c r="D6" s="10">
        <f t="shared" si="0"/>
        <v>106.4</v>
      </c>
      <c r="E6" s="9">
        <v>200</v>
      </c>
      <c r="F6" s="11">
        <f t="shared" si="1"/>
        <v>306.39999999999998</v>
      </c>
    </row>
    <row r="7" spans="1:6" ht="24" customHeight="1">
      <c r="A7" s="7" t="s">
        <v>8</v>
      </c>
      <c r="B7" s="8">
        <v>400</v>
      </c>
      <c r="C7" s="9">
        <v>0.38</v>
      </c>
      <c r="D7" s="10">
        <f t="shared" si="0"/>
        <v>152</v>
      </c>
      <c r="E7" s="9">
        <v>200</v>
      </c>
      <c r="F7" s="11">
        <f t="shared" si="1"/>
        <v>352</v>
      </c>
    </row>
    <row r="8" spans="1:6" ht="24" customHeight="1">
      <c r="A8" s="12" t="s">
        <v>9</v>
      </c>
      <c r="B8" s="13"/>
      <c r="C8" s="14">
        <v>0.38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1165</v>
      </c>
      <c r="C9" s="24"/>
      <c r="D9" s="19">
        <f>SUM(D4:D8)</f>
        <v>442.70000000000005</v>
      </c>
      <c r="E9" s="19">
        <f>SUM(E4:E8)</f>
        <v>800</v>
      </c>
      <c r="F9" s="23">
        <f>SUM(F4:F8)</f>
        <v>1242.6999999999998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12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>
        <v>360</v>
      </c>
      <c r="C4" s="4">
        <v>0.38</v>
      </c>
      <c r="D4" s="5">
        <f>B4*C4</f>
        <v>136.80000000000001</v>
      </c>
      <c r="E4" s="4">
        <v>300</v>
      </c>
      <c r="F4" s="6">
        <f>D4+E4</f>
        <v>436.8</v>
      </c>
    </row>
    <row r="5" spans="1:6" ht="24" customHeight="1">
      <c r="A5" s="7" t="s">
        <v>6</v>
      </c>
      <c r="B5" s="8">
        <v>275</v>
      </c>
      <c r="C5" s="9">
        <v>0.38</v>
      </c>
      <c r="D5" s="10">
        <f t="shared" ref="D5:D8" si="0">B5*C5</f>
        <v>104.5</v>
      </c>
      <c r="E5" s="9">
        <v>300</v>
      </c>
      <c r="F5" s="11">
        <f t="shared" ref="F5:F8" si="1">D5+E5</f>
        <v>404.5</v>
      </c>
    </row>
    <row r="6" spans="1:6" ht="24" customHeight="1">
      <c r="A6" s="7" t="s">
        <v>7</v>
      </c>
      <c r="B6" s="8">
        <v>200</v>
      </c>
      <c r="C6" s="9">
        <v>0.38</v>
      </c>
      <c r="D6" s="10">
        <f t="shared" si="0"/>
        <v>76</v>
      </c>
      <c r="E6" s="9">
        <v>300</v>
      </c>
      <c r="F6" s="11">
        <f t="shared" si="1"/>
        <v>376</v>
      </c>
    </row>
    <row r="7" spans="1:6" ht="24" customHeight="1">
      <c r="A7" s="7" t="s">
        <v>8</v>
      </c>
      <c r="B7" s="8">
        <v>500</v>
      </c>
      <c r="C7" s="9">
        <v>0.38</v>
      </c>
      <c r="D7" s="10">
        <f t="shared" si="0"/>
        <v>190</v>
      </c>
      <c r="E7" s="9">
        <v>300</v>
      </c>
      <c r="F7" s="11">
        <f t="shared" si="1"/>
        <v>490</v>
      </c>
    </row>
    <row r="8" spans="1:6" ht="24" customHeight="1">
      <c r="A8" s="12" t="s">
        <v>9</v>
      </c>
      <c r="B8" s="13">
        <v>340</v>
      </c>
      <c r="C8" s="14">
        <v>0.38</v>
      </c>
      <c r="D8" s="15">
        <f t="shared" si="0"/>
        <v>129.19999999999999</v>
      </c>
      <c r="E8" s="14">
        <v>300</v>
      </c>
      <c r="F8" s="16">
        <f t="shared" si="1"/>
        <v>429.2</v>
      </c>
    </row>
    <row r="9" spans="1:6" ht="24" customHeight="1" thickBot="1">
      <c r="A9" s="17" t="s">
        <v>3</v>
      </c>
      <c r="B9" s="18">
        <f>SUM(B4:B8)</f>
        <v>1675</v>
      </c>
      <c r="C9" s="24"/>
      <c r="D9" s="19">
        <f>SUM(D4:D8)</f>
        <v>636.5</v>
      </c>
      <c r="E9" s="19">
        <f>SUM(E4:E8)</f>
        <v>1500</v>
      </c>
      <c r="F9" s="23">
        <f>SUM(F4:F8)</f>
        <v>2136.5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3" tint="-0.249977111117893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13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>
        <v>380</v>
      </c>
      <c r="C4" s="4">
        <v>0.45</v>
      </c>
      <c r="D4" s="5">
        <f>B4*C4</f>
        <v>171</v>
      </c>
      <c r="E4" s="4">
        <v>230</v>
      </c>
      <c r="F4" s="6">
        <f>D4+E4</f>
        <v>401</v>
      </c>
    </row>
    <row r="5" spans="1:6" ht="24" customHeight="1">
      <c r="A5" s="7" t="s">
        <v>6</v>
      </c>
      <c r="B5" s="8">
        <v>200</v>
      </c>
      <c r="C5" s="9">
        <v>0.45</v>
      </c>
      <c r="D5" s="10">
        <f t="shared" ref="D5:D8" si="0">B5*C5</f>
        <v>90</v>
      </c>
      <c r="E5" s="9">
        <v>230</v>
      </c>
      <c r="F5" s="11">
        <f t="shared" ref="F5:F8" si="1">D5+E5</f>
        <v>320</v>
      </c>
    </row>
    <row r="6" spans="1:6" ht="24" customHeight="1">
      <c r="A6" s="7" t="s">
        <v>7</v>
      </c>
      <c r="B6" s="8">
        <v>400</v>
      </c>
      <c r="C6" s="9">
        <v>0.45</v>
      </c>
      <c r="D6" s="10">
        <f t="shared" si="0"/>
        <v>180</v>
      </c>
      <c r="E6" s="9">
        <v>230</v>
      </c>
      <c r="F6" s="11">
        <f t="shared" si="1"/>
        <v>410</v>
      </c>
    </row>
    <row r="7" spans="1:6" ht="24" customHeight="1">
      <c r="A7" s="7" t="s">
        <v>8</v>
      </c>
      <c r="B7" s="8">
        <v>150</v>
      </c>
      <c r="C7" s="9">
        <v>0.45</v>
      </c>
      <c r="D7" s="10">
        <f t="shared" si="0"/>
        <v>67.5</v>
      </c>
      <c r="E7" s="9">
        <v>230</v>
      </c>
      <c r="F7" s="11">
        <f t="shared" si="1"/>
        <v>297.5</v>
      </c>
    </row>
    <row r="8" spans="1:6" ht="24" customHeight="1">
      <c r="A8" s="12" t="s">
        <v>9</v>
      </c>
      <c r="B8" s="13">
        <v>410</v>
      </c>
      <c r="C8" s="14">
        <v>0.45</v>
      </c>
      <c r="D8" s="15">
        <f t="shared" si="0"/>
        <v>184.5</v>
      </c>
      <c r="E8" s="14">
        <v>230</v>
      </c>
      <c r="F8" s="16">
        <f t="shared" si="1"/>
        <v>414.5</v>
      </c>
    </row>
    <row r="9" spans="1:6" ht="24" customHeight="1" thickBot="1">
      <c r="A9" s="17" t="s">
        <v>3</v>
      </c>
      <c r="B9" s="18">
        <f>SUM(B4:B8)</f>
        <v>1540</v>
      </c>
      <c r="C9" s="24"/>
      <c r="D9" s="19">
        <f>SUM(D4:D8)</f>
        <v>693</v>
      </c>
      <c r="E9" s="19">
        <f>SUM(E4:E8)</f>
        <v>1150</v>
      </c>
      <c r="F9" s="23">
        <f>SUM(F4:F8)</f>
        <v>1843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4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14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>
        <v>270</v>
      </c>
      <c r="C4" s="4">
        <v>0.45</v>
      </c>
      <c r="D4" s="5">
        <f>B4*C4</f>
        <v>121.5</v>
      </c>
      <c r="E4" s="4">
        <v>250</v>
      </c>
      <c r="F4" s="6">
        <f>D4+E4</f>
        <v>371.5</v>
      </c>
    </row>
    <row r="5" spans="1:6" ht="24" customHeight="1">
      <c r="A5" s="7" t="s">
        <v>6</v>
      </c>
      <c r="B5" s="8">
        <v>330</v>
      </c>
      <c r="C5" s="9">
        <v>0.45</v>
      </c>
      <c r="D5" s="10">
        <f t="shared" ref="D5:D8" si="0">B5*C5</f>
        <v>148.5</v>
      </c>
      <c r="E5" s="9">
        <v>250</v>
      </c>
      <c r="F5" s="11">
        <f t="shared" ref="F5:F8" si="1">D5+E5</f>
        <v>398.5</v>
      </c>
    </row>
    <row r="6" spans="1:6" ht="24" customHeight="1">
      <c r="A6" s="7" t="s">
        <v>7</v>
      </c>
      <c r="B6" s="8">
        <v>200</v>
      </c>
      <c r="C6" s="9">
        <v>0.45</v>
      </c>
      <c r="D6" s="10">
        <f t="shared" si="0"/>
        <v>90</v>
      </c>
      <c r="E6" s="9">
        <v>250</v>
      </c>
      <c r="F6" s="11">
        <f t="shared" si="1"/>
        <v>340</v>
      </c>
    </row>
    <row r="7" spans="1:6" ht="24" customHeight="1">
      <c r="A7" s="7" t="s">
        <v>8</v>
      </c>
      <c r="B7" s="8">
        <v>400</v>
      </c>
      <c r="C7" s="9">
        <v>0.45</v>
      </c>
      <c r="D7" s="10">
        <f t="shared" si="0"/>
        <v>180</v>
      </c>
      <c r="E7" s="9">
        <v>250</v>
      </c>
      <c r="F7" s="11">
        <f t="shared" si="1"/>
        <v>430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1200</v>
      </c>
      <c r="C9" s="24"/>
      <c r="D9" s="19">
        <f>SUM(D4:D8)</f>
        <v>540</v>
      </c>
      <c r="E9" s="19">
        <f>SUM(E4:E8)</f>
        <v>1000</v>
      </c>
      <c r="F9" s="23">
        <f>SUM(F4:F8)</f>
        <v>1540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3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15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/>
      <c r="C4" s="4">
        <v>0.45</v>
      </c>
      <c r="D4" s="5">
        <f>B4*C4</f>
        <v>0</v>
      </c>
      <c r="E4" s="4"/>
      <c r="F4" s="6">
        <f>D4+E4</f>
        <v>0</v>
      </c>
    </row>
    <row r="5" spans="1:6" ht="24" customHeight="1">
      <c r="A5" s="7" t="s">
        <v>6</v>
      </c>
      <c r="B5" s="8"/>
      <c r="C5" s="9">
        <v>0.45</v>
      </c>
      <c r="D5" s="10">
        <f t="shared" ref="D5:D8" si="0">B5*C5</f>
        <v>0</v>
      </c>
      <c r="E5" s="9"/>
      <c r="F5" s="11">
        <f t="shared" ref="F5:F8" si="1">D5+E5</f>
        <v>0</v>
      </c>
    </row>
    <row r="6" spans="1:6" ht="24" customHeight="1">
      <c r="A6" s="7" t="s">
        <v>7</v>
      </c>
      <c r="B6" s="8"/>
      <c r="C6" s="9">
        <v>0.45</v>
      </c>
      <c r="D6" s="10">
        <f t="shared" si="0"/>
        <v>0</v>
      </c>
      <c r="E6" s="9"/>
      <c r="F6" s="11">
        <f t="shared" si="1"/>
        <v>0</v>
      </c>
    </row>
    <row r="7" spans="1:6" ht="24" customHeight="1">
      <c r="A7" s="7" t="s">
        <v>8</v>
      </c>
      <c r="B7" s="8"/>
      <c r="C7" s="9">
        <v>0.45</v>
      </c>
      <c r="D7" s="10">
        <f t="shared" si="0"/>
        <v>0</v>
      </c>
      <c r="E7" s="9"/>
      <c r="F7" s="11">
        <f t="shared" si="1"/>
        <v>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0</v>
      </c>
      <c r="C9" s="24"/>
      <c r="D9" s="19">
        <f>SUM(D4:D8)</f>
        <v>0</v>
      </c>
      <c r="E9" s="19">
        <f>SUM(E4:E8)</f>
        <v>0</v>
      </c>
      <c r="F9" s="23">
        <f>SUM(F4:F8)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8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16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/>
      <c r="C4" s="4">
        <v>0.45</v>
      </c>
      <c r="D4" s="5">
        <f>B4*C4</f>
        <v>0</v>
      </c>
      <c r="E4" s="4"/>
      <c r="F4" s="6">
        <f>D4+E4</f>
        <v>0</v>
      </c>
    </row>
    <row r="5" spans="1:6" ht="24" customHeight="1">
      <c r="A5" s="7" t="s">
        <v>6</v>
      </c>
      <c r="B5" s="8"/>
      <c r="C5" s="9">
        <v>0.45</v>
      </c>
      <c r="D5" s="10">
        <f t="shared" ref="D5:D8" si="0">B5*C5</f>
        <v>0</v>
      </c>
      <c r="E5" s="9"/>
      <c r="F5" s="11">
        <f t="shared" ref="F5:F8" si="1">D5+E5</f>
        <v>0</v>
      </c>
    </row>
    <row r="6" spans="1:6" ht="24" customHeight="1">
      <c r="A6" s="7" t="s">
        <v>7</v>
      </c>
      <c r="B6" s="8"/>
      <c r="C6" s="9">
        <v>0.45</v>
      </c>
      <c r="D6" s="10">
        <f t="shared" si="0"/>
        <v>0</v>
      </c>
      <c r="E6" s="9"/>
      <c r="F6" s="11">
        <f t="shared" si="1"/>
        <v>0</v>
      </c>
    </row>
    <row r="7" spans="1:6" ht="24" customHeight="1">
      <c r="A7" s="7" t="s">
        <v>8</v>
      </c>
      <c r="B7" s="8"/>
      <c r="C7" s="9">
        <v>0.45</v>
      </c>
      <c r="D7" s="10">
        <f t="shared" si="0"/>
        <v>0</v>
      </c>
      <c r="E7" s="9"/>
      <c r="F7" s="11">
        <f t="shared" si="1"/>
        <v>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0</v>
      </c>
      <c r="C9" s="24"/>
      <c r="D9" s="19">
        <f>SUM(D4:D8)</f>
        <v>0</v>
      </c>
      <c r="E9" s="19">
        <f>SUM(E4:E8)</f>
        <v>0</v>
      </c>
      <c r="F9" s="23">
        <f>SUM(F4:F8)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8" tint="0.79998168889431442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17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/>
      <c r="C4" s="4">
        <v>0.45</v>
      </c>
      <c r="D4" s="5">
        <f>B4*C4</f>
        <v>0</v>
      </c>
      <c r="E4" s="4"/>
      <c r="F4" s="6">
        <f>D4+E4</f>
        <v>0</v>
      </c>
    </row>
    <row r="5" spans="1:6" ht="24" customHeight="1">
      <c r="A5" s="7" t="s">
        <v>6</v>
      </c>
      <c r="B5" s="8"/>
      <c r="C5" s="9">
        <v>0.45</v>
      </c>
      <c r="D5" s="10">
        <f t="shared" ref="D5:D8" si="0">B5*C5</f>
        <v>0</v>
      </c>
      <c r="E5" s="9"/>
      <c r="F5" s="11">
        <f t="shared" ref="F5:F8" si="1">D5+E5</f>
        <v>0</v>
      </c>
    </row>
    <row r="6" spans="1:6" ht="24" customHeight="1">
      <c r="A6" s="7" t="s">
        <v>7</v>
      </c>
      <c r="B6" s="8"/>
      <c r="C6" s="9">
        <v>0.45</v>
      </c>
      <c r="D6" s="10">
        <f t="shared" si="0"/>
        <v>0</v>
      </c>
      <c r="E6" s="9"/>
      <c r="F6" s="11">
        <f t="shared" si="1"/>
        <v>0</v>
      </c>
    </row>
    <row r="7" spans="1:6" ht="24" customHeight="1">
      <c r="A7" s="7" t="s">
        <v>8</v>
      </c>
      <c r="B7" s="8"/>
      <c r="C7" s="9">
        <v>0.45</v>
      </c>
      <c r="D7" s="10">
        <f t="shared" si="0"/>
        <v>0</v>
      </c>
      <c r="E7" s="9"/>
      <c r="F7" s="11">
        <f t="shared" si="1"/>
        <v>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0</v>
      </c>
      <c r="C9" s="24"/>
      <c r="D9" s="19">
        <f>SUM(D4:D8)</f>
        <v>0</v>
      </c>
      <c r="E9" s="19">
        <f>SUM(E4:E8)</f>
        <v>0</v>
      </c>
      <c r="F9" s="23">
        <f>SUM(F4:F8)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8" tint="0.59999389629810485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18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/>
      <c r="C4" s="4">
        <v>0.45</v>
      </c>
      <c r="D4" s="5">
        <f>B4*C4</f>
        <v>0</v>
      </c>
      <c r="E4" s="4"/>
      <c r="F4" s="6">
        <f>D4+E4</f>
        <v>0</v>
      </c>
    </row>
    <row r="5" spans="1:6" ht="24" customHeight="1">
      <c r="A5" s="7" t="s">
        <v>6</v>
      </c>
      <c r="B5" s="8"/>
      <c r="C5" s="9">
        <v>0.45</v>
      </c>
      <c r="D5" s="10">
        <f t="shared" ref="D5:D8" si="0">B5*C5</f>
        <v>0</v>
      </c>
      <c r="E5" s="9"/>
      <c r="F5" s="11">
        <f t="shared" ref="F5:F8" si="1">D5+E5</f>
        <v>0</v>
      </c>
    </row>
    <row r="6" spans="1:6" ht="24" customHeight="1">
      <c r="A6" s="7" t="s">
        <v>7</v>
      </c>
      <c r="B6" s="8"/>
      <c r="C6" s="9">
        <v>0.45</v>
      </c>
      <c r="D6" s="10">
        <f t="shared" si="0"/>
        <v>0</v>
      </c>
      <c r="E6" s="9"/>
      <c r="F6" s="11">
        <f t="shared" si="1"/>
        <v>0</v>
      </c>
    </row>
    <row r="7" spans="1:6" ht="24" customHeight="1">
      <c r="A7" s="7" t="s">
        <v>8</v>
      </c>
      <c r="B7" s="8"/>
      <c r="C7" s="9">
        <v>0.45</v>
      </c>
      <c r="D7" s="10">
        <f t="shared" si="0"/>
        <v>0</v>
      </c>
      <c r="E7" s="9"/>
      <c r="F7" s="11">
        <f t="shared" si="1"/>
        <v>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0</v>
      </c>
      <c r="C9" s="24"/>
      <c r="D9" s="19">
        <f>SUM(D4:D8)</f>
        <v>0</v>
      </c>
      <c r="E9" s="19">
        <f>SUM(E4:E8)</f>
        <v>0</v>
      </c>
      <c r="F9" s="23">
        <f>SUM(F4:F8)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8" tint="0.59999389629810485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19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/>
      <c r="C4" s="4">
        <v>0.45</v>
      </c>
      <c r="D4" s="5">
        <f>B4*C4</f>
        <v>0</v>
      </c>
      <c r="E4" s="4"/>
      <c r="F4" s="6">
        <f>D4+E4</f>
        <v>0</v>
      </c>
    </row>
    <row r="5" spans="1:6" ht="24" customHeight="1">
      <c r="A5" s="7" t="s">
        <v>6</v>
      </c>
      <c r="B5" s="8"/>
      <c r="C5" s="9">
        <v>0.45</v>
      </c>
      <c r="D5" s="10">
        <f t="shared" ref="D5:D8" si="0">B5*C5</f>
        <v>0</v>
      </c>
      <c r="E5" s="9"/>
      <c r="F5" s="11">
        <f t="shared" ref="F5:F8" si="1">D5+E5</f>
        <v>0</v>
      </c>
    </row>
    <row r="6" spans="1:6" ht="24" customHeight="1">
      <c r="A6" s="7" t="s">
        <v>7</v>
      </c>
      <c r="B6" s="8"/>
      <c r="C6" s="9">
        <v>0.45</v>
      </c>
      <c r="D6" s="10">
        <f t="shared" si="0"/>
        <v>0</v>
      </c>
      <c r="E6" s="9"/>
      <c r="F6" s="11">
        <f t="shared" si="1"/>
        <v>0</v>
      </c>
    </row>
    <row r="7" spans="1:6" ht="24" customHeight="1">
      <c r="A7" s="7" t="s">
        <v>8</v>
      </c>
      <c r="B7" s="8"/>
      <c r="C7" s="9">
        <v>0.45</v>
      </c>
      <c r="D7" s="10">
        <f t="shared" si="0"/>
        <v>0</v>
      </c>
      <c r="E7" s="9"/>
      <c r="F7" s="11">
        <f t="shared" si="1"/>
        <v>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0</v>
      </c>
      <c r="C9" s="24"/>
      <c r="D9" s="19">
        <f>SUM(D4:D8)</f>
        <v>0</v>
      </c>
      <c r="E9" s="19">
        <f>SUM(E4:E8)</f>
        <v>0</v>
      </c>
      <c r="F9" s="23">
        <f>SUM(F4:F8)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8" tint="-0.249977111117893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20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/>
      <c r="C4" s="4">
        <v>0.45</v>
      </c>
      <c r="D4" s="5">
        <f>B4*C4</f>
        <v>0</v>
      </c>
      <c r="E4" s="4"/>
      <c r="F4" s="6">
        <f>D4+E4</f>
        <v>0</v>
      </c>
    </row>
    <row r="5" spans="1:6" ht="24" customHeight="1">
      <c r="A5" s="7" t="s">
        <v>6</v>
      </c>
      <c r="B5" s="8"/>
      <c r="C5" s="9">
        <v>0.45</v>
      </c>
      <c r="D5" s="10">
        <f t="shared" ref="D5:D8" si="0">B5*C5</f>
        <v>0</v>
      </c>
      <c r="E5" s="9"/>
      <c r="F5" s="11">
        <f t="shared" ref="F5:F8" si="1">D5+E5</f>
        <v>0</v>
      </c>
    </row>
    <row r="6" spans="1:6" ht="24" customHeight="1">
      <c r="A6" s="7" t="s">
        <v>7</v>
      </c>
      <c r="B6" s="8"/>
      <c r="C6" s="9">
        <v>0.45</v>
      </c>
      <c r="D6" s="10">
        <f t="shared" si="0"/>
        <v>0</v>
      </c>
      <c r="E6" s="9"/>
      <c r="F6" s="11">
        <f t="shared" si="1"/>
        <v>0</v>
      </c>
    </row>
    <row r="7" spans="1:6" ht="24" customHeight="1">
      <c r="A7" s="7" t="s">
        <v>8</v>
      </c>
      <c r="B7" s="8"/>
      <c r="C7" s="9">
        <v>0.45</v>
      </c>
      <c r="D7" s="10">
        <f t="shared" si="0"/>
        <v>0</v>
      </c>
      <c r="E7" s="9"/>
      <c r="F7" s="11">
        <f t="shared" si="1"/>
        <v>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0</v>
      </c>
      <c r="C9" s="24"/>
      <c r="D9" s="19">
        <f>SUM(D4:D8)</f>
        <v>0</v>
      </c>
      <c r="E9" s="19">
        <f>SUM(E4:E8)</f>
        <v>0</v>
      </c>
      <c r="F9" s="23">
        <f>SUM(F4:F8)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8" tint="-0.499984740745262"/>
  </sheetPr>
  <dimension ref="A1:F9"/>
  <sheetViews>
    <sheetView workbookViewId="0">
      <selection activeCell="H21" sqref="H21"/>
    </sheetView>
  </sheetViews>
  <sheetFormatPr baseColWidth="10" defaultRowHeight="15.75"/>
  <cols>
    <col min="1" max="1" width="11.42578125" style="1"/>
    <col min="2" max="2" width="11.5703125" style="1" bestFit="1" customWidth="1"/>
    <col min="3" max="16384" width="11.42578125" style="1"/>
  </cols>
  <sheetData>
    <row r="1" spans="1:6" ht="21">
      <c r="A1" s="33" t="s">
        <v>21</v>
      </c>
      <c r="B1" s="33"/>
      <c r="C1" s="33"/>
      <c r="D1" s="33"/>
      <c r="E1" s="33"/>
      <c r="F1" s="33"/>
    </row>
    <row r="2" spans="1:6" ht="16.5" thickBot="1"/>
    <row r="3" spans="1:6" ht="24" customHeight="1">
      <c r="A3" s="20"/>
      <c r="B3" s="21" t="s">
        <v>0</v>
      </c>
      <c r="C3" s="21" t="s">
        <v>1</v>
      </c>
      <c r="D3" s="21" t="s">
        <v>2</v>
      </c>
      <c r="E3" s="21" t="s">
        <v>4</v>
      </c>
      <c r="F3" s="22" t="s">
        <v>3</v>
      </c>
    </row>
    <row r="4" spans="1:6" ht="24" customHeight="1">
      <c r="A4" s="2" t="s">
        <v>5</v>
      </c>
      <c r="B4" s="3"/>
      <c r="C4" s="4">
        <v>0.45</v>
      </c>
      <c r="D4" s="5">
        <f>B4*C4</f>
        <v>0</v>
      </c>
      <c r="E4" s="4"/>
      <c r="F4" s="6">
        <f>D4+E4</f>
        <v>0</v>
      </c>
    </row>
    <row r="5" spans="1:6" ht="24" customHeight="1">
      <c r="A5" s="7" t="s">
        <v>6</v>
      </c>
      <c r="B5" s="8"/>
      <c r="C5" s="9">
        <v>0.45</v>
      </c>
      <c r="D5" s="10">
        <f t="shared" ref="D5:D8" si="0">B5*C5</f>
        <v>0</v>
      </c>
      <c r="E5" s="9"/>
      <c r="F5" s="11">
        <f t="shared" ref="F5:F8" si="1">D5+E5</f>
        <v>0</v>
      </c>
    </row>
    <row r="6" spans="1:6" ht="24" customHeight="1">
      <c r="A6" s="7" t="s">
        <v>7</v>
      </c>
      <c r="B6" s="8"/>
      <c r="C6" s="9">
        <v>0.45</v>
      </c>
      <c r="D6" s="10">
        <f t="shared" si="0"/>
        <v>0</v>
      </c>
      <c r="E6" s="9"/>
      <c r="F6" s="11">
        <f t="shared" si="1"/>
        <v>0</v>
      </c>
    </row>
    <row r="7" spans="1:6" ht="24" customHeight="1">
      <c r="A7" s="7" t="s">
        <v>8</v>
      </c>
      <c r="B7" s="8"/>
      <c r="C7" s="9">
        <v>0.45</v>
      </c>
      <c r="D7" s="10">
        <f t="shared" si="0"/>
        <v>0</v>
      </c>
      <c r="E7" s="9"/>
      <c r="F7" s="11">
        <f t="shared" si="1"/>
        <v>0</v>
      </c>
    </row>
    <row r="8" spans="1:6" ht="24" customHeight="1">
      <c r="A8" s="12" t="s">
        <v>9</v>
      </c>
      <c r="B8" s="13"/>
      <c r="C8" s="14">
        <v>0.45</v>
      </c>
      <c r="D8" s="15">
        <f t="shared" si="0"/>
        <v>0</v>
      </c>
      <c r="E8" s="14"/>
      <c r="F8" s="16">
        <f t="shared" si="1"/>
        <v>0</v>
      </c>
    </row>
    <row r="9" spans="1:6" ht="24" customHeight="1" thickBot="1">
      <c r="A9" s="17" t="s">
        <v>3</v>
      </c>
      <c r="B9" s="18">
        <f>SUM(B4:B8)</f>
        <v>0</v>
      </c>
      <c r="C9" s="24"/>
      <c r="D9" s="19">
        <f>SUM(D4:D8)</f>
        <v>0</v>
      </c>
      <c r="E9" s="19">
        <f>SUM(E4:E8)</f>
        <v>0</v>
      </c>
      <c r="F9" s="23">
        <f>SUM(F4:F8)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 &amp;C&amp;F/ /&amp;A&amp;R&amp;D</oddHeader>
    <oddFooter>&amp;Lfatoumata&amp;C&amp;P/&amp;N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activeCell="G10" sqref="G10"/>
    </sheetView>
  </sheetViews>
  <sheetFormatPr baseColWidth="10" defaultRowHeight="15"/>
  <cols>
    <col min="1" max="2" width="17" customWidth="1"/>
  </cols>
  <sheetData>
    <row r="1" spans="1:7">
      <c r="A1" s="34" t="s">
        <v>22</v>
      </c>
      <c r="B1" s="34"/>
      <c r="C1" s="25"/>
      <c r="D1" s="25"/>
      <c r="E1" s="25"/>
      <c r="F1" s="25"/>
      <c r="G1" s="25"/>
    </row>
    <row r="2" spans="1:7" ht="15.75" thickBot="1">
      <c r="A2" s="25"/>
      <c r="B2" s="25"/>
      <c r="C2" s="25"/>
      <c r="D2" s="25"/>
      <c r="E2" s="25"/>
      <c r="F2" s="25"/>
      <c r="G2" s="25"/>
    </row>
    <row r="3" spans="1:7" ht="15.75" thickTop="1">
      <c r="A3" s="27" t="s">
        <v>23</v>
      </c>
      <c r="B3" s="28" t="s">
        <v>24</v>
      </c>
      <c r="C3" s="26"/>
    </row>
    <row r="4" spans="1:7">
      <c r="A4" s="29" t="s">
        <v>25</v>
      </c>
      <c r="B4" s="30">
        <f>janvier!F9</f>
        <v>2095.9</v>
      </c>
      <c r="C4" s="26"/>
    </row>
    <row r="5" spans="1:7">
      <c r="A5" s="29" t="s">
        <v>26</v>
      </c>
      <c r="B5" s="30">
        <f>fevrier!F9</f>
        <v>1242.6999999999998</v>
      </c>
      <c r="C5" s="26"/>
    </row>
    <row r="6" spans="1:7">
      <c r="A6" s="29" t="s">
        <v>27</v>
      </c>
      <c r="B6" s="30">
        <f>mars!F9</f>
        <v>2136.5</v>
      </c>
      <c r="C6" s="26"/>
    </row>
    <row r="7" spans="1:7">
      <c r="A7" s="29" t="s">
        <v>28</v>
      </c>
      <c r="B7" s="30">
        <f>avril!F9</f>
        <v>1843</v>
      </c>
      <c r="C7" s="26"/>
    </row>
    <row r="8" spans="1:7">
      <c r="A8" s="29" t="s">
        <v>29</v>
      </c>
      <c r="B8" s="30">
        <f>mai!F9</f>
        <v>1540</v>
      </c>
      <c r="C8" s="26"/>
    </row>
    <row r="9" spans="1:7">
      <c r="A9" s="29" t="s">
        <v>30</v>
      </c>
      <c r="B9" s="30">
        <f>juin!F9</f>
        <v>0</v>
      </c>
      <c r="C9" s="26"/>
    </row>
    <row r="10" spans="1:7">
      <c r="A10" s="29" t="s">
        <v>31</v>
      </c>
      <c r="B10" s="30">
        <f>juillet!F9</f>
        <v>0</v>
      </c>
      <c r="C10" s="26"/>
    </row>
    <row r="11" spans="1:7">
      <c r="A11" s="29" t="s">
        <v>32</v>
      </c>
      <c r="B11" s="30">
        <f>aout!F9</f>
        <v>0</v>
      </c>
      <c r="C11" s="26"/>
    </row>
    <row r="12" spans="1:7">
      <c r="A12" s="29" t="s">
        <v>33</v>
      </c>
      <c r="B12" s="30">
        <f>septembre!F9</f>
        <v>0</v>
      </c>
      <c r="C12" s="26"/>
    </row>
    <row r="13" spans="1:7">
      <c r="A13" s="29" t="s">
        <v>34</v>
      </c>
      <c r="B13" s="30">
        <f>octobre!F9</f>
        <v>0</v>
      </c>
      <c r="C13" s="26"/>
    </row>
    <row r="14" spans="1:7">
      <c r="A14" s="29" t="s">
        <v>35</v>
      </c>
      <c r="B14" s="30">
        <f>novembre!F9</f>
        <v>0</v>
      </c>
      <c r="C14" s="26"/>
    </row>
    <row r="15" spans="1:7">
      <c r="A15" s="29" t="s">
        <v>36</v>
      </c>
      <c r="B15" s="30">
        <f>decembre!F9</f>
        <v>0</v>
      </c>
      <c r="C15" s="26"/>
    </row>
    <row r="16" spans="1:7" ht="15.75" thickBot="1">
      <c r="A16" s="31" t="s">
        <v>37</v>
      </c>
      <c r="B16" s="32">
        <f>SUM(B4:B15)</f>
        <v>8858.1</v>
      </c>
      <c r="C16" s="26"/>
    </row>
    <row r="17" spans="1:3" ht="15.75" thickTop="1">
      <c r="A17" s="26"/>
      <c r="B17" s="26"/>
      <c r="C17" s="26"/>
    </row>
    <row r="18" spans="1:3">
      <c r="A18" s="35"/>
    </row>
    <row r="20" spans="1:3">
      <c r="A20" t="s">
        <v>38</v>
      </c>
    </row>
    <row r="21" spans="1:3">
      <c r="A21" t="s">
        <v>39</v>
      </c>
      <c r="B21">
        <f>SUM(janvier:decembre!F9)</f>
        <v>8858.1</v>
      </c>
    </row>
    <row r="22" spans="1:3">
      <c r="A22" t="s">
        <v>40</v>
      </c>
      <c r="B22">
        <f>SUM(janvier:decembre!D9)</f>
        <v>2998.1</v>
      </c>
    </row>
    <row r="23" spans="1:3">
      <c r="A23" t="s">
        <v>41</v>
      </c>
      <c r="B23">
        <f>SUM(janvier:decembre!E9)</f>
        <v>5860</v>
      </c>
    </row>
    <row r="24" spans="1:3">
      <c r="A24" t="s">
        <v>42</v>
      </c>
      <c r="B24">
        <f>SUM(janvier:decembre!B9)</f>
        <v>7385</v>
      </c>
    </row>
  </sheetData>
  <mergeCells count="1">
    <mergeCell ref="A1:B1"/>
  </mergeCells>
  <printOptions horizontalCentered="1" verticalCentered="1"/>
  <pageMargins left="0.70866141732283472" right="0.70866141732283472" top="0.94488188976377963" bottom="0.74803149606299213" header="0.51181102362204722" footer="0.31496062992125984"/>
  <pageSetup paperSize="9" orientation="portrait" r:id="rId1"/>
  <headerFooter>
    <oddHeader>&amp;L&amp;G&amp;C&amp;F&amp;R&amp;A&amp;D</oddHeader>
    <oddFooter>&amp;L&amp;N&amp;R&amp;P&amp;N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decembre</vt:lpstr>
      <vt:lpstr>RECAP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Dolfi_6</dc:creator>
  <cp:lastModifiedBy>Dolfi_6</cp:lastModifiedBy>
  <cp:lastPrinted>2014-06-26T13:23:24Z</cp:lastPrinted>
  <dcterms:created xsi:type="dcterms:W3CDTF">2014-06-26T11:54:12Z</dcterms:created>
  <dcterms:modified xsi:type="dcterms:W3CDTF">2014-07-18T06:33:38Z</dcterms:modified>
</cp:coreProperties>
</file>