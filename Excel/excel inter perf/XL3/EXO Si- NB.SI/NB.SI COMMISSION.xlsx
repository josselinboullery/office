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NB.SI Exo " sheetId="1" r:id="rId1"/>
  </sheets>
  <externalReferences>
    <externalReference r:id="rId2"/>
    <externalReference r:id="rId3"/>
  </externalReferences>
  <definedNames>
    <definedName name="_Tva1">#REF!</definedName>
    <definedName name="_Tva2">#REF!</definedName>
    <definedName name="_Tva3">#REF!</definedName>
    <definedName name="total">[2]départ!$F$16</definedName>
  </definedNames>
  <calcPr calcId="145621"/>
</workbook>
</file>

<file path=xl/calcChain.xml><?xml version="1.0" encoding="utf-8"?>
<calcChain xmlns="http://schemas.openxmlformats.org/spreadsheetml/2006/main">
  <c r="D19" i="1" l="1"/>
  <c r="C19" i="1"/>
  <c r="D18" i="1"/>
  <c r="C18" i="1"/>
  <c r="D17" i="1"/>
  <c r="C17" i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G19" i="1" l="1"/>
  <c r="G18" i="1"/>
  <c r="G17" i="1"/>
  <c r="E17" i="1"/>
  <c r="E18" i="1"/>
  <c r="E19" i="1"/>
</calcChain>
</file>

<file path=xl/sharedStrings.xml><?xml version="1.0" encoding="utf-8"?>
<sst xmlns="http://schemas.openxmlformats.org/spreadsheetml/2006/main" count="23" uniqueCount="17">
  <si>
    <t>FONCTION NB.SI</t>
  </si>
  <si>
    <t>ETAT DES COMMISSIONS DE JANVIER</t>
  </si>
  <si>
    <t>date de la vente</t>
  </si>
  <si>
    <t>Commerciaux</t>
  </si>
  <si>
    <t>Ventes</t>
  </si>
  <si>
    <t>Coûts</t>
  </si>
  <si>
    <t>Marge</t>
  </si>
  <si>
    <t>% prévu</t>
  </si>
  <si>
    <t>montants versés</t>
  </si>
  <si>
    <t>ANNIE</t>
  </si>
  <si>
    <t>LOUIS</t>
  </si>
  <si>
    <t>LAURENCE</t>
  </si>
  <si>
    <t>TOTAL</t>
  </si>
  <si>
    <t>Moyenne</t>
  </si>
  <si>
    <t>plus grande valeur</t>
  </si>
  <si>
    <t>Nombre de ventes :</t>
  </si>
  <si>
    <t>Nombre de ventes par commercial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</si>
</sst>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0\ [$€]_-;\-* #,##0.00\ [$€]_-;_-* &quot;-&quot;??\ [$€]_-;_-@_-"/>
    <numFmt numFmtId="167" formatCode="_-* #,##0.00\ [$€-1]_-;\-* #,##0.00\ [$€-1]_-;_-* &quot;-&quot;??\ [$€-1]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6"/>
      <color theme="3" tint="0.3999755851924192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0"/>
      <color indexed="55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</fills>
  <borders count="13">
    <border>
      <left/>
      <right/>
      <top/>
      <bottom/>
      <diagonal/>
    </border>
    <border>
      <left style="thick">
        <color theme="3" tint="-0.24994659260841701"/>
      </left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5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9" fillId="3" borderId="0">
      <alignment horizontal="center"/>
    </xf>
    <xf numFmtId="9" fontId="5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4" fillId="0" borderId="4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2" fillId="0" borderId="0" xfId="1" applyAlignment="1">
      <alignment vertical="center"/>
    </xf>
    <xf numFmtId="0" fontId="5" fillId="0" borderId="6" xfId="2" applyBorder="1" applyAlignment="1">
      <alignment horizontal="center"/>
    </xf>
    <xf numFmtId="0" fontId="5" fillId="0" borderId="7" xfId="2" applyBorder="1" applyAlignment="1">
      <alignment horizontal="center"/>
    </xf>
    <xf numFmtId="14" fontId="5" fillId="0" borderId="4" xfId="2" applyNumberFormat="1" applyBorder="1" applyAlignment="1">
      <alignment horizontal="center"/>
    </xf>
    <xf numFmtId="0" fontId="6" fillId="0" borderId="8" xfId="2" applyFont="1" applyBorder="1"/>
    <xf numFmtId="165" fontId="0" fillId="0" borderId="9" xfId="3" applyNumberFormat="1" applyFont="1" applyBorder="1"/>
    <xf numFmtId="165" fontId="0" fillId="0" borderId="6" xfId="3" applyNumberFormat="1" applyFont="1" applyBorder="1"/>
    <xf numFmtId="0" fontId="6" fillId="0" borderId="10" xfId="2" applyFont="1" applyBorder="1"/>
    <xf numFmtId="0" fontId="6" fillId="0" borderId="11" xfId="2" applyFont="1" applyBorder="1"/>
    <xf numFmtId="0" fontId="7" fillId="0" borderId="12" xfId="2" applyFont="1" applyBorder="1"/>
    <xf numFmtId="165" fontId="7" fillId="0" borderId="6" xfId="3" applyNumberFormat="1" applyFont="1" applyBorder="1"/>
    <xf numFmtId="0" fontId="7" fillId="0" borderId="6" xfId="2" applyFont="1" applyBorder="1" applyAlignment="1">
      <alignment horizontal="center"/>
    </xf>
    <xf numFmtId="0" fontId="7" fillId="0" borderId="4" xfId="2" applyFont="1" applyBorder="1" applyAlignment="1">
      <alignment horizontal="right"/>
    </xf>
    <xf numFmtId="0" fontId="7" fillId="0" borderId="9" xfId="2" applyFont="1" applyBorder="1" applyAlignment="1">
      <alignment horizontal="right"/>
    </xf>
    <xf numFmtId="0" fontId="5" fillId="0" borderId="6" xfId="2" applyBorder="1"/>
    <xf numFmtId="0" fontId="6" fillId="0" borderId="4" xfId="2" applyFont="1" applyBorder="1"/>
    <xf numFmtId="0" fontId="5" fillId="2" borderId="6" xfId="2" applyFill="1" applyBorder="1"/>
    <xf numFmtId="0" fontId="5" fillId="0" borderId="4" xfId="2" applyBorder="1"/>
    <xf numFmtId="0" fontId="5" fillId="0" borderId="9" xfId="2" applyBorder="1"/>
    <xf numFmtId="0" fontId="6" fillId="0" borderId="4" xfId="2" applyFont="1" applyBorder="1" applyAlignment="1">
      <alignment horizontal="center"/>
    </xf>
    <xf numFmtId="0" fontId="6" fillId="0" borderId="9" xfId="2" applyFont="1" applyBorder="1" applyAlignment="1">
      <alignment horizontal="center"/>
    </xf>
    <xf numFmtId="165" fontId="5" fillId="0" borderId="6" xfId="2" applyNumberFormat="1" applyBorder="1"/>
    <xf numFmtId="0" fontId="8" fillId="2" borderId="6" xfId="2" applyFont="1" applyFill="1" applyBorder="1" applyAlignment="1">
      <alignment horizontal="center"/>
    </xf>
  </cellXfs>
  <cellStyles count="11">
    <cellStyle name="Euro" xfId="4"/>
    <cellStyle name="Euro 2" xfId="5"/>
    <cellStyle name="Milliers 2" xfId="6"/>
    <cellStyle name="Milliers 3" xfId="3"/>
    <cellStyle name="Monétaire 2" xfId="7"/>
    <cellStyle name="Normal" xfId="0" builtinId="0"/>
    <cellStyle name="Normal 2" xfId="2"/>
    <cellStyle name="Normal 3" xfId="8"/>
    <cellStyle name="Normal_support exercices 2" xfId="1"/>
    <cellStyle name="palou" xfId="9"/>
    <cellStyle name="Pourcentage 2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OMMAIR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0</xdr:row>
      <xdr:rowOff>19050</xdr:rowOff>
    </xdr:from>
    <xdr:to>
      <xdr:col>7</xdr:col>
      <xdr:colOff>28575</xdr:colOff>
      <xdr:row>3</xdr:row>
      <xdr:rowOff>142875</xdr:rowOff>
    </xdr:to>
    <xdr:sp macro="" textlink="">
      <xdr:nvSpPr>
        <xdr:cNvPr id="2" name="Rectangle 9"/>
        <xdr:cNvSpPr>
          <a:spLocks noChangeArrowheads="1"/>
        </xdr:cNvSpPr>
      </xdr:nvSpPr>
      <xdr:spPr bwMode="auto">
        <a:xfrm>
          <a:off x="3971925" y="19050"/>
          <a:ext cx="1752600" cy="6953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38100">
          <a:solidFill>
            <a:srgbClr xmlns:mc="http://schemas.openxmlformats.org/markup-compatibility/2006" xmlns:a14="http://schemas.microsoft.com/office/drawing/2010/main" val="33CCCC" mc:Ignorable="a14" a14:legacySpreadsheetColorIndex="49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1000" b="1" i="0" u="none" strike="noStrike" baseline="0">
              <a:solidFill>
                <a:srgbClr val="008080"/>
              </a:solidFill>
              <a:latin typeface="Arial"/>
              <a:cs typeface="Arial"/>
            </a:rPr>
            <a:t>fonction </a:t>
          </a:r>
          <a:r>
            <a:rPr lang="fr-FR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NB.SI</a:t>
          </a:r>
          <a:r>
            <a:rPr lang="fr-FR" sz="1000" b="1" i="0" u="none" strike="noStrike" baseline="0">
              <a:solidFill>
                <a:srgbClr val="008080"/>
              </a:solidFill>
              <a:latin typeface="Arial"/>
              <a:cs typeface="Arial"/>
            </a:rPr>
            <a:t> :</a:t>
          </a:r>
        </a:p>
        <a:p>
          <a:pPr algn="l" rtl="0">
            <a:defRPr sz="1000"/>
          </a:pPr>
          <a:r>
            <a:rPr lang="fr-FR" sz="1000" b="1" i="0" u="none" strike="noStrike" baseline="0">
              <a:solidFill>
                <a:srgbClr val="008080"/>
              </a:solidFill>
              <a:latin typeface="Arial"/>
              <a:cs typeface="Arial"/>
            </a:rPr>
            <a:t>compte le nombre de cellules correspondant à un critère donné dans une plage </a:t>
          </a:r>
        </a:p>
      </xdr:txBody>
    </xdr:sp>
    <xdr:clientData/>
  </xdr:twoCellAnchor>
  <xdr:twoCellAnchor>
    <xdr:from>
      <xdr:col>0</xdr:col>
      <xdr:colOff>1</xdr:colOff>
      <xdr:row>0</xdr:row>
      <xdr:rowOff>0</xdr:rowOff>
    </xdr:from>
    <xdr:to>
      <xdr:col>0</xdr:col>
      <xdr:colOff>1123951</xdr:colOff>
      <xdr:row>2</xdr:row>
      <xdr:rowOff>85725</xdr:rowOff>
    </xdr:to>
    <xdr:sp macro="" textlink="">
      <xdr:nvSpPr>
        <xdr:cNvPr id="3" name="Flèche gauche 2">
          <a:hlinkClick xmlns:r="http://schemas.openxmlformats.org/officeDocument/2006/relationships" r:id="rId1"/>
        </xdr:cNvPr>
        <xdr:cNvSpPr/>
      </xdr:nvSpPr>
      <xdr:spPr>
        <a:xfrm>
          <a:off x="1" y="0"/>
          <a:ext cx="1123950" cy="4667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>
              <a:solidFill>
                <a:sysClr val="windowText" lastClr="000000"/>
              </a:solidFill>
            </a:rPr>
            <a:t>SOMMAIRE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Perfectionnement%20florence%20rampal/Fonction%20NB%20NBVAL%20NBS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lorence%20RAMPAL/Favorites/Desktop/exercices%20pour%20Dolfi/ANGELLA/Exercices%20Excel%20a/Th&#232;me%202%20-%20Calculs%20courants/Excel-Calculs-3Ev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MMAIRE"/>
      <sheetName val="DEMO NB"/>
      <sheetName val="NB ET NBVAL Exo"/>
      <sheetName val="NB ET NBVAL corrigé"/>
      <sheetName val="NB.SI Exo "/>
      <sheetName val="NB.SI Exo Corrigé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épart"/>
      <sheetName val="résultat final"/>
    </sheetNames>
    <sheetDataSet>
      <sheetData sheetId="0">
        <row r="16">
          <cell r="F16">
            <v>232579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26"/>
  <sheetViews>
    <sheetView tabSelected="1" topLeftCell="A7" workbookViewId="0">
      <selection activeCell="J12" sqref="J12"/>
    </sheetView>
  </sheetViews>
  <sheetFormatPr baseColWidth="10" defaultColWidth="14.85546875" defaultRowHeight="15" x14ac:dyDescent="0.2"/>
  <cols>
    <col min="1" max="1" width="18.140625" style="1" customWidth="1"/>
    <col min="2" max="2" width="13.85546875" style="1" customWidth="1"/>
    <col min="3" max="5" width="10.42578125" style="1" bestFit="1" customWidth="1"/>
    <col min="6" max="6" width="7.5703125" style="2" bestFit="1" customWidth="1"/>
    <col min="7" max="7" width="14.5703125" style="1" bestFit="1" customWidth="1"/>
    <col min="8" max="255" width="14.85546875" style="1"/>
    <col min="256" max="256" width="18.140625" style="1" customWidth="1"/>
    <col min="257" max="257" width="13.85546875" style="1" customWidth="1"/>
    <col min="258" max="260" width="10.42578125" style="1" bestFit="1" customWidth="1"/>
    <col min="261" max="261" width="7.5703125" style="1" bestFit="1" customWidth="1"/>
    <col min="262" max="262" width="14.5703125" style="1" bestFit="1" customWidth="1"/>
    <col min="263" max="263" width="5.85546875" style="1" bestFit="1" customWidth="1"/>
    <col min="264" max="511" width="14.85546875" style="1"/>
    <col min="512" max="512" width="18.140625" style="1" customWidth="1"/>
    <col min="513" max="513" width="13.85546875" style="1" customWidth="1"/>
    <col min="514" max="516" width="10.42578125" style="1" bestFit="1" customWidth="1"/>
    <col min="517" max="517" width="7.5703125" style="1" bestFit="1" customWidth="1"/>
    <col min="518" max="518" width="14.5703125" style="1" bestFit="1" customWidth="1"/>
    <col min="519" max="519" width="5.85546875" style="1" bestFit="1" customWidth="1"/>
    <col min="520" max="767" width="14.85546875" style="1"/>
    <col min="768" max="768" width="18.140625" style="1" customWidth="1"/>
    <col min="769" max="769" width="13.85546875" style="1" customWidth="1"/>
    <col min="770" max="772" width="10.42578125" style="1" bestFit="1" customWidth="1"/>
    <col min="773" max="773" width="7.5703125" style="1" bestFit="1" customWidth="1"/>
    <col min="774" max="774" width="14.5703125" style="1" bestFit="1" customWidth="1"/>
    <col min="775" max="775" width="5.85546875" style="1" bestFit="1" customWidth="1"/>
    <col min="776" max="1023" width="14.85546875" style="1"/>
    <col min="1024" max="1024" width="18.140625" style="1" customWidth="1"/>
    <col min="1025" max="1025" width="13.85546875" style="1" customWidth="1"/>
    <col min="1026" max="1028" width="10.42578125" style="1" bestFit="1" customWidth="1"/>
    <col min="1029" max="1029" width="7.5703125" style="1" bestFit="1" customWidth="1"/>
    <col min="1030" max="1030" width="14.5703125" style="1" bestFit="1" customWidth="1"/>
    <col min="1031" max="1031" width="5.85546875" style="1" bestFit="1" customWidth="1"/>
    <col min="1032" max="1279" width="14.85546875" style="1"/>
    <col min="1280" max="1280" width="18.140625" style="1" customWidth="1"/>
    <col min="1281" max="1281" width="13.85546875" style="1" customWidth="1"/>
    <col min="1282" max="1284" width="10.42578125" style="1" bestFit="1" customWidth="1"/>
    <col min="1285" max="1285" width="7.5703125" style="1" bestFit="1" customWidth="1"/>
    <col min="1286" max="1286" width="14.5703125" style="1" bestFit="1" customWidth="1"/>
    <col min="1287" max="1287" width="5.85546875" style="1" bestFit="1" customWidth="1"/>
    <col min="1288" max="1535" width="14.85546875" style="1"/>
    <col min="1536" max="1536" width="18.140625" style="1" customWidth="1"/>
    <col min="1537" max="1537" width="13.85546875" style="1" customWidth="1"/>
    <col min="1538" max="1540" width="10.42578125" style="1" bestFit="1" customWidth="1"/>
    <col min="1541" max="1541" width="7.5703125" style="1" bestFit="1" customWidth="1"/>
    <col min="1542" max="1542" width="14.5703125" style="1" bestFit="1" customWidth="1"/>
    <col min="1543" max="1543" width="5.85546875" style="1" bestFit="1" customWidth="1"/>
    <col min="1544" max="1791" width="14.85546875" style="1"/>
    <col min="1792" max="1792" width="18.140625" style="1" customWidth="1"/>
    <col min="1793" max="1793" width="13.85546875" style="1" customWidth="1"/>
    <col min="1794" max="1796" width="10.42578125" style="1" bestFit="1" customWidth="1"/>
    <col min="1797" max="1797" width="7.5703125" style="1" bestFit="1" customWidth="1"/>
    <col min="1798" max="1798" width="14.5703125" style="1" bestFit="1" customWidth="1"/>
    <col min="1799" max="1799" width="5.85546875" style="1" bestFit="1" customWidth="1"/>
    <col min="1800" max="2047" width="14.85546875" style="1"/>
    <col min="2048" max="2048" width="18.140625" style="1" customWidth="1"/>
    <col min="2049" max="2049" width="13.85546875" style="1" customWidth="1"/>
    <col min="2050" max="2052" width="10.42578125" style="1" bestFit="1" customWidth="1"/>
    <col min="2053" max="2053" width="7.5703125" style="1" bestFit="1" customWidth="1"/>
    <col min="2054" max="2054" width="14.5703125" style="1" bestFit="1" customWidth="1"/>
    <col min="2055" max="2055" width="5.85546875" style="1" bestFit="1" customWidth="1"/>
    <col min="2056" max="2303" width="14.85546875" style="1"/>
    <col min="2304" max="2304" width="18.140625" style="1" customWidth="1"/>
    <col min="2305" max="2305" width="13.85546875" style="1" customWidth="1"/>
    <col min="2306" max="2308" width="10.42578125" style="1" bestFit="1" customWidth="1"/>
    <col min="2309" max="2309" width="7.5703125" style="1" bestFit="1" customWidth="1"/>
    <col min="2310" max="2310" width="14.5703125" style="1" bestFit="1" customWidth="1"/>
    <col min="2311" max="2311" width="5.85546875" style="1" bestFit="1" customWidth="1"/>
    <col min="2312" max="2559" width="14.85546875" style="1"/>
    <col min="2560" max="2560" width="18.140625" style="1" customWidth="1"/>
    <col min="2561" max="2561" width="13.85546875" style="1" customWidth="1"/>
    <col min="2562" max="2564" width="10.42578125" style="1" bestFit="1" customWidth="1"/>
    <col min="2565" max="2565" width="7.5703125" style="1" bestFit="1" customWidth="1"/>
    <col min="2566" max="2566" width="14.5703125" style="1" bestFit="1" customWidth="1"/>
    <col min="2567" max="2567" width="5.85546875" style="1" bestFit="1" customWidth="1"/>
    <col min="2568" max="2815" width="14.85546875" style="1"/>
    <col min="2816" max="2816" width="18.140625" style="1" customWidth="1"/>
    <col min="2817" max="2817" width="13.85546875" style="1" customWidth="1"/>
    <col min="2818" max="2820" width="10.42578125" style="1" bestFit="1" customWidth="1"/>
    <col min="2821" max="2821" width="7.5703125" style="1" bestFit="1" customWidth="1"/>
    <col min="2822" max="2822" width="14.5703125" style="1" bestFit="1" customWidth="1"/>
    <col min="2823" max="2823" width="5.85546875" style="1" bestFit="1" customWidth="1"/>
    <col min="2824" max="3071" width="14.85546875" style="1"/>
    <col min="3072" max="3072" width="18.140625" style="1" customWidth="1"/>
    <col min="3073" max="3073" width="13.85546875" style="1" customWidth="1"/>
    <col min="3074" max="3076" width="10.42578125" style="1" bestFit="1" customWidth="1"/>
    <col min="3077" max="3077" width="7.5703125" style="1" bestFit="1" customWidth="1"/>
    <col min="3078" max="3078" width="14.5703125" style="1" bestFit="1" customWidth="1"/>
    <col min="3079" max="3079" width="5.85546875" style="1" bestFit="1" customWidth="1"/>
    <col min="3080" max="3327" width="14.85546875" style="1"/>
    <col min="3328" max="3328" width="18.140625" style="1" customWidth="1"/>
    <col min="3329" max="3329" width="13.85546875" style="1" customWidth="1"/>
    <col min="3330" max="3332" width="10.42578125" style="1" bestFit="1" customWidth="1"/>
    <col min="3333" max="3333" width="7.5703125" style="1" bestFit="1" customWidth="1"/>
    <col min="3334" max="3334" width="14.5703125" style="1" bestFit="1" customWidth="1"/>
    <col min="3335" max="3335" width="5.85546875" style="1" bestFit="1" customWidth="1"/>
    <col min="3336" max="3583" width="14.85546875" style="1"/>
    <col min="3584" max="3584" width="18.140625" style="1" customWidth="1"/>
    <col min="3585" max="3585" width="13.85546875" style="1" customWidth="1"/>
    <col min="3586" max="3588" width="10.42578125" style="1" bestFit="1" customWidth="1"/>
    <col min="3589" max="3589" width="7.5703125" style="1" bestFit="1" customWidth="1"/>
    <col min="3590" max="3590" width="14.5703125" style="1" bestFit="1" customWidth="1"/>
    <col min="3591" max="3591" width="5.85546875" style="1" bestFit="1" customWidth="1"/>
    <col min="3592" max="3839" width="14.85546875" style="1"/>
    <col min="3840" max="3840" width="18.140625" style="1" customWidth="1"/>
    <col min="3841" max="3841" width="13.85546875" style="1" customWidth="1"/>
    <col min="3842" max="3844" width="10.42578125" style="1" bestFit="1" customWidth="1"/>
    <col min="3845" max="3845" width="7.5703125" style="1" bestFit="1" customWidth="1"/>
    <col min="3846" max="3846" width="14.5703125" style="1" bestFit="1" customWidth="1"/>
    <col min="3847" max="3847" width="5.85546875" style="1" bestFit="1" customWidth="1"/>
    <col min="3848" max="4095" width="14.85546875" style="1"/>
    <col min="4096" max="4096" width="18.140625" style="1" customWidth="1"/>
    <col min="4097" max="4097" width="13.85546875" style="1" customWidth="1"/>
    <col min="4098" max="4100" width="10.42578125" style="1" bestFit="1" customWidth="1"/>
    <col min="4101" max="4101" width="7.5703125" style="1" bestFit="1" customWidth="1"/>
    <col min="4102" max="4102" width="14.5703125" style="1" bestFit="1" customWidth="1"/>
    <col min="4103" max="4103" width="5.85546875" style="1" bestFit="1" customWidth="1"/>
    <col min="4104" max="4351" width="14.85546875" style="1"/>
    <col min="4352" max="4352" width="18.140625" style="1" customWidth="1"/>
    <col min="4353" max="4353" width="13.85546875" style="1" customWidth="1"/>
    <col min="4354" max="4356" width="10.42578125" style="1" bestFit="1" customWidth="1"/>
    <col min="4357" max="4357" width="7.5703125" style="1" bestFit="1" customWidth="1"/>
    <col min="4358" max="4358" width="14.5703125" style="1" bestFit="1" customWidth="1"/>
    <col min="4359" max="4359" width="5.85546875" style="1" bestFit="1" customWidth="1"/>
    <col min="4360" max="4607" width="14.85546875" style="1"/>
    <col min="4608" max="4608" width="18.140625" style="1" customWidth="1"/>
    <col min="4609" max="4609" width="13.85546875" style="1" customWidth="1"/>
    <col min="4610" max="4612" width="10.42578125" style="1" bestFit="1" customWidth="1"/>
    <col min="4613" max="4613" width="7.5703125" style="1" bestFit="1" customWidth="1"/>
    <col min="4614" max="4614" width="14.5703125" style="1" bestFit="1" customWidth="1"/>
    <col min="4615" max="4615" width="5.85546875" style="1" bestFit="1" customWidth="1"/>
    <col min="4616" max="4863" width="14.85546875" style="1"/>
    <col min="4864" max="4864" width="18.140625" style="1" customWidth="1"/>
    <col min="4865" max="4865" width="13.85546875" style="1" customWidth="1"/>
    <col min="4866" max="4868" width="10.42578125" style="1" bestFit="1" customWidth="1"/>
    <col min="4869" max="4869" width="7.5703125" style="1" bestFit="1" customWidth="1"/>
    <col min="4870" max="4870" width="14.5703125" style="1" bestFit="1" customWidth="1"/>
    <col min="4871" max="4871" width="5.85546875" style="1" bestFit="1" customWidth="1"/>
    <col min="4872" max="5119" width="14.85546875" style="1"/>
    <col min="5120" max="5120" width="18.140625" style="1" customWidth="1"/>
    <col min="5121" max="5121" width="13.85546875" style="1" customWidth="1"/>
    <col min="5122" max="5124" width="10.42578125" style="1" bestFit="1" customWidth="1"/>
    <col min="5125" max="5125" width="7.5703125" style="1" bestFit="1" customWidth="1"/>
    <col min="5126" max="5126" width="14.5703125" style="1" bestFit="1" customWidth="1"/>
    <col min="5127" max="5127" width="5.85546875" style="1" bestFit="1" customWidth="1"/>
    <col min="5128" max="5375" width="14.85546875" style="1"/>
    <col min="5376" max="5376" width="18.140625" style="1" customWidth="1"/>
    <col min="5377" max="5377" width="13.85546875" style="1" customWidth="1"/>
    <col min="5378" max="5380" width="10.42578125" style="1" bestFit="1" customWidth="1"/>
    <col min="5381" max="5381" width="7.5703125" style="1" bestFit="1" customWidth="1"/>
    <col min="5382" max="5382" width="14.5703125" style="1" bestFit="1" customWidth="1"/>
    <col min="5383" max="5383" width="5.85546875" style="1" bestFit="1" customWidth="1"/>
    <col min="5384" max="5631" width="14.85546875" style="1"/>
    <col min="5632" max="5632" width="18.140625" style="1" customWidth="1"/>
    <col min="5633" max="5633" width="13.85546875" style="1" customWidth="1"/>
    <col min="5634" max="5636" width="10.42578125" style="1" bestFit="1" customWidth="1"/>
    <col min="5637" max="5637" width="7.5703125" style="1" bestFit="1" customWidth="1"/>
    <col min="5638" max="5638" width="14.5703125" style="1" bestFit="1" customWidth="1"/>
    <col min="5639" max="5639" width="5.85546875" style="1" bestFit="1" customWidth="1"/>
    <col min="5640" max="5887" width="14.85546875" style="1"/>
    <col min="5888" max="5888" width="18.140625" style="1" customWidth="1"/>
    <col min="5889" max="5889" width="13.85546875" style="1" customWidth="1"/>
    <col min="5890" max="5892" width="10.42578125" style="1" bestFit="1" customWidth="1"/>
    <col min="5893" max="5893" width="7.5703125" style="1" bestFit="1" customWidth="1"/>
    <col min="5894" max="5894" width="14.5703125" style="1" bestFit="1" customWidth="1"/>
    <col min="5895" max="5895" width="5.85546875" style="1" bestFit="1" customWidth="1"/>
    <col min="5896" max="6143" width="14.85546875" style="1"/>
    <col min="6144" max="6144" width="18.140625" style="1" customWidth="1"/>
    <col min="6145" max="6145" width="13.85546875" style="1" customWidth="1"/>
    <col min="6146" max="6148" width="10.42578125" style="1" bestFit="1" customWidth="1"/>
    <col min="6149" max="6149" width="7.5703125" style="1" bestFit="1" customWidth="1"/>
    <col min="6150" max="6150" width="14.5703125" style="1" bestFit="1" customWidth="1"/>
    <col min="6151" max="6151" width="5.85546875" style="1" bestFit="1" customWidth="1"/>
    <col min="6152" max="6399" width="14.85546875" style="1"/>
    <col min="6400" max="6400" width="18.140625" style="1" customWidth="1"/>
    <col min="6401" max="6401" width="13.85546875" style="1" customWidth="1"/>
    <col min="6402" max="6404" width="10.42578125" style="1" bestFit="1" customWidth="1"/>
    <col min="6405" max="6405" width="7.5703125" style="1" bestFit="1" customWidth="1"/>
    <col min="6406" max="6406" width="14.5703125" style="1" bestFit="1" customWidth="1"/>
    <col min="6407" max="6407" width="5.85546875" style="1" bestFit="1" customWidth="1"/>
    <col min="6408" max="6655" width="14.85546875" style="1"/>
    <col min="6656" max="6656" width="18.140625" style="1" customWidth="1"/>
    <col min="6657" max="6657" width="13.85546875" style="1" customWidth="1"/>
    <col min="6658" max="6660" width="10.42578125" style="1" bestFit="1" customWidth="1"/>
    <col min="6661" max="6661" width="7.5703125" style="1" bestFit="1" customWidth="1"/>
    <col min="6662" max="6662" width="14.5703125" style="1" bestFit="1" customWidth="1"/>
    <col min="6663" max="6663" width="5.85546875" style="1" bestFit="1" customWidth="1"/>
    <col min="6664" max="6911" width="14.85546875" style="1"/>
    <col min="6912" max="6912" width="18.140625" style="1" customWidth="1"/>
    <col min="6913" max="6913" width="13.85546875" style="1" customWidth="1"/>
    <col min="6914" max="6916" width="10.42578125" style="1" bestFit="1" customWidth="1"/>
    <col min="6917" max="6917" width="7.5703125" style="1" bestFit="1" customWidth="1"/>
    <col min="6918" max="6918" width="14.5703125" style="1" bestFit="1" customWidth="1"/>
    <col min="6919" max="6919" width="5.85546875" style="1" bestFit="1" customWidth="1"/>
    <col min="6920" max="7167" width="14.85546875" style="1"/>
    <col min="7168" max="7168" width="18.140625" style="1" customWidth="1"/>
    <col min="7169" max="7169" width="13.85546875" style="1" customWidth="1"/>
    <col min="7170" max="7172" width="10.42578125" style="1" bestFit="1" customWidth="1"/>
    <col min="7173" max="7173" width="7.5703125" style="1" bestFit="1" customWidth="1"/>
    <col min="7174" max="7174" width="14.5703125" style="1" bestFit="1" customWidth="1"/>
    <col min="7175" max="7175" width="5.85546875" style="1" bestFit="1" customWidth="1"/>
    <col min="7176" max="7423" width="14.85546875" style="1"/>
    <col min="7424" max="7424" width="18.140625" style="1" customWidth="1"/>
    <col min="7425" max="7425" width="13.85546875" style="1" customWidth="1"/>
    <col min="7426" max="7428" width="10.42578125" style="1" bestFit="1" customWidth="1"/>
    <col min="7429" max="7429" width="7.5703125" style="1" bestFit="1" customWidth="1"/>
    <col min="7430" max="7430" width="14.5703125" style="1" bestFit="1" customWidth="1"/>
    <col min="7431" max="7431" width="5.85546875" style="1" bestFit="1" customWidth="1"/>
    <col min="7432" max="7679" width="14.85546875" style="1"/>
    <col min="7680" max="7680" width="18.140625" style="1" customWidth="1"/>
    <col min="7681" max="7681" width="13.85546875" style="1" customWidth="1"/>
    <col min="7682" max="7684" width="10.42578125" style="1" bestFit="1" customWidth="1"/>
    <col min="7685" max="7685" width="7.5703125" style="1" bestFit="1" customWidth="1"/>
    <col min="7686" max="7686" width="14.5703125" style="1" bestFit="1" customWidth="1"/>
    <col min="7687" max="7687" width="5.85546875" style="1" bestFit="1" customWidth="1"/>
    <col min="7688" max="7935" width="14.85546875" style="1"/>
    <col min="7936" max="7936" width="18.140625" style="1" customWidth="1"/>
    <col min="7937" max="7937" width="13.85546875" style="1" customWidth="1"/>
    <col min="7938" max="7940" width="10.42578125" style="1" bestFit="1" customWidth="1"/>
    <col min="7941" max="7941" width="7.5703125" style="1" bestFit="1" customWidth="1"/>
    <col min="7942" max="7942" width="14.5703125" style="1" bestFit="1" customWidth="1"/>
    <col min="7943" max="7943" width="5.85546875" style="1" bestFit="1" customWidth="1"/>
    <col min="7944" max="8191" width="14.85546875" style="1"/>
    <col min="8192" max="8192" width="18.140625" style="1" customWidth="1"/>
    <col min="8193" max="8193" width="13.85546875" style="1" customWidth="1"/>
    <col min="8194" max="8196" width="10.42578125" style="1" bestFit="1" customWidth="1"/>
    <col min="8197" max="8197" width="7.5703125" style="1" bestFit="1" customWidth="1"/>
    <col min="8198" max="8198" width="14.5703125" style="1" bestFit="1" customWidth="1"/>
    <col min="8199" max="8199" width="5.85546875" style="1" bestFit="1" customWidth="1"/>
    <col min="8200" max="8447" width="14.85546875" style="1"/>
    <col min="8448" max="8448" width="18.140625" style="1" customWidth="1"/>
    <col min="8449" max="8449" width="13.85546875" style="1" customWidth="1"/>
    <col min="8450" max="8452" width="10.42578125" style="1" bestFit="1" customWidth="1"/>
    <col min="8453" max="8453" width="7.5703125" style="1" bestFit="1" customWidth="1"/>
    <col min="8454" max="8454" width="14.5703125" style="1" bestFit="1" customWidth="1"/>
    <col min="8455" max="8455" width="5.85546875" style="1" bestFit="1" customWidth="1"/>
    <col min="8456" max="8703" width="14.85546875" style="1"/>
    <col min="8704" max="8704" width="18.140625" style="1" customWidth="1"/>
    <col min="8705" max="8705" width="13.85546875" style="1" customWidth="1"/>
    <col min="8706" max="8708" width="10.42578125" style="1" bestFit="1" customWidth="1"/>
    <col min="8709" max="8709" width="7.5703125" style="1" bestFit="1" customWidth="1"/>
    <col min="8710" max="8710" width="14.5703125" style="1" bestFit="1" customWidth="1"/>
    <col min="8711" max="8711" width="5.85546875" style="1" bestFit="1" customWidth="1"/>
    <col min="8712" max="8959" width="14.85546875" style="1"/>
    <col min="8960" max="8960" width="18.140625" style="1" customWidth="1"/>
    <col min="8961" max="8961" width="13.85546875" style="1" customWidth="1"/>
    <col min="8962" max="8964" width="10.42578125" style="1" bestFit="1" customWidth="1"/>
    <col min="8965" max="8965" width="7.5703125" style="1" bestFit="1" customWidth="1"/>
    <col min="8966" max="8966" width="14.5703125" style="1" bestFit="1" customWidth="1"/>
    <col min="8967" max="8967" width="5.85546875" style="1" bestFit="1" customWidth="1"/>
    <col min="8968" max="9215" width="14.85546875" style="1"/>
    <col min="9216" max="9216" width="18.140625" style="1" customWidth="1"/>
    <col min="9217" max="9217" width="13.85546875" style="1" customWidth="1"/>
    <col min="9218" max="9220" width="10.42578125" style="1" bestFit="1" customWidth="1"/>
    <col min="9221" max="9221" width="7.5703125" style="1" bestFit="1" customWidth="1"/>
    <col min="9222" max="9222" width="14.5703125" style="1" bestFit="1" customWidth="1"/>
    <col min="9223" max="9223" width="5.85546875" style="1" bestFit="1" customWidth="1"/>
    <col min="9224" max="9471" width="14.85546875" style="1"/>
    <col min="9472" max="9472" width="18.140625" style="1" customWidth="1"/>
    <col min="9473" max="9473" width="13.85546875" style="1" customWidth="1"/>
    <col min="9474" max="9476" width="10.42578125" style="1" bestFit="1" customWidth="1"/>
    <col min="9477" max="9477" width="7.5703125" style="1" bestFit="1" customWidth="1"/>
    <col min="9478" max="9478" width="14.5703125" style="1" bestFit="1" customWidth="1"/>
    <col min="9479" max="9479" width="5.85546875" style="1" bestFit="1" customWidth="1"/>
    <col min="9480" max="9727" width="14.85546875" style="1"/>
    <col min="9728" max="9728" width="18.140625" style="1" customWidth="1"/>
    <col min="9729" max="9729" width="13.85546875" style="1" customWidth="1"/>
    <col min="9730" max="9732" width="10.42578125" style="1" bestFit="1" customWidth="1"/>
    <col min="9733" max="9733" width="7.5703125" style="1" bestFit="1" customWidth="1"/>
    <col min="9734" max="9734" width="14.5703125" style="1" bestFit="1" customWidth="1"/>
    <col min="9735" max="9735" width="5.85546875" style="1" bestFit="1" customWidth="1"/>
    <col min="9736" max="9983" width="14.85546875" style="1"/>
    <col min="9984" max="9984" width="18.140625" style="1" customWidth="1"/>
    <col min="9985" max="9985" width="13.85546875" style="1" customWidth="1"/>
    <col min="9986" max="9988" width="10.42578125" style="1" bestFit="1" customWidth="1"/>
    <col min="9989" max="9989" width="7.5703125" style="1" bestFit="1" customWidth="1"/>
    <col min="9990" max="9990" width="14.5703125" style="1" bestFit="1" customWidth="1"/>
    <col min="9991" max="9991" width="5.85546875" style="1" bestFit="1" customWidth="1"/>
    <col min="9992" max="10239" width="14.85546875" style="1"/>
    <col min="10240" max="10240" width="18.140625" style="1" customWidth="1"/>
    <col min="10241" max="10241" width="13.85546875" style="1" customWidth="1"/>
    <col min="10242" max="10244" width="10.42578125" style="1" bestFit="1" customWidth="1"/>
    <col min="10245" max="10245" width="7.5703125" style="1" bestFit="1" customWidth="1"/>
    <col min="10246" max="10246" width="14.5703125" style="1" bestFit="1" customWidth="1"/>
    <col min="10247" max="10247" width="5.85546875" style="1" bestFit="1" customWidth="1"/>
    <col min="10248" max="10495" width="14.85546875" style="1"/>
    <col min="10496" max="10496" width="18.140625" style="1" customWidth="1"/>
    <col min="10497" max="10497" width="13.85546875" style="1" customWidth="1"/>
    <col min="10498" max="10500" width="10.42578125" style="1" bestFit="1" customWidth="1"/>
    <col min="10501" max="10501" width="7.5703125" style="1" bestFit="1" customWidth="1"/>
    <col min="10502" max="10502" width="14.5703125" style="1" bestFit="1" customWidth="1"/>
    <col min="10503" max="10503" width="5.85546875" style="1" bestFit="1" customWidth="1"/>
    <col min="10504" max="10751" width="14.85546875" style="1"/>
    <col min="10752" max="10752" width="18.140625" style="1" customWidth="1"/>
    <col min="10753" max="10753" width="13.85546875" style="1" customWidth="1"/>
    <col min="10754" max="10756" width="10.42578125" style="1" bestFit="1" customWidth="1"/>
    <col min="10757" max="10757" width="7.5703125" style="1" bestFit="1" customWidth="1"/>
    <col min="10758" max="10758" width="14.5703125" style="1" bestFit="1" customWidth="1"/>
    <col min="10759" max="10759" width="5.85546875" style="1" bestFit="1" customWidth="1"/>
    <col min="10760" max="11007" width="14.85546875" style="1"/>
    <col min="11008" max="11008" width="18.140625" style="1" customWidth="1"/>
    <col min="11009" max="11009" width="13.85546875" style="1" customWidth="1"/>
    <col min="11010" max="11012" width="10.42578125" style="1" bestFit="1" customWidth="1"/>
    <col min="11013" max="11013" width="7.5703125" style="1" bestFit="1" customWidth="1"/>
    <col min="11014" max="11014" width="14.5703125" style="1" bestFit="1" customWidth="1"/>
    <col min="11015" max="11015" width="5.85546875" style="1" bestFit="1" customWidth="1"/>
    <col min="11016" max="11263" width="14.85546875" style="1"/>
    <col min="11264" max="11264" width="18.140625" style="1" customWidth="1"/>
    <col min="11265" max="11265" width="13.85546875" style="1" customWidth="1"/>
    <col min="11266" max="11268" width="10.42578125" style="1" bestFit="1" customWidth="1"/>
    <col min="11269" max="11269" width="7.5703125" style="1" bestFit="1" customWidth="1"/>
    <col min="11270" max="11270" width="14.5703125" style="1" bestFit="1" customWidth="1"/>
    <col min="11271" max="11271" width="5.85546875" style="1" bestFit="1" customWidth="1"/>
    <col min="11272" max="11519" width="14.85546875" style="1"/>
    <col min="11520" max="11520" width="18.140625" style="1" customWidth="1"/>
    <col min="11521" max="11521" width="13.85546875" style="1" customWidth="1"/>
    <col min="11522" max="11524" width="10.42578125" style="1" bestFit="1" customWidth="1"/>
    <col min="11525" max="11525" width="7.5703125" style="1" bestFit="1" customWidth="1"/>
    <col min="11526" max="11526" width="14.5703125" style="1" bestFit="1" customWidth="1"/>
    <col min="11527" max="11527" width="5.85546875" style="1" bestFit="1" customWidth="1"/>
    <col min="11528" max="11775" width="14.85546875" style="1"/>
    <col min="11776" max="11776" width="18.140625" style="1" customWidth="1"/>
    <col min="11777" max="11777" width="13.85546875" style="1" customWidth="1"/>
    <col min="11778" max="11780" width="10.42578125" style="1" bestFit="1" customWidth="1"/>
    <col min="11781" max="11781" width="7.5703125" style="1" bestFit="1" customWidth="1"/>
    <col min="11782" max="11782" width="14.5703125" style="1" bestFit="1" customWidth="1"/>
    <col min="11783" max="11783" width="5.85546875" style="1" bestFit="1" customWidth="1"/>
    <col min="11784" max="12031" width="14.85546875" style="1"/>
    <col min="12032" max="12032" width="18.140625" style="1" customWidth="1"/>
    <col min="12033" max="12033" width="13.85546875" style="1" customWidth="1"/>
    <col min="12034" max="12036" width="10.42578125" style="1" bestFit="1" customWidth="1"/>
    <col min="12037" max="12037" width="7.5703125" style="1" bestFit="1" customWidth="1"/>
    <col min="12038" max="12038" width="14.5703125" style="1" bestFit="1" customWidth="1"/>
    <col min="12039" max="12039" width="5.85546875" style="1" bestFit="1" customWidth="1"/>
    <col min="12040" max="12287" width="14.85546875" style="1"/>
    <col min="12288" max="12288" width="18.140625" style="1" customWidth="1"/>
    <col min="12289" max="12289" width="13.85546875" style="1" customWidth="1"/>
    <col min="12290" max="12292" width="10.42578125" style="1" bestFit="1" customWidth="1"/>
    <col min="12293" max="12293" width="7.5703125" style="1" bestFit="1" customWidth="1"/>
    <col min="12294" max="12294" width="14.5703125" style="1" bestFit="1" customWidth="1"/>
    <col min="12295" max="12295" width="5.85546875" style="1" bestFit="1" customWidth="1"/>
    <col min="12296" max="12543" width="14.85546875" style="1"/>
    <col min="12544" max="12544" width="18.140625" style="1" customWidth="1"/>
    <col min="12545" max="12545" width="13.85546875" style="1" customWidth="1"/>
    <col min="12546" max="12548" width="10.42578125" style="1" bestFit="1" customWidth="1"/>
    <col min="12549" max="12549" width="7.5703125" style="1" bestFit="1" customWidth="1"/>
    <col min="12550" max="12550" width="14.5703125" style="1" bestFit="1" customWidth="1"/>
    <col min="12551" max="12551" width="5.85546875" style="1" bestFit="1" customWidth="1"/>
    <col min="12552" max="12799" width="14.85546875" style="1"/>
    <col min="12800" max="12800" width="18.140625" style="1" customWidth="1"/>
    <col min="12801" max="12801" width="13.85546875" style="1" customWidth="1"/>
    <col min="12802" max="12804" width="10.42578125" style="1" bestFit="1" customWidth="1"/>
    <col min="12805" max="12805" width="7.5703125" style="1" bestFit="1" customWidth="1"/>
    <col min="12806" max="12806" width="14.5703125" style="1" bestFit="1" customWidth="1"/>
    <col min="12807" max="12807" width="5.85546875" style="1" bestFit="1" customWidth="1"/>
    <col min="12808" max="13055" width="14.85546875" style="1"/>
    <col min="13056" max="13056" width="18.140625" style="1" customWidth="1"/>
    <col min="13057" max="13057" width="13.85546875" style="1" customWidth="1"/>
    <col min="13058" max="13060" width="10.42578125" style="1" bestFit="1" customWidth="1"/>
    <col min="13061" max="13061" width="7.5703125" style="1" bestFit="1" customWidth="1"/>
    <col min="13062" max="13062" width="14.5703125" style="1" bestFit="1" customWidth="1"/>
    <col min="13063" max="13063" width="5.85546875" style="1" bestFit="1" customWidth="1"/>
    <col min="13064" max="13311" width="14.85546875" style="1"/>
    <col min="13312" max="13312" width="18.140625" style="1" customWidth="1"/>
    <col min="13313" max="13313" width="13.85546875" style="1" customWidth="1"/>
    <col min="13314" max="13316" width="10.42578125" style="1" bestFit="1" customWidth="1"/>
    <col min="13317" max="13317" width="7.5703125" style="1" bestFit="1" customWidth="1"/>
    <col min="13318" max="13318" width="14.5703125" style="1" bestFit="1" customWidth="1"/>
    <col min="13319" max="13319" width="5.85546875" style="1" bestFit="1" customWidth="1"/>
    <col min="13320" max="13567" width="14.85546875" style="1"/>
    <col min="13568" max="13568" width="18.140625" style="1" customWidth="1"/>
    <col min="13569" max="13569" width="13.85546875" style="1" customWidth="1"/>
    <col min="13570" max="13572" width="10.42578125" style="1" bestFit="1" customWidth="1"/>
    <col min="13573" max="13573" width="7.5703125" style="1" bestFit="1" customWidth="1"/>
    <col min="13574" max="13574" width="14.5703125" style="1" bestFit="1" customWidth="1"/>
    <col min="13575" max="13575" width="5.85546875" style="1" bestFit="1" customWidth="1"/>
    <col min="13576" max="13823" width="14.85546875" style="1"/>
    <col min="13824" max="13824" width="18.140625" style="1" customWidth="1"/>
    <col min="13825" max="13825" width="13.85546875" style="1" customWidth="1"/>
    <col min="13826" max="13828" width="10.42578125" style="1" bestFit="1" customWidth="1"/>
    <col min="13829" max="13829" width="7.5703125" style="1" bestFit="1" customWidth="1"/>
    <col min="13830" max="13830" width="14.5703125" style="1" bestFit="1" customWidth="1"/>
    <col min="13831" max="13831" width="5.85546875" style="1" bestFit="1" customWidth="1"/>
    <col min="13832" max="14079" width="14.85546875" style="1"/>
    <col min="14080" max="14080" width="18.140625" style="1" customWidth="1"/>
    <col min="14081" max="14081" width="13.85546875" style="1" customWidth="1"/>
    <col min="14082" max="14084" width="10.42578125" style="1" bestFit="1" customWidth="1"/>
    <col min="14085" max="14085" width="7.5703125" style="1" bestFit="1" customWidth="1"/>
    <col min="14086" max="14086" width="14.5703125" style="1" bestFit="1" customWidth="1"/>
    <col min="14087" max="14087" width="5.85546875" style="1" bestFit="1" customWidth="1"/>
    <col min="14088" max="14335" width="14.85546875" style="1"/>
    <col min="14336" max="14336" width="18.140625" style="1" customWidth="1"/>
    <col min="14337" max="14337" width="13.85546875" style="1" customWidth="1"/>
    <col min="14338" max="14340" width="10.42578125" style="1" bestFit="1" customWidth="1"/>
    <col min="14341" max="14341" width="7.5703125" style="1" bestFit="1" customWidth="1"/>
    <col min="14342" max="14342" width="14.5703125" style="1" bestFit="1" customWidth="1"/>
    <col min="14343" max="14343" width="5.85546875" style="1" bestFit="1" customWidth="1"/>
    <col min="14344" max="14591" width="14.85546875" style="1"/>
    <col min="14592" max="14592" width="18.140625" style="1" customWidth="1"/>
    <col min="14593" max="14593" width="13.85546875" style="1" customWidth="1"/>
    <col min="14594" max="14596" width="10.42578125" style="1" bestFit="1" customWidth="1"/>
    <col min="14597" max="14597" width="7.5703125" style="1" bestFit="1" customWidth="1"/>
    <col min="14598" max="14598" width="14.5703125" style="1" bestFit="1" customWidth="1"/>
    <col min="14599" max="14599" width="5.85546875" style="1" bestFit="1" customWidth="1"/>
    <col min="14600" max="14847" width="14.85546875" style="1"/>
    <col min="14848" max="14848" width="18.140625" style="1" customWidth="1"/>
    <col min="14849" max="14849" width="13.85546875" style="1" customWidth="1"/>
    <col min="14850" max="14852" width="10.42578125" style="1" bestFit="1" customWidth="1"/>
    <col min="14853" max="14853" width="7.5703125" style="1" bestFit="1" customWidth="1"/>
    <col min="14854" max="14854" width="14.5703125" style="1" bestFit="1" customWidth="1"/>
    <col min="14855" max="14855" width="5.85546875" style="1" bestFit="1" customWidth="1"/>
    <col min="14856" max="15103" width="14.85546875" style="1"/>
    <col min="15104" max="15104" width="18.140625" style="1" customWidth="1"/>
    <col min="15105" max="15105" width="13.85546875" style="1" customWidth="1"/>
    <col min="15106" max="15108" width="10.42578125" style="1" bestFit="1" customWidth="1"/>
    <col min="15109" max="15109" width="7.5703125" style="1" bestFit="1" customWidth="1"/>
    <col min="15110" max="15110" width="14.5703125" style="1" bestFit="1" customWidth="1"/>
    <col min="15111" max="15111" width="5.85546875" style="1" bestFit="1" customWidth="1"/>
    <col min="15112" max="15359" width="14.85546875" style="1"/>
    <col min="15360" max="15360" width="18.140625" style="1" customWidth="1"/>
    <col min="15361" max="15361" width="13.85546875" style="1" customWidth="1"/>
    <col min="15362" max="15364" width="10.42578125" style="1" bestFit="1" customWidth="1"/>
    <col min="15365" max="15365" width="7.5703125" style="1" bestFit="1" customWidth="1"/>
    <col min="15366" max="15366" width="14.5703125" style="1" bestFit="1" customWidth="1"/>
    <col min="15367" max="15367" width="5.85546875" style="1" bestFit="1" customWidth="1"/>
    <col min="15368" max="15615" width="14.85546875" style="1"/>
    <col min="15616" max="15616" width="18.140625" style="1" customWidth="1"/>
    <col min="15617" max="15617" width="13.85546875" style="1" customWidth="1"/>
    <col min="15618" max="15620" width="10.42578125" style="1" bestFit="1" customWidth="1"/>
    <col min="15621" max="15621" width="7.5703125" style="1" bestFit="1" customWidth="1"/>
    <col min="15622" max="15622" width="14.5703125" style="1" bestFit="1" customWidth="1"/>
    <col min="15623" max="15623" width="5.85546875" style="1" bestFit="1" customWidth="1"/>
    <col min="15624" max="15871" width="14.85546875" style="1"/>
    <col min="15872" max="15872" width="18.140625" style="1" customWidth="1"/>
    <col min="15873" max="15873" width="13.85546875" style="1" customWidth="1"/>
    <col min="15874" max="15876" width="10.42578125" style="1" bestFit="1" customWidth="1"/>
    <col min="15877" max="15877" width="7.5703125" style="1" bestFit="1" customWidth="1"/>
    <col min="15878" max="15878" width="14.5703125" style="1" bestFit="1" customWidth="1"/>
    <col min="15879" max="15879" width="5.85546875" style="1" bestFit="1" customWidth="1"/>
    <col min="15880" max="16127" width="14.85546875" style="1"/>
    <col min="16128" max="16128" width="18.140625" style="1" customWidth="1"/>
    <col min="16129" max="16129" width="13.85546875" style="1" customWidth="1"/>
    <col min="16130" max="16132" width="10.42578125" style="1" bestFit="1" customWidth="1"/>
    <col min="16133" max="16133" width="7.5703125" style="1" bestFit="1" customWidth="1"/>
    <col min="16134" max="16134" width="14.5703125" style="1" bestFit="1" customWidth="1"/>
    <col min="16135" max="16135" width="5.85546875" style="1" bestFit="1" customWidth="1"/>
    <col min="16136" max="16384" width="14.85546875" style="1"/>
  </cols>
  <sheetData>
    <row r="5" spans="1:7" ht="15.75" thickBot="1" x14ac:dyDescent="0.25"/>
    <row r="6" spans="1:7" ht="21.75" thickTop="1" thickBot="1" x14ac:dyDescent="0.35">
      <c r="A6" s="3" t="s">
        <v>0</v>
      </c>
      <c r="B6" s="4"/>
      <c r="C6" s="4"/>
      <c r="D6" s="4"/>
      <c r="E6" s="4"/>
      <c r="F6" s="4"/>
      <c r="G6" s="5"/>
    </row>
    <row r="7" spans="1:7" ht="15.75" thickTop="1" x14ac:dyDescent="0.2"/>
    <row r="9" spans="1:7" s="8" customFormat="1" ht="29.25" customHeight="1" x14ac:dyDescent="0.25">
      <c r="A9" s="6" t="s">
        <v>1</v>
      </c>
      <c r="B9" s="7"/>
      <c r="C9" s="7"/>
      <c r="D9" s="7"/>
      <c r="E9" s="7"/>
      <c r="F9" s="7"/>
      <c r="G9" s="7"/>
    </row>
    <row r="10" spans="1:7" s="8" customFormat="1" ht="15.75" thickBot="1" x14ac:dyDescent="0.25">
      <c r="A10" s="9" t="s">
        <v>2</v>
      </c>
      <c r="B10" s="10" t="s">
        <v>3</v>
      </c>
      <c r="C10" s="9" t="s">
        <v>4</v>
      </c>
      <c r="D10" s="9" t="s">
        <v>5</v>
      </c>
      <c r="E10" s="9" t="s">
        <v>6</v>
      </c>
      <c r="F10" s="9" t="s">
        <v>7</v>
      </c>
      <c r="G10" s="9" t="s">
        <v>8</v>
      </c>
    </row>
    <row r="11" spans="1:7" s="8" customFormat="1" x14ac:dyDescent="0.25">
      <c r="A11" s="11">
        <v>36896</v>
      </c>
      <c r="B11" s="12" t="s">
        <v>9</v>
      </c>
      <c r="C11" s="13">
        <v>100000</v>
      </c>
      <c r="D11" s="14">
        <v>60000</v>
      </c>
      <c r="E11" s="14">
        <f t="shared" ref="E11:E16" si="0">C11-D11</f>
        <v>40000</v>
      </c>
      <c r="F11" s="9">
        <v>12</v>
      </c>
      <c r="G11" s="14">
        <f t="shared" ref="G11:G16" si="1">F11/100*E11</f>
        <v>4800</v>
      </c>
    </row>
    <row r="12" spans="1:7" s="8" customFormat="1" x14ac:dyDescent="0.25">
      <c r="A12" s="11">
        <v>36917</v>
      </c>
      <c r="B12" s="15" t="s">
        <v>10</v>
      </c>
      <c r="C12" s="13">
        <v>60000</v>
      </c>
      <c r="D12" s="14">
        <v>57896</v>
      </c>
      <c r="E12" s="14">
        <f t="shared" si="0"/>
        <v>2104</v>
      </c>
      <c r="F12" s="9">
        <v>12</v>
      </c>
      <c r="G12" s="14">
        <f t="shared" si="1"/>
        <v>252.48</v>
      </c>
    </row>
    <row r="13" spans="1:7" s="8" customFormat="1" x14ac:dyDescent="0.25">
      <c r="A13" s="11">
        <v>36897</v>
      </c>
      <c r="B13" s="15" t="s">
        <v>10</v>
      </c>
      <c r="C13" s="13">
        <v>89560</v>
      </c>
      <c r="D13" s="14">
        <v>2566</v>
      </c>
      <c r="E13" s="14">
        <f t="shared" si="0"/>
        <v>86994</v>
      </c>
      <c r="F13" s="9">
        <v>12</v>
      </c>
      <c r="G13" s="14">
        <f t="shared" si="1"/>
        <v>10439.279999999999</v>
      </c>
    </row>
    <row r="14" spans="1:7" s="8" customFormat="1" x14ac:dyDescent="0.25">
      <c r="A14" s="11">
        <v>36917</v>
      </c>
      <c r="B14" s="15" t="s">
        <v>9</v>
      </c>
      <c r="C14" s="13">
        <v>80000</v>
      </c>
      <c r="D14" s="14">
        <v>50000</v>
      </c>
      <c r="E14" s="14">
        <f t="shared" si="0"/>
        <v>30000</v>
      </c>
      <c r="F14" s="9">
        <v>12</v>
      </c>
      <c r="G14" s="14">
        <f t="shared" si="1"/>
        <v>3600</v>
      </c>
    </row>
    <row r="15" spans="1:7" s="8" customFormat="1" x14ac:dyDescent="0.25">
      <c r="A15" s="11">
        <v>36897</v>
      </c>
      <c r="B15" s="15" t="s">
        <v>10</v>
      </c>
      <c r="C15" s="13">
        <v>60000</v>
      </c>
      <c r="D15" s="14">
        <v>30000</v>
      </c>
      <c r="E15" s="14">
        <f t="shared" si="0"/>
        <v>30000</v>
      </c>
      <c r="F15" s="9">
        <v>12</v>
      </c>
      <c r="G15" s="14">
        <f t="shared" si="1"/>
        <v>3600</v>
      </c>
    </row>
    <row r="16" spans="1:7" s="8" customFormat="1" ht="15.75" thickBot="1" x14ac:dyDescent="0.3">
      <c r="A16" s="11">
        <v>36898</v>
      </c>
      <c r="B16" s="16" t="s">
        <v>11</v>
      </c>
      <c r="C16" s="13">
        <v>70000</v>
      </c>
      <c r="D16" s="14">
        <v>40000</v>
      </c>
      <c r="E16" s="14">
        <f t="shared" si="0"/>
        <v>30000</v>
      </c>
      <c r="F16" s="9">
        <v>12</v>
      </c>
      <c r="G16" s="14">
        <f t="shared" si="1"/>
        <v>3600</v>
      </c>
    </row>
    <row r="17" spans="1:7" s="8" customFormat="1" x14ac:dyDescent="0.2">
      <c r="B17" s="17" t="s">
        <v>12</v>
      </c>
      <c r="C17" s="18">
        <f>SUM(C11:C16)</f>
        <v>459560</v>
      </c>
      <c r="D17" s="18">
        <f>SUM(D11:D16)</f>
        <v>240462</v>
      </c>
      <c r="E17" s="18">
        <f>SUM(E11:E16)</f>
        <v>219098</v>
      </c>
      <c r="F17" s="19"/>
      <c r="G17" s="18">
        <f>SUM(G11:G16)</f>
        <v>26291.759999999998</v>
      </c>
    </row>
    <row r="18" spans="1:7" x14ac:dyDescent="0.2">
      <c r="A18" s="20" t="s">
        <v>13</v>
      </c>
      <c r="B18" s="21"/>
      <c r="C18" s="18">
        <f>AVERAGE(C11:C16)</f>
        <v>76593.333333333328</v>
      </c>
      <c r="D18" s="18">
        <f>AVERAGE(D11:D16)</f>
        <v>40077</v>
      </c>
      <c r="E18" s="18">
        <f>AVERAGE(E11:E16)</f>
        <v>36516.333333333336</v>
      </c>
      <c r="F18" s="19"/>
      <c r="G18" s="18">
        <f>AVERAGE(G11:G16)</f>
        <v>4381.96</v>
      </c>
    </row>
    <row r="19" spans="1:7" x14ac:dyDescent="0.2">
      <c r="A19" s="20" t="s">
        <v>14</v>
      </c>
      <c r="B19" s="21"/>
      <c r="C19" s="18">
        <f>MAX(C11:C16)</f>
        <v>100000</v>
      </c>
      <c r="D19" s="18">
        <f>MAX(D11:D16)</f>
        <v>60000</v>
      </c>
      <c r="E19" s="18">
        <f>MAX(E11:E16)</f>
        <v>86994</v>
      </c>
      <c r="F19" s="19"/>
      <c r="G19" s="18">
        <f>MAX(G11:G16)</f>
        <v>10439.279999999999</v>
      </c>
    </row>
    <row r="20" spans="1:7" x14ac:dyDescent="0.2">
      <c r="A20" s="22"/>
      <c r="B20" s="22"/>
      <c r="C20" s="22"/>
      <c r="D20" s="22"/>
      <c r="E20" s="22"/>
      <c r="F20" s="9"/>
      <c r="G20" s="22"/>
    </row>
    <row r="21" spans="1:7" x14ac:dyDescent="0.2">
      <c r="A21" s="23" t="s">
        <v>15</v>
      </c>
      <c r="B21" s="24"/>
      <c r="C21" s="22"/>
      <c r="D21" s="22"/>
      <c r="E21" s="22"/>
      <c r="F21" s="9"/>
      <c r="G21" s="22"/>
    </row>
    <row r="22" spans="1:7" x14ac:dyDescent="0.2">
      <c r="A22" s="25"/>
      <c r="B22" s="26"/>
      <c r="C22" s="22"/>
      <c r="D22" s="22"/>
      <c r="E22" s="22"/>
      <c r="F22" s="9"/>
      <c r="G22" s="22"/>
    </row>
    <row r="23" spans="1:7" x14ac:dyDescent="0.2">
      <c r="A23" s="27" t="s">
        <v>16</v>
      </c>
      <c r="B23" s="28"/>
      <c r="C23" s="22"/>
      <c r="D23" s="22"/>
      <c r="E23" s="29"/>
      <c r="F23" s="9"/>
      <c r="G23" s="22"/>
    </row>
    <row r="24" spans="1:7" x14ac:dyDescent="0.2">
      <c r="A24" s="22" t="s">
        <v>9</v>
      </c>
      <c r="B24" s="30"/>
      <c r="C24" s="22"/>
      <c r="D24" s="22"/>
      <c r="E24" s="22"/>
      <c r="F24" s="9"/>
      <c r="G24" s="22"/>
    </row>
    <row r="25" spans="1:7" x14ac:dyDescent="0.2">
      <c r="A25" s="22" t="s">
        <v>10</v>
      </c>
      <c r="B25" s="30"/>
      <c r="C25" s="22"/>
      <c r="D25" s="22"/>
      <c r="E25" s="22"/>
      <c r="F25" s="9"/>
      <c r="G25" s="22"/>
    </row>
    <row r="26" spans="1:7" x14ac:dyDescent="0.2">
      <c r="A26" s="22" t="s">
        <v>11</v>
      </c>
      <c r="B26" s="30"/>
      <c r="C26" s="22"/>
      <c r="D26" s="22"/>
      <c r="E26" s="22"/>
      <c r="F26" s="9"/>
      <c r="G26" s="22"/>
    </row>
  </sheetData>
  <mergeCells count="5">
    <mergeCell ref="A6:G6"/>
    <mergeCell ref="A9:G9"/>
    <mergeCell ref="A18:B18"/>
    <mergeCell ref="A19:B19"/>
    <mergeCell ref="A23:B23"/>
  </mergeCells>
  <printOptions horizontalCentered="1"/>
  <pageMargins left="0.78740157480314965" right="0.78740157480314965" top="0.81" bottom="0.51181102362204722" header="0.51181102362204722" footer="0.51181102362204722"/>
  <pageSetup paperSize="9" orientation="landscape" horizontalDpi="4294967292" verticalDpi="4294967292" r:id="rId1"/>
  <headerFooter alignWithMargins="0">
    <oddHeader>&amp;L&amp;"Verdana,Gras"PROFORMATION</oddHeader>
    <oddFooter>&amp;L&amp;"Verdana,Normal"Thème 2 - Séquence 2
Les fonctions de calcul&amp;R&amp;"Arial,Italique"&amp;F - 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NB.SI Exo </vt:lpstr>
    </vt:vector>
  </TitlesOfParts>
  <Company>AMJ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</dc:creator>
  <cp:lastModifiedBy>Sandrine</cp:lastModifiedBy>
  <dcterms:created xsi:type="dcterms:W3CDTF">2014-10-01T13:40:34Z</dcterms:created>
  <dcterms:modified xsi:type="dcterms:W3CDTF">2014-10-01T13:41:32Z</dcterms:modified>
</cp:coreProperties>
</file>