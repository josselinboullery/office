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ble 1\Documents\Exo sandrine\XL3\DEBUT EXCEL PERF\"/>
    </mc:Choice>
  </mc:AlternateContent>
  <xr:revisionPtr revIDLastSave="0" documentId="13_ncr:1_{AE8B140C-C29C-4F87-85E6-05A18A8DFE1B}" xr6:coauthVersionLast="36" xr6:coauthVersionMax="36" xr10:uidLastSave="{00000000-0000-0000-0000-000000000000}"/>
  <bookViews>
    <workbookView xWindow="0" yWindow="0" windowWidth="24000" windowHeight="8925" xr2:uid="{A70CE26F-35B6-4F13-9C11-8D424058CFF1}"/>
  </bookViews>
  <sheets>
    <sheet name="CODES PAYS" sheetId="2" r:id="rId1"/>
    <sheet name="CODES PAYS CORRIGE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3" l="1"/>
  <c r="K2" i="3" s="1"/>
  <c r="A2" i="3" l="1"/>
  <c r="H2" i="3"/>
  <c r="J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</calcChain>
</file>

<file path=xl/sharedStrings.xml><?xml version="1.0" encoding="utf-8"?>
<sst xmlns="http://schemas.openxmlformats.org/spreadsheetml/2006/main" count="215" uniqueCount="33">
  <si>
    <t>Manchester</t>
  </si>
  <si>
    <t>UK</t>
  </si>
  <si>
    <t>Liverpool</t>
  </si>
  <si>
    <t>Cannes</t>
  </si>
  <si>
    <t>France</t>
  </si>
  <si>
    <t>Marseille</t>
  </si>
  <si>
    <t>Sevilla</t>
  </si>
  <si>
    <t>España</t>
  </si>
  <si>
    <t>Madrid</t>
  </si>
  <si>
    <t>Mois en lettres</t>
  </si>
  <si>
    <t>N° du Mois</t>
  </si>
  <si>
    <t>Pays</t>
  </si>
  <si>
    <t>Code</t>
  </si>
  <si>
    <t>Résultats</t>
  </si>
  <si>
    <t>Mois</t>
  </si>
  <si>
    <t>Villes</t>
  </si>
  <si>
    <t>Solution</t>
  </si>
  <si>
    <t>Fonction date + format MMMM</t>
  </si>
  <si>
    <t>Si (mais cela est long)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</si>
  <si>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</si>
  <si>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</si>
  <si>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</si>
  <si>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</si>
  <si>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</si>
  <si>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</si>
  <si>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</si>
  <si>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</si>
  <si>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</si>
  <si>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</si>
  <si>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</si>
  <si>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</si>
  <si>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Recherchev avec matrice (attention cnum car janvier contient la fonction STXT)</t>
  </si>
  <si>
    <t>ESMa1_23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</si>
</sst>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name val="Calibri"/>
      <family val="2"/>
      <scheme val="minor"/>
    </font>
    <font>
      <sz val="12"/>
      <color indexed="62"/>
      <name val="Calibri"/>
      <family val="2"/>
      <scheme val="minor"/>
    </font>
    <font>
      <sz val="14"/>
      <name val="Calibri"/>
      <family val="2"/>
      <scheme val="minor"/>
    </font>
    <font>
      <sz val="14"/>
      <color indexed="9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2" tint="-0.749992370372631"/>
        <bgColor indexed="64"/>
      </patternFill>
    </fill>
  </fills>
  <borders count="16">
    <border>
      <left/>
      <right/>
      <top/>
      <bottom/>
      <diagonal/>
    </border>
    <border>
      <left style="hair">
        <color theme="1" tint="-0.24994659260841701"/>
      </left>
      <right style="double">
        <color theme="1" tint="-0.24994659260841701"/>
      </right>
      <top style="hair">
        <color theme="1" tint="-0.24994659260841701"/>
      </top>
      <bottom style="double">
        <color theme="1" tint="-0.24994659260841701"/>
      </bottom>
      <diagonal/>
    </border>
    <border>
      <left style="hair">
        <color theme="1" tint="-0.24994659260841701"/>
      </left>
      <right style="hair">
        <color theme="1" tint="-0.24994659260841701"/>
      </right>
      <top style="hair">
        <color theme="1" tint="-0.24994659260841701"/>
      </top>
      <bottom style="double">
        <color theme="1" tint="-0.24994659260841701"/>
      </bottom>
      <diagonal/>
    </border>
    <border>
      <left style="double">
        <color theme="1" tint="-0.24994659260841701"/>
      </left>
      <right style="hair">
        <color theme="1" tint="-0.24994659260841701"/>
      </right>
      <top style="hair">
        <color theme="1" tint="-0.24994659260841701"/>
      </top>
      <bottom style="double">
        <color theme="1" tint="-0.24994659260841701"/>
      </bottom>
      <diagonal/>
    </border>
    <border>
      <left style="hair">
        <color theme="1" tint="-0.24994659260841701"/>
      </left>
      <right style="double">
        <color theme="1" tint="-0.24994659260841701"/>
      </right>
      <top style="hair">
        <color theme="1" tint="-0.24994659260841701"/>
      </top>
      <bottom style="hair">
        <color theme="1" tint="-0.24994659260841701"/>
      </bottom>
      <diagonal/>
    </border>
    <border>
      <left style="hair">
        <color theme="1" tint="-0.24994659260841701"/>
      </left>
      <right style="hair">
        <color theme="1" tint="-0.24994659260841701"/>
      </right>
      <top style="hair">
        <color theme="1" tint="-0.24994659260841701"/>
      </top>
      <bottom style="hair">
        <color theme="1" tint="-0.24994659260841701"/>
      </bottom>
      <diagonal/>
    </border>
    <border>
      <left style="double">
        <color theme="1" tint="-0.24994659260841701"/>
      </left>
      <right style="hair">
        <color theme="1" tint="-0.24994659260841701"/>
      </right>
      <top style="hair">
        <color theme="1" tint="-0.24994659260841701"/>
      </top>
      <bottom style="hair">
        <color theme="1" tint="-0.24994659260841701"/>
      </bottom>
      <diagonal/>
    </border>
    <border>
      <left style="hair">
        <color theme="8" tint="-0.24994659260841701"/>
      </left>
      <right style="double">
        <color theme="8" tint="-0.24994659260841701"/>
      </right>
      <top/>
      <bottom style="double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/>
      <bottom style="double">
        <color theme="8" tint="-0.24994659260841701"/>
      </bottom>
      <diagonal/>
    </border>
    <border>
      <left style="double">
        <color theme="8" tint="-0.24994659260841701"/>
      </left>
      <right style="hair">
        <color theme="8" tint="-0.24994659260841701"/>
      </right>
      <top/>
      <bottom style="double">
        <color theme="8" tint="-0.24994659260841701"/>
      </bottom>
      <diagonal/>
    </border>
    <border>
      <left style="hair">
        <color theme="8" tint="-0.24994659260841701"/>
      </left>
      <right style="double">
        <color theme="8" tint="-0.24994659260841701"/>
      </right>
      <top style="double">
        <color theme="8" tint="-0.24994659260841701"/>
      </top>
      <bottom style="double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double">
        <color theme="8" tint="-0.24994659260841701"/>
      </top>
      <bottom style="double">
        <color theme="8" tint="-0.24994659260841701"/>
      </bottom>
      <diagonal/>
    </border>
    <border>
      <left style="double">
        <color theme="8" tint="-0.24994659260841701"/>
      </left>
      <right style="hair">
        <color theme="8" tint="-0.24994659260841701"/>
      </right>
      <top style="double">
        <color theme="8" tint="-0.24994659260841701"/>
      </top>
      <bottom style="double">
        <color theme="8" tint="-0.24994659260841701"/>
      </bottom>
      <diagonal/>
    </border>
    <border>
      <left style="hair">
        <color theme="1" tint="-0.24994659260841701"/>
      </left>
      <right style="double">
        <color theme="1" tint="-0.24994659260841701"/>
      </right>
      <top style="double">
        <color theme="1" tint="-0.24994659260841701"/>
      </top>
      <bottom style="hair">
        <color theme="1" tint="-0.24994659260841701"/>
      </bottom>
      <diagonal/>
    </border>
    <border>
      <left style="hair">
        <color theme="1" tint="-0.24994659260841701"/>
      </left>
      <right style="hair">
        <color theme="1" tint="-0.24994659260841701"/>
      </right>
      <top style="double">
        <color theme="1" tint="-0.24994659260841701"/>
      </top>
      <bottom style="hair">
        <color theme="1" tint="-0.24994659260841701"/>
      </bottom>
      <diagonal/>
    </border>
    <border>
      <left style="double">
        <color theme="1" tint="-0.24994659260841701"/>
      </left>
      <right style="hair">
        <color theme="1" tint="-0.24994659260841701"/>
      </right>
      <top style="double">
        <color theme="1" tint="-0.24994659260841701"/>
      </top>
      <bottom style="hair">
        <color theme="1" tint="-0.2499465926084170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/>
    <xf numFmtId="0" fontId="3" fillId="0" borderId="1" xfId="1" applyFont="1" applyFill="1" applyBorder="1" applyProtection="1"/>
    <xf numFmtId="164" fontId="3" fillId="0" borderId="2" xfId="1" applyNumberFormat="1" applyFont="1" applyFill="1" applyBorder="1" applyProtection="1"/>
    <xf numFmtId="0" fontId="3" fillId="0" borderId="2" xfId="1" applyFont="1" applyFill="1" applyBorder="1" applyProtection="1"/>
    <xf numFmtId="0" fontId="3" fillId="0" borderId="3" xfId="1" applyFont="1" applyFill="1" applyBorder="1" applyProtection="1"/>
    <xf numFmtId="0" fontId="3" fillId="0" borderId="4" xfId="1" applyFont="1" applyFill="1" applyBorder="1" applyProtection="1"/>
    <xf numFmtId="164" fontId="3" fillId="0" borderId="5" xfId="1" applyNumberFormat="1" applyFont="1" applyFill="1" applyBorder="1" applyProtection="1"/>
    <xf numFmtId="0" fontId="3" fillId="0" borderId="5" xfId="1" applyFont="1" applyFill="1" applyBorder="1" applyProtection="1"/>
    <xf numFmtId="0" fontId="3" fillId="0" borderId="6" xfId="1" applyFont="1" applyFill="1" applyBorder="1" applyProtection="1"/>
    <xf numFmtId="164" fontId="2" fillId="0" borderId="7" xfId="1" applyNumberFormat="1" applyFon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9" xfId="1" applyFont="1" applyBorder="1"/>
    <xf numFmtId="0" fontId="4" fillId="0" borderId="0" xfId="1" applyFont="1" applyAlignment="1">
      <alignment horizontal="center" vertical="center"/>
    </xf>
    <xf numFmtId="0" fontId="5" fillId="2" borderId="10" xfId="1" applyFont="1" applyFill="1" applyBorder="1" applyAlignment="1" applyProtection="1">
      <alignment horizontal="center" vertical="center" wrapText="1"/>
    </xf>
    <xf numFmtId="0" fontId="5" fillId="2" borderId="11" xfId="1" applyFont="1" applyFill="1" applyBorder="1" applyAlignment="1" applyProtection="1">
      <alignment horizontal="center" vertical="center"/>
    </xf>
    <xf numFmtId="0" fontId="5" fillId="2" borderId="12" xfId="1" applyFont="1" applyFill="1" applyBorder="1" applyAlignment="1" applyProtection="1">
      <alignment horizontal="center" vertical="center"/>
    </xf>
    <xf numFmtId="0" fontId="6" fillId="3" borderId="13" xfId="1" applyFont="1" applyFill="1" applyBorder="1" applyAlignment="1" applyProtection="1">
      <alignment horizontal="center" vertical="center"/>
    </xf>
    <xf numFmtId="0" fontId="6" fillId="3" borderId="14" xfId="1" applyFont="1" applyFill="1" applyBorder="1" applyAlignment="1" applyProtection="1">
      <alignment horizontal="center" vertical="center"/>
    </xf>
    <xf numFmtId="0" fontId="6" fillId="3" borderId="15" xfId="1" applyFont="1" applyFill="1" applyBorder="1" applyAlignment="1" applyProtection="1">
      <alignment horizontal="center" vertical="center"/>
    </xf>
    <xf numFmtId="0" fontId="2" fillId="0" borderId="8" xfId="1" applyNumberFormat="1" applyFont="1" applyBorder="1" applyAlignment="1">
      <alignment horizontal="center"/>
    </xf>
    <xf numFmtId="164" fontId="2" fillId="0" borderId="0" xfId="1" applyNumberFormat="1" applyFont="1"/>
  </cellXfs>
  <cellStyles count="2">
    <cellStyle name="Normal" xfId="0" builtinId="0"/>
    <cellStyle name="Normal 2" xfId="1" xr:uid="{11721D77-225D-420E-8EDE-E3CD6E8B4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2</xdr:row>
      <xdr:rowOff>104773</xdr:rowOff>
    </xdr:from>
    <xdr:to>
      <xdr:col>11</xdr:col>
      <xdr:colOff>733425</xdr:colOff>
      <xdr:row>20</xdr:row>
      <xdr:rowOff>47625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30EF2896-C166-4DEA-9D34-C8012AE717B2}"/>
            </a:ext>
          </a:extLst>
        </xdr:cNvPr>
        <xdr:cNvSpPr/>
      </xdr:nvSpPr>
      <xdr:spPr>
        <a:xfrm>
          <a:off x="4219575" y="428623"/>
          <a:ext cx="4895850" cy="2857502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 b="1">
              <a:solidFill>
                <a:schemeClr val="tx2"/>
              </a:solidFill>
            </a:rPr>
            <a:t>REMPLIR</a:t>
          </a:r>
          <a:r>
            <a:rPr lang="fr-FR" sz="1600" b="1" baseline="0">
              <a:solidFill>
                <a:schemeClr val="tx2"/>
              </a:solidFill>
            </a:rPr>
            <a:t> LE TABLEAU SUIVANT</a:t>
          </a:r>
        </a:p>
        <a:p>
          <a:pPr algn="ctr"/>
          <a:endParaRPr lang="fr-FR" sz="1600" b="1" baseline="0">
            <a:solidFill>
              <a:schemeClr val="tx2"/>
            </a:solidFill>
          </a:endParaRPr>
        </a:p>
        <a:p>
          <a:pPr algn="l"/>
          <a:r>
            <a:rPr lang="fr-FR" sz="1400" baseline="0">
              <a:solidFill>
                <a:schemeClr val="tx2"/>
              </a:solidFill>
            </a:rPr>
            <a:t>  * Le code correspond aux 2 premières lettres du pays en majuscules,</a:t>
          </a:r>
        </a:p>
        <a:p>
          <a:pPr algn="l"/>
          <a:r>
            <a:rPr lang="fr-FR" sz="1400" baseline="0">
              <a:solidFill>
                <a:schemeClr val="tx2"/>
              </a:solidFill>
            </a:rPr>
            <a:t>     suivi des 2 premières lettres de la ville, puis suivi par le N° de mois,</a:t>
          </a:r>
        </a:p>
        <a:p>
          <a:pPr algn="l"/>
          <a:r>
            <a:rPr lang="fr-FR" sz="1400" baseline="0">
              <a:solidFill>
                <a:schemeClr val="tx2"/>
              </a:solidFill>
            </a:rPr>
            <a:t>     suivi d'un tiret et enfin suivi du résultat</a:t>
          </a:r>
        </a:p>
        <a:p>
          <a:pPr algn="l"/>
          <a:endParaRPr lang="fr-FR" sz="1400" baseline="0">
            <a:solidFill>
              <a:schemeClr val="tx2"/>
            </a:solidFill>
          </a:endParaRPr>
        </a:p>
        <a:p>
          <a:pPr algn="l"/>
          <a:r>
            <a:rPr lang="fr-FR" sz="1400" baseline="0">
              <a:solidFill>
                <a:schemeClr val="tx2"/>
              </a:solidFill>
            </a:rPr>
            <a:t>  * En G2 créer une liste déroulante permettant de choisir un</a:t>
          </a:r>
        </a:p>
        <a:p>
          <a:pPr algn="l"/>
          <a:r>
            <a:rPr lang="fr-FR" sz="1400" baseline="0">
              <a:solidFill>
                <a:schemeClr val="tx2"/>
              </a:solidFill>
            </a:rPr>
            <a:t>     code</a:t>
          </a:r>
        </a:p>
        <a:p>
          <a:pPr algn="l"/>
          <a:endParaRPr lang="fr-FR" sz="1400" baseline="0">
            <a:solidFill>
              <a:schemeClr val="tx2"/>
            </a:solidFill>
          </a:endParaRPr>
        </a:p>
        <a:p>
          <a:pPr algn="l"/>
          <a:r>
            <a:rPr lang="fr-FR" sz="1400" baseline="0">
              <a:solidFill>
                <a:schemeClr val="tx2"/>
              </a:solidFill>
            </a:rPr>
            <a:t>  * En H2 grâce à ce code, en déduire le pays</a:t>
          </a:r>
        </a:p>
        <a:p>
          <a:pPr algn="l"/>
          <a:endParaRPr lang="fr-FR" sz="1400" baseline="0">
            <a:solidFill>
              <a:schemeClr val="tx2"/>
            </a:solidFill>
          </a:endParaRPr>
        </a:p>
        <a:p>
          <a:pPr algn="l"/>
          <a:r>
            <a:rPr lang="fr-FR" sz="1400" baseline="0">
              <a:solidFill>
                <a:schemeClr val="tx2"/>
              </a:solidFill>
            </a:rPr>
            <a:t>  * Puis en I2 trouver le N° du mois </a:t>
          </a:r>
        </a:p>
        <a:p>
          <a:pPr algn="l"/>
          <a:endParaRPr lang="fr-FR" sz="1400" baseline="0">
            <a:solidFill>
              <a:schemeClr val="tx2"/>
            </a:solidFill>
          </a:endParaRPr>
        </a:p>
        <a:p>
          <a:pPr algn="l"/>
          <a:r>
            <a:rPr lang="fr-FR" sz="1400" baseline="0">
              <a:solidFill>
                <a:schemeClr val="tx2"/>
              </a:solidFill>
            </a:rPr>
            <a:t>  * En J2 retranscrire le N° du mois en toutes lettres</a:t>
          </a:r>
          <a:endParaRPr lang="fr-FR" sz="1400">
            <a:solidFill>
              <a:schemeClr val="tx2"/>
            </a:solidFill>
          </a:endParaRPr>
        </a:p>
      </xdr:txBody>
    </xdr:sp>
    <xdr:clientData/>
  </xdr:twoCellAnchor>
  <xdr:oneCellAnchor>
    <xdr:from>
      <xdr:col>5</xdr:col>
      <xdr:colOff>1362075</xdr:colOff>
      <xdr:row>19</xdr:row>
      <xdr:rowOff>95249</xdr:rowOff>
    </xdr:from>
    <xdr:ext cx="3818555" cy="4149007"/>
    <xdr:pic>
      <xdr:nvPicPr>
        <xdr:cNvPr id="3" name="Image 2">
          <a:extLst>
            <a:ext uri="{FF2B5EF4-FFF2-40B4-BE49-F238E27FC236}">
              <a16:creationId xmlns:a16="http://schemas.microsoft.com/office/drawing/2014/main" id="{63203A2B-160D-4BD8-909D-81BB1AF1B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3171824"/>
          <a:ext cx="3818555" cy="414900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2</xdr:row>
      <xdr:rowOff>142873</xdr:rowOff>
    </xdr:from>
    <xdr:to>
      <xdr:col>12</xdr:col>
      <xdr:colOff>676275</xdr:colOff>
      <xdr:row>20</xdr:row>
      <xdr:rowOff>85725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36B7EF46-2943-4597-9431-C4784A29BF73}"/>
            </a:ext>
          </a:extLst>
        </xdr:cNvPr>
        <xdr:cNvSpPr/>
      </xdr:nvSpPr>
      <xdr:spPr>
        <a:xfrm>
          <a:off x="4029075" y="466723"/>
          <a:ext cx="5791200" cy="2857502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 b="1">
              <a:solidFill>
                <a:schemeClr val="tx2"/>
              </a:solidFill>
            </a:rPr>
            <a:t>REMPLIR</a:t>
          </a:r>
          <a:r>
            <a:rPr lang="fr-FR" sz="1600" b="1" baseline="0">
              <a:solidFill>
                <a:schemeClr val="tx2"/>
              </a:solidFill>
            </a:rPr>
            <a:t> LE TABLEAU SUIVANT</a:t>
          </a:r>
        </a:p>
        <a:p>
          <a:pPr algn="ctr"/>
          <a:endParaRPr lang="fr-FR" sz="1600" b="1" baseline="0">
            <a:solidFill>
              <a:schemeClr val="tx2"/>
            </a:solidFill>
          </a:endParaRPr>
        </a:p>
        <a:p>
          <a:pPr algn="l"/>
          <a:r>
            <a:rPr lang="fr-FR" sz="1400" baseline="0">
              <a:solidFill>
                <a:schemeClr val="tx2"/>
              </a:solidFill>
            </a:rPr>
            <a:t>  * Le code correspond aux 2 premières lettres du pays en majuscules,</a:t>
          </a:r>
        </a:p>
        <a:p>
          <a:pPr algn="l"/>
          <a:r>
            <a:rPr lang="fr-FR" sz="1400" baseline="0">
              <a:solidFill>
                <a:schemeClr val="tx2"/>
              </a:solidFill>
            </a:rPr>
            <a:t>     suivi des 2 premières lettres de la ville, puis suivi par le N° de mois,</a:t>
          </a:r>
        </a:p>
        <a:p>
          <a:pPr algn="l"/>
          <a:r>
            <a:rPr lang="fr-FR" sz="1400" baseline="0">
              <a:solidFill>
                <a:schemeClr val="tx2"/>
              </a:solidFill>
            </a:rPr>
            <a:t>     suivi d'un tiret et enfin suivi du résultat</a:t>
          </a:r>
        </a:p>
        <a:p>
          <a:pPr algn="l"/>
          <a:endParaRPr lang="fr-FR" sz="1400" baseline="0">
            <a:solidFill>
              <a:schemeClr val="tx2"/>
            </a:solidFill>
          </a:endParaRPr>
        </a:p>
        <a:p>
          <a:pPr algn="l"/>
          <a:r>
            <a:rPr lang="fr-FR" sz="1400" baseline="0">
              <a:solidFill>
                <a:schemeClr val="tx2"/>
              </a:solidFill>
            </a:rPr>
            <a:t>  * En G2 créer une liste déroulante permettant de choisir un</a:t>
          </a:r>
        </a:p>
        <a:p>
          <a:pPr algn="l"/>
          <a:r>
            <a:rPr lang="fr-FR" sz="1400" baseline="0">
              <a:solidFill>
                <a:schemeClr val="tx2"/>
              </a:solidFill>
            </a:rPr>
            <a:t>     code</a:t>
          </a:r>
        </a:p>
        <a:p>
          <a:pPr algn="l"/>
          <a:endParaRPr lang="fr-FR" sz="1400" baseline="0">
            <a:solidFill>
              <a:schemeClr val="tx2"/>
            </a:solidFill>
          </a:endParaRPr>
        </a:p>
        <a:p>
          <a:pPr algn="l"/>
          <a:r>
            <a:rPr lang="fr-FR" sz="1400" baseline="0">
              <a:solidFill>
                <a:schemeClr val="tx2"/>
              </a:solidFill>
            </a:rPr>
            <a:t>  * En H2 grâce à ce code, en déduire le pays</a:t>
          </a:r>
        </a:p>
        <a:p>
          <a:pPr algn="l"/>
          <a:endParaRPr lang="fr-FR" sz="1400" baseline="0">
            <a:solidFill>
              <a:schemeClr val="tx2"/>
            </a:solidFill>
          </a:endParaRPr>
        </a:p>
        <a:p>
          <a:pPr algn="l"/>
          <a:r>
            <a:rPr lang="fr-FR" sz="1400" baseline="0">
              <a:solidFill>
                <a:schemeClr val="tx2"/>
              </a:solidFill>
            </a:rPr>
            <a:t>  * Puis en I2 trouver le N° du mois </a:t>
          </a:r>
        </a:p>
        <a:p>
          <a:pPr algn="l"/>
          <a:endParaRPr lang="fr-FR" sz="1400" baseline="0">
            <a:solidFill>
              <a:schemeClr val="tx2"/>
            </a:solidFill>
          </a:endParaRPr>
        </a:p>
        <a:p>
          <a:pPr algn="l"/>
          <a:r>
            <a:rPr lang="fr-FR" sz="1400" baseline="0">
              <a:solidFill>
                <a:schemeClr val="tx2"/>
              </a:solidFill>
            </a:rPr>
            <a:t>  * En J2 retranscrire le N° du mois en toutes lettres</a:t>
          </a:r>
          <a:endParaRPr lang="fr-FR" sz="1400">
            <a:solidFill>
              <a:schemeClr val="tx2"/>
            </a:solidFill>
          </a:endParaRPr>
        </a:p>
      </xdr:txBody>
    </xdr:sp>
    <xdr:clientData/>
  </xdr:twoCellAnchor>
  <xdr:oneCellAnchor>
    <xdr:from>
      <xdr:col>6</xdr:col>
      <xdr:colOff>76200</xdr:colOff>
      <xdr:row>20</xdr:row>
      <xdr:rowOff>190499</xdr:rowOff>
    </xdr:from>
    <xdr:ext cx="3818555" cy="4149007"/>
    <xdr:pic>
      <xdr:nvPicPr>
        <xdr:cNvPr id="3" name="Image 2">
          <a:extLst>
            <a:ext uri="{FF2B5EF4-FFF2-40B4-BE49-F238E27FC236}">
              <a16:creationId xmlns:a16="http://schemas.microsoft.com/office/drawing/2014/main" id="{EAB4669B-F31E-4C2C-A774-CE03728E5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3400424"/>
          <a:ext cx="3818555" cy="414900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2575-7A2F-4103-81A3-898C72809C39}">
  <sheetPr>
    <tabColor rgb="FFFFC000"/>
  </sheetPr>
  <dimension ref="A1:J47"/>
  <sheetViews>
    <sheetView showGridLines="0" tabSelected="1" workbookViewId="0">
      <selection activeCell="O3" sqref="O3"/>
    </sheetView>
  </sheetViews>
  <sheetFormatPr baseColWidth="10" defaultRowHeight="15.75" x14ac:dyDescent="0.25"/>
  <cols>
    <col min="1" max="1" width="11.140625" style="1" bestFit="1" customWidth="1"/>
    <col min="2" max="2" width="7.7109375" style="1" bestFit="1" customWidth="1"/>
    <col min="3" max="3" width="12" style="1" bestFit="1" customWidth="1"/>
    <col min="4" max="4" width="7.28515625" style="1" bestFit="1" customWidth="1"/>
    <col min="5" max="5" width="11.28515625" style="1" bestFit="1" customWidth="1"/>
    <col min="6" max="6" width="26.7109375" style="1" customWidth="1"/>
    <col min="7" max="7" width="9.7109375" style="1" bestFit="1" customWidth="1"/>
    <col min="8" max="8" width="6.42578125" style="1" bestFit="1" customWidth="1"/>
    <col min="9" max="9" width="13.28515625" style="1" bestFit="1" customWidth="1"/>
    <col min="10" max="10" width="13.7109375" style="1" customWidth="1"/>
    <col min="11" max="16384" width="11.42578125" style="1"/>
  </cols>
  <sheetData>
    <row r="1" spans="1:10" s="14" customFormat="1" ht="39" thickTop="1" thickBot="1" x14ac:dyDescent="0.3">
      <c r="A1" s="20" t="s">
        <v>12</v>
      </c>
      <c r="B1" s="19" t="s">
        <v>11</v>
      </c>
      <c r="C1" s="19" t="s">
        <v>15</v>
      </c>
      <c r="D1" s="19" t="s">
        <v>14</v>
      </c>
      <c r="E1" s="18" t="s">
        <v>13</v>
      </c>
      <c r="G1" s="17" t="s">
        <v>12</v>
      </c>
      <c r="H1" s="16" t="s">
        <v>11</v>
      </c>
      <c r="I1" s="16" t="s">
        <v>10</v>
      </c>
      <c r="J1" s="15" t="s">
        <v>9</v>
      </c>
    </row>
    <row r="2" spans="1:10" ht="17.25" thickTop="1" thickBot="1" x14ac:dyDescent="0.3">
      <c r="A2" s="9"/>
      <c r="B2" s="8" t="s">
        <v>7</v>
      </c>
      <c r="C2" s="8" t="s">
        <v>6</v>
      </c>
      <c r="D2" s="7">
        <v>37257</v>
      </c>
      <c r="E2" s="6">
        <v>22</v>
      </c>
      <c r="G2" s="13"/>
      <c r="H2" s="12"/>
      <c r="I2" s="11"/>
      <c r="J2" s="10"/>
    </row>
    <row r="3" spans="1:10" ht="16.5" thickTop="1" x14ac:dyDescent="0.25">
      <c r="A3" s="9"/>
      <c r="B3" s="8" t="s">
        <v>7</v>
      </c>
      <c r="C3" s="8" t="s">
        <v>8</v>
      </c>
      <c r="D3" s="7">
        <v>37257</v>
      </c>
      <c r="E3" s="6">
        <v>23</v>
      </c>
    </row>
    <row r="4" spans="1:10" x14ac:dyDescent="0.25">
      <c r="A4" s="9"/>
      <c r="B4" s="8" t="s">
        <v>7</v>
      </c>
      <c r="C4" s="8" t="s">
        <v>6</v>
      </c>
      <c r="D4" s="7">
        <v>37257</v>
      </c>
      <c r="E4" s="6">
        <v>24</v>
      </c>
    </row>
    <row r="5" spans="1:10" x14ac:dyDescent="0.25">
      <c r="A5" s="9"/>
      <c r="B5" s="8" t="s">
        <v>7</v>
      </c>
      <c r="C5" s="8" t="s">
        <v>8</v>
      </c>
      <c r="D5" s="7">
        <v>37257</v>
      </c>
      <c r="E5" s="6">
        <v>19</v>
      </c>
    </row>
    <row r="6" spans="1:10" x14ac:dyDescent="0.25">
      <c r="A6" s="9"/>
      <c r="B6" s="8" t="s">
        <v>7</v>
      </c>
      <c r="C6" s="8" t="s">
        <v>6</v>
      </c>
      <c r="D6" s="7">
        <v>37257</v>
      </c>
      <c r="E6" s="6">
        <v>18</v>
      </c>
    </row>
    <row r="7" spans="1:10" x14ac:dyDescent="0.25">
      <c r="A7" s="9"/>
      <c r="B7" s="8" t="s">
        <v>4</v>
      </c>
      <c r="C7" s="8" t="s">
        <v>3</v>
      </c>
      <c r="D7" s="7">
        <v>37257</v>
      </c>
      <c r="E7" s="6">
        <v>30</v>
      </c>
    </row>
    <row r="8" spans="1:10" x14ac:dyDescent="0.25">
      <c r="A8" s="9"/>
      <c r="B8" s="8" t="s">
        <v>4</v>
      </c>
      <c r="C8" s="8" t="s">
        <v>5</v>
      </c>
      <c r="D8" s="7">
        <v>37257</v>
      </c>
      <c r="E8" s="6">
        <v>22</v>
      </c>
    </row>
    <row r="9" spans="1:10" x14ac:dyDescent="0.25">
      <c r="A9" s="9"/>
      <c r="B9" s="8" t="s">
        <v>4</v>
      </c>
      <c r="C9" s="8" t="s">
        <v>3</v>
      </c>
      <c r="D9" s="7">
        <v>37257</v>
      </c>
      <c r="E9" s="6">
        <v>27</v>
      </c>
    </row>
    <row r="10" spans="1:10" x14ac:dyDescent="0.25">
      <c r="A10" s="9"/>
      <c r="B10" s="8" t="s">
        <v>4</v>
      </c>
      <c r="C10" s="8" t="s">
        <v>5</v>
      </c>
      <c r="D10" s="7">
        <v>37257</v>
      </c>
      <c r="E10" s="6">
        <v>21</v>
      </c>
    </row>
    <row r="11" spans="1:10" x14ac:dyDescent="0.25">
      <c r="A11" s="9"/>
      <c r="B11" s="8" t="s">
        <v>4</v>
      </c>
      <c r="C11" s="8" t="s">
        <v>3</v>
      </c>
      <c r="D11" s="7">
        <v>37257</v>
      </c>
      <c r="E11" s="6">
        <v>26</v>
      </c>
    </row>
    <row r="12" spans="1:10" x14ac:dyDescent="0.25">
      <c r="A12" s="9"/>
      <c r="B12" s="8" t="s">
        <v>1</v>
      </c>
      <c r="C12" s="8" t="s">
        <v>2</v>
      </c>
      <c r="D12" s="7">
        <v>37257</v>
      </c>
      <c r="E12" s="6">
        <v>27</v>
      </c>
    </row>
    <row r="13" spans="1:10" x14ac:dyDescent="0.25">
      <c r="A13" s="9"/>
      <c r="B13" s="8" t="s">
        <v>1</v>
      </c>
      <c r="C13" s="8" t="s">
        <v>2</v>
      </c>
      <c r="D13" s="7">
        <v>37257</v>
      </c>
      <c r="E13" s="6">
        <v>25</v>
      </c>
    </row>
    <row r="14" spans="1:10" x14ac:dyDescent="0.25">
      <c r="A14" s="9"/>
      <c r="B14" s="8" t="s">
        <v>1</v>
      </c>
      <c r="C14" s="8" t="s">
        <v>0</v>
      </c>
      <c r="D14" s="7">
        <v>37257</v>
      </c>
      <c r="E14" s="6">
        <v>26</v>
      </c>
    </row>
    <row r="15" spans="1:10" x14ac:dyDescent="0.25">
      <c r="A15" s="9"/>
      <c r="B15" s="8" t="s">
        <v>1</v>
      </c>
      <c r="C15" s="8" t="s">
        <v>0</v>
      </c>
      <c r="D15" s="7">
        <v>37257</v>
      </c>
      <c r="E15" s="6">
        <v>27</v>
      </c>
    </row>
    <row r="16" spans="1:10" x14ac:dyDescent="0.25">
      <c r="A16" s="9"/>
      <c r="B16" s="8" t="s">
        <v>1</v>
      </c>
      <c r="C16" s="8" t="s">
        <v>2</v>
      </c>
      <c r="D16" s="7">
        <v>37257</v>
      </c>
      <c r="E16" s="6">
        <v>30</v>
      </c>
    </row>
    <row r="17" spans="1:5" x14ac:dyDescent="0.25">
      <c r="A17" s="9"/>
      <c r="B17" s="8" t="s">
        <v>7</v>
      </c>
      <c r="C17" s="8" t="s">
        <v>6</v>
      </c>
      <c r="D17" s="7">
        <v>37289</v>
      </c>
      <c r="E17" s="6">
        <v>25</v>
      </c>
    </row>
    <row r="18" spans="1:5" x14ac:dyDescent="0.25">
      <c r="A18" s="9"/>
      <c r="B18" s="8" t="s">
        <v>7</v>
      </c>
      <c r="C18" s="8" t="s">
        <v>8</v>
      </c>
      <c r="D18" s="7">
        <v>37289</v>
      </c>
      <c r="E18" s="6">
        <v>20</v>
      </c>
    </row>
    <row r="19" spans="1:5" x14ac:dyDescent="0.25">
      <c r="A19" s="9"/>
      <c r="B19" s="8" t="s">
        <v>7</v>
      </c>
      <c r="C19" s="8" t="s">
        <v>8</v>
      </c>
      <c r="D19" s="7">
        <v>37289</v>
      </c>
      <c r="E19" s="6">
        <v>28</v>
      </c>
    </row>
    <row r="20" spans="1:5" x14ac:dyDescent="0.25">
      <c r="A20" s="9"/>
      <c r="B20" s="8" t="s">
        <v>7</v>
      </c>
      <c r="C20" s="8" t="s">
        <v>8</v>
      </c>
      <c r="D20" s="7">
        <v>37289</v>
      </c>
      <c r="E20" s="6">
        <v>34</v>
      </c>
    </row>
    <row r="21" spans="1:5" x14ac:dyDescent="0.25">
      <c r="A21" s="9"/>
      <c r="B21" s="8" t="s">
        <v>7</v>
      </c>
      <c r="C21" s="8" t="s">
        <v>6</v>
      </c>
      <c r="D21" s="7">
        <v>37289</v>
      </c>
      <c r="E21" s="6">
        <v>11</v>
      </c>
    </row>
    <row r="22" spans="1:5" x14ac:dyDescent="0.25">
      <c r="A22" s="9"/>
      <c r="B22" s="8" t="s">
        <v>4</v>
      </c>
      <c r="C22" s="8" t="s">
        <v>3</v>
      </c>
      <c r="D22" s="7">
        <v>37289</v>
      </c>
      <c r="E22" s="6">
        <v>14</v>
      </c>
    </row>
    <row r="23" spans="1:5" x14ac:dyDescent="0.25">
      <c r="A23" s="9"/>
      <c r="B23" s="8" t="s">
        <v>4</v>
      </c>
      <c r="C23" s="8" t="s">
        <v>3</v>
      </c>
      <c r="D23" s="7">
        <v>37289</v>
      </c>
      <c r="E23" s="6">
        <v>21</v>
      </c>
    </row>
    <row r="24" spans="1:5" x14ac:dyDescent="0.25">
      <c r="A24" s="9"/>
      <c r="B24" s="8" t="s">
        <v>4</v>
      </c>
      <c r="C24" s="8" t="s">
        <v>5</v>
      </c>
      <c r="D24" s="7">
        <v>37289</v>
      </c>
      <c r="E24" s="6">
        <v>17</v>
      </c>
    </row>
    <row r="25" spans="1:5" x14ac:dyDescent="0.25">
      <c r="A25" s="9"/>
      <c r="B25" s="8" t="s">
        <v>4</v>
      </c>
      <c r="C25" s="8" t="s">
        <v>5</v>
      </c>
      <c r="D25" s="7">
        <v>37289</v>
      </c>
      <c r="E25" s="6">
        <v>19</v>
      </c>
    </row>
    <row r="26" spans="1:5" x14ac:dyDescent="0.25">
      <c r="A26" s="9"/>
      <c r="B26" s="8" t="s">
        <v>4</v>
      </c>
      <c r="C26" s="8" t="s">
        <v>5</v>
      </c>
      <c r="D26" s="7">
        <v>37289</v>
      </c>
      <c r="E26" s="6">
        <v>29</v>
      </c>
    </row>
    <row r="27" spans="1:5" x14ac:dyDescent="0.25">
      <c r="A27" s="9"/>
      <c r="B27" s="8" t="s">
        <v>1</v>
      </c>
      <c r="C27" s="8" t="s">
        <v>0</v>
      </c>
      <c r="D27" s="7">
        <v>37289</v>
      </c>
      <c r="E27" s="6">
        <v>13</v>
      </c>
    </row>
    <row r="28" spans="1:5" x14ac:dyDescent="0.25">
      <c r="A28" s="9"/>
      <c r="B28" s="8" t="s">
        <v>1</v>
      </c>
      <c r="C28" s="8" t="s">
        <v>0</v>
      </c>
      <c r="D28" s="7">
        <v>37289</v>
      </c>
      <c r="E28" s="6">
        <v>20</v>
      </c>
    </row>
    <row r="29" spans="1:5" x14ac:dyDescent="0.25">
      <c r="A29" s="9"/>
      <c r="B29" s="8" t="s">
        <v>1</v>
      </c>
      <c r="C29" s="8" t="s">
        <v>0</v>
      </c>
      <c r="D29" s="7">
        <v>37289</v>
      </c>
      <c r="E29" s="6">
        <v>24</v>
      </c>
    </row>
    <row r="30" spans="1:5" x14ac:dyDescent="0.25">
      <c r="A30" s="9"/>
      <c r="B30" s="8" t="s">
        <v>1</v>
      </c>
      <c r="C30" s="8" t="s">
        <v>0</v>
      </c>
      <c r="D30" s="7">
        <v>37289</v>
      </c>
      <c r="E30" s="6">
        <v>23</v>
      </c>
    </row>
    <row r="31" spans="1:5" x14ac:dyDescent="0.25">
      <c r="A31" s="9"/>
      <c r="B31" s="8" t="s">
        <v>1</v>
      </c>
      <c r="C31" s="8" t="s">
        <v>2</v>
      </c>
      <c r="D31" s="7">
        <v>37289</v>
      </c>
      <c r="E31" s="6">
        <v>17</v>
      </c>
    </row>
    <row r="32" spans="1:5" x14ac:dyDescent="0.25">
      <c r="A32" s="9"/>
      <c r="B32" s="8" t="s">
        <v>7</v>
      </c>
      <c r="C32" s="8" t="s">
        <v>8</v>
      </c>
      <c r="D32" s="7">
        <v>37318</v>
      </c>
      <c r="E32" s="6">
        <v>30</v>
      </c>
    </row>
    <row r="33" spans="1:5" x14ac:dyDescent="0.25">
      <c r="A33" s="9"/>
      <c r="B33" s="8" t="s">
        <v>7</v>
      </c>
      <c r="C33" s="8" t="s">
        <v>8</v>
      </c>
      <c r="D33" s="7">
        <v>37318</v>
      </c>
      <c r="E33" s="6">
        <v>22</v>
      </c>
    </row>
    <row r="34" spans="1:5" x14ac:dyDescent="0.25">
      <c r="A34" s="9"/>
      <c r="B34" s="8" t="s">
        <v>7</v>
      </c>
      <c r="C34" s="8" t="s">
        <v>8</v>
      </c>
      <c r="D34" s="7">
        <v>37318</v>
      </c>
      <c r="E34" s="6">
        <v>26</v>
      </c>
    </row>
    <row r="35" spans="1:5" x14ac:dyDescent="0.25">
      <c r="A35" s="9"/>
      <c r="B35" s="8" t="s">
        <v>7</v>
      </c>
      <c r="C35" s="8" t="s">
        <v>6</v>
      </c>
      <c r="D35" s="7">
        <v>37318</v>
      </c>
      <c r="E35" s="6">
        <v>22</v>
      </c>
    </row>
    <row r="36" spans="1:5" x14ac:dyDescent="0.25">
      <c r="A36" s="9"/>
      <c r="B36" s="8" t="s">
        <v>7</v>
      </c>
      <c r="C36" s="8" t="s">
        <v>6</v>
      </c>
      <c r="D36" s="7">
        <v>37318</v>
      </c>
      <c r="E36" s="6">
        <v>25</v>
      </c>
    </row>
    <row r="37" spans="1:5" x14ac:dyDescent="0.25">
      <c r="A37" s="9"/>
      <c r="B37" s="8" t="s">
        <v>4</v>
      </c>
      <c r="C37" s="8" t="s">
        <v>5</v>
      </c>
      <c r="D37" s="7">
        <v>37318</v>
      </c>
      <c r="E37" s="6">
        <v>27</v>
      </c>
    </row>
    <row r="38" spans="1:5" x14ac:dyDescent="0.25">
      <c r="A38" s="9"/>
      <c r="B38" s="8" t="s">
        <v>4</v>
      </c>
      <c r="C38" s="8" t="s">
        <v>3</v>
      </c>
      <c r="D38" s="7">
        <v>37318</v>
      </c>
      <c r="E38" s="6">
        <v>32</v>
      </c>
    </row>
    <row r="39" spans="1:5" x14ac:dyDescent="0.25">
      <c r="A39" s="9"/>
      <c r="B39" s="8" t="s">
        <v>4</v>
      </c>
      <c r="C39" s="8" t="s">
        <v>5</v>
      </c>
      <c r="D39" s="7">
        <v>37318</v>
      </c>
      <c r="E39" s="6">
        <v>30</v>
      </c>
    </row>
    <row r="40" spans="1:5" x14ac:dyDescent="0.25">
      <c r="A40" s="9"/>
      <c r="B40" s="8" t="s">
        <v>4</v>
      </c>
      <c r="C40" s="8" t="s">
        <v>3</v>
      </c>
      <c r="D40" s="7">
        <v>37318</v>
      </c>
      <c r="E40" s="6">
        <v>26</v>
      </c>
    </row>
    <row r="41" spans="1:5" x14ac:dyDescent="0.25">
      <c r="A41" s="9"/>
      <c r="B41" s="8" t="s">
        <v>4</v>
      </c>
      <c r="C41" s="8" t="s">
        <v>3</v>
      </c>
      <c r="D41" s="7">
        <v>37318</v>
      </c>
      <c r="E41" s="6">
        <v>35</v>
      </c>
    </row>
    <row r="42" spans="1:5" x14ac:dyDescent="0.25">
      <c r="A42" s="9"/>
      <c r="B42" s="8" t="s">
        <v>1</v>
      </c>
      <c r="C42" s="8" t="s">
        <v>2</v>
      </c>
      <c r="D42" s="7">
        <v>37318</v>
      </c>
      <c r="E42" s="6">
        <v>15</v>
      </c>
    </row>
    <row r="43" spans="1:5" x14ac:dyDescent="0.25">
      <c r="A43" s="9"/>
      <c r="B43" s="8" t="s">
        <v>1</v>
      </c>
      <c r="C43" s="8" t="s">
        <v>2</v>
      </c>
      <c r="D43" s="7">
        <v>37318</v>
      </c>
      <c r="E43" s="6">
        <v>23</v>
      </c>
    </row>
    <row r="44" spans="1:5" x14ac:dyDescent="0.25">
      <c r="A44" s="9"/>
      <c r="B44" s="8" t="s">
        <v>1</v>
      </c>
      <c r="C44" s="8" t="s">
        <v>2</v>
      </c>
      <c r="D44" s="7">
        <v>37318</v>
      </c>
      <c r="E44" s="6">
        <v>24</v>
      </c>
    </row>
    <row r="45" spans="1:5" x14ac:dyDescent="0.25">
      <c r="A45" s="9"/>
      <c r="B45" s="8" t="s">
        <v>1</v>
      </c>
      <c r="C45" s="8" t="s">
        <v>2</v>
      </c>
      <c r="D45" s="7">
        <v>37318</v>
      </c>
      <c r="E45" s="6">
        <v>22</v>
      </c>
    </row>
    <row r="46" spans="1:5" ht="16.5" thickBot="1" x14ac:dyDescent="0.3">
      <c r="A46" s="5"/>
      <c r="B46" s="4" t="s">
        <v>1</v>
      </c>
      <c r="C46" s="4" t="s">
        <v>0</v>
      </c>
      <c r="D46" s="3">
        <v>37318</v>
      </c>
      <c r="E46" s="2">
        <v>26</v>
      </c>
    </row>
    <row r="47" spans="1:5" ht="16.5" thickTop="1" x14ac:dyDescent="0.25"/>
  </sheetData>
  <pageMargins left="0.78740157499999996" right="0.78740157499999996" top="0.984251969" bottom="0.984251969" header="0.4921259845" footer="0.492125984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0F09-BDA4-4ED1-8722-F48214E80C85}">
  <sheetPr>
    <tabColor rgb="FFFFC000"/>
  </sheetPr>
  <dimension ref="A1:Q47"/>
  <sheetViews>
    <sheetView showGridLines="0" workbookViewId="0">
      <selection activeCell="L1" sqref="L1"/>
    </sheetView>
  </sheetViews>
  <sheetFormatPr baseColWidth="10" defaultRowHeight="15.75" x14ac:dyDescent="0.25"/>
  <cols>
    <col min="1" max="1" width="11.140625" style="1" customWidth="1"/>
    <col min="2" max="2" width="7.7109375" style="1" customWidth="1"/>
    <col min="3" max="3" width="12" style="1" customWidth="1"/>
    <col min="4" max="4" width="7.28515625" style="1" customWidth="1"/>
    <col min="5" max="5" width="11.28515625" style="1" customWidth="1"/>
    <col min="6" max="6" width="11.42578125" style="1"/>
    <col min="7" max="7" width="9.7109375" style="1" customWidth="1"/>
    <col min="8" max="8" width="6.42578125" style="1" customWidth="1"/>
    <col min="9" max="9" width="13.28515625" style="1" customWidth="1"/>
    <col min="10" max="10" width="13.7109375" style="1" customWidth="1"/>
    <col min="11" max="11" width="11.42578125" style="1"/>
    <col min="12" max="12" width="17.7109375" style="1" bestFit="1" customWidth="1"/>
    <col min="13" max="16384" width="11.42578125" style="1"/>
  </cols>
  <sheetData>
    <row r="1" spans="1:17" s="14" customFormat="1" ht="39" thickTop="1" thickBot="1" x14ac:dyDescent="0.3">
      <c r="A1" s="20" t="s">
        <v>12</v>
      </c>
      <c r="B1" s="19" t="s">
        <v>11</v>
      </c>
      <c r="C1" s="19" t="s">
        <v>15</v>
      </c>
      <c r="D1" s="19" t="s">
        <v>14</v>
      </c>
      <c r="E1" s="18" t="s">
        <v>13</v>
      </c>
      <c r="G1" s="17" t="s">
        <v>12</v>
      </c>
      <c r="H1" s="16" t="s">
        <v>11</v>
      </c>
      <c r="I1" s="16" t="s">
        <v>10</v>
      </c>
      <c r="J1" s="15" t="s">
        <v>9</v>
      </c>
      <c r="P1" s="14" t="s">
        <v>16</v>
      </c>
    </row>
    <row r="2" spans="1:17" ht="17.25" thickTop="1" thickBot="1" x14ac:dyDescent="0.3">
      <c r="A2" s="9" t="str">
        <f t="shared" ref="A2:A46" si="0">UPPER(LEFT(B2,2))&amp;LEFT(C2,2)&amp;MONTH(D2)&amp;"_"&amp;E2</f>
        <v>ESSe1_22</v>
      </c>
      <c r="B2" s="8" t="s">
        <v>7</v>
      </c>
      <c r="C2" s="8" t="s">
        <v>6</v>
      </c>
      <c r="D2" s="7">
        <v>37257</v>
      </c>
      <c r="E2" s="6">
        <v>22</v>
      </c>
      <c r="G2" s="13" t="s">
        <v>32</v>
      </c>
      <c r="H2" s="12" t="str">
        <f>IF(LEFT(G2,2)="ES","España",IF(LEFT(G2,2)="FR","France","UK"))</f>
        <v>España</v>
      </c>
      <c r="I2" s="21">
        <f>VALUE(MID(G2,5,1))</f>
        <v>1</v>
      </c>
      <c r="J2" s="10">
        <f>DATE(2007,I2,1)</f>
        <v>39083</v>
      </c>
      <c r="K2" s="1" t="str">
        <f>VLOOKUP(I2,P9:Q20,2,FALSE)</f>
        <v>Janvier</v>
      </c>
      <c r="L2" s="22"/>
      <c r="P2" s="1" t="s">
        <v>17</v>
      </c>
    </row>
    <row r="3" spans="1:17" ht="16.5" thickTop="1" x14ac:dyDescent="0.25">
      <c r="A3" s="9" t="str">
        <f t="shared" si="0"/>
        <v>ESMa1_23</v>
      </c>
      <c r="B3" s="8" t="s">
        <v>7</v>
      </c>
      <c r="C3" s="8" t="s">
        <v>8</v>
      </c>
      <c r="D3" s="7">
        <v>37257</v>
      </c>
      <c r="E3" s="6">
        <v>23</v>
      </c>
      <c r="P3" s="1" t="s">
        <v>18</v>
      </c>
    </row>
    <row r="4" spans="1:17" x14ac:dyDescent="0.25">
      <c r="A4" s="9" t="str">
        <f t="shared" si="0"/>
        <v>ESSe1_24</v>
      </c>
      <c r="B4" s="8" t="s">
        <v>7</v>
      </c>
      <c r="C4" s="8" t="s">
        <v>6</v>
      </c>
      <c r="D4" s="7">
        <v>37257</v>
      </c>
      <c r="E4" s="6">
        <v>24</v>
      </c>
      <c r="P4" s="1" t="s">
        <v>31</v>
      </c>
    </row>
    <row r="5" spans="1:17" x14ac:dyDescent="0.25">
      <c r="A5" s="9" t="str">
        <f t="shared" si="0"/>
        <v>ESMa1_19</v>
      </c>
      <c r="B5" s="8" t="s">
        <v>7</v>
      </c>
      <c r="C5" s="8" t="s">
        <v>8</v>
      </c>
      <c r="D5" s="7">
        <v>37257</v>
      </c>
      <c r="E5" s="6">
        <v>19</v>
      </c>
    </row>
    <row r="6" spans="1:17" x14ac:dyDescent="0.25">
      <c r="A6" s="9" t="str">
        <f t="shared" si="0"/>
        <v>ESSe1_18</v>
      </c>
      <c r="B6" s="8" t="s">
        <v>7</v>
      </c>
      <c r="C6" s="8" t="s">
        <v>6</v>
      </c>
      <c r="D6" s="7">
        <v>37257</v>
      </c>
      <c r="E6" s="6">
        <v>18</v>
      </c>
    </row>
    <row r="7" spans="1:17" x14ac:dyDescent="0.25">
      <c r="A7" s="9" t="str">
        <f t="shared" si="0"/>
        <v>FRCa1_30</v>
      </c>
      <c r="B7" s="8" t="s">
        <v>4</v>
      </c>
      <c r="C7" s="8" t="s">
        <v>3</v>
      </c>
      <c r="D7" s="7">
        <v>37257</v>
      </c>
      <c r="E7" s="6">
        <v>30</v>
      </c>
    </row>
    <row r="8" spans="1:17" x14ac:dyDescent="0.25">
      <c r="A8" s="9" t="str">
        <f t="shared" si="0"/>
        <v>FRMa1_22</v>
      </c>
      <c r="B8" s="8" t="s">
        <v>4</v>
      </c>
      <c r="C8" s="8" t="s">
        <v>5</v>
      </c>
      <c r="D8" s="7">
        <v>37257</v>
      </c>
      <c r="E8" s="6">
        <v>22</v>
      </c>
    </row>
    <row r="9" spans="1:17" x14ac:dyDescent="0.25">
      <c r="A9" s="9" t="str">
        <f t="shared" si="0"/>
        <v>FRCa1_27</v>
      </c>
      <c r="B9" s="8" t="s">
        <v>4</v>
      </c>
      <c r="C9" s="8" t="s">
        <v>3</v>
      </c>
      <c r="D9" s="7">
        <v>37257</v>
      </c>
      <c r="E9" s="6">
        <v>27</v>
      </c>
      <c r="P9" s="1">
        <v>1</v>
      </c>
      <c r="Q9" s="1" t="s">
        <v>19</v>
      </c>
    </row>
    <row r="10" spans="1:17" x14ac:dyDescent="0.25">
      <c r="A10" s="9" t="str">
        <f t="shared" si="0"/>
        <v>FRMa1_21</v>
      </c>
      <c r="B10" s="8" t="s">
        <v>4</v>
      </c>
      <c r="C10" s="8" t="s">
        <v>5</v>
      </c>
      <c r="D10" s="7">
        <v>37257</v>
      </c>
      <c r="E10" s="6">
        <v>21</v>
      </c>
      <c r="P10" s="1">
        <v>2</v>
      </c>
      <c r="Q10" s="1" t="s">
        <v>20</v>
      </c>
    </row>
    <row r="11" spans="1:17" x14ac:dyDescent="0.25">
      <c r="A11" s="9" t="str">
        <f t="shared" si="0"/>
        <v>FRCa1_26</v>
      </c>
      <c r="B11" s="8" t="s">
        <v>4</v>
      </c>
      <c r="C11" s="8" t="s">
        <v>3</v>
      </c>
      <c r="D11" s="7">
        <v>37257</v>
      </c>
      <c r="E11" s="6">
        <v>26</v>
      </c>
      <c r="P11" s="1">
        <v>3</v>
      </c>
      <c r="Q11" s="1" t="s">
        <v>21</v>
      </c>
    </row>
    <row r="12" spans="1:17" x14ac:dyDescent="0.25">
      <c r="A12" s="9" t="str">
        <f t="shared" si="0"/>
        <v>UKLi1_27</v>
      </c>
      <c r="B12" s="8" t="s">
        <v>1</v>
      </c>
      <c r="C12" s="8" t="s">
        <v>2</v>
      </c>
      <c r="D12" s="7">
        <v>37257</v>
      </c>
      <c r="E12" s="6">
        <v>27</v>
      </c>
      <c r="P12" s="1">
        <v>4</v>
      </c>
      <c r="Q12" s="1" t="s">
        <v>22</v>
      </c>
    </row>
    <row r="13" spans="1:17" x14ac:dyDescent="0.25">
      <c r="A13" s="9" t="str">
        <f t="shared" si="0"/>
        <v>UKLi1_25</v>
      </c>
      <c r="B13" s="8" t="s">
        <v>1</v>
      </c>
      <c r="C13" s="8" t="s">
        <v>2</v>
      </c>
      <c r="D13" s="7">
        <v>37257</v>
      </c>
      <c r="E13" s="6">
        <v>25</v>
      </c>
      <c r="P13" s="1">
        <v>5</v>
      </c>
      <c r="Q13" s="1" t="s">
        <v>23</v>
      </c>
    </row>
    <row r="14" spans="1:17" x14ac:dyDescent="0.25">
      <c r="A14" s="9" t="str">
        <f t="shared" si="0"/>
        <v>UKMa1_26</v>
      </c>
      <c r="B14" s="8" t="s">
        <v>1</v>
      </c>
      <c r="C14" s="8" t="s">
        <v>0</v>
      </c>
      <c r="D14" s="7">
        <v>37257</v>
      </c>
      <c r="E14" s="6">
        <v>26</v>
      </c>
      <c r="P14" s="1">
        <v>6</v>
      </c>
      <c r="Q14" s="1" t="s">
        <v>24</v>
      </c>
    </row>
    <row r="15" spans="1:17" x14ac:dyDescent="0.25">
      <c r="A15" s="9" t="str">
        <f t="shared" si="0"/>
        <v>UKMa1_27</v>
      </c>
      <c r="B15" s="8" t="s">
        <v>1</v>
      </c>
      <c r="C15" s="8" t="s">
        <v>0</v>
      </c>
      <c r="D15" s="7">
        <v>37257</v>
      </c>
      <c r="E15" s="6">
        <v>27</v>
      </c>
      <c r="P15" s="1">
        <v>7</v>
      </c>
      <c r="Q15" s="1" t="s">
        <v>25</v>
      </c>
    </row>
    <row r="16" spans="1:17" x14ac:dyDescent="0.25">
      <c r="A16" s="9" t="str">
        <f t="shared" si="0"/>
        <v>UKLi1_30</v>
      </c>
      <c r="B16" s="8" t="s">
        <v>1</v>
      </c>
      <c r="C16" s="8" t="s">
        <v>2</v>
      </c>
      <c r="D16" s="7">
        <v>37257</v>
      </c>
      <c r="E16" s="6">
        <v>30</v>
      </c>
      <c r="P16" s="1">
        <v>8</v>
      </c>
      <c r="Q16" s="1" t="s">
        <v>26</v>
      </c>
    </row>
    <row r="17" spans="1:17" x14ac:dyDescent="0.25">
      <c r="A17" s="9" t="str">
        <f t="shared" si="0"/>
        <v>ESSe2_25</v>
      </c>
      <c r="B17" s="8" t="s">
        <v>7</v>
      </c>
      <c r="C17" s="8" t="s">
        <v>6</v>
      </c>
      <c r="D17" s="7">
        <v>37289</v>
      </c>
      <c r="E17" s="6">
        <v>25</v>
      </c>
      <c r="P17" s="1">
        <v>9</v>
      </c>
      <c r="Q17" s="1" t="s">
        <v>27</v>
      </c>
    </row>
    <row r="18" spans="1:17" x14ac:dyDescent="0.25">
      <c r="A18" s="9" t="str">
        <f t="shared" si="0"/>
        <v>ESMa2_20</v>
      </c>
      <c r="B18" s="8" t="s">
        <v>7</v>
      </c>
      <c r="C18" s="8" t="s">
        <v>8</v>
      </c>
      <c r="D18" s="7">
        <v>37289</v>
      </c>
      <c r="E18" s="6">
        <v>20</v>
      </c>
      <c r="P18" s="1">
        <v>10</v>
      </c>
      <c r="Q18" s="1" t="s">
        <v>28</v>
      </c>
    </row>
    <row r="19" spans="1:17" x14ac:dyDescent="0.25">
      <c r="A19" s="9" t="str">
        <f t="shared" si="0"/>
        <v>ESMa2_28</v>
      </c>
      <c r="B19" s="8" t="s">
        <v>7</v>
      </c>
      <c r="C19" s="8" t="s">
        <v>8</v>
      </c>
      <c r="D19" s="7">
        <v>37289</v>
      </c>
      <c r="E19" s="6">
        <v>28</v>
      </c>
      <c r="P19" s="1">
        <v>11</v>
      </c>
      <c r="Q19" s="1" t="s">
        <v>29</v>
      </c>
    </row>
    <row r="20" spans="1:17" x14ac:dyDescent="0.25">
      <c r="A20" s="9" t="str">
        <f t="shared" si="0"/>
        <v>ESMa2_34</v>
      </c>
      <c r="B20" s="8" t="s">
        <v>7</v>
      </c>
      <c r="C20" s="8" t="s">
        <v>8</v>
      </c>
      <c r="D20" s="7">
        <v>37289</v>
      </c>
      <c r="E20" s="6">
        <v>34</v>
      </c>
      <c r="P20" s="1">
        <v>12</v>
      </c>
      <c r="Q20" s="1" t="s">
        <v>30</v>
      </c>
    </row>
    <row r="21" spans="1:17" x14ac:dyDescent="0.25">
      <c r="A21" s="9" t="str">
        <f t="shared" si="0"/>
        <v>ESSe2_11</v>
      </c>
      <c r="B21" s="8" t="s">
        <v>7</v>
      </c>
      <c r="C21" s="8" t="s">
        <v>6</v>
      </c>
      <c r="D21" s="7">
        <v>37289</v>
      </c>
      <c r="E21" s="6">
        <v>11</v>
      </c>
    </row>
    <row r="22" spans="1:17" x14ac:dyDescent="0.25">
      <c r="A22" s="9" t="str">
        <f t="shared" si="0"/>
        <v>FRCa2_14</v>
      </c>
      <c r="B22" s="8" t="s">
        <v>4</v>
      </c>
      <c r="C22" s="8" t="s">
        <v>3</v>
      </c>
      <c r="D22" s="7">
        <v>37289</v>
      </c>
      <c r="E22" s="6">
        <v>14</v>
      </c>
    </row>
    <row r="23" spans="1:17" x14ac:dyDescent="0.25">
      <c r="A23" s="9" t="str">
        <f t="shared" si="0"/>
        <v>FRCa2_21</v>
      </c>
      <c r="B23" s="8" t="s">
        <v>4</v>
      </c>
      <c r="C23" s="8" t="s">
        <v>3</v>
      </c>
      <c r="D23" s="7">
        <v>37289</v>
      </c>
      <c r="E23" s="6">
        <v>21</v>
      </c>
    </row>
    <row r="24" spans="1:17" x14ac:dyDescent="0.25">
      <c r="A24" s="9" t="str">
        <f t="shared" si="0"/>
        <v>FRMa2_17</v>
      </c>
      <c r="B24" s="8" t="s">
        <v>4</v>
      </c>
      <c r="C24" s="8" t="s">
        <v>5</v>
      </c>
      <c r="D24" s="7">
        <v>37289</v>
      </c>
      <c r="E24" s="6">
        <v>17</v>
      </c>
    </row>
    <row r="25" spans="1:17" x14ac:dyDescent="0.25">
      <c r="A25" s="9" t="str">
        <f t="shared" si="0"/>
        <v>FRMa2_19</v>
      </c>
      <c r="B25" s="8" t="s">
        <v>4</v>
      </c>
      <c r="C25" s="8" t="s">
        <v>5</v>
      </c>
      <c r="D25" s="7">
        <v>37289</v>
      </c>
      <c r="E25" s="6">
        <v>19</v>
      </c>
    </row>
    <row r="26" spans="1:17" x14ac:dyDescent="0.25">
      <c r="A26" s="9" t="str">
        <f t="shared" si="0"/>
        <v>FRMa2_29</v>
      </c>
      <c r="B26" s="8" t="s">
        <v>4</v>
      </c>
      <c r="C26" s="8" t="s">
        <v>5</v>
      </c>
      <c r="D26" s="7">
        <v>37289</v>
      </c>
      <c r="E26" s="6">
        <v>29</v>
      </c>
    </row>
    <row r="27" spans="1:17" x14ac:dyDescent="0.25">
      <c r="A27" s="9" t="str">
        <f t="shared" si="0"/>
        <v>UKMa2_13</v>
      </c>
      <c r="B27" s="8" t="s">
        <v>1</v>
      </c>
      <c r="C27" s="8" t="s">
        <v>0</v>
      </c>
      <c r="D27" s="7">
        <v>37289</v>
      </c>
      <c r="E27" s="6">
        <v>13</v>
      </c>
    </row>
    <row r="28" spans="1:17" x14ac:dyDescent="0.25">
      <c r="A28" s="9" t="str">
        <f t="shared" si="0"/>
        <v>UKMa2_20</v>
      </c>
      <c r="B28" s="8" t="s">
        <v>1</v>
      </c>
      <c r="C28" s="8" t="s">
        <v>0</v>
      </c>
      <c r="D28" s="7">
        <v>37289</v>
      </c>
      <c r="E28" s="6">
        <v>20</v>
      </c>
    </row>
    <row r="29" spans="1:17" x14ac:dyDescent="0.25">
      <c r="A29" s="9" t="str">
        <f t="shared" si="0"/>
        <v>UKMa2_24</v>
      </c>
      <c r="B29" s="8" t="s">
        <v>1</v>
      </c>
      <c r="C29" s="8" t="s">
        <v>0</v>
      </c>
      <c r="D29" s="7">
        <v>37289</v>
      </c>
      <c r="E29" s="6">
        <v>24</v>
      </c>
    </row>
    <row r="30" spans="1:17" x14ac:dyDescent="0.25">
      <c r="A30" s="9" t="str">
        <f t="shared" si="0"/>
        <v>UKMa2_23</v>
      </c>
      <c r="B30" s="8" t="s">
        <v>1</v>
      </c>
      <c r="C30" s="8" t="s">
        <v>0</v>
      </c>
      <c r="D30" s="7">
        <v>37289</v>
      </c>
      <c r="E30" s="6">
        <v>23</v>
      </c>
    </row>
    <row r="31" spans="1:17" x14ac:dyDescent="0.25">
      <c r="A31" s="9" t="str">
        <f t="shared" si="0"/>
        <v>UKLi2_17</v>
      </c>
      <c r="B31" s="8" t="s">
        <v>1</v>
      </c>
      <c r="C31" s="8" t="s">
        <v>2</v>
      </c>
      <c r="D31" s="7">
        <v>37289</v>
      </c>
      <c r="E31" s="6">
        <v>17</v>
      </c>
    </row>
    <row r="32" spans="1:17" x14ac:dyDescent="0.25">
      <c r="A32" s="9" t="str">
        <f t="shared" si="0"/>
        <v>ESMa3_30</v>
      </c>
      <c r="B32" s="8" t="s">
        <v>7</v>
      </c>
      <c r="C32" s="8" t="s">
        <v>8</v>
      </c>
      <c r="D32" s="7">
        <v>37318</v>
      </c>
      <c r="E32" s="6">
        <v>30</v>
      </c>
    </row>
    <row r="33" spans="1:5" x14ac:dyDescent="0.25">
      <c r="A33" s="9" t="str">
        <f t="shared" si="0"/>
        <v>ESMa3_22</v>
      </c>
      <c r="B33" s="8" t="s">
        <v>7</v>
      </c>
      <c r="C33" s="8" t="s">
        <v>8</v>
      </c>
      <c r="D33" s="7">
        <v>37318</v>
      </c>
      <c r="E33" s="6">
        <v>22</v>
      </c>
    </row>
    <row r="34" spans="1:5" x14ac:dyDescent="0.25">
      <c r="A34" s="9" t="str">
        <f t="shared" si="0"/>
        <v>ESMa3_26</v>
      </c>
      <c r="B34" s="8" t="s">
        <v>7</v>
      </c>
      <c r="C34" s="8" t="s">
        <v>8</v>
      </c>
      <c r="D34" s="7">
        <v>37318</v>
      </c>
      <c r="E34" s="6">
        <v>26</v>
      </c>
    </row>
    <row r="35" spans="1:5" x14ac:dyDescent="0.25">
      <c r="A35" s="9" t="str">
        <f t="shared" si="0"/>
        <v>ESSe3_22</v>
      </c>
      <c r="B35" s="8" t="s">
        <v>7</v>
      </c>
      <c r="C35" s="8" t="s">
        <v>6</v>
      </c>
      <c r="D35" s="7">
        <v>37318</v>
      </c>
      <c r="E35" s="6">
        <v>22</v>
      </c>
    </row>
    <row r="36" spans="1:5" x14ac:dyDescent="0.25">
      <c r="A36" s="9" t="str">
        <f t="shared" si="0"/>
        <v>ESSe3_25</v>
      </c>
      <c r="B36" s="8" t="s">
        <v>7</v>
      </c>
      <c r="C36" s="8" t="s">
        <v>6</v>
      </c>
      <c r="D36" s="7">
        <v>37318</v>
      </c>
      <c r="E36" s="6">
        <v>25</v>
      </c>
    </row>
    <row r="37" spans="1:5" x14ac:dyDescent="0.25">
      <c r="A37" s="9" t="str">
        <f t="shared" si="0"/>
        <v>FRMa3_27</v>
      </c>
      <c r="B37" s="8" t="s">
        <v>4</v>
      </c>
      <c r="C37" s="8" t="s">
        <v>5</v>
      </c>
      <c r="D37" s="7">
        <v>37318</v>
      </c>
      <c r="E37" s="6">
        <v>27</v>
      </c>
    </row>
    <row r="38" spans="1:5" x14ac:dyDescent="0.25">
      <c r="A38" s="9" t="str">
        <f t="shared" si="0"/>
        <v>FRCa3_32</v>
      </c>
      <c r="B38" s="8" t="s">
        <v>4</v>
      </c>
      <c r="C38" s="8" t="s">
        <v>3</v>
      </c>
      <c r="D38" s="7">
        <v>37318</v>
      </c>
      <c r="E38" s="6">
        <v>32</v>
      </c>
    </row>
    <row r="39" spans="1:5" x14ac:dyDescent="0.25">
      <c r="A39" s="9" t="str">
        <f t="shared" si="0"/>
        <v>FRMa3_30</v>
      </c>
      <c r="B39" s="8" t="s">
        <v>4</v>
      </c>
      <c r="C39" s="8" t="s">
        <v>5</v>
      </c>
      <c r="D39" s="7">
        <v>37318</v>
      </c>
      <c r="E39" s="6">
        <v>30</v>
      </c>
    </row>
    <row r="40" spans="1:5" x14ac:dyDescent="0.25">
      <c r="A40" s="9" t="str">
        <f t="shared" si="0"/>
        <v>FRCa3_26</v>
      </c>
      <c r="B40" s="8" t="s">
        <v>4</v>
      </c>
      <c r="C40" s="8" t="s">
        <v>3</v>
      </c>
      <c r="D40" s="7">
        <v>37318</v>
      </c>
      <c r="E40" s="6">
        <v>26</v>
      </c>
    </row>
    <row r="41" spans="1:5" x14ac:dyDescent="0.25">
      <c r="A41" s="9" t="str">
        <f t="shared" si="0"/>
        <v>FRCa3_35</v>
      </c>
      <c r="B41" s="8" t="s">
        <v>4</v>
      </c>
      <c r="C41" s="8" t="s">
        <v>3</v>
      </c>
      <c r="D41" s="7">
        <v>37318</v>
      </c>
      <c r="E41" s="6">
        <v>35</v>
      </c>
    </row>
    <row r="42" spans="1:5" x14ac:dyDescent="0.25">
      <c r="A42" s="9" t="str">
        <f t="shared" si="0"/>
        <v>UKLi3_15</v>
      </c>
      <c r="B42" s="8" t="s">
        <v>1</v>
      </c>
      <c r="C42" s="8" t="s">
        <v>2</v>
      </c>
      <c r="D42" s="7">
        <v>37318</v>
      </c>
      <c r="E42" s="6">
        <v>15</v>
      </c>
    </row>
    <row r="43" spans="1:5" x14ac:dyDescent="0.25">
      <c r="A43" s="9" t="str">
        <f t="shared" si="0"/>
        <v>UKLi3_23</v>
      </c>
      <c r="B43" s="8" t="s">
        <v>1</v>
      </c>
      <c r="C43" s="8" t="s">
        <v>2</v>
      </c>
      <c r="D43" s="7">
        <v>37318</v>
      </c>
      <c r="E43" s="6">
        <v>23</v>
      </c>
    </row>
    <row r="44" spans="1:5" x14ac:dyDescent="0.25">
      <c r="A44" s="9" t="str">
        <f t="shared" si="0"/>
        <v>UKLi3_24</v>
      </c>
      <c r="B44" s="8" t="s">
        <v>1</v>
      </c>
      <c r="C44" s="8" t="s">
        <v>2</v>
      </c>
      <c r="D44" s="7">
        <v>37318</v>
      </c>
      <c r="E44" s="6">
        <v>24</v>
      </c>
    </row>
    <row r="45" spans="1:5" x14ac:dyDescent="0.25">
      <c r="A45" s="9" t="str">
        <f t="shared" si="0"/>
        <v>UKLi3_22</v>
      </c>
      <c r="B45" s="8" t="s">
        <v>1</v>
      </c>
      <c r="C45" s="8" t="s">
        <v>2</v>
      </c>
      <c r="D45" s="7">
        <v>37318</v>
      </c>
      <c r="E45" s="6">
        <v>22</v>
      </c>
    </row>
    <row r="46" spans="1:5" ht="16.5" thickBot="1" x14ac:dyDescent="0.3">
      <c r="A46" s="5" t="str">
        <f t="shared" si="0"/>
        <v>UKMa3_26</v>
      </c>
      <c r="B46" s="4" t="s">
        <v>1</v>
      </c>
      <c r="C46" s="4" t="s">
        <v>0</v>
      </c>
      <c r="D46" s="3">
        <v>37318</v>
      </c>
      <c r="E46" s="2">
        <v>26</v>
      </c>
    </row>
    <row r="47" spans="1:5" ht="16.5" thickTop="1" x14ac:dyDescent="0.25"/>
  </sheetData>
  <dataValidations count="1">
    <dataValidation type="list" allowBlank="1" showInputMessage="1" showErrorMessage="1" sqref="G2" xr:uid="{00000000-0002-0000-0500-000000000000}">
      <formula1>$A$2:$A$46</formula1>
    </dataValidation>
  </dataValidations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CODES PAYS</vt:lpstr>
      <vt:lpstr>CODES PAYS CORRIGES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2020-09-09T13:35:01Z</dcterms:created>
  <dcterms:modified xsi:type="dcterms:W3CDTF">2020-09-20T12:18:12Z</dcterms:modified>
</cp:coreProperties>
</file>