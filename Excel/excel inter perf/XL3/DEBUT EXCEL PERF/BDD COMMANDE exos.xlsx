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slicers/slicer2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6"/>
  <workbookPr/>
  <mc:AlternateContent xmlns:mc="http://schemas.openxmlformats.org/markup-compatibility/2006">
    <mc:Choice Requires="x15">
      <x15ac:absPath xmlns:x15ac="http://schemas.microsoft.com/office/spreadsheetml/2010/11/ac" url="C:\Users\Portable 1\Documents\Exo sandrine\XL3\DEBUT EXCEL PERF\"/>
    </mc:Choice>
  </mc:AlternateContent>
  <xr:revisionPtr revIDLastSave="0" documentId="13_ncr:1_{04C800CC-3859-410B-9F92-36B98D3E1219}" xr6:coauthVersionLast="36" xr6:coauthVersionMax="36" xr10:uidLastSave="{00000000-0000-0000-0000-000000000000}"/>
  <bookViews>
    <workbookView xWindow="480" yWindow="75" windowWidth="17520" windowHeight="6990" tabRatio="894" activeTab="5" xr2:uid="{00000000-000D-0000-FFFF-FFFF00000000}"/>
  </bookViews>
  <sheets>
    <sheet name="TCD1" sheetId="9" r:id="rId1"/>
    <sheet name="TCD2" sheetId="10" r:id="rId2"/>
    <sheet name="TCD3" sheetId="12" r:id="rId3"/>
    <sheet name="TCD4" sheetId="13" r:id="rId4"/>
    <sheet name="TCD5" sheetId="17" r:id="rId5"/>
    <sheet name="bdd commandes" sheetId="1" r:id="rId6"/>
    <sheet name="TCD1 SOL" sheetId="18" r:id="rId7"/>
    <sheet name="TCD2 SOL" sheetId="19" r:id="rId8"/>
    <sheet name="TCD3 SOL" sheetId="23" r:id="rId9"/>
    <sheet name="TCD4 SOL" sheetId="21" r:id="rId10"/>
    <sheet name="TCD5 SOL" sheetId="22" r:id="rId11"/>
    <sheet name="TCD Commandes" sheetId="2" state="hidden" r:id="rId12"/>
  </sheets>
  <externalReferences>
    <externalReference r:id="rId13"/>
  </externalReferences>
  <definedNames>
    <definedName name="_xlnm._FilterDatabase" localSheetId="5" hidden="1">'bdd commandes'!$A$1:$H$50</definedName>
    <definedName name="CNE">'[1]ID ETUDIANT (2)'!$A$1:$E$5</definedName>
    <definedName name="_xlnm.Criteria" localSheetId="5">'bdd commandes'!#REF!</definedName>
    <definedName name="cursource" hidden="1">#N/A</definedName>
    <definedName name="DATA">[1]BDLIRE!$A$3:$C$8</definedName>
    <definedName name="int_ext_sel" hidden="1">1</definedName>
    <definedName name="NOTE">'[1]NOTES (2)'!$A$1:$H$5</definedName>
    <definedName name="Segment_ANNEE1">#N/A</definedName>
    <definedName name="Segment_CLIENT1">#N/A</definedName>
  </definedNames>
  <calcPr calcId="191029"/>
  <pivotCaches>
    <pivotCache cacheId="0" r:id="rId14"/>
  </pivotCaches>
  <extLst>
    <ext xmlns:x14="http://schemas.microsoft.com/office/spreadsheetml/2009/9/main" uri="{BBE1A952-AA13-448e-AADC-164F8A28A991}">
      <x14:slicerCaches>
        <x14:slicerCache r:id="rId15"/>
        <x14:slicerCache r:id="rId16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H50" i="1" l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<sst xmlns="http://schemas.openxmlformats.org/spreadsheetml/2006/main" count="1160" uniqueCount="81">
  <si>
    <t>DATE</t>
  </si>
  <si>
    <t>CLIENT</t>
  </si>
  <si>
    <t>SECTEUR</t>
  </si>
  <si>
    <t>PRODUIT</t>
  </si>
  <si>
    <t>PRIX</t>
  </si>
  <si>
    <t>QUANTITE</t>
  </si>
  <si>
    <t>MONTANT</t>
  </si>
  <si>
    <t>Martin</t>
  </si>
  <si>
    <t>Florus</t>
  </si>
  <si>
    <t>Centre</t>
  </si>
  <si>
    <t>Stylos</t>
  </si>
  <si>
    <t>Dupond</t>
  </si>
  <si>
    <t>Muse SA</t>
  </si>
  <si>
    <t>Nord</t>
  </si>
  <si>
    <t>Ifrane</t>
  </si>
  <si>
    <t>Ouest</t>
  </si>
  <si>
    <t>Dupuis</t>
  </si>
  <si>
    <t>Plein-nord</t>
  </si>
  <si>
    <t>Porte-clés</t>
  </si>
  <si>
    <t>Leveque</t>
  </si>
  <si>
    <t>Pubcité</t>
  </si>
  <si>
    <t>Sud</t>
  </si>
  <si>
    <t>Casquettes</t>
  </si>
  <si>
    <t>Balliard</t>
  </si>
  <si>
    <t>Nimbus</t>
  </si>
  <si>
    <t>Calculatrices</t>
  </si>
  <si>
    <t>Ball</t>
  </si>
  <si>
    <t>Montres</t>
  </si>
  <si>
    <t>Marrou</t>
  </si>
  <si>
    <t>Tardi</t>
  </si>
  <si>
    <t>Mar</t>
  </si>
  <si>
    <t>Calendriers</t>
  </si>
  <si>
    <t>Pellieux</t>
  </si>
  <si>
    <t>sieffert</t>
  </si>
  <si>
    <t>TCD A REALISER</t>
  </si>
  <si>
    <t>TCD 1</t>
  </si>
  <si>
    <t>PAR VENDEURS</t>
  </si>
  <si>
    <t>RETOUR BBD COMMANDE</t>
  </si>
  <si>
    <t>Somme des montants</t>
  </si>
  <si>
    <t>Nb de ventes</t>
  </si>
  <si>
    <t>TCD 2</t>
  </si>
  <si>
    <t>PAR SECTEUR</t>
  </si>
  <si>
    <t>Moyenne des ventes</t>
  </si>
  <si>
    <t>Quantité MAXI</t>
  </si>
  <si>
    <t>TCD 3</t>
  </si>
  <si>
    <t>PAR PRODUIT</t>
  </si>
  <si>
    <t>Somme des montant</t>
  </si>
  <si>
    <t>Montant Maxi</t>
  </si>
  <si>
    <t>Montant Mini</t>
  </si>
  <si>
    <t>Part du total en %</t>
  </si>
  <si>
    <t>TCD 4</t>
  </si>
  <si>
    <t>PAR ANNEE ET PAR MOIS</t>
  </si>
  <si>
    <t>Mettre l'année en Filtre</t>
  </si>
  <si>
    <t>Somme des ventes</t>
  </si>
  <si>
    <t>TCD 6</t>
  </si>
  <si>
    <t>PAR CLIENT ET PRODUITS</t>
  </si>
  <si>
    <t>Afficher la marge de 20% des ventes (utiliser le champ calculé)</t>
  </si>
  <si>
    <t>par vendeur Calculer leur prime (2% des ventes par mois) (utiliser le champ calculer)</t>
  </si>
  <si>
    <t>VENDEURS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</si>
  <si>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</si>
  <si>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</si>
  <si>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</si>
  <si>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</si>
  <si>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</si>
  <si>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</si>
  <si>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</si>
  <si>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</si>
  <si>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</si>
  <si>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</si>
  <si>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</si>
  <si>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</si>
  <si>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Étiquettes de lignes</t>
  </si>
  <si>
    <t>Total général</t>
  </si>
  <si>
    <t>Somme de MONTANT</t>
  </si>
  <si>
    <t>% du total</t>
  </si>
  <si>
    <t>Somme montant</t>
  </si>
  <si>
    <t>(Tous)</t>
  </si>
  <si>
    <t>NB</t>
  </si>
  <si>
    <t>moyenne montant</t>
  </si>
  <si>
    <t>% total</t>
  </si>
  <si>
    <t>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</si>
</sst>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[$€]_-;\-* #,##0.00\ [$€]_-;_-* &quot;-&quot;??\ [$€]_-;_-@_-"/>
    <numFmt numFmtId="165" formatCode="_-* #,##0.00\ _F_-;\-* #,##0.00\ _F_-;_-* &quot;-&quot;??\ _F_-;_-@_-"/>
    <numFmt numFmtId="166" formatCode="_-* #,##0.00\ &quot;F&quot;_-;\-* #,##0.00\ &quot;F&quot;_-;_-* &quot;-&quot;??\ &quot;F&quot;_-;_-@_-"/>
    <numFmt numFmtId="167" formatCode="_ * #,##0.00_)\ &quot;$&quot;_ ;_ * \(#,##0.00\)\ &quot;$&quot;_ ;_ * &quot;-&quot;??_)\ &quot;$&quot;_ ;_ @_ "/>
    <numFmt numFmtId="168" formatCode="0.0%"/>
  </numFmts>
  <fonts count="18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b/>
      <sz val="11"/>
      <color indexed="18"/>
      <name val="Vagabond"/>
    </font>
    <font>
      <sz val="11"/>
      <color rgb="FF006100"/>
      <name val="Arial"/>
      <family val="2"/>
    </font>
    <font>
      <b/>
      <i/>
      <sz val="9"/>
      <color indexed="9"/>
      <name val="Courier"/>
      <family val="3"/>
    </font>
    <font>
      <b/>
      <sz val="14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</patternFill>
    </fill>
    <fill>
      <patternFill patternType="solid">
        <fgColor indexed="18"/>
      </patternFill>
    </fill>
    <fill>
      <patternFill patternType="solid">
        <fgColor indexed="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ck">
        <color indexed="16"/>
      </left>
      <right style="medium">
        <color indexed="64"/>
      </right>
      <top/>
      <bottom style="medium">
        <color indexed="64"/>
      </bottom>
      <diagonal/>
    </border>
    <border>
      <left style="double">
        <color theme="4"/>
      </left>
      <right style="double">
        <color theme="4"/>
      </right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ck">
        <color indexed="16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1">
    <xf numFmtId="0" fontId="0" fillId="0" borderId="0"/>
    <xf numFmtId="0" fontId="4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 applyFont="0" applyFill="0" applyBorder="0" applyAlignment="0" applyProtection="0"/>
    <xf numFmtId="0" fontId="1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8" fillId="0" borderId="0"/>
    <xf numFmtId="0" fontId="9" fillId="8" borderId="1"/>
    <xf numFmtId="41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2" borderId="0" applyNumberFormat="0" applyBorder="0" applyAlignment="0" applyProtection="0"/>
    <xf numFmtId="0" fontId="4" fillId="0" borderId="0"/>
    <xf numFmtId="0" fontId="2" fillId="0" borderId="2"/>
    <xf numFmtId="0" fontId="4" fillId="0" borderId="3"/>
    <xf numFmtId="168" fontId="9" fillId="8" borderId="4">
      <alignment horizontal="center"/>
    </xf>
    <xf numFmtId="0" fontId="11" fillId="9" borderId="5">
      <alignment horizontal="center"/>
    </xf>
    <xf numFmtId="0" fontId="12" fillId="10" borderId="0"/>
    <xf numFmtId="0" fontId="13" fillId="0" borderId="0">
      <alignment horizontal="center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6"/>
  </cellStyleXfs>
  <cellXfs count="34">
    <xf numFmtId="0" fontId="0" fillId="0" borderId="0" xfId="0"/>
    <xf numFmtId="0" fontId="4" fillId="11" borderId="0" xfId="1" applyFill="1"/>
    <xf numFmtId="0" fontId="0" fillId="11" borderId="0" xfId="0" applyFill="1"/>
    <xf numFmtId="0" fontId="15" fillId="11" borderId="10" xfId="1" applyFont="1" applyFill="1" applyBorder="1" applyAlignment="1">
      <alignment horizontal="right"/>
    </xf>
    <xf numFmtId="0" fontId="4" fillId="11" borderId="0" xfId="1" applyFill="1" applyBorder="1"/>
    <xf numFmtId="0" fontId="0" fillId="11" borderId="11" xfId="0" applyFill="1" applyBorder="1"/>
    <xf numFmtId="0" fontId="4" fillId="11" borderId="10" xfId="1" applyFill="1" applyBorder="1" applyAlignment="1">
      <alignment horizontal="right"/>
    </xf>
    <xf numFmtId="0" fontId="4" fillId="11" borderId="12" xfId="1" applyFill="1" applyBorder="1" applyAlignment="1">
      <alignment horizontal="right"/>
    </xf>
    <xf numFmtId="0" fontId="4" fillId="11" borderId="13" xfId="1" applyFill="1" applyBorder="1"/>
    <xf numFmtId="0" fontId="0" fillId="11" borderId="14" xfId="0" applyFill="1" applyBorder="1"/>
    <xf numFmtId="0" fontId="16" fillId="0" borderId="0" xfId="1" applyNumberFormat="1" applyFont="1" applyFill="1" applyBorder="1" applyAlignment="1">
      <alignment horizontal="center"/>
    </xf>
    <xf numFmtId="0" fontId="17" fillId="0" borderId="0" xfId="1" applyNumberFormat="1" applyFont="1" applyFill="1" applyBorder="1" applyAlignment="1"/>
    <xf numFmtId="14" fontId="17" fillId="0" borderId="0" xfId="1" applyNumberFormat="1" applyFont="1" applyFill="1" applyBorder="1" applyAlignment="1"/>
    <xf numFmtId="164" fontId="17" fillId="0" borderId="0" xfId="3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43" fontId="0" fillId="0" borderId="0" xfId="0" applyNumberFormat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14" fontId="0" fillId="0" borderId="0" xfId="0" applyNumberFormat="1" applyAlignment="1">
      <alignment horizontal="left"/>
    </xf>
    <xf numFmtId="0" fontId="5" fillId="7" borderId="0" xfId="2" applyFill="1" applyAlignment="1" applyProtection="1">
      <alignment horizontal="center"/>
    </xf>
    <xf numFmtId="0" fontId="14" fillId="12" borderId="7" xfId="1" applyFont="1" applyFill="1" applyBorder="1" applyAlignment="1">
      <alignment horizontal="center"/>
    </xf>
    <xf numFmtId="0" fontId="14" fillId="12" borderId="8" xfId="1" applyFont="1" applyFill="1" applyBorder="1" applyAlignment="1">
      <alignment horizontal="center"/>
    </xf>
    <xf numFmtId="0" fontId="14" fillId="12" borderId="9" xfId="1" applyFont="1" applyFill="1" applyBorder="1" applyAlignment="1">
      <alignment horizontal="center"/>
    </xf>
    <xf numFmtId="0" fontId="4" fillId="0" borderId="0" xfId="1" applyFill="1" applyBorder="1"/>
  </cellXfs>
  <cellStyles count="41">
    <cellStyle name="20 % - Accent1 2" xfId="4" xr:uid="{00000000-0005-0000-0000-000000000000}"/>
    <cellStyle name="Accent1 2" xfId="5" xr:uid="{00000000-0005-0000-0000-000001000000}"/>
    <cellStyle name="Accent2 2" xfId="6" xr:uid="{00000000-0005-0000-0000-000002000000}"/>
    <cellStyle name="Accent3 2" xfId="7" xr:uid="{00000000-0005-0000-0000-000003000000}"/>
    <cellStyle name="Dezimal [0]" xfId="8" xr:uid="{00000000-0005-0000-0000-000004000000}"/>
    <cellStyle name="Dezimal_Tabelle1" xfId="9" xr:uid="{00000000-0005-0000-0000-000005000000}"/>
    <cellStyle name="Euro" xfId="10" xr:uid="{00000000-0005-0000-0000-000006000000}"/>
    <cellStyle name="Euro 2" xfId="3" xr:uid="{00000000-0005-0000-0000-000007000000}"/>
    <cellStyle name="Euro 3" xfId="11" xr:uid="{00000000-0005-0000-0000-000008000000}"/>
    <cellStyle name="Excel Built-in Normal" xfId="12" xr:uid="{00000000-0005-0000-0000-000009000000}"/>
    <cellStyle name="Lien hypertexte" xfId="2" builtinId="8"/>
    <cellStyle name="ligne" xfId="13" xr:uid="{00000000-0005-0000-0000-00000B000000}"/>
    <cellStyle name="Milliers [0] 2" xfId="14" xr:uid="{00000000-0005-0000-0000-00000C000000}"/>
    <cellStyle name="Milliers 2" xfId="15" xr:uid="{00000000-0005-0000-0000-00000D000000}"/>
    <cellStyle name="Milliers 3" xfId="16" xr:uid="{00000000-0005-0000-0000-00000E000000}"/>
    <cellStyle name="Milliers 4" xfId="17" xr:uid="{00000000-0005-0000-0000-00000F000000}"/>
    <cellStyle name="Monétaire 2" xfId="18" xr:uid="{00000000-0005-0000-0000-000010000000}"/>
    <cellStyle name="Monétaire 2 2" xfId="19" xr:uid="{00000000-0005-0000-0000-000011000000}"/>
    <cellStyle name="Monétaire 3" xfId="20" xr:uid="{00000000-0005-0000-0000-000012000000}"/>
    <cellStyle name="Monétaire 4" xfId="21" xr:uid="{00000000-0005-0000-0000-000013000000}"/>
    <cellStyle name="Normal" xfId="0" builtinId="0"/>
    <cellStyle name="Normal 2" xfId="1" xr:uid="{00000000-0005-0000-0000-000015000000}"/>
    <cellStyle name="Normal 3" xfId="22" xr:uid="{00000000-0005-0000-0000-000016000000}"/>
    <cellStyle name="Normal 4" xfId="23" xr:uid="{00000000-0005-0000-0000-000017000000}"/>
    <cellStyle name="Normal 5" xfId="24" xr:uid="{00000000-0005-0000-0000-000018000000}"/>
    <cellStyle name="Normal 6" xfId="25" xr:uid="{00000000-0005-0000-0000-000019000000}"/>
    <cellStyle name="Normal 7" xfId="26" xr:uid="{00000000-0005-0000-0000-00001A000000}"/>
    <cellStyle name="Pourcentage 2" xfId="27" xr:uid="{00000000-0005-0000-0000-00001B000000}"/>
    <cellStyle name="Pourcentage 3" xfId="28" xr:uid="{00000000-0005-0000-0000-00001C000000}"/>
    <cellStyle name="Pourcentage 4" xfId="29" xr:uid="{00000000-0005-0000-0000-00001D000000}"/>
    <cellStyle name="Satisfaisant 2" xfId="30" xr:uid="{00000000-0005-0000-0000-00001E000000}"/>
    <cellStyle name="Standard_Tabelle1" xfId="31" xr:uid="{00000000-0005-0000-0000-00001F000000}"/>
    <cellStyle name="Style 1" xfId="32" xr:uid="{00000000-0005-0000-0000-000020000000}"/>
    <cellStyle name="Summen" xfId="33" xr:uid="{00000000-0005-0000-0000-000021000000}"/>
    <cellStyle name="table" xfId="34" xr:uid="{00000000-0005-0000-0000-000022000000}"/>
    <cellStyle name="TITCOL" xfId="35" xr:uid="{00000000-0005-0000-0000-000023000000}"/>
    <cellStyle name="Titel" xfId="36" xr:uid="{00000000-0005-0000-0000-000024000000}"/>
    <cellStyle name="Untertitel" xfId="37" xr:uid="{00000000-0005-0000-0000-000025000000}"/>
    <cellStyle name="Währung [0]" xfId="38" xr:uid="{00000000-0005-0000-0000-000026000000}"/>
    <cellStyle name="Währung_Tabelle1" xfId="39" xr:uid="{00000000-0005-0000-0000-000027000000}"/>
    <cellStyle name="Zwischensummen" xfId="40" xr:uid="{00000000-0005-0000-0000-000028000000}"/>
  </cellStyles>
  <dxfs count="7">
    <dxf>
      <fill>
        <patternFill>
          <bgColor theme="8" tint="0.59996337778862885"/>
        </patternFill>
      </fill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14" formatCode="0.00%"/>
    </dxf>
    <dxf>
      <numFmt numFmtId="35" formatCode="_-* #,##0.00\ _€_-;\-* #,##0.00\ _€_-;_-* &quot;-&quot;??\ _€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[BDD COMMANDE exos.xlsx]TCD5!Tableau croisé dynamique3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4123584"/>
        <c:axId val="1479521184"/>
      </c:barChart>
      <c:catAx>
        <c:axId val="138412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79521184"/>
        <c:crosses val="autoZero"/>
        <c:auto val="1"/>
        <c:lblAlgn val="ctr"/>
        <c:lblOffset val="100"/>
        <c:noMultiLvlLbl val="0"/>
      </c:catAx>
      <c:valAx>
        <c:axId val="147952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12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[BDD COMMANDE exos.xlsx]TCD4 SOL!Tableau croisé dynamique2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Montant</a:t>
            </a:r>
            <a:r>
              <a:rPr lang="en-US" baseline="0"/>
              <a:t> moyen par secteur</a:t>
            </a:r>
            <a:endParaRPr lang="en-US"/>
          </a:p>
        </c:rich>
      </c:tx>
      <c:layout>
        <c:manualLayout>
          <c:xMode val="edge"/>
          <c:yMode val="edge"/>
          <c:x val="0.30386111111111114"/>
          <c:y val="6.3794109069699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'TCD4 SOL'!$B$3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'TCD4 SOL'!$A$4:$A$8</c:f>
              <c:strCache>
                <c:ptCount val="4"/>
                <c:pt idx="0">
                  <c:v>Centre</c:v>
                </c:pt>
                <c:pt idx="1">
                  <c:v>Nord</c:v>
                </c:pt>
                <c:pt idx="2">
                  <c:v>Ouest</c:v>
                </c:pt>
                <c:pt idx="3">
                  <c:v>Sud</c:v>
                </c:pt>
              </c:strCache>
            </c:strRef>
          </c:cat>
          <c:val>
            <c:numRef>
              <c:f>'TCD4 SOL'!$B$4:$B$8</c:f>
              <c:numCache>
                <c:formatCode>General</c:formatCode>
                <c:ptCount val="4"/>
                <c:pt idx="0">
                  <c:v>69804.692307692312</c:v>
                </c:pt>
                <c:pt idx="1">
                  <c:v>78304.809090909097</c:v>
                </c:pt>
                <c:pt idx="2">
                  <c:v>69713.366666666669</c:v>
                </c:pt>
                <c:pt idx="3">
                  <c:v>66268.114285714284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C9-49B0-BE20-A4E71CA67CF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544704016"/>
        <c:axId val="1547115456"/>
      </c:barChart>
      <c:catAx>
        <c:axId val="154470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7115456"/>
        <c:crosses val="autoZero"/>
        <c:auto val="1"/>
        <c:lblAlgn val="ctr"/>
        <c:lblOffset val="100"/>
        <c:noMultiLvlLbl val="0"/>
      </c:catAx>
      <c:valAx>
        <c:axId val="15471154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44704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[BDD COMMANDE exos.xlsx]TCD5 SOL!Tableau croisé dynamique3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'TCD5 SOL'!$B$3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'TCD5 SOL'!$A$4:$A$51</c:f>
              <c:strCache>
                <c:ptCount val="47"/>
                <c:pt idx="0">
                  <c:v>09/01/2015</c:v>
                </c:pt>
                <c:pt idx="1">
                  <c:v>09/02/2015</c:v>
                </c:pt>
                <c:pt idx="2">
                  <c:v>15/02/2015</c:v>
                </c:pt>
                <c:pt idx="3">
                  <c:v>17/02/2015</c:v>
                </c:pt>
                <c:pt idx="4">
                  <c:v>27/02/2015</c:v>
                </c:pt>
                <c:pt idx="5">
                  <c:v>07/03/2015</c:v>
                </c:pt>
                <c:pt idx="6">
                  <c:v>31/03/2015</c:v>
                </c:pt>
                <c:pt idx="7">
                  <c:v>04/04/2015</c:v>
                </c:pt>
                <c:pt idx="8">
                  <c:v>31/05/2015</c:v>
                </c:pt>
                <c:pt idx="9">
                  <c:v>12/06/2015</c:v>
                </c:pt>
                <c:pt idx="10">
                  <c:v>26/06/2015</c:v>
                </c:pt>
                <c:pt idx="11">
                  <c:v>03/07/2015</c:v>
                </c:pt>
                <c:pt idx="12">
                  <c:v>12/07/2015</c:v>
                </c:pt>
                <c:pt idx="13">
                  <c:v>17/07/2015</c:v>
                </c:pt>
                <c:pt idx="14">
                  <c:v>21/08/2015</c:v>
                </c:pt>
                <c:pt idx="15">
                  <c:v>30/08/2015</c:v>
                </c:pt>
                <c:pt idx="16">
                  <c:v>05/09/2015</c:v>
                </c:pt>
                <c:pt idx="17">
                  <c:v>10/10/2015</c:v>
                </c:pt>
                <c:pt idx="18">
                  <c:v>13/10/2015</c:v>
                </c:pt>
                <c:pt idx="19">
                  <c:v>16/10/2015</c:v>
                </c:pt>
                <c:pt idx="20">
                  <c:v>30/10/2015</c:v>
                </c:pt>
                <c:pt idx="21">
                  <c:v>09/11/2015</c:v>
                </c:pt>
                <c:pt idx="22">
                  <c:v>14/11/2015</c:v>
                </c:pt>
                <c:pt idx="23">
                  <c:v>22/11/2015</c:v>
                </c:pt>
                <c:pt idx="24">
                  <c:v>13/12/2015</c:v>
                </c:pt>
                <c:pt idx="25">
                  <c:v>15/12/2015</c:v>
                </c:pt>
                <c:pt idx="26">
                  <c:v>28/12/2015</c:v>
                </c:pt>
                <c:pt idx="27">
                  <c:v>03/01/2016</c:v>
                </c:pt>
                <c:pt idx="28">
                  <c:v>10/01/2016</c:v>
                </c:pt>
                <c:pt idx="29">
                  <c:v>16/01/2016</c:v>
                </c:pt>
                <c:pt idx="30">
                  <c:v>18/01/2016</c:v>
                </c:pt>
                <c:pt idx="31">
                  <c:v>22/01/2016</c:v>
                </c:pt>
                <c:pt idx="32">
                  <c:v>24/01/2016</c:v>
                </c:pt>
                <c:pt idx="33">
                  <c:v>25/01/2016</c:v>
                </c:pt>
                <c:pt idx="34">
                  <c:v>29/01/2016</c:v>
                </c:pt>
                <c:pt idx="35">
                  <c:v>23/02/2016</c:v>
                </c:pt>
                <c:pt idx="36">
                  <c:v>01/03/2016</c:v>
                </c:pt>
                <c:pt idx="37">
                  <c:v>05/03/2016</c:v>
                </c:pt>
                <c:pt idx="38">
                  <c:v>15/03/2016</c:v>
                </c:pt>
                <c:pt idx="39">
                  <c:v>17/04/2016</c:v>
                </c:pt>
                <c:pt idx="40">
                  <c:v>22/04/2016</c:v>
                </c:pt>
                <c:pt idx="41">
                  <c:v>24/05/2016</c:v>
                </c:pt>
                <c:pt idx="42">
                  <c:v>27/05/2016</c:v>
                </c:pt>
                <c:pt idx="43">
                  <c:v>31/05/2016</c:v>
                </c:pt>
                <c:pt idx="44">
                  <c:v>14/06/2016</c:v>
                </c:pt>
                <c:pt idx="45">
                  <c:v>19/06/2016</c:v>
                </c:pt>
                <c:pt idx="46">
                  <c:v>25/06/2016</c:v>
                </c:pt>
              </c:strCache>
            </c:strRef>
          </c:cat>
          <c:val>
            <c:numRef>
              <c:f>'TCD5 SOL'!$B$4:$B$51</c:f>
              <c:numCache>
                <c:formatCode>_(* #,##0.00_);_(* \(#,##0.00\);_(* "-"??_);_(@_)</c:formatCode>
                <c:ptCount val="47"/>
                <c:pt idx="0">
                  <c:v>193221</c:v>
                </c:pt>
                <c:pt idx="1">
                  <c:v>34584</c:v>
                </c:pt>
                <c:pt idx="2">
                  <c:v>41922</c:v>
                </c:pt>
                <c:pt idx="3">
                  <c:v>197421</c:v>
                </c:pt>
                <c:pt idx="4">
                  <c:v>125034</c:v>
                </c:pt>
                <c:pt idx="5">
                  <c:v>183650</c:v>
                </c:pt>
                <c:pt idx="6">
                  <c:v>8625</c:v>
                </c:pt>
                <c:pt idx="7">
                  <c:v>50934</c:v>
                </c:pt>
                <c:pt idx="8">
                  <c:v>11542.5</c:v>
                </c:pt>
                <c:pt idx="9">
                  <c:v>9319.5</c:v>
                </c:pt>
                <c:pt idx="10">
                  <c:v>12958.5</c:v>
                </c:pt>
                <c:pt idx="11">
                  <c:v>108744</c:v>
                </c:pt>
                <c:pt idx="12">
                  <c:v>28447.8</c:v>
                </c:pt>
                <c:pt idx="13">
                  <c:v>79920</c:v>
                </c:pt>
                <c:pt idx="14">
                  <c:v>19179.399999999998</c:v>
                </c:pt>
                <c:pt idx="15">
                  <c:v>31161</c:v>
                </c:pt>
                <c:pt idx="16">
                  <c:v>59574</c:v>
                </c:pt>
                <c:pt idx="17">
                  <c:v>7939.5</c:v>
                </c:pt>
                <c:pt idx="18">
                  <c:v>27971.8</c:v>
                </c:pt>
                <c:pt idx="19">
                  <c:v>174886.39999999999</c:v>
                </c:pt>
                <c:pt idx="20">
                  <c:v>65556</c:v>
                </c:pt>
                <c:pt idx="21">
                  <c:v>61632</c:v>
                </c:pt>
                <c:pt idx="22">
                  <c:v>50442</c:v>
                </c:pt>
                <c:pt idx="23">
                  <c:v>46200</c:v>
                </c:pt>
                <c:pt idx="24">
                  <c:v>182574</c:v>
                </c:pt>
                <c:pt idx="25">
                  <c:v>39300</c:v>
                </c:pt>
                <c:pt idx="26">
                  <c:v>8343</c:v>
                </c:pt>
                <c:pt idx="27">
                  <c:v>13836</c:v>
                </c:pt>
                <c:pt idx="28">
                  <c:v>173859</c:v>
                </c:pt>
                <c:pt idx="29">
                  <c:v>11467.5</c:v>
                </c:pt>
                <c:pt idx="30">
                  <c:v>12916.5</c:v>
                </c:pt>
                <c:pt idx="31">
                  <c:v>37902</c:v>
                </c:pt>
                <c:pt idx="32">
                  <c:v>24520.799999999999</c:v>
                </c:pt>
                <c:pt idx="33">
                  <c:v>26584.6</c:v>
                </c:pt>
                <c:pt idx="34">
                  <c:v>165081</c:v>
                </c:pt>
                <c:pt idx="35">
                  <c:v>118632</c:v>
                </c:pt>
                <c:pt idx="36">
                  <c:v>163075</c:v>
                </c:pt>
                <c:pt idx="37">
                  <c:v>84204</c:v>
                </c:pt>
                <c:pt idx="38">
                  <c:v>44238</c:v>
                </c:pt>
                <c:pt idx="39">
                  <c:v>154575</c:v>
                </c:pt>
                <c:pt idx="40">
                  <c:v>168200</c:v>
                </c:pt>
                <c:pt idx="41">
                  <c:v>88188</c:v>
                </c:pt>
                <c:pt idx="42">
                  <c:v>10278</c:v>
                </c:pt>
                <c:pt idx="43">
                  <c:v>14442</c:v>
                </c:pt>
                <c:pt idx="44">
                  <c:v>12136.5</c:v>
                </c:pt>
                <c:pt idx="45">
                  <c:v>119088</c:v>
                </c:pt>
                <c:pt idx="46">
                  <c:v>183225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60-49A5-AF3F-5401F9133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4123584"/>
        <c:axId val="1479521184"/>
      </c:barChart>
      <c:catAx>
        <c:axId val="138412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79521184"/>
        <c:crosses val="autoZero"/>
        <c:auto val="1"/>
        <c:lblAlgn val="ctr"/>
        <c:lblOffset val="100"/>
        <c:noMultiLvlLbl val="0"/>
      </c:catAx>
      <c:valAx>
        <c:axId val="147952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12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552451</xdr:colOff>
      <xdr:row>1</xdr:row>
      <xdr:rowOff>47625</xdr:rowOff>
    </xdr:from>
    <xdr:to>
      <xdr:col>9</xdr:col>
      <xdr:colOff>57151</xdr:colOff>
      <xdr:row>14</xdr:row>
      <xdr:rowOff>114300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CAC94294-95BE-483A-8036-CDEFF6A74BE3}"/>
            </a:ext>
          </a:extLst>
        </xdr:cNvPr>
        <xdr:cNvSpPr txBox="1"/>
      </xdr:nvSpPr>
      <xdr:spPr>
        <a:xfrm>
          <a:off x="3695701" y="209550"/>
          <a:ext cx="4076700" cy="2171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/>
            <a:t>TCD 1</a:t>
          </a:r>
        </a:p>
        <a:p>
          <a:r>
            <a:rPr lang="fr-FR" sz="1400"/>
            <a:t>Par vendeur avec la somme du montant</a:t>
          </a:r>
        </a:p>
        <a:p>
          <a:r>
            <a:rPr lang="fr-FR" sz="1400"/>
            <a:t>Mettre</a:t>
          </a:r>
          <a:r>
            <a:rPr lang="fr-FR" sz="1400" baseline="0"/>
            <a:t> une mise en forme conditionnelle pour les montant &gt;= 300 000</a:t>
          </a:r>
          <a:endParaRPr lang="fr-FR" sz="1400"/>
        </a:p>
        <a:p>
          <a:endParaRPr lang="fr-FR" sz="1400"/>
        </a:p>
        <a:p>
          <a:r>
            <a:rPr lang="fr-FR" sz="1400"/>
            <a:t>ajouter les % du total</a:t>
          </a:r>
        </a:p>
        <a:p>
          <a:endParaRPr lang="fr-FR" sz="14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0</xdr:row>
      <xdr:rowOff>66675</xdr:rowOff>
    </xdr:from>
    <xdr:to>
      <xdr:col>10</xdr:col>
      <xdr:colOff>180975</xdr:colOff>
      <xdr:row>13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16FB0262-F90A-41F3-9557-07D70BF3B9C1}"/>
            </a:ext>
          </a:extLst>
        </xdr:cNvPr>
        <xdr:cNvSpPr txBox="1"/>
      </xdr:nvSpPr>
      <xdr:spPr>
        <a:xfrm>
          <a:off x="3200400" y="66675"/>
          <a:ext cx="5457825" cy="2171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/>
            <a:t>TCD 2</a:t>
          </a:r>
        </a:p>
        <a:p>
          <a:r>
            <a:rPr lang="fr-FR" sz="1400"/>
            <a:t>Par produit la somme la moyenne du</a:t>
          </a:r>
          <a:r>
            <a:rPr lang="fr-FR" sz="1400" baseline="0"/>
            <a:t> montant et connaitre le nb</a:t>
          </a:r>
          <a:endParaRPr lang="fr-FR" sz="14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Ajouter</a:t>
          </a:r>
          <a:r>
            <a:rPr lang="fr-FR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le secteur filtre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afficher le detail des produits </a:t>
          </a:r>
          <a:r>
            <a:rPr lang="fr-FR" sz="14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montres</a:t>
          </a:r>
          <a:r>
            <a:rPr lang="fr-FR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pour le secteur </a:t>
          </a:r>
          <a:r>
            <a:rPr lang="fr-FR" sz="14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Ouest</a:t>
          </a:r>
          <a:r>
            <a:rPr lang="fr-FR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sur autre une feuille (renommer la en montres)</a:t>
          </a:r>
          <a:endParaRPr lang="fr-FR" sz="1400">
            <a:effectLst/>
          </a:endParaRPr>
        </a:p>
        <a:p>
          <a:endParaRPr lang="fr-FR" sz="1400"/>
        </a:p>
        <a:p>
          <a:r>
            <a:rPr lang="fr-FR" sz="1400"/>
            <a:t>Creer</a:t>
          </a:r>
          <a:r>
            <a:rPr lang="fr-FR" sz="1400" baseline="0"/>
            <a:t> le TCD de chaque secteur e</a:t>
          </a:r>
          <a:r>
            <a:rPr lang="fr-FR" sz="1400"/>
            <a:t>a partir de</a:t>
          </a:r>
          <a:r>
            <a:rPr lang="fr-FR" sz="1400" baseline="0"/>
            <a:t> la commande mettre en page le filtre de rapport</a:t>
          </a:r>
          <a:endParaRPr lang="fr-FR" sz="14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85725</xdr:colOff>
      <xdr:row>1</xdr:row>
      <xdr:rowOff>19050</xdr:rowOff>
    </xdr:from>
    <xdr:to>
      <xdr:col>12</xdr:col>
      <xdr:colOff>466725</xdr:colOff>
      <xdr:row>19</xdr:row>
      <xdr:rowOff>9525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5C45D105-A5DE-4CEA-A09D-C7123A1A5A66}"/>
            </a:ext>
          </a:extLst>
        </xdr:cNvPr>
        <xdr:cNvSpPr txBox="1"/>
      </xdr:nvSpPr>
      <xdr:spPr>
        <a:xfrm>
          <a:off x="5972175" y="180975"/>
          <a:ext cx="4191000" cy="2905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/>
            <a:t>TCD 4</a:t>
          </a:r>
        </a:p>
        <a:p>
          <a:r>
            <a:rPr lang="fr-FR" sz="1400"/>
            <a:t>Par vendeurs</a:t>
          </a:r>
        </a:p>
        <a:p>
          <a:r>
            <a:rPr lang="fr-FR" sz="1400"/>
            <a:t>connaitre</a:t>
          </a:r>
          <a:r>
            <a:rPr lang="fr-FR" sz="1400" baseline="0"/>
            <a:t> le nb de ventes</a:t>
          </a:r>
        </a:p>
        <a:p>
          <a:r>
            <a:rPr lang="fr-FR" sz="1400" baseline="0"/>
            <a:t>la somme des montants</a:t>
          </a:r>
        </a:p>
        <a:p>
          <a:r>
            <a:rPr lang="fr-FR" sz="1400" baseline="0"/>
            <a:t>mettre le produit en filtre</a:t>
          </a:r>
        </a:p>
        <a:p>
          <a:r>
            <a:rPr lang="fr-FR" sz="1400" baseline="0"/>
            <a:t> le % du total</a:t>
          </a:r>
        </a:p>
        <a:p>
          <a:r>
            <a:rPr lang="fr-FR" sz="1400" baseline="0"/>
            <a:t>mettre un classement sur le montant par vendeur (utiliser le rang du plus grand au plus petit avec  le parametre du champs de valeur)</a:t>
          </a:r>
        </a:p>
        <a:p>
          <a:endParaRPr lang="fr-FR" sz="1400" baseline="0"/>
        </a:p>
        <a:p>
          <a:r>
            <a:rPr lang="fr-FR" sz="1400" baseline="0"/>
            <a:t>appliquer une prime de 10% si la vente est &gt;=30000</a:t>
          </a:r>
          <a:endParaRPr lang="fr-FR" sz="14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714375</xdr:colOff>
      <xdr:row>2</xdr:row>
      <xdr:rowOff>85725</xdr:rowOff>
    </xdr:from>
    <xdr:to>
      <xdr:col>9</xdr:col>
      <xdr:colOff>238125</xdr:colOff>
      <xdr:row>15</xdr:row>
      <xdr:rowOff>28575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AE1CF2CB-DAD8-47DB-9ACC-FE5263843D30}"/>
            </a:ext>
          </a:extLst>
        </xdr:cNvPr>
        <xdr:cNvSpPr txBox="1"/>
      </xdr:nvSpPr>
      <xdr:spPr>
        <a:xfrm>
          <a:off x="4371975" y="409575"/>
          <a:ext cx="4191000" cy="2047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/>
            <a:t>TCD4</a:t>
          </a:r>
        </a:p>
        <a:p>
          <a:r>
            <a:rPr lang="fr-FR" sz="1400"/>
            <a:t>Par secteur afficher</a:t>
          </a:r>
          <a:r>
            <a:rPr lang="fr-FR" sz="1400" baseline="0"/>
            <a:t> la moyenne du montant</a:t>
          </a:r>
        </a:p>
        <a:p>
          <a:r>
            <a:rPr lang="fr-FR" sz="1400" baseline="0"/>
            <a:t>utiliser les segments pour filtrer sur l'annee</a:t>
          </a:r>
        </a:p>
        <a:p>
          <a:r>
            <a:rPr lang="fr-FR" sz="1400" baseline="0"/>
            <a:t>Creation d'un graph</a:t>
          </a:r>
          <a:endParaRPr lang="fr-FR" sz="14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0</xdr:row>
      <xdr:rowOff>19049</xdr:rowOff>
    </xdr:from>
    <xdr:to>
      <xdr:col>10</xdr:col>
      <xdr:colOff>600075</xdr:colOff>
      <xdr:row>12</xdr:row>
      <xdr:rowOff>85724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DCD2B6F4-7ADB-4759-B20C-586CB38A3DCA}"/>
            </a:ext>
          </a:extLst>
        </xdr:cNvPr>
        <xdr:cNvSpPr txBox="1"/>
      </xdr:nvSpPr>
      <xdr:spPr>
        <a:xfrm>
          <a:off x="5753100" y="19049"/>
          <a:ext cx="4600575" cy="2009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/>
            <a:t>TCD</a:t>
          </a:r>
          <a:r>
            <a:rPr lang="fr-FR" sz="1400" baseline="0"/>
            <a:t> 5</a:t>
          </a:r>
        </a:p>
        <a:p>
          <a:r>
            <a:rPr lang="fr-FR" sz="1400" baseline="0"/>
            <a:t>faire un TCD par mois et par annee avec la somme du montant (utliser la commande groupe pour modifier le groupe automatique)</a:t>
          </a:r>
        </a:p>
        <a:p>
          <a:endParaRPr lang="fr-FR" sz="14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mettre le client en segment pour filtrer plus rapidement</a:t>
          </a:r>
          <a:endParaRPr lang="fr-FR" sz="1400">
            <a:effectLst/>
          </a:endParaRPr>
        </a:p>
        <a:p>
          <a:endParaRPr lang="fr-FR" sz="1400" baseline="0"/>
        </a:p>
        <a:p>
          <a:r>
            <a:rPr lang="fr-FR" sz="1400" baseline="0"/>
            <a:t>Faire un graphique et chosir le client Ifrane</a:t>
          </a:r>
        </a:p>
        <a:p>
          <a:endParaRPr lang="fr-FR" sz="1400" baseline="0"/>
        </a:p>
      </xdr:txBody>
    </xdr:sp>
    <xdr:clientData/>
  </xdr:twoCellAnchor>
  <xdr:twoCellAnchor>
    <xdr:from>
      <xdr:col>5</xdr:col>
      <xdr:colOff>95250</xdr:colOff>
      <xdr:row>17</xdr:row>
      <xdr:rowOff>52387</xdr:rowOff>
    </xdr:from>
    <xdr:to>
      <xdr:col>10</xdr:col>
      <xdr:colOff>800100</xdr:colOff>
      <xdr:row>34</xdr:row>
      <xdr:rowOff>42862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FADDEA4B-DD28-468F-9332-FF27C5942B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1</xdr:row>
      <xdr:rowOff>57150</xdr:rowOff>
    </xdr:from>
    <xdr:to>
      <xdr:col>10</xdr:col>
      <xdr:colOff>428625</xdr:colOff>
      <xdr:row>14</xdr:row>
      <xdr:rowOff>123825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BA9E87BB-7788-4E8A-A778-42D59CE8C75B}"/>
            </a:ext>
          </a:extLst>
        </xdr:cNvPr>
        <xdr:cNvSpPr txBox="1"/>
      </xdr:nvSpPr>
      <xdr:spPr>
        <a:xfrm>
          <a:off x="3448050" y="219075"/>
          <a:ext cx="5457825" cy="2171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/>
            <a:t>TCD 1</a:t>
          </a:r>
        </a:p>
        <a:p>
          <a:r>
            <a:rPr lang="fr-FR" sz="1400"/>
            <a:t>Par vendeur avec la somme du montant</a:t>
          </a:r>
        </a:p>
        <a:p>
          <a:endParaRPr lang="fr-FR" sz="1400"/>
        </a:p>
        <a:p>
          <a:r>
            <a:rPr lang="fr-FR" sz="1400"/>
            <a:t>ajouter les % du total</a:t>
          </a:r>
        </a:p>
        <a:p>
          <a:endParaRPr lang="fr-FR" sz="14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0</xdr:row>
      <xdr:rowOff>123825</xdr:rowOff>
    </xdr:from>
    <xdr:to>
      <xdr:col>10</xdr:col>
      <xdr:colOff>180975</xdr:colOff>
      <xdr:row>14</xdr:row>
      <xdr:rowOff>28575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80DB40A1-0542-482F-92EA-1F1837E1FF81}"/>
            </a:ext>
          </a:extLst>
        </xdr:cNvPr>
        <xdr:cNvSpPr txBox="1"/>
      </xdr:nvSpPr>
      <xdr:spPr>
        <a:xfrm>
          <a:off x="3200400" y="123825"/>
          <a:ext cx="5457825" cy="2171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TCD 2</a:t>
          </a:r>
        </a:p>
        <a:p>
          <a:r>
            <a:rPr lang="fr-FR" sz="1100"/>
            <a:t>Par produit la somme la moyenne du</a:t>
          </a:r>
          <a:r>
            <a:rPr lang="fr-FR" sz="1100" baseline="0"/>
            <a:t> montant et connaitre le nb</a:t>
          </a:r>
          <a:endParaRPr lang="fr-FR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Ajouter</a:t>
          </a: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le secteur filtre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afficher le detail des produits </a:t>
          </a:r>
          <a:r>
            <a:rPr lang="fr-F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montres</a:t>
          </a: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pour le secteur </a:t>
          </a:r>
          <a:r>
            <a:rPr lang="fr-F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Ouest</a:t>
          </a: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sur autre une feuille (renommer la en montres)</a:t>
          </a:r>
          <a:endParaRPr lang="fr-FR">
            <a:effectLst/>
          </a:endParaRPr>
        </a:p>
        <a:p>
          <a:endParaRPr lang="fr-FR" sz="1100"/>
        </a:p>
        <a:p>
          <a:r>
            <a:rPr lang="fr-FR" sz="1100"/>
            <a:t>Creer</a:t>
          </a:r>
          <a:r>
            <a:rPr lang="fr-FR" sz="1100" baseline="0"/>
            <a:t> le TCD de chaque secteur e</a:t>
          </a:r>
          <a:r>
            <a:rPr lang="fr-FR" sz="1100"/>
            <a:t>a partir de</a:t>
          </a:r>
          <a:r>
            <a:rPr lang="fr-FR" sz="1100" baseline="0"/>
            <a:t> la commande mettre en page le filtre de rapport</a:t>
          </a:r>
          <a:endParaRPr lang="fr-FR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85725</xdr:colOff>
      <xdr:row>1</xdr:row>
      <xdr:rowOff>19050</xdr:rowOff>
    </xdr:from>
    <xdr:to>
      <xdr:col>12</xdr:col>
      <xdr:colOff>466725</xdr:colOff>
      <xdr:row>19</xdr:row>
      <xdr:rowOff>9525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21B6FCDD-0D41-4FD0-B0BC-D096A892FD93}"/>
            </a:ext>
          </a:extLst>
        </xdr:cNvPr>
        <xdr:cNvSpPr txBox="1"/>
      </xdr:nvSpPr>
      <xdr:spPr>
        <a:xfrm>
          <a:off x="5972175" y="180975"/>
          <a:ext cx="4191000" cy="2905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/>
            <a:t>TCD 4</a:t>
          </a:r>
        </a:p>
        <a:p>
          <a:r>
            <a:rPr lang="fr-FR" sz="1400"/>
            <a:t>Par vendeurs</a:t>
          </a:r>
        </a:p>
        <a:p>
          <a:r>
            <a:rPr lang="fr-FR" sz="1400"/>
            <a:t>connaitre</a:t>
          </a:r>
          <a:r>
            <a:rPr lang="fr-FR" sz="1400" baseline="0"/>
            <a:t> le nb de ventes</a:t>
          </a:r>
        </a:p>
        <a:p>
          <a:r>
            <a:rPr lang="fr-FR" sz="1400" baseline="0"/>
            <a:t>la somme des montants</a:t>
          </a:r>
        </a:p>
        <a:p>
          <a:r>
            <a:rPr lang="fr-FR" sz="1400" baseline="0"/>
            <a:t>mettre le produit en filtre</a:t>
          </a:r>
        </a:p>
        <a:p>
          <a:r>
            <a:rPr lang="fr-FR" sz="1400" baseline="0"/>
            <a:t> le % du total</a:t>
          </a:r>
        </a:p>
        <a:p>
          <a:r>
            <a:rPr lang="fr-FR" sz="1400" baseline="0"/>
            <a:t>mettre un classement sur le montant par vendeur (utiliser le rang du plus grand au plus petit avec  le parametre du champs de valeur)</a:t>
          </a:r>
        </a:p>
        <a:p>
          <a:endParaRPr lang="fr-FR" sz="1400" baseline="0"/>
        </a:p>
        <a:p>
          <a:r>
            <a:rPr lang="fr-FR" sz="1400" baseline="0"/>
            <a:t>appliquer une prime de 10% si la vente est &gt;=30000</a:t>
          </a:r>
          <a:endParaRPr lang="fr-FR" sz="14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2</xdr:row>
      <xdr:rowOff>85725</xdr:rowOff>
    </xdr:from>
    <xdr:to>
      <xdr:col>10</xdr:col>
      <xdr:colOff>647700</xdr:colOff>
      <xdr:row>15</xdr:row>
      <xdr:rowOff>28575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5D986EF9-1AE4-4402-8337-D08F22E169DF}"/>
            </a:ext>
          </a:extLst>
        </xdr:cNvPr>
        <xdr:cNvSpPr txBox="1"/>
      </xdr:nvSpPr>
      <xdr:spPr>
        <a:xfrm>
          <a:off x="5543550" y="409575"/>
          <a:ext cx="4191000" cy="2047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TCD4</a:t>
          </a:r>
        </a:p>
        <a:p>
          <a:r>
            <a:rPr lang="fr-FR" sz="1100"/>
            <a:t>Par secteur afficher</a:t>
          </a:r>
          <a:r>
            <a:rPr lang="fr-FR" sz="1100" baseline="0"/>
            <a:t> la moyenne du montant</a:t>
          </a:r>
        </a:p>
        <a:p>
          <a:r>
            <a:rPr lang="fr-FR" sz="1100" baseline="0"/>
            <a:t>utiliser les segments pour filtrer sur l'annee</a:t>
          </a:r>
        </a:p>
        <a:p>
          <a:r>
            <a:rPr lang="fr-FR" sz="1100" baseline="0"/>
            <a:t>Creation d'un graph</a:t>
          </a:r>
          <a:endParaRPr lang="fr-FR" sz="1100"/>
        </a:p>
      </xdr:txBody>
    </xdr:sp>
    <xdr:clientData/>
  </xdr:twoCellAnchor>
  <xdr:twoCellAnchor editAs="oneCell">
    <xdr:from>
      <xdr:col>0</xdr:col>
      <xdr:colOff>133350</xdr:colOff>
      <xdr:row>12</xdr:row>
      <xdr:rowOff>123825</xdr:rowOff>
    </xdr:from>
    <xdr:to>
      <xdr:col>2</xdr:col>
      <xdr:colOff>371475</xdr:colOff>
      <xdr:row>17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ANNEE 1">
              <a:extLst>
                <a:ext uri="{FF2B5EF4-FFF2-40B4-BE49-F238E27FC236}">
                  <a16:creationId xmlns:a16="http://schemas.microsoft.com/office/drawing/2014/main" id="{C1946515-A196-4A7E-A814-90B0B5886B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NE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50" y="2066925"/>
              <a:ext cx="2819400" cy="685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4</xdr:col>
      <xdr:colOff>323850</xdr:colOff>
      <xdr:row>1</xdr:row>
      <xdr:rowOff>138111</xdr:rowOff>
    </xdr:from>
    <xdr:to>
      <xdr:col>10</xdr:col>
      <xdr:colOff>647700</xdr:colOff>
      <xdr:row>19</xdr:row>
      <xdr:rowOff>28574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C625EA88-2591-4E26-8DCA-4BBC5D3CE5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0</xdr:row>
      <xdr:rowOff>19049</xdr:rowOff>
    </xdr:from>
    <xdr:to>
      <xdr:col>10</xdr:col>
      <xdr:colOff>600075</xdr:colOff>
      <xdr:row>12</xdr:row>
      <xdr:rowOff>85724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CFE3D689-F8D3-4869-A65C-6E2D316F9D4A}"/>
            </a:ext>
          </a:extLst>
        </xdr:cNvPr>
        <xdr:cNvSpPr txBox="1"/>
      </xdr:nvSpPr>
      <xdr:spPr>
        <a:xfrm>
          <a:off x="5753100" y="19049"/>
          <a:ext cx="4600575" cy="2009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/>
            <a:t>TCD</a:t>
          </a:r>
          <a:r>
            <a:rPr lang="fr-FR" sz="1400" baseline="0"/>
            <a:t> 5</a:t>
          </a:r>
        </a:p>
        <a:p>
          <a:r>
            <a:rPr lang="fr-FR" sz="1400" baseline="0"/>
            <a:t>faire un TCD par mois et par annee avec la somme du montant (utliser la commande groupe pour modifier le groupe automatique)</a:t>
          </a:r>
        </a:p>
        <a:p>
          <a:endParaRPr lang="fr-FR" sz="14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mettre le client en segment pour filtrer plus rapidement</a:t>
          </a:r>
          <a:endParaRPr lang="fr-FR" sz="1400">
            <a:effectLst/>
          </a:endParaRPr>
        </a:p>
        <a:p>
          <a:endParaRPr lang="fr-FR" sz="1400" baseline="0"/>
        </a:p>
        <a:p>
          <a:r>
            <a:rPr lang="fr-FR" sz="1400" baseline="0"/>
            <a:t>Faire un graphique et chosir le client Ifrane</a:t>
          </a:r>
        </a:p>
        <a:p>
          <a:endParaRPr lang="fr-FR" sz="1400" baseline="0"/>
        </a:p>
      </xdr:txBody>
    </xdr:sp>
    <xdr:clientData/>
  </xdr:twoCellAnchor>
  <xdr:twoCellAnchor editAs="oneCell">
    <xdr:from>
      <xdr:col>0</xdr:col>
      <xdr:colOff>333374</xdr:colOff>
      <xdr:row>17</xdr:row>
      <xdr:rowOff>142875</xdr:rowOff>
    </xdr:from>
    <xdr:to>
      <xdr:col>1</xdr:col>
      <xdr:colOff>1123949</xdr:colOff>
      <xdr:row>26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LIENT 1">
              <a:extLst>
                <a:ext uri="{FF2B5EF4-FFF2-40B4-BE49-F238E27FC236}">
                  <a16:creationId xmlns:a16="http://schemas.microsoft.com/office/drawing/2014/main" id="{7762A2BE-56F2-4657-8687-E22B62252CA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3374" y="2895600"/>
              <a:ext cx="2200275" cy="1447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5</xdr:col>
      <xdr:colOff>123825</xdr:colOff>
      <xdr:row>12</xdr:row>
      <xdr:rowOff>147637</xdr:rowOff>
    </xdr:from>
    <xdr:to>
      <xdr:col>10</xdr:col>
      <xdr:colOff>828675</xdr:colOff>
      <xdr:row>29</xdr:row>
      <xdr:rowOff>138112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A7713554-70B9-4327-B4B2-9967F6FC80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O%20DOLFI%20AVAN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YENNE MAX MIN RANG"/>
      <sheetName val="Liste Adhérents"/>
      <sheetName val="SOUS TOTAUX"/>
      <sheetName val="SI ET OU"/>
      <sheetName val="si - nb - nb val"/>
      <sheetName val="DOUBLONS"/>
      <sheetName val="CALCUL AVEC DATE"/>
      <sheetName val="consolider"/>
      <sheetName val="tcd"/>
      <sheetName val="tcd1"/>
      <sheetName val="TCD2"/>
      <sheetName val="tcd logiciels"/>
      <sheetName val="SI NBVAL"/>
      <sheetName val="nbvide"/>
      <sheetName val="SOMME SI"/>
      <sheetName val="FRAIS SOMME SI"/>
      <sheetName val="NBSI"/>
      <sheetName val="NB SI ENS ET SOMME SI ENS"/>
      <sheetName val="CONCATENER"/>
      <sheetName val="CONCATENER STXT"/>
      <sheetName val="GAUCHE ET NOM PROPRE"/>
      <sheetName val="liste déroulante"/>
      <sheetName val="recherche v"/>
      <sheetName val="RECHERCHEV OU H (2)"/>
      <sheetName val="FORMULAIRE (2)"/>
      <sheetName val="ID ETUDIANT (2)"/>
      <sheetName val="NOTES (2)"/>
      <sheetName val="les plans"/>
      <sheetName val="V CIBLE PRIX VENTE"/>
      <sheetName val="valeur cible SALAIRE"/>
      <sheetName val="POURCENTAGE JOURS PLUIE"/>
      <sheetName val="BDLIRE"/>
      <sheetName val="MAILLOTS DOLLAR"/>
      <sheetName val="dispach de montant"/>
      <sheetName val="planning vacances"/>
      <sheetName val="Fonction Date"/>
      <sheetName val="EST"/>
      <sheetName val="NORD"/>
      <sheetName val="SUD"/>
      <sheetName val="CEN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">
          <cell r="A1" t="str">
            <v>CNE</v>
          </cell>
          <cell r="B1" t="str">
            <v>N°</v>
          </cell>
          <cell r="C1" t="str">
            <v>NOM/PRENOM</v>
          </cell>
          <cell r="D1" t="str">
            <v>DATE NAISSANCE</v>
          </cell>
          <cell r="E1" t="str">
            <v>VILLE</v>
          </cell>
        </row>
        <row r="2">
          <cell r="A2">
            <v>421001</v>
          </cell>
          <cell r="B2">
            <v>1</v>
          </cell>
          <cell r="C2" t="str">
            <v>SARKOSY Nicolas</v>
          </cell>
          <cell r="D2">
            <v>35348</v>
          </cell>
          <cell r="E2" t="str">
            <v>PARIS</v>
          </cell>
        </row>
        <row r="3">
          <cell r="A3">
            <v>421102</v>
          </cell>
          <cell r="B3">
            <v>2</v>
          </cell>
          <cell r="C3" t="str">
            <v>POTTER Harry</v>
          </cell>
          <cell r="D3">
            <v>35232</v>
          </cell>
          <cell r="E3" t="str">
            <v>LONDRES</v>
          </cell>
        </row>
        <row r="4">
          <cell r="A4">
            <v>421503</v>
          </cell>
          <cell r="B4">
            <v>3</v>
          </cell>
          <cell r="C4" t="str">
            <v>JACKSON Michael</v>
          </cell>
          <cell r="D4">
            <v>34897</v>
          </cell>
          <cell r="E4" t="str">
            <v>NEW YORK</v>
          </cell>
        </row>
        <row r="5">
          <cell r="A5">
            <v>421507</v>
          </cell>
          <cell r="B5">
            <v>4</v>
          </cell>
          <cell r="C5" t="str">
            <v>SUMMER Donna</v>
          </cell>
          <cell r="D5">
            <v>34843</v>
          </cell>
          <cell r="E5" t="str">
            <v>LOS ANGELES</v>
          </cell>
        </row>
      </sheetData>
      <sheetData sheetId="26">
        <row r="1">
          <cell r="A1" t="str">
            <v>CNE</v>
          </cell>
          <cell r="B1" t="str">
            <v>NOM/PRENOM</v>
          </cell>
          <cell r="C1" t="str">
            <v>MATH</v>
          </cell>
          <cell r="D1" t="str">
            <v>Français</v>
          </cell>
          <cell r="E1" t="str">
            <v>GEO</v>
          </cell>
          <cell r="F1" t="str">
            <v>ANGLAIS</v>
          </cell>
          <cell r="G1" t="str">
            <v>EPS</v>
          </cell>
          <cell r="H1" t="str">
            <v>BONUS</v>
          </cell>
        </row>
        <row r="2">
          <cell r="A2">
            <v>421001</v>
          </cell>
          <cell r="B2" t="str">
            <v>SARKOSY Nicolas</v>
          </cell>
          <cell r="C2">
            <v>20</v>
          </cell>
          <cell r="D2">
            <v>2</v>
          </cell>
          <cell r="E2">
            <v>14</v>
          </cell>
          <cell r="F2">
            <v>10</v>
          </cell>
          <cell r="G2">
            <v>12</v>
          </cell>
          <cell r="H2">
            <v>2</v>
          </cell>
        </row>
        <row r="3">
          <cell r="A3">
            <v>421102</v>
          </cell>
          <cell r="B3" t="str">
            <v>POTTER Harry</v>
          </cell>
          <cell r="C3">
            <v>10</v>
          </cell>
          <cell r="D3">
            <v>9</v>
          </cell>
          <cell r="E3">
            <v>5</v>
          </cell>
          <cell r="F3">
            <v>8</v>
          </cell>
          <cell r="G3">
            <v>14</v>
          </cell>
          <cell r="H3">
            <v>3</v>
          </cell>
        </row>
        <row r="4">
          <cell r="A4">
            <v>421503</v>
          </cell>
          <cell r="B4" t="str">
            <v>JACKSON Michael</v>
          </cell>
          <cell r="C4">
            <v>5</v>
          </cell>
          <cell r="D4">
            <v>10</v>
          </cell>
          <cell r="E4">
            <v>11</v>
          </cell>
          <cell r="F4">
            <v>12</v>
          </cell>
          <cell r="G4">
            <v>13</v>
          </cell>
          <cell r="H4">
            <v>2</v>
          </cell>
        </row>
        <row r="5">
          <cell r="A5">
            <v>421507</v>
          </cell>
          <cell r="B5" t="str">
            <v>SUMMER Donna</v>
          </cell>
          <cell r="C5">
            <v>11</v>
          </cell>
          <cell r="D5">
            <v>9</v>
          </cell>
          <cell r="E5">
            <v>8</v>
          </cell>
          <cell r="F5">
            <v>14</v>
          </cell>
          <cell r="G5">
            <v>15</v>
          </cell>
          <cell r="H5">
            <v>3</v>
          </cell>
        </row>
      </sheetData>
      <sheetData sheetId="27"/>
      <sheetData sheetId="28"/>
      <sheetData sheetId="29"/>
      <sheetData sheetId="30"/>
      <sheetData sheetId="31">
        <row r="3">
          <cell r="A3" t="str">
            <v>NOM</v>
          </cell>
          <cell r="B3" t="str">
            <v>PRENOM</v>
          </cell>
          <cell r="C3" t="str">
            <v>VILLE</v>
          </cell>
        </row>
        <row r="4">
          <cell r="A4" t="str">
            <v>JACKSON</v>
          </cell>
          <cell r="B4" t="str">
            <v>MICHAEL</v>
          </cell>
          <cell r="C4" t="str">
            <v>NEW YORK</v>
          </cell>
        </row>
        <row r="5">
          <cell r="A5" t="str">
            <v>SARKOSI</v>
          </cell>
          <cell r="B5" t="str">
            <v>NICOLAS</v>
          </cell>
          <cell r="C5" t="str">
            <v>PARIS</v>
          </cell>
        </row>
        <row r="6">
          <cell r="A6" t="str">
            <v>DUPONT</v>
          </cell>
          <cell r="B6" t="str">
            <v>JEAN</v>
          </cell>
          <cell r="C6" t="str">
            <v>LYON</v>
          </cell>
        </row>
        <row r="7">
          <cell r="A7" t="str">
            <v>HILTON</v>
          </cell>
          <cell r="B7" t="str">
            <v>PARIS</v>
          </cell>
          <cell r="C7" t="str">
            <v>MEXICO</v>
          </cell>
        </row>
        <row r="8">
          <cell r="A8" t="str">
            <v>BARBE</v>
          </cell>
          <cell r="B8" t="str">
            <v>GISELE</v>
          </cell>
          <cell r="C8" t="str">
            <v>PARIS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BDD%20COMMANDE%20exo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drine" refreshedDate="44094.692682407411" createdVersion="5" refreshedVersion="6" minRefreshableVersion="3" recordCount="49" xr:uid="{00000000-000A-0000-FFFF-FFFF1E000000}">
  <cacheSource type="worksheet">
    <worksheetSource ref="A1:H50" sheet="bdd commandes" r:id="rId2"/>
  </cacheSource>
  <cacheFields count="11">
    <cacheField name="VENDEURS" numFmtId="0">
      <sharedItems count="10">
        <s v="Martin"/>
        <s v="Dupond"/>
        <s v="Dupuis"/>
        <s v="Leveque"/>
        <s v="Balliard"/>
        <s v="Ball"/>
        <s v="Marrou"/>
        <s v="Tardi"/>
        <s v="Mar"/>
        <s v="Pellieux"/>
      </sharedItems>
    </cacheField>
    <cacheField name="DATE" numFmtId="14">
      <sharedItems containsSemiMixedTypes="0" containsNonDate="0" containsDate="1" containsString="0" minDate="2015-01-09T00:00:00" maxDate="2016-06-26T00:00:00" count="47">
        <d v="2015-05-31T00:00:00"/>
        <d v="2016-01-03T00:00:00"/>
        <d v="2016-05-31T00:00:00"/>
        <d v="2015-07-12T00:00:00"/>
        <d v="2015-12-15T00:00:00"/>
        <d v="2015-02-15T00:00:00"/>
        <d v="2015-02-27T00:00:00"/>
        <d v="2016-06-25T00:00:00"/>
        <d v="2015-10-10T00:00:00"/>
        <d v="2015-12-28T00:00:00"/>
        <d v="2016-05-27T00:00:00"/>
        <d v="2015-08-21T00:00:00"/>
        <d v="2016-01-24T00:00:00"/>
        <d v="2015-02-09T00:00:00"/>
        <d v="2016-02-23T00:00:00"/>
        <d v="2016-04-22T00:00:00"/>
        <d v="2015-12-13T00:00:00"/>
        <d v="2015-03-31T00:00:00"/>
        <d v="2015-06-26T00:00:00"/>
        <d v="2016-01-29T00:00:00"/>
        <d v="2015-11-09T00:00:00"/>
        <d v="2016-03-05T00:00:00"/>
        <d v="2016-01-18T00:00:00"/>
        <d v="2016-06-19T00:00:00"/>
        <d v="2016-01-10T00:00:00"/>
        <d v="2015-03-07T00:00:00"/>
        <d v="2015-06-12T00:00:00"/>
        <d v="2016-01-16T00:00:00"/>
        <d v="2016-06-14T00:00:00"/>
        <d v="2016-01-25T00:00:00"/>
        <d v="2015-10-13T00:00:00"/>
        <d v="2016-01-22T00:00:00"/>
        <d v="2015-02-17T00:00:00"/>
        <d v="2016-03-15T00:00:00"/>
        <d v="2015-07-03T00:00:00"/>
        <d v="2015-10-16T00:00:00"/>
        <d v="2015-08-30T00:00:00"/>
        <d v="2015-11-22T00:00:00"/>
        <d v="2015-11-14T00:00:00"/>
        <d v="2015-04-04T00:00:00"/>
        <d v="2015-09-05T00:00:00"/>
        <d v="2015-10-30T00:00:00"/>
        <d v="2015-07-17T00:00:00"/>
        <d v="2016-05-24T00:00:00"/>
        <d v="2016-04-17T00:00:00"/>
        <d v="2016-03-01T00:00:00"/>
        <d v="2015-01-09T00:00:00"/>
      </sharedItems>
    </cacheField>
    <cacheField name="CLIENT" numFmtId="0">
      <sharedItems count="7">
        <s v="Florus"/>
        <s v="Muse SA"/>
        <s v="Ifrane"/>
        <s v="Plein-nord"/>
        <s v="Pubcité"/>
        <s v="Nimbus"/>
        <s v="sieffert"/>
      </sharedItems>
    </cacheField>
    <cacheField name="SECTEUR" numFmtId="0">
      <sharedItems count="4">
        <s v="Centre"/>
        <s v="Nord"/>
        <s v="Ouest"/>
        <s v="Sud"/>
      </sharedItems>
    </cacheField>
    <cacheField name="PRODUIT" numFmtId="0">
      <sharedItems count="6">
        <s v="Stylos"/>
        <s v="Porte-clés"/>
        <s v="Casquettes"/>
        <s v="Calculatrices"/>
        <s v="Montres"/>
        <s v="Calendriers"/>
      </sharedItems>
    </cacheField>
    <cacheField name="PRIX" numFmtId="164">
      <sharedItems containsSemiMixedTypes="0" containsString="0" containsNumber="1" minValue="1.5" maxValue="25"/>
    </cacheField>
    <cacheField name="QUANTITE" numFmtId="0">
      <sharedItems containsSemiMixedTypes="0" containsString="0" containsNumber="1" containsInteger="1" minValue="5136" maxValue="9929" count="49">
        <n v="7695"/>
        <n v="9224"/>
        <n v="9628"/>
        <n v="8367"/>
        <n v="6550"/>
        <n v="6987"/>
        <n v="5954"/>
        <n v="7329"/>
        <n v="5293"/>
        <n v="5562"/>
        <n v="6852"/>
        <n v="5641"/>
        <n v="7212"/>
        <n v="5764"/>
        <n v="9886"/>
        <n v="6728"/>
        <n v="8694"/>
        <n v="5750"/>
        <n v="8639"/>
        <n v="8804"/>
        <n v="5136"/>
        <n v="7017"/>
        <n v="8611"/>
        <n v="9924"/>
        <n v="8279"/>
        <n v="7346"/>
        <n v="6213"/>
        <n v="7645"/>
        <n v="8091"/>
        <n v="7819"/>
        <n v="8227"/>
        <n v="6317"/>
        <n v="9401"/>
        <n v="7373"/>
        <n v="9062"/>
        <n v="5336"/>
        <n v="9165"/>
        <n v="7700"/>
        <n v="8407"/>
        <n v="8489"/>
        <n v="9929"/>
        <n v="5463"/>
        <n v="6660"/>
        <n v="7349"/>
        <n v="6075"/>
        <n v="6183"/>
        <n v="7464"/>
        <n v="6523"/>
        <n v="9201"/>
      </sharedItems>
    </cacheField>
    <cacheField name="MONTANT" numFmtId="164">
      <sharedItems containsSemiMixedTypes="0" containsString="0" containsNumber="1" minValue="7939.5" maxValue="197421"/>
    </cacheField>
    <cacheField name="ANNEE" numFmtId="0">
      <sharedItems containsSemiMixedTypes="0" containsString="0" containsNumber="1" containsInteger="1" minValue="2015" maxValue="2016" count="2">
        <n v="2015"/>
        <n v="2016"/>
      </sharedItems>
    </cacheField>
    <cacheField name="Mois" numFmtId="0">
      <sharedItems containsSemiMixedTypes="0" containsString="0" containsNumber="1" containsInteger="1" minValue="1" maxValue="12"/>
    </cacheField>
    <cacheField name="Mois lettre" numFmtId="0">
      <sharedItems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x v="0"/>
    <x v="0"/>
    <x v="0"/>
    <n v="1.5"/>
    <x v="0"/>
    <n v="11542.5"/>
    <x v="0"/>
    <n v="5"/>
    <s v="Mai"/>
  </r>
  <r>
    <x v="1"/>
    <x v="1"/>
    <x v="1"/>
    <x v="1"/>
    <x v="0"/>
    <n v="1.5"/>
    <x v="1"/>
    <n v="13836"/>
    <x v="1"/>
    <n v="1"/>
    <s v="Janvier"/>
  </r>
  <r>
    <x v="0"/>
    <x v="2"/>
    <x v="2"/>
    <x v="2"/>
    <x v="0"/>
    <n v="1.5"/>
    <x v="2"/>
    <n v="14442"/>
    <x v="1"/>
    <n v="5"/>
    <s v="Mai"/>
  </r>
  <r>
    <x v="2"/>
    <x v="3"/>
    <x v="3"/>
    <x v="0"/>
    <x v="1"/>
    <n v="3.4"/>
    <x v="3"/>
    <n v="28447.8"/>
    <x v="0"/>
    <n v="7"/>
    <s v="Juillet"/>
  </r>
  <r>
    <x v="3"/>
    <x v="4"/>
    <x v="4"/>
    <x v="3"/>
    <x v="2"/>
    <n v="6"/>
    <x v="4"/>
    <n v="39300"/>
    <x v="0"/>
    <n v="12"/>
    <s v="Décembre"/>
  </r>
  <r>
    <x v="4"/>
    <x v="5"/>
    <x v="5"/>
    <x v="0"/>
    <x v="2"/>
    <n v="6"/>
    <x v="5"/>
    <n v="41922"/>
    <x v="0"/>
    <n v="2"/>
    <s v="Février"/>
  </r>
  <r>
    <x v="1"/>
    <x v="6"/>
    <x v="2"/>
    <x v="2"/>
    <x v="3"/>
    <n v="21"/>
    <x v="6"/>
    <n v="125034"/>
    <x v="0"/>
    <n v="2"/>
    <s v="Février"/>
  </r>
  <r>
    <x v="5"/>
    <x v="7"/>
    <x v="0"/>
    <x v="1"/>
    <x v="4"/>
    <n v="25"/>
    <x v="7"/>
    <n v="183225"/>
    <x v="1"/>
    <n v="6"/>
    <s v="Juin"/>
  </r>
  <r>
    <x v="2"/>
    <x v="8"/>
    <x v="0"/>
    <x v="2"/>
    <x v="0"/>
    <n v="1.5"/>
    <x v="8"/>
    <n v="7939.5"/>
    <x v="0"/>
    <n v="10"/>
    <s v="Octobre"/>
  </r>
  <r>
    <x v="6"/>
    <x v="9"/>
    <x v="4"/>
    <x v="3"/>
    <x v="0"/>
    <n v="1.5"/>
    <x v="9"/>
    <n v="8343"/>
    <x v="0"/>
    <n v="12"/>
    <s v="Décembre"/>
  </r>
  <r>
    <x v="7"/>
    <x v="10"/>
    <x v="5"/>
    <x v="2"/>
    <x v="0"/>
    <n v="1.5"/>
    <x v="10"/>
    <n v="10278"/>
    <x v="1"/>
    <n v="5"/>
    <s v="Mai"/>
  </r>
  <r>
    <x v="0"/>
    <x v="11"/>
    <x v="1"/>
    <x v="1"/>
    <x v="1"/>
    <n v="3.4"/>
    <x v="11"/>
    <n v="19179.399999999998"/>
    <x v="0"/>
    <n v="8"/>
    <s v="Août"/>
  </r>
  <r>
    <x v="8"/>
    <x v="12"/>
    <x v="3"/>
    <x v="3"/>
    <x v="1"/>
    <n v="3.4"/>
    <x v="12"/>
    <n v="24520.799999999999"/>
    <x v="1"/>
    <n v="1"/>
    <s v="Janvier"/>
  </r>
  <r>
    <x v="5"/>
    <x v="13"/>
    <x v="5"/>
    <x v="0"/>
    <x v="2"/>
    <n v="6"/>
    <x v="13"/>
    <n v="34584"/>
    <x v="0"/>
    <n v="2"/>
    <s v="Février"/>
  </r>
  <r>
    <x v="1"/>
    <x v="14"/>
    <x v="2"/>
    <x v="3"/>
    <x v="5"/>
    <n v="12"/>
    <x v="14"/>
    <n v="118632"/>
    <x v="1"/>
    <n v="2"/>
    <s v="Février"/>
  </r>
  <r>
    <x v="9"/>
    <x v="15"/>
    <x v="6"/>
    <x v="2"/>
    <x v="4"/>
    <n v="25"/>
    <x v="15"/>
    <n v="168200"/>
    <x v="1"/>
    <n v="4"/>
    <s v="Avril"/>
  </r>
  <r>
    <x v="6"/>
    <x v="16"/>
    <x v="2"/>
    <x v="0"/>
    <x v="3"/>
    <n v="21"/>
    <x v="16"/>
    <n v="182574"/>
    <x v="0"/>
    <n v="12"/>
    <s v="Décembre"/>
  </r>
  <r>
    <x v="1"/>
    <x v="17"/>
    <x v="4"/>
    <x v="2"/>
    <x v="0"/>
    <n v="1.5"/>
    <x v="17"/>
    <n v="8625"/>
    <x v="0"/>
    <n v="3"/>
    <s v="Mars"/>
  </r>
  <r>
    <x v="0"/>
    <x v="18"/>
    <x v="1"/>
    <x v="0"/>
    <x v="0"/>
    <n v="1.5"/>
    <x v="18"/>
    <n v="12958.5"/>
    <x v="0"/>
    <n v="6"/>
    <s v="Juin"/>
  </r>
  <r>
    <x v="2"/>
    <x v="19"/>
    <x v="1"/>
    <x v="0"/>
    <x v="0"/>
    <n v="1.5"/>
    <x v="19"/>
    <n v="13206"/>
    <x v="1"/>
    <n v="1"/>
    <s v="Janvier"/>
  </r>
  <r>
    <x v="9"/>
    <x v="20"/>
    <x v="3"/>
    <x v="3"/>
    <x v="5"/>
    <n v="12"/>
    <x v="20"/>
    <n v="61632"/>
    <x v="0"/>
    <n v="11"/>
    <s v="Novembre"/>
  </r>
  <r>
    <x v="6"/>
    <x v="21"/>
    <x v="4"/>
    <x v="2"/>
    <x v="5"/>
    <n v="12"/>
    <x v="21"/>
    <n v="84204"/>
    <x v="1"/>
    <n v="3"/>
    <s v="Mars"/>
  </r>
  <r>
    <x v="1"/>
    <x v="22"/>
    <x v="4"/>
    <x v="2"/>
    <x v="0"/>
    <n v="1.5"/>
    <x v="22"/>
    <n v="12916.5"/>
    <x v="1"/>
    <n v="1"/>
    <s v="Janvier"/>
  </r>
  <r>
    <x v="5"/>
    <x v="23"/>
    <x v="5"/>
    <x v="1"/>
    <x v="5"/>
    <n v="12"/>
    <x v="23"/>
    <n v="119088"/>
    <x v="1"/>
    <n v="6"/>
    <s v="Juin"/>
  </r>
  <r>
    <x v="0"/>
    <x v="24"/>
    <x v="3"/>
    <x v="0"/>
    <x v="3"/>
    <n v="21"/>
    <x v="24"/>
    <n v="173859"/>
    <x v="1"/>
    <n v="1"/>
    <s v="Janvier"/>
  </r>
  <r>
    <x v="8"/>
    <x v="25"/>
    <x v="2"/>
    <x v="2"/>
    <x v="4"/>
    <n v="25"/>
    <x v="25"/>
    <n v="183650"/>
    <x v="0"/>
    <n v="3"/>
    <s v="Mars"/>
  </r>
  <r>
    <x v="7"/>
    <x v="26"/>
    <x v="3"/>
    <x v="2"/>
    <x v="0"/>
    <n v="1.5"/>
    <x v="26"/>
    <n v="9319.5"/>
    <x v="0"/>
    <n v="6"/>
    <s v="Juin"/>
  </r>
  <r>
    <x v="1"/>
    <x v="27"/>
    <x v="4"/>
    <x v="2"/>
    <x v="0"/>
    <n v="1.5"/>
    <x v="27"/>
    <n v="11467.5"/>
    <x v="1"/>
    <n v="1"/>
    <s v="Janvier"/>
  </r>
  <r>
    <x v="4"/>
    <x v="28"/>
    <x v="4"/>
    <x v="1"/>
    <x v="0"/>
    <n v="1.5"/>
    <x v="28"/>
    <n v="12136.5"/>
    <x v="1"/>
    <n v="6"/>
    <s v="Juin"/>
  </r>
  <r>
    <x v="6"/>
    <x v="29"/>
    <x v="0"/>
    <x v="2"/>
    <x v="1"/>
    <n v="3.4"/>
    <x v="29"/>
    <n v="26584.6"/>
    <x v="1"/>
    <n v="1"/>
    <s v="Janvier"/>
  </r>
  <r>
    <x v="3"/>
    <x v="30"/>
    <x v="3"/>
    <x v="0"/>
    <x v="1"/>
    <n v="3.4"/>
    <x v="30"/>
    <n v="27971.8"/>
    <x v="0"/>
    <n v="10"/>
    <s v="Octobre"/>
  </r>
  <r>
    <x v="9"/>
    <x v="31"/>
    <x v="1"/>
    <x v="2"/>
    <x v="2"/>
    <n v="6"/>
    <x v="31"/>
    <n v="37902"/>
    <x v="1"/>
    <n v="1"/>
    <s v="Janvier"/>
  </r>
  <r>
    <x v="6"/>
    <x v="32"/>
    <x v="1"/>
    <x v="1"/>
    <x v="3"/>
    <n v="21"/>
    <x v="32"/>
    <n v="197421"/>
    <x v="0"/>
    <n v="2"/>
    <s v="Février"/>
  </r>
  <r>
    <x v="7"/>
    <x v="33"/>
    <x v="4"/>
    <x v="2"/>
    <x v="2"/>
    <n v="6"/>
    <x v="33"/>
    <n v="44238"/>
    <x v="1"/>
    <n v="3"/>
    <s v="Mars"/>
  </r>
  <r>
    <x v="0"/>
    <x v="34"/>
    <x v="1"/>
    <x v="1"/>
    <x v="5"/>
    <n v="12"/>
    <x v="34"/>
    <n v="108744"/>
    <x v="0"/>
    <n v="7"/>
    <s v="Juillet"/>
  </r>
  <r>
    <x v="0"/>
    <x v="35"/>
    <x v="5"/>
    <x v="0"/>
    <x v="1"/>
    <n v="3.4"/>
    <x v="35"/>
    <n v="18142.399999999998"/>
    <x v="0"/>
    <n v="10"/>
    <s v="Octobre"/>
  </r>
  <r>
    <x v="4"/>
    <x v="36"/>
    <x v="1"/>
    <x v="1"/>
    <x v="1"/>
    <n v="3.4"/>
    <x v="36"/>
    <n v="31161"/>
    <x v="0"/>
    <n v="8"/>
    <s v="Août"/>
  </r>
  <r>
    <x v="2"/>
    <x v="37"/>
    <x v="4"/>
    <x v="1"/>
    <x v="2"/>
    <n v="6"/>
    <x v="37"/>
    <n v="46200"/>
    <x v="0"/>
    <n v="11"/>
    <s v="Novembre"/>
  </r>
  <r>
    <x v="6"/>
    <x v="38"/>
    <x v="5"/>
    <x v="1"/>
    <x v="2"/>
    <n v="6"/>
    <x v="38"/>
    <n v="50442"/>
    <x v="0"/>
    <n v="11"/>
    <s v="Novembre"/>
  </r>
  <r>
    <x v="9"/>
    <x v="39"/>
    <x v="5"/>
    <x v="0"/>
    <x v="2"/>
    <n v="6"/>
    <x v="39"/>
    <n v="50934"/>
    <x v="0"/>
    <n v="4"/>
    <s v="Avril"/>
  </r>
  <r>
    <x v="6"/>
    <x v="40"/>
    <x v="1"/>
    <x v="3"/>
    <x v="2"/>
    <n v="6"/>
    <x v="40"/>
    <n v="59574"/>
    <x v="0"/>
    <n v="9"/>
    <s v="Septembre"/>
  </r>
  <r>
    <x v="3"/>
    <x v="41"/>
    <x v="0"/>
    <x v="2"/>
    <x v="5"/>
    <n v="12"/>
    <x v="41"/>
    <n v="65556"/>
    <x v="0"/>
    <n v="10"/>
    <s v="Octobre"/>
  </r>
  <r>
    <x v="4"/>
    <x v="42"/>
    <x v="4"/>
    <x v="1"/>
    <x v="5"/>
    <n v="12"/>
    <x v="42"/>
    <n v="79920"/>
    <x v="0"/>
    <n v="7"/>
    <s v="Juillet"/>
  </r>
  <r>
    <x v="0"/>
    <x v="43"/>
    <x v="2"/>
    <x v="2"/>
    <x v="5"/>
    <n v="12"/>
    <x v="43"/>
    <n v="88188"/>
    <x v="1"/>
    <n v="5"/>
    <s v="Mai"/>
  </r>
  <r>
    <x v="8"/>
    <x v="19"/>
    <x v="3"/>
    <x v="3"/>
    <x v="4"/>
    <n v="25"/>
    <x v="44"/>
    <n v="151875"/>
    <x v="1"/>
    <n v="1"/>
    <s v="Janvier"/>
  </r>
  <r>
    <x v="4"/>
    <x v="44"/>
    <x v="2"/>
    <x v="0"/>
    <x v="4"/>
    <n v="25"/>
    <x v="45"/>
    <n v="154575"/>
    <x v="1"/>
    <n v="4"/>
    <s v="Avril"/>
  </r>
  <r>
    <x v="3"/>
    <x v="35"/>
    <x v="3"/>
    <x v="0"/>
    <x v="3"/>
    <n v="21"/>
    <x v="46"/>
    <n v="156744"/>
    <x v="0"/>
    <n v="10"/>
    <s v="Octobre"/>
  </r>
  <r>
    <x v="6"/>
    <x v="45"/>
    <x v="1"/>
    <x v="2"/>
    <x v="4"/>
    <n v="25"/>
    <x v="47"/>
    <n v="163075"/>
    <x v="1"/>
    <n v="3"/>
    <s v="Mars"/>
  </r>
  <r>
    <x v="6"/>
    <x v="46"/>
    <x v="3"/>
    <x v="2"/>
    <x v="3"/>
    <n v="21"/>
    <x v="48"/>
    <n v="193221"/>
    <x v="0"/>
    <n v="1"/>
    <s v="Janvi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815DB8-73E6-4442-9BF1-EEC01D24DB74}" name="Tableau croisé dynamique1" cacheId="0" applyNumberFormats="0" applyBorderFormats="0" applyFontFormats="0" applyPatternFormats="0" applyAlignmentFormats="0" applyWidthHeightFormats="1" dataCaption="Valeurs" updatedVersion="6" minRefreshableVersion="3" useAutoFormatting="1" itemPrintTitles="1" createdVersion="5" indent="0" outline="1" outlineData="1" multipleFieldFilters="0">
  <location ref="A3:C20" firstHeaderRow="1" firstDataRow="1" firstDataCol="0"/>
  <pivotFields count="11">
    <pivotField showAll="0"/>
    <pivotField showAll="0">
      <items count="48">
        <item x="46"/>
        <item x="13"/>
        <item x="5"/>
        <item x="32"/>
        <item x="6"/>
        <item x="25"/>
        <item x="17"/>
        <item x="39"/>
        <item x="0"/>
        <item x="26"/>
        <item x="18"/>
        <item x="34"/>
        <item x="3"/>
        <item x="42"/>
        <item x="11"/>
        <item x="36"/>
        <item x="40"/>
        <item x="8"/>
        <item x="30"/>
        <item x="35"/>
        <item x="41"/>
        <item x="20"/>
        <item x="38"/>
        <item x="37"/>
        <item x="16"/>
        <item x="4"/>
        <item x="9"/>
        <item x="1"/>
        <item x="24"/>
        <item x="27"/>
        <item x="22"/>
        <item x="31"/>
        <item x="12"/>
        <item x="29"/>
        <item x="19"/>
        <item x="14"/>
        <item x="45"/>
        <item x="21"/>
        <item x="33"/>
        <item x="44"/>
        <item x="15"/>
        <item x="43"/>
        <item x="10"/>
        <item x="2"/>
        <item x="28"/>
        <item x="23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77EB35-FE69-4AC4-A5D0-0E8EBD3957DB}" name="Tableau croisé dynamique1" cacheId="0" applyNumberFormats="0" applyBorderFormats="0" applyFontFormats="0" applyPatternFormats="0" applyAlignmentFormats="0" applyWidthHeightFormats="1" dataCaption="Valeurs" updatedVersion="6" minRefreshableVersion="3" useAutoFormatting="1" itemPrintTitles="1" createdVersion="5" indent="0" outline="1" outlineData="1" multipleFieldFilters="0">
  <location ref="A3:C20" firstHeaderRow="1" firstDataRow="1" firstDataCol="0"/>
  <pivotFields count="11">
    <pivotField showAll="0"/>
    <pivotField showAll="0">
      <items count="48">
        <item x="46"/>
        <item x="13"/>
        <item x="5"/>
        <item x="32"/>
        <item x="6"/>
        <item x="25"/>
        <item x="17"/>
        <item x="39"/>
        <item x="0"/>
        <item x="26"/>
        <item x="18"/>
        <item x="34"/>
        <item x="3"/>
        <item x="42"/>
        <item x="11"/>
        <item x="36"/>
        <item x="40"/>
        <item x="8"/>
        <item x="30"/>
        <item x="35"/>
        <item x="41"/>
        <item x="20"/>
        <item x="38"/>
        <item x="37"/>
        <item x="16"/>
        <item x="4"/>
        <item x="9"/>
        <item x="1"/>
        <item x="24"/>
        <item x="27"/>
        <item x="22"/>
        <item x="31"/>
        <item x="12"/>
        <item x="29"/>
        <item x="19"/>
        <item x="14"/>
        <item x="45"/>
        <item x="21"/>
        <item x="33"/>
        <item x="44"/>
        <item x="15"/>
        <item x="43"/>
        <item x="10"/>
        <item x="2"/>
        <item x="28"/>
        <item x="23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8A569A-6F56-413F-9676-B4002A5A4CF5}" name="Tableau croisé dynamique2" cacheId="0" applyNumberFormats="0" applyBorderFormats="0" applyFontFormats="0" applyPatternFormats="0" applyAlignmentFormats="0" applyWidthHeightFormats="1" dataCaption="Valeurs" updatedVersion="6" minRefreshableVersion="3" useAutoFormatting="1" itemPrintTitles="1" createdVersion="5" indent="0" outline="1" outlineData="1" multipleFieldFilters="0">
  <location ref="A3:C20" firstHeaderRow="1" firstDataRow="1" firstDataCol="0"/>
  <pivotFields count="11">
    <pivotField showAll="0"/>
    <pivotField showAll="0">
      <items count="48">
        <item x="46"/>
        <item x="13"/>
        <item x="5"/>
        <item x="32"/>
        <item x="6"/>
        <item x="25"/>
        <item x="17"/>
        <item x="39"/>
        <item x="0"/>
        <item x="26"/>
        <item x="18"/>
        <item x="34"/>
        <item x="3"/>
        <item x="42"/>
        <item x="11"/>
        <item x="36"/>
        <item x="40"/>
        <item x="8"/>
        <item x="30"/>
        <item x="35"/>
        <item x="41"/>
        <item x="20"/>
        <item x="38"/>
        <item x="37"/>
        <item x="16"/>
        <item x="4"/>
        <item x="9"/>
        <item x="1"/>
        <item x="24"/>
        <item x="27"/>
        <item x="22"/>
        <item x="31"/>
        <item x="12"/>
        <item x="29"/>
        <item x="19"/>
        <item x="14"/>
        <item x="45"/>
        <item x="21"/>
        <item x="33"/>
        <item x="44"/>
        <item x="15"/>
        <item x="43"/>
        <item x="10"/>
        <item x="2"/>
        <item x="28"/>
        <item x="23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83C3CB-1182-43F6-BA53-8A2111BA0A18}" name="Tableau croisé dynamique2" cacheId="0" applyNumberFormats="0" applyBorderFormats="0" applyFontFormats="0" applyPatternFormats="0" applyAlignmentFormats="0" applyWidthHeightFormats="1" dataCaption="Valeurs" updatedVersion="6" minRefreshableVersion="3" useAutoFormatting="1" itemPrintTitles="1" createdVersion="5" indent="0" outline="1" outlineData="1" multipleFieldFilters="0" chartFormat="2">
  <location ref="A3:C20" firstHeaderRow="1" firstDataRow="1" firstDataCol="0"/>
  <pivotFields count="11">
    <pivotField showAll="0"/>
    <pivotField showAll="0">
      <items count="48">
        <item x="46"/>
        <item x="13"/>
        <item x="5"/>
        <item x="32"/>
        <item x="6"/>
        <item x="25"/>
        <item x="17"/>
        <item x="39"/>
        <item x="0"/>
        <item x="26"/>
        <item x="18"/>
        <item x="34"/>
        <item x="3"/>
        <item x="42"/>
        <item x="11"/>
        <item x="36"/>
        <item x="40"/>
        <item x="8"/>
        <item x="30"/>
        <item x="35"/>
        <item x="41"/>
        <item x="20"/>
        <item x="38"/>
        <item x="37"/>
        <item x="16"/>
        <item x="4"/>
        <item x="9"/>
        <item x="1"/>
        <item x="24"/>
        <item x="27"/>
        <item x="22"/>
        <item x="31"/>
        <item x="12"/>
        <item x="29"/>
        <item x="19"/>
        <item x="14"/>
        <item x="45"/>
        <item x="21"/>
        <item x="33"/>
        <item x="44"/>
        <item x="15"/>
        <item x="43"/>
        <item x="10"/>
        <item x="2"/>
        <item x="28"/>
        <item x="23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9F69A8-138B-4688-9587-E9521A98F140}" name="Tableau croisé dynamique3" cacheId="0" applyNumberFormats="0" applyBorderFormats="0" applyFontFormats="0" applyPatternFormats="0" applyAlignmentFormats="0" applyWidthHeightFormats="1" dataCaption="Valeurs" updatedVersion="6" minRefreshableVersion="3" useAutoFormatting="1" itemPrintTitles="1" createdVersion="5" indent="0" outline="1" outlineData="1" multipleFieldFilters="0" chartFormat="1">
  <location ref="A3:C20" firstHeaderRow="1" firstDataRow="1" firstDataCol="0"/>
  <pivotFields count="11">
    <pivotField showAll="0"/>
    <pivotField showAll="0">
      <items count="48">
        <item x="46"/>
        <item x="13"/>
        <item x="5"/>
        <item x="32"/>
        <item x="6"/>
        <item x="25"/>
        <item x="17"/>
        <item x="39"/>
        <item x="0"/>
        <item x="26"/>
        <item x="18"/>
        <item x="34"/>
        <item x="3"/>
        <item x="42"/>
        <item x="11"/>
        <item x="36"/>
        <item x="40"/>
        <item x="8"/>
        <item x="30"/>
        <item x="35"/>
        <item x="41"/>
        <item x="20"/>
        <item x="38"/>
        <item x="37"/>
        <item x="16"/>
        <item x="4"/>
        <item x="9"/>
        <item x="1"/>
        <item x="24"/>
        <item x="27"/>
        <item x="22"/>
        <item x="31"/>
        <item x="12"/>
        <item x="29"/>
        <item x="19"/>
        <item x="14"/>
        <item x="45"/>
        <item x="21"/>
        <item x="33"/>
        <item x="44"/>
        <item x="15"/>
        <item x="43"/>
        <item x="10"/>
        <item x="2"/>
        <item x="28"/>
        <item x="23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9245C9-6D51-4469-8562-B5F417F54CFB}" name="Tableau croisé dynamique1" cacheId="0" applyNumberFormats="0" applyBorderFormats="0" applyFontFormats="0" applyPatternFormats="0" applyAlignmentFormats="0" applyWidthHeightFormats="1" dataCaption="Valeurs" updatedVersion="6" minRefreshableVersion="3" useAutoFormatting="1" itemPrintTitles="1" createdVersion="5" indent="0" outline="1" outlineData="1" multipleFieldFilters="0">
  <location ref="A3:C14" firstHeaderRow="0" firstDataRow="1" firstDataCol="1"/>
  <pivotFields count="11">
    <pivotField axis="axisRow" showAll="0">
      <items count="11">
        <item x="8"/>
        <item x="5"/>
        <item x="4"/>
        <item x="1"/>
        <item x="2"/>
        <item x="3"/>
        <item x="6"/>
        <item x="0"/>
        <item x="9"/>
        <item x="7"/>
        <item t="default"/>
      </items>
    </pivotField>
    <pivotField numFmtId="14" showAll="0">
      <items count="48">
        <item x="46"/>
        <item x="13"/>
        <item x="5"/>
        <item x="32"/>
        <item x="6"/>
        <item x="25"/>
        <item x="17"/>
        <item x="39"/>
        <item x="0"/>
        <item x="26"/>
        <item x="18"/>
        <item x="34"/>
        <item x="3"/>
        <item x="42"/>
        <item x="11"/>
        <item x="36"/>
        <item x="40"/>
        <item x="8"/>
        <item x="30"/>
        <item x="35"/>
        <item x="41"/>
        <item x="20"/>
        <item x="38"/>
        <item x="37"/>
        <item x="16"/>
        <item x="4"/>
        <item x="9"/>
        <item x="1"/>
        <item x="24"/>
        <item x="27"/>
        <item x="22"/>
        <item x="31"/>
        <item x="12"/>
        <item x="29"/>
        <item x="19"/>
        <item x="14"/>
        <item x="45"/>
        <item x="21"/>
        <item x="33"/>
        <item x="44"/>
        <item x="15"/>
        <item x="43"/>
        <item x="10"/>
        <item x="2"/>
        <item x="28"/>
        <item x="23"/>
        <item x="7"/>
        <item t="default"/>
      </items>
    </pivotField>
    <pivotField showAll="0"/>
    <pivotField showAll="0"/>
    <pivotField showAll="0"/>
    <pivotField numFmtId="164" showAll="0"/>
    <pivotField showAll="0">
      <items count="50">
        <item x="20"/>
        <item x="8"/>
        <item x="35"/>
        <item x="41"/>
        <item x="9"/>
        <item x="11"/>
        <item x="17"/>
        <item x="13"/>
        <item x="6"/>
        <item x="44"/>
        <item x="45"/>
        <item x="26"/>
        <item x="31"/>
        <item x="47"/>
        <item x="4"/>
        <item x="42"/>
        <item x="15"/>
        <item x="10"/>
        <item x="5"/>
        <item x="21"/>
        <item x="12"/>
        <item x="7"/>
        <item x="25"/>
        <item x="43"/>
        <item x="33"/>
        <item x="46"/>
        <item x="27"/>
        <item x="0"/>
        <item x="37"/>
        <item x="29"/>
        <item x="28"/>
        <item x="30"/>
        <item x="24"/>
        <item x="3"/>
        <item x="38"/>
        <item x="39"/>
        <item x="22"/>
        <item x="18"/>
        <item x="16"/>
        <item x="19"/>
        <item x="34"/>
        <item x="36"/>
        <item x="48"/>
        <item x="1"/>
        <item x="32"/>
        <item x="2"/>
        <item x="14"/>
        <item x="23"/>
        <item x="40"/>
        <item t="default"/>
      </items>
    </pivotField>
    <pivotField dataField="1" numFmtId="164"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montant" fld="7" baseField="0" baseItem="0" numFmtId="43"/>
    <dataField name="% du total" fld="7" showDataAs="percentOfTotal" baseField="0" baseItem="0" numFmtId="10"/>
  </dataFields>
  <formats count="3">
    <format dxfId="6">
      <pivotArea outline="0" collapsedLevelsAreSubtotals="1" fieldPosition="0"/>
    </format>
    <format dxfId="5">
      <pivotArea outline="0" fieldPosition="0">
        <references count="1">
          <reference field="4294967294" count="1">
            <x v="1"/>
          </reference>
        </references>
      </pivotArea>
    </format>
    <format dxfId="4">
      <pivotArea collapsedLevelsAreSubtotals="1" fieldPosition="0">
        <references count="2">
          <reference field="4294967294" count="1" selected="0">
            <x v="0"/>
          </reference>
          <reference field="0" count="1">
            <x v="0"/>
          </reference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23CF21-88A5-4682-9718-B1DD46B8D63C}" name="Tableau croisé dynamique1" cacheId="0" applyNumberFormats="0" applyBorderFormats="0" applyFontFormats="0" applyPatternFormats="0" applyAlignmentFormats="0" applyWidthHeightFormats="1" dataCaption="Valeurs" updatedVersion="6" minRefreshableVersion="3" useAutoFormatting="1" itemPrintTitles="1" createdVersion="5" indent="0" outline="1" outlineData="1" multipleFieldFilters="0">
  <location ref="A3:B10" firstHeaderRow="1" firstDataRow="1" firstDataCol="1" rowPageCount="1" colPageCount="1"/>
  <pivotFields count="11">
    <pivotField showAll="0"/>
    <pivotField numFmtId="14" showAll="0">
      <items count="48">
        <item x="46"/>
        <item x="13"/>
        <item x="5"/>
        <item x="32"/>
        <item x="6"/>
        <item x="25"/>
        <item x="17"/>
        <item x="39"/>
        <item x="0"/>
        <item x="26"/>
        <item x="18"/>
        <item x="34"/>
        <item x="3"/>
        <item x="42"/>
        <item x="11"/>
        <item x="36"/>
        <item x="40"/>
        <item x="8"/>
        <item x="30"/>
        <item x="35"/>
        <item x="41"/>
        <item x="20"/>
        <item x="38"/>
        <item x="37"/>
        <item x="16"/>
        <item x="4"/>
        <item x="9"/>
        <item x="1"/>
        <item x="24"/>
        <item x="27"/>
        <item x="22"/>
        <item x="31"/>
        <item x="12"/>
        <item x="29"/>
        <item x="19"/>
        <item x="14"/>
        <item x="45"/>
        <item x="21"/>
        <item x="33"/>
        <item x="44"/>
        <item x="15"/>
        <item x="43"/>
        <item x="10"/>
        <item x="2"/>
        <item x="28"/>
        <item x="23"/>
        <item x="7"/>
        <item t="default"/>
      </items>
    </pivotField>
    <pivotField showAll="0"/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7">
        <item x="3"/>
        <item x="5"/>
        <item x="2"/>
        <item x="4"/>
        <item x="1"/>
        <item x="0"/>
        <item t="default"/>
      </items>
    </pivotField>
    <pivotField numFmtId="164" showAll="0"/>
    <pivotField showAll="0">
      <items count="50">
        <item x="20"/>
        <item x="8"/>
        <item x="35"/>
        <item x="41"/>
        <item x="9"/>
        <item x="11"/>
        <item x="17"/>
        <item x="13"/>
        <item x="6"/>
        <item x="44"/>
        <item x="45"/>
        <item x="26"/>
        <item x="31"/>
        <item x="47"/>
        <item x="4"/>
        <item x="42"/>
        <item x="15"/>
        <item x="10"/>
        <item x="5"/>
        <item x="21"/>
        <item x="12"/>
        <item x="7"/>
        <item x="25"/>
        <item x="43"/>
        <item x="33"/>
        <item x="46"/>
        <item x="27"/>
        <item x="0"/>
        <item x="37"/>
        <item x="29"/>
        <item x="28"/>
        <item x="30"/>
        <item x="24"/>
        <item x="3"/>
        <item x="38"/>
        <item x="39"/>
        <item x="22"/>
        <item x="18"/>
        <item x="16"/>
        <item x="19"/>
        <item x="34"/>
        <item x="36"/>
        <item x="48"/>
        <item x="1"/>
        <item x="32"/>
        <item x="2"/>
        <item x="14"/>
        <item x="23"/>
        <item x="40"/>
        <item t="default"/>
      </items>
    </pivotField>
    <pivotField dataField="1" numFmtId="164"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3" hier="-1"/>
  </pageFields>
  <dataFields count="1">
    <dataField name="Somme montant" fld="7" baseField="0" baseItem="0" numFmtId="43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515003-1146-420D-BEF5-9168BEE86960}" name="Tableau croisé dynamique2" cacheId="0" applyNumberFormats="0" applyBorderFormats="0" applyFontFormats="0" applyPatternFormats="0" applyAlignmentFormats="0" applyWidthHeightFormats="1" dataCaption="Valeurs" updatedVersion="6" minRefreshableVersion="3" useAutoFormatting="1" itemPrintTitles="1" createdVersion="5" indent="0" outline="1" outlineData="1" multipleFieldFilters="0">
  <location ref="A3:E14" firstHeaderRow="0" firstDataRow="1" firstDataCol="1" rowPageCount="1" colPageCount="1"/>
  <pivotFields count="11">
    <pivotField axis="axisRow" dataField="1" showAll="0" sortType="ascending">
      <items count="11">
        <item x="8"/>
        <item x="5"/>
        <item x="4"/>
        <item x="1"/>
        <item x="2"/>
        <item x="3"/>
        <item x="6"/>
        <item x="0"/>
        <item x="9"/>
        <item x="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numFmtId="14" showAll="0">
      <items count="48">
        <item x="46"/>
        <item x="13"/>
        <item x="5"/>
        <item x="32"/>
        <item x="6"/>
        <item x="25"/>
        <item x="17"/>
        <item x="39"/>
        <item x="0"/>
        <item x="26"/>
        <item x="18"/>
        <item x="34"/>
        <item x="3"/>
        <item x="42"/>
        <item x="11"/>
        <item x="36"/>
        <item x="40"/>
        <item x="8"/>
        <item x="30"/>
        <item x="35"/>
        <item x="41"/>
        <item x="20"/>
        <item x="38"/>
        <item x="37"/>
        <item x="16"/>
        <item x="4"/>
        <item x="9"/>
        <item x="1"/>
        <item x="24"/>
        <item x="27"/>
        <item x="22"/>
        <item x="31"/>
        <item x="12"/>
        <item x="29"/>
        <item x="19"/>
        <item x="14"/>
        <item x="45"/>
        <item x="21"/>
        <item x="33"/>
        <item x="44"/>
        <item x="15"/>
        <item x="43"/>
        <item x="10"/>
        <item x="2"/>
        <item x="28"/>
        <item x="23"/>
        <item x="7"/>
        <item t="default"/>
      </items>
    </pivotField>
    <pivotField showAll="0"/>
    <pivotField showAll="0"/>
    <pivotField axis="axisPage" showAll="0">
      <items count="7">
        <item x="3"/>
        <item x="5"/>
        <item x="2"/>
        <item x="4"/>
        <item x="1"/>
        <item x="0"/>
        <item t="default"/>
      </items>
    </pivotField>
    <pivotField numFmtId="164" showAll="0"/>
    <pivotField showAll="0">
      <items count="50">
        <item x="20"/>
        <item x="8"/>
        <item x="35"/>
        <item x="41"/>
        <item x="9"/>
        <item x="11"/>
        <item x="17"/>
        <item x="13"/>
        <item x="6"/>
        <item x="44"/>
        <item x="45"/>
        <item x="26"/>
        <item x="31"/>
        <item x="47"/>
        <item x="4"/>
        <item x="42"/>
        <item x="15"/>
        <item x="10"/>
        <item x="5"/>
        <item x="21"/>
        <item x="12"/>
        <item x="7"/>
        <item x="25"/>
        <item x="43"/>
        <item x="33"/>
        <item x="46"/>
        <item x="27"/>
        <item x="0"/>
        <item x="37"/>
        <item x="29"/>
        <item x="28"/>
        <item x="30"/>
        <item x="24"/>
        <item x="3"/>
        <item x="38"/>
        <item x="39"/>
        <item x="22"/>
        <item x="18"/>
        <item x="16"/>
        <item x="19"/>
        <item x="34"/>
        <item x="36"/>
        <item x="48"/>
        <item x="1"/>
        <item x="32"/>
        <item x="2"/>
        <item x="14"/>
        <item x="23"/>
        <item x="40"/>
        <item t="default"/>
      </items>
    </pivotField>
    <pivotField dataField="1" numFmtId="164" showAll="0"/>
    <pivotField showAll="0"/>
    <pivotField showAll="0"/>
    <pivotField showAll="0"/>
  </pivotFields>
  <rowFields count="1">
    <field x="0"/>
  </rowFields>
  <rowItems count="11">
    <i>
      <x v="9"/>
    </i>
    <i>
      <x v="4"/>
    </i>
    <i>
      <x v="5"/>
    </i>
    <i>
      <x v="3"/>
    </i>
    <i>
      <x v="8"/>
    </i>
    <i>
      <x v="2"/>
    </i>
    <i>
      <x v="1"/>
    </i>
    <i>
      <x/>
    </i>
    <i>
      <x v="7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4" hier="-1"/>
  </pageFields>
  <dataFields count="4">
    <dataField name="NB" fld="0" subtotal="count" baseField="0" baseItem="0"/>
    <dataField name="Somme de MONTANT" fld="7" baseField="0" baseItem="0" numFmtId="43"/>
    <dataField name="% total" fld="7" showDataAs="percentOfTotal" baseField="0" baseItem="2" numFmtId="10"/>
    <dataField name="Rang" fld="7" baseField="0" baseItem="5">
      <extLst>
        <ext xmlns:x14="http://schemas.microsoft.com/office/spreadsheetml/2009/9/main" uri="{E15A36E0-9728-4e99-A89B-3F7291B0FE68}">
          <x14:dataField pivotShowAs="rankDescending"/>
        </ext>
      </extLst>
    </dataField>
  </dataFields>
  <formats count="1">
    <format dxfId="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63C174-96C3-40E6-8A33-133232C92459}" name="Tableau croisé dynamique2" cacheId="0" applyNumberFormats="0" applyBorderFormats="0" applyFontFormats="0" applyPatternFormats="0" applyAlignmentFormats="0" applyWidthHeightFormats="1" dataCaption="Valeurs" updatedVersion="6" minRefreshableVersion="3" useAutoFormatting="1" itemPrintTitles="1" createdVersion="5" indent="0" outline="1" outlineData="1" multipleFieldFilters="0" chartFormat="3">
  <location ref="A3:B8" firstHeaderRow="1" firstDataRow="1" firstDataCol="1"/>
  <pivotFields count="11">
    <pivotField showAll="0">
      <items count="11">
        <item x="8"/>
        <item x="5"/>
        <item x="4"/>
        <item x="1"/>
        <item x="2"/>
        <item x="3"/>
        <item x="6"/>
        <item x="0"/>
        <item x="9"/>
        <item x="7"/>
        <item t="default"/>
      </items>
    </pivotField>
    <pivotField numFmtId="14" showAll="0">
      <items count="48">
        <item x="46"/>
        <item x="13"/>
        <item x="5"/>
        <item x="32"/>
        <item x="6"/>
        <item x="25"/>
        <item x="17"/>
        <item x="39"/>
        <item x="0"/>
        <item x="26"/>
        <item x="18"/>
        <item x="34"/>
        <item x="3"/>
        <item x="42"/>
        <item x="11"/>
        <item x="36"/>
        <item x="40"/>
        <item x="8"/>
        <item x="30"/>
        <item x="35"/>
        <item x="41"/>
        <item x="20"/>
        <item x="38"/>
        <item x="37"/>
        <item x="16"/>
        <item x="4"/>
        <item x="9"/>
        <item x="1"/>
        <item x="24"/>
        <item x="27"/>
        <item x="22"/>
        <item x="31"/>
        <item x="12"/>
        <item x="29"/>
        <item x="19"/>
        <item x="14"/>
        <item x="45"/>
        <item x="21"/>
        <item x="33"/>
        <item x="44"/>
        <item x="15"/>
        <item x="43"/>
        <item x="10"/>
        <item x="2"/>
        <item x="28"/>
        <item x="23"/>
        <item x="7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numFmtId="164" showAll="0"/>
    <pivotField showAll="0">
      <items count="50">
        <item x="20"/>
        <item x="8"/>
        <item x="35"/>
        <item x="41"/>
        <item x="9"/>
        <item x="11"/>
        <item x="17"/>
        <item x="13"/>
        <item x="6"/>
        <item x="44"/>
        <item x="45"/>
        <item x="26"/>
        <item x="31"/>
        <item x="47"/>
        <item x="4"/>
        <item x="42"/>
        <item x="15"/>
        <item x="10"/>
        <item x="5"/>
        <item x="21"/>
        <item x="12"/>
        <item x="7"/>
        <item x="25"/>
        <item x="43"/>
        <item x="33"/>
        <item x="46"/>
        <item x="27"/>
        <item x="0"/>
        <item x="37"/>
        <item x="29"/>
        <item x="28"/>
        <item x="30"/>
        <item x="24"/>
        <item x="3"/>
        <item x="38"/>
        <item x="39"/>
        <item x="22"/>
        <item x="18"/>
        <item x="16"/>
        <item x="19"/>
        <item x="34"/>
        <item x="36"/>
        <item x="48"/>
        <item x="1"/>
        <item x="32"/>
        <item x="2"/>
        <item x="14"/>
        <item x="23"/>
        <item x="40"/>
        <item t="default"/>
      </items>
    </pivotField>
    <pivotField dataField="1" numFmtId="164" showAll="0"/>
    <pivotField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oyenne montant" fld="7" subtotal="average" baseField="3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8E61BD-C3B1-4803-907F-7899388EE8A5}" name="Tableau croisé dynamique3" cacheId="0" applyNumberFormats="0" applyBorderFormats="0" applyFontFormats="0" applyPatternFormats="0" applyAlignmentFormats="0" applyWidthHeightFormats="1" dataCaption="Valeurs" updatedVersion="6" minRefreshableVersion="3" useAutoFormatting="1" itemPrintTitles="1" createdVersion="5" indent="0" outline="1" outlineData="1" multipleFieldFilters="0" chartFormat="2">
  <location ref="A3:B51" firstHeaderRow="1" firstDataRow="1" firstDataCol="1"/>
  <pivotFields count="11">
    <pivotField showAll="0"/>
    <pivotField axis="axisRow" numFmtId="14" showAll="0">
      <items count="48">
        <item x="46"/>
        <item x="13"/>
        <item x="5"/>
        <item x="32"/>
        <item x="6"/>
        <item x="25"/>
        <item x="17"/>
        <item x="39"/>
        <item x="0"/>
        <item x="26"/>
        <item x="18"/>
        <item x="34"/>
        <item x="3"/>
        <item x="42"/>
        <item x="11"/>
        <item x="36"/>
        <item x="40"/>
        <item x="8"/>
        <item x="30"/>
        <item x="35"/>
        <item x="41"/>
        <item x="20"/>
        <item x="38"/>
        <item x="37"/>
        <item x="16"/>
        <item x="4"/>
        <item x="9"/>
        <item x="1"/>
        <item x="24"/>
        <item x="27"/>
        <item x="22"/>
        <item x="31"/>
        <item x="12"/>
        <item x="29"/>
        <item x="19"/>
        <item x="14"/>
        <item x="45"/>
        <item x="21"/>
        <item x="33"/>
        <item x="44"/>
        <item x="15"/>
        <item x="43"/>
        <item x="10"/>
        <item x="2"/>
        <item x="28"/>
        <item x="23"/>
        <item x="7"/>
        <item t="default"/>
      </items>
    </pivotField>
    <pivotField showAll="0">
      <items count="8">
        <item x="0"/>
        <item x="2"/>
        <item x="1"/>
        <item x="5"/>
        <item x="3"/>
        <item x="4"/>
        <item x="6"/>
        <item t="default"/>
      </items>
    </pivotField>
    <pivotField showAll="0"/>
    <pivotField showAll="0"/>
    <pivotField numFmtId="164" showAll="0"/>
    <pivotField showAll="0">
      <items count="50">
        <item x="20"/>
        <item x="8"/>
        <item x="35"/>
        <item x="41"/>
        <item x="9"/>
        <item x="11"/>
        <item x="17"/>
        <item x="13"/>
        <item x="6"/>
        <item x="44"/>
        <item x="45"/>
        <item x="26"/>
        <item x="31"/>
        <item x="47"/>
        <item x="4"/>
        <item x="42"/>
        <item x="15"/>
        <item x="10"/>
        <item x="5"/>
        <item x="21"/>
        <item x="12"/>
        <item x="7"/>
        <item x="25"/>
        <item x="43"/>
        <item x="33"/>
        <item x="46"/>
        <item x="27"/>
        <item x="0"/>
        <item x="37"/>
        <item x="29"/>
        <item x="28"/>
        <item x="30"/>
        <item x="24"/>
        <item x="3"/>
        <item x="38"/>
        <item x="39"/>
        <item x="22"/>
        <item x="18"/>
        <item x="16"/>
        <item x="19"/>
        <item x="34"/>
        <item x="36"/>
        <item x="48"/>
        <item x="1"/>
        <item x="32"/>
        <item x="2"/>
        <item x="14"/>
        <item x="23"/>
        <item x="40"/>
        <item t="default"/>
      </items>
    </pivotField>
    <pivotField dataField="1" numFmtId="164" showAll="0"/>
    <pivotField showAll="0"/>
    <pivotField showAll="0"/>
    <pivotField showAll="0"/>
  </pivotFields>
  <rowFields count="1">
    <field x="1"/>
  </rowFields>
  <rowItems count="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 t="grand">
      <x/>
    </i>
  </rowItems>
  <colItems count="1">
    <i/>
  </colItems>
  <dataFields count="1">
    <dataField name="Somme de MONTANT" fld="7" baseField="0" baseItem="0" numFmtId="43"/>
  </dataFields>
  <formats count="1">
    <format dxfId="1">
      <pivotArea outline="0" collapsedLevelsAreSubtotals="1" fieldPosition="0"/>
    </format>
  </formats>
  <chartFormats count="2">
    <chartFormat chart="0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ANNEE1" xr10:uid="{C91465AC-5CDB-4AC2-BAD9-2E5742CEE81E}" sourceName="ANNEE">
  <pivotTables>
    <pivotTable tabId="21" name="Tableau croisé dynamique2"/>
  </pivotTables>
  <data>
    <tabular pivotCacheId="1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LIENT1" xr10:uid="{61238BB9-E3D0-4F2D-B62E-E2DE62F4FE6A}" sourceName="CLIENT">
  <pivotTables>
    <pivotTable tabId="22" name="Tableau croisé dynamique3"/>
  </pivotTables>
  <data>
    <tabular pivotCacheId="1">
      <items count="7">
        <i x="0" s="1"/>
        <i x="2" s="1"/>
        <i x="1" s="1"/>
        <i x="5" s="1"/>
        <i x="3" s="1"/>
        <i x="4" s="1"/>
        <i x="6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NEE 1" xr10:uid="{25BBDB39-0E05-4969-B81D-3490A54FA4B1}" cache="Segment_ANNEE1" caption="ANNEE" columnCount="2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 1" xr10:uid="{D93AC29C-22CC-46A2-A3E5-14E49F2DAFC1}" cache="Segment_CLIENT1" caption="CLIENT" columnCount="2" rowHeight="225425"/>
</slicers>
</file>

<file path=xl/theme/theme1.xml><?xml version="1.0" encoding="utf-8"?>
<a:theme xmlns:a="http://schemas.openxmlformats.org/drawingml/2006/main" name="Thème Office">
  <a:themeElements>
    <a:clrScheme name="Rouge orange">
      <a:dk1>
        <a:sysClr val="windowText" lastClr="000000"/>
      </a:dk1>
      <a:lt1>
        <a:sysClr val="window" lastClr="FFFFFF"/>
      </a:lt1>
      <a:dk2>
        <a:srgbClr val="505046"/>
      </a:dk2>
      <a:lt2>
        <a:srgbClr val="EEECE1"/>
      </a:lt2>
      <a:accent1>
        <a:srgbClr val="E84C22"/>
      </a:accent1>
      <a:accent2>
        <a:srgbClr val="FFBD47"/>
      </a:accent2>
      <a:accent3>
        <a:srgbClr val="B64926"/>
      </a:accent3>
      <a:accent4>
        <a:srgbClr val="FF8427"/>
      </a:accent4>
      <a:accent5>
        <a:srgbClr val="CC9900"/>
      </a:accent5>
      <a:accent6>
        <a:srgbClr val="B22600"/>
      </a:accent6>
      <a:hlink>
        <a:srgbClr val="CC9900"/>
      </a:hlink>
      <a:folHlink>
        <a:srgbClr val="666699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B0A7B-AD1F-481B-8097-4FDE16CD2B79}">
  <dimension ref="A3:C20"/>
  <sheetViews>
    <sheetView workbookViewId="0">
      <selection activeCell="B13" sqref="B13"/>
    </sheetView>
  </sheetViews>
  <sheetFormatPr baseColWidth="10" defaultRowHeight="12.75"/>
  <cols>
    <col min="1" max="1" width="21.140625" bestFit="1" customWidth="1"/>
    <col min="2" max="2" width="16.140625" bestFit="1" customWidth="1"/>
    <col min="3" max="3" width="9.85546875" bestFit="1" customWidth="1"/>
  </cols>
  <sheetData>
    <row r="3" spans="1:3">
      <c r="A3" s="19"/>
      <c r="B3" s="20"/>
      <c r="C3" s="21"/>
    </row>
    <row r="4" spans="1:3">
      <c r="A4" s="22"/>
      <c r="B4" s="23"/>
      <c r="C4" s="24"/>
    </row>
    <row r="5" spans="1:3">
      <c r="A5" s="22"/>
      <c r="B5" s="23"/>
      <c r="C5" s="24"/>
    </row>
    <row r="6" spans="1:3">
      <c r="A6" s="22"/>
      <c r="B6" s="23"/>
      <c r="C6" s="24"/>
    </row>
    <row r="7" spans="1:3">
      <c r="A7" s="22"/>
      <c r="B7" s="23"/>
      <c r="C7" s="24"/>
    </row>
    <row r="8" spans="1:3">
      <c r="A8" s="22"/>
      <c r="B8" s="23"/>
      <c r="C8" s="24"/>
    </row>
    <row r="9" spans="1:3">
      <c r="A9" s="22"/>
      <c r="B9" s="23"/>
      <c r="C9" s="24"/>
    </row>
    <row r="10" spans="1:3">
      <c r="A10" s="22"/>
      <c r="B10" s="23"/>
      <c r="C10" s="24"/>
    </row>
    <row r="11" spans="1:3">
      <c r="A11" s="22"/>
      <c r="B11" s="23"/>
      <c r="C11" s="24"/>
    </row>
    <row r="12" spans="1:3">
      <c r="A12" s="22"/>
      <c r="B12" s="23"/>
      <c r="C12" s="24"/>
    </row>
    <row r="13" spans="1:3">
      <c r="A13" s="22"/>
      <c r="B13" s="23"/>
      <c r="C13" s="24"/>
    </row>
    <row r="14" spans="1:3">
      <c r="A14" s="22"/>
      <c r="B14" s="23"/>
      <c r="C14" s="24"/>
    </row>
    <row r="15" spans="1:3">
      <c r="A15" s="22"/>
      <c r="B15" s="23"/>
      <c r="C15" s="24"/>
    </row>
    <row r="16" spans="1:3">
      <c r="A16" s="22"/>
      <c r="B16" s="23"/>
      <c r="C16" s="24"/>
    </row>
    <row r="17" spans="1:3">
      <c r="A17" s="22"/>
      <c r="B17" s="23"/>
      <c r="C17" s="24"/>
    </row>
    <row r="18" spans="1:3">
      <c r="A18" s="22"/>
      <c r="B18" s="23"/>
      <c r="C18" s="24"/>
    </row>
    <row r="19" spans="1:3">
      <c r="A19" s="22"/>
      <c r="B19" s="23"/>
      <c r="C19" s="24"/>
    </row>
    <row r="20" spans="1:3">
      <c r="A20" s="25"/>
      <c r="B20" s="26"/>
      <c r="C20" s="27"/>
    </row>
  </sheetData>
  <pageMargins left="0.7" right="0.7" top="0.75" bottom="0.75" header="0.3" footer="0.3"/>
  <pageSetup paperSize="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52D92-87E0-40A6-84F8-0FF2D19A75EB}">
  <dimension ref="A3:C20"/>
  <sheetViews>
    <sheetView workbookViewId="0">
      <selection activeCell="B4" sqref="B4"/>
    </sheetView>
  </sheetViews>
  <sheetFormatPr baseColWidth="10" defaultRowHeight="12.75"/>
  <cols>
    <col min="1" max="1" width="21.140625" bestFit="1" customWidth="1"/>
    <col min="2" max="2" width="16.140625" bestFit="1" customWidth="1"/>
    <col min="3" max="3" width="9.85546875" bestFit="1" customWidth="1"/>
  </cols>
  <sheetData>
    <row r="3" spans="1:3">
      <c r="A3" s="19"/>
      <c r="B3" s="20"/>
      <c r="C3" s="21"/>
    </row>
    <row r="4" spans="1:3">
      <c r="A4" s="22"/>
      <c r="B4" s="23"/>
      <c r="C4" s="24"/>
    </row>
    <row r="5" spans="1:3">
      <c r="A5" s="22"/>
      <c r="B5" s="23"/>
      <c r="C5" s="24"/>
    </row>
    <row r="6" spans="1:3">
      <c r="A6" s="22"/>
      <c r="B6" s="23"/>
      <c r="C6" s="24"/>
    </row>
    <row r="7" spans="1:3">
      <c r="A7" s="22"/>
      <c r="B7" s="23"/>
      <c r="C7" s="24"/>
    </row>
    <row r="8" spans="1:3">
      <c r="A8" s="22"/>
      <c r="B8" s="23"/>
      <c r="C8" s="24"/>
    </row>
    <row r="9" spans="1:3">
      <c r="A9" s="22"/>
      <c r="B9" s="23"/>
      <c r="C9" s="24"/>
    </row>
    <row r="10" spans="1:3">
      <c r="A10" s="22"/>
      <c r="B10" s="23"/>
      <c r="C10" s="24"/>
    </row>
    <row r="11" spans="1:3">
      <c r="A11" s="22"/>
      <c r="B11" s="23"/>
      <c r="C11" s="24"/>
    </row>
    <row r="12" spans="1:3">
      <c r="A12" s="22"/>
      <c r="B12" s="23"/>
      <c r="C12" s="24"/>
    </row>
    <row r="13" spans="1:3">
      <c r="A13" s="22"/>
      <c r="B13" s="23"/>
      <c r="C13" s="24"/>
    </row>
    <row r="14" spans="1:3">
      <c r="A14" s="22"/>
      <c r="B14" s="23"/>
      <c r="C14" s="24"/>
    </row>
    <row r="15" spans="1:3">
      <c r="A15" s="22"/>
      <c r="B15" s="23"/>
      <c r="C15" s="24"/>
    </row>
    <row r="16" spans="1:3">
      <c r="A16" s="22"/>
      <c r="B16" s="23"/>
      <c r="C16" s="24"/>
    </row>
    <row r="17" spans="1:3">
      <c r="A17" s="22"/>
      <c r="B17" s="23"/>
      <c r="C17" s="24"/>
    </row>
    <row r="18" spans="1:3">
      <c r="A18" s="22"/>
      <c r="B18" s="23"/>
      <c r="C18" s="24"/>
    </row>
    <row r="19" spans="1:3">
      <c r="A19" s="22"/>
      <c r="B19" s="23"/>
      <c r="C19" s="24"/>
    </row>
    <row r="20" spans="1:3">
      <c r="A20" s="25"/>
      <c r="B20" s="26"/>
      <c r="C20" s="27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D63DE-58E4-4F0D-83F0-8D4334C144C6}">
  <dimension ref="A3:C20"/>
  <sheetViews>
    <sheetView workbookViewId="0">
      <selection activeCell="A10" sqref="A10"/>
    </sheetView>
  </sheetViews>
  <sheetFormatPr baseColWidth="10" defaultRowHeight="12.75"/>
  <cols>
    <col min="1" max="1" width="21.140625" bestFit="1" customWidth="1"/>
    <col min="2" max="2" width="8.42578125" bestFit="1" customWidth="1"/>
    <col min="3" max="3" width="20.7109375" bestFit="1" customWidth="1"/>
    <col min="4" max="4" width="8" bestFit="1" customWidth="1"/>
    <col min="5" max="5" width="5.7109375" bestFit="1" customWidth="1"/>
    <col min="6" max="6" width="12.85546875" bestFit="1" customWidth="1"/>
  </cols>
  <sheetData>
    <row r="3" spans="1:3">
      <c r="A3" s="19"/>
      <c r="B3" s="20"/>
      <c r="C3" s="21"/>
    </row>
    <row r="4" spans="1:3">
      <c r="A4" s="22"/>
      <c r="B4" s="23"/>
      <c r="C4" s="24"/>
    </row>
    <row r="5" spans="1:3">
      <c r="A5" s="22"/>
      <c r="B5" s="23"/>
      <c r="C5" s="24"/>
    </row>
    <row r="6" spans="1:3">
      <c r="A6" s="22"/>
      <c r="B6" s="23"/>
      <c r="C6" s="24"/>
    </row>
    <row r="7" spans="1:3">
      <c r="A7" s="22"/>
      <c r="B7" s="23"/>
      <c r="C7" s="24"/>
    </row>
    <row r="8" spans="1:3">
      <c r="A8" s="22"/>
      <c r="B8" s="23"/>
      <c r="C8" s="24"/>
    </row>
    <row r="9" spans="1:3">
      <c r="A9" s="22"/>
      <c r="B9" s="23"/>
      <c r="C9" s="24"/>
    </row>
    <row r="10" spans="1:3">
      <c r="A10" s="22"/>
      <c r="B10" s="23"/>
      <c r="C10" s="24"/>
    </row>
    <row r="11" spans="1:3">
      <c r="A11" s="22"/>
      <c r="B11" s="23"/>
      <c r="C11" s="24"/>
    </row>
    <row r="12" spans="1:3">
      <c r="A12" s="22"/>
      <c r="B12" s="23"/>
      <c r="C12" s="24"/>
    </row>
    <row r="13" spans="1:3">
      <c r="A13" s="22"/>
      <c r="B13" s="23"/>
      <c r="C13" s="24"/>
    </row>
    <row r="14" spans="1:3">
      <c r="A14" s="22"/>
      <c r="B14" s="23"/>
      <c r="C14" s="24"/>
    </row>
    <row r="15" spans="1:3">
      <c r="A15" s="22"/>
      <c r="B15" s="23"/>
      <c r="C15" s="24"/>
    </row>
    <row r="16" spans="1:3">
      <c r="A16" s="22"/>
      <c r="B16" s="23"/>
      <c r="C16" s="24"/>
    </row>
    <row r="17" spans="1:3">
      <c r="A17" s="22"/>
      <c r="B17" s="23"/>
      <c r="C17" s="24"/>
    </row>
    <row r="18" spans="1:3">
      <c r="A18" s="22"/>
      <c r="B18" s="23"/>
      <c r="C18" s="24"/>
    </row>
    <row r="19" spans="1:3">
      <c r="A19" s="22"/>
      <c r="B19" s="23"/>
      <c r="C19" s="24"/>
    </row>
    <row r="20" spans="1:3">
      <c r="A20" s="25"/>
      <c r="B20" s="26"/>
      <c r="C20" s="27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9BA8D-1159-49A5-BF53-7AFA278C063A}">
  <dimension ref="A3:C20"/>
  <sheetViews>
    <sheetView workbookViewId="0">
      <selection activeCell="B13" sqref="B13"/>
    </sheetView>
  </sheetViews>
  <sheetFormatPr baseColWidth="10" defaultRowHeight="12.75"/>
  <cols>
    <col min="1" max="1" width="21.140625" bestFit="1" customWidth="1"/>
    <col min="2" max="2" width="17.5703125" bestFit="1" customWidth="1"/>
    <col min="3" max="3" width="16.140625" bestFit="1" customWidth="1"/>
    <col min="4" max="4" width="12.85546875" bestFit="1" customWidth="1"/>
  </cols>
  <sheetData>
    <row r="3" spans="1:3">
      <c r="A3" s="19"/>
      <c r="B3" s="20"/>
      <c r="C3" s="21"/>
    </row>
    <row r="4" spans="1:3">
      <c r="A4" s="22"/>
      <c r="B4" s="23"/>
      <c r="C4" s="24"/>
    </row>
    <row r="5" spans="1:3">
      <c r="A5" s="22"/>
      <c r="B5" s="23"/>
      <c r="C5" s="24"/>
    </row>
    <row r="6" spans="1:3">
      <c r="A6" s="22"/>
      <c r="B6" s="23"/>
      <c r="C6" s="24"/>
    </row>
    <row r="7" spans="1:3">
      <c r="A7" s="22"/>
      <c r="B7" s="23"/>
      <c r="C7" s="24"/>
    </row>
    <row r="8" spans="1:3">
      <c r="A8" s="22"/>
      <c r="B8" s="23"/>
      <c r="C8" s="24"/>
    </row>
    <row r="9" spans="1:3">
      <c r="A9" s="22"/>
      <c r="B9" s="23"/>
      <c r="C9" s="24"/>
    </row>
    <row r="10" spans="1:3">
      <c r="A10" s="22"/>
      <c r="B10" s="23"/>
      <c r="C10" s="24"/>
    </row>
    <row r="11" spans="1:3">
      <c r="A11" s="22"/>
      <c r="B11" s="23"/>
      <c r="C11" s="24"/>
    </row>
    <row r="12" spans="1:3">
      <c r="A12" s="22"/>
      <c r="B12" s="23"/>
      <c r="C12" s="24"/>
    </row>
    <row r="13" spans="1:3">
      <c r="A13" s="22"/>
      <c r="B13" s="23"/>
      <c r="C13" s="24"/>
    </row>
    <row r="14" spans="1:3">
      <c r="A14" s="22"/>
      <c r="B14" s="23"/>
      <c r="C14" s="24"/>
    </row>
    <row r="15" spans="1:3">
      <c r="A15" s="22"/>
      <c r="B15" s="23"/>
      <c r="C15" s="24"/>
    </row>
    <row r="16" spans="1:3">
      <c r="A16" s="22"/>
      <c r="B16" s="23"/>
      <c r="C16" s="24"/>
    </row>
    <row r="17" spans="1:3">
      <c r="A17" s="22"/>
      <c r="B17" s="23"/>
      <c r="C17" s="24"/>
    </row>
    <row r="18" spans="1:3">
      <c r="A18" s="22"/>
      <c r="B18" s="23"/>
      <c r="C18" s="24"/>
    </row>
    <row r="19" spans="1:3">
      <c r="A19" s="22"/>
      <c r="B19" s="23"/>
      <c r="C19" s="24"/>
    </row>
    <row r="20" spans="1:3">
      <c r="A20" s="25"/>
      <c r="B20" s="26"/>
      <c r="C20" s="27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FE7B3-8E62-4290-B02A-2484A74CAFE5}">
  <dimension ref="A3:C20"/>
  <sheetViews>
    <sheetView workbookViewId="0">
      <selection activeCell="B11" sqref="B11"/>
    </sheetView>
  </sheetViews>
  <sheetFormatPr baseColWidth="10" defaultRowHeight="12.75"/>
  <cols>
    <col min="1" max="1" width="21.140625" bestFit="1" customWidth="1"/>
    <col min="2" max="2" width="20.7109375" bestFit="1" customWidth="1"/>
    <col min="3" max="3" width="12.85546875" bestFit="1" customWidth="1"/>
    <col min="4" max="4" width="13.140625" bestFit="1" customWidth="1"/>
    <col min="5" max="8" width="12.85546875" bestFit="1" customWidth="1"/>
    <col min="9" max="10" width="11.85546875" bestFit="1" customWidth="1"/>
    <col min="11" max="13" width="12.85546875" bestFit="1" customWidth="1"/>
    <col min="14" max="14" width="14.42578125" bestFit="1" customWidth="1"/>
  </cols>
  <sheetData>
    <row r="3" spans="1:3">
      <c r="A3" s="19"/>
      <c r="B3" s="20"/>
      <c r="C3" s="21"/>
    </row>
    <row r="4" spans="1:3">
      <c r="A4" s="22"/>
      <c r="B4" s="23"/>
      <c r="C4" s="24"/>
    </row>
    <row r="5" spans="1:3">
      <c r="A5" s="22"/>
      <c r="B5" s="23"/>
      <c r="C5" s="24"/>
    </row>
    <row r="6" spans="1:3">
      <c r="A6" s="22"/>
      <c r="B6" s="23"/>
      <c r="C6" s="24"/>
    </row>
    <row r="7" spans="1:3">
      <c r="A7" s="22"/>
      <c r="B7" s="23"/>
      <c r="C7" s="24"/>
    </row>
    <row r="8" spans="1:3">
      <c r="A8" s="22"/>
      <c r="B8" s="23"/>
      <c r="C8" s="24"/>
    </row>
    <row r="9" spans="1:3">
      <c r="A9" s="22"/>
      <c r="B9" s="23"/>
      <c r="C9" s="24"/>
    </row>
    <row r="10" spans="1:3">
      <c r="A10" s="22"/>
      <c r="B10" s="23"/>
      <c r="C10" s="24"/>
    </row>
    <row r="11" spans="1:3">
      <c r="A11" s="22"/>
      <c r="B11" s="23"/>
      <c r="C11" s="24"/>
    </row>
    <row r="12" spans="1:3">
      <c r="A12" s="22"/>
      <c r="B12" s="23"/>
      <c r="C12" s="24"/>
    </row>
    <row r="13" spans="1:3">
      <c r="A13" s="22"/>
      <c r="B13" s="23"/>
      <c r="C13" s="24"/>
    </row>
    <row r="14" spans="1:3">
      <c r="A14" s="22"/>
      <c r="B14" s="23"/>
      <c r="C14" s="24"/>
    </row>
    <row r="15" spans="1:3">
      <c r="A15" s="22"/>
      <c r="B15" s="23"/>
      <c r="C15" s="24"/>
    </row>
    <row r="16" spans="1:3">
      <c r="A16" s="22"/>
      <c r="B16" s="23"/>
      <c r="C16" s="24"/>
    </row>
    <row r="17" spans="1:3">
      <c r="A17" s="22"/>
      <c r="B17" s="23"/>
      <c r="C17" s="24"/>
    </row>
    <row r="18" spans="1:3">
      <c r="A18" s="22"/>
      <c r="B18" s="23"/>
      <c r="C18" s="24"/>
    </row>
    <row r="19" spans="1:3">
      <c r="A19" s="22"/>
      <c r="B19" s="23"/>
      <c r="C19" s="24"/>
    </row>
    <row r="20" spans="1:3">
      <c r="A20" s="25"/>
      <c r="B20" s="26"/>
      <c r="C20" s="27"/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K50"/>
  <sheetViews>
    <sheetView tabSelected="1" zoomScale="85" zoomScaleNormal="85" workbookViewId="0">
      <selection activeCell="C10" sqref="C10"/>
    </sheetView>
  </sheetViews>
  <sheetFormatPr baseColWidth="10" defaultColWidth="11.42578125" defaultRowHeight="12.75"/>
  <cols>
    <col min="1" max="8" width="14.140625" style="33" customWidth="1"/>
    <col min="9" max="16384" width="11.42578125" style="33"/>
  </cols>
  <sheetData>
    <row r="1" spans="1:11">
      <c r="A1" s="10" t="s">
        <v>58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</row>
    <row r="2" spans="1:11">
      <c r="A2" s="11" t="s">
        <v>7</v>
      </c>
      <c r="B2" s="12">
        <v>42155</v>
      </c>
      <c r="C2" s="11" t="s">
        <v>8</v>
      </c>
      <c r="D2" s="11" t="s">
        <v>9</v>
      </c>
      <c r="E2" s="11" t="s">
        <v>10</v>
      </c>
      <c r="F2" s="13">
        <v>1.5</v>
      </c>
      <c r="G2" s="11">
        <v>7695</v>
      </c>
      <c r="H2" s="13">
        <f>F2*G2</f>
        <v>11542.5</v>
      </c>
      <c r="J2" s="33">
        <v>1</v>
      </c>
      <c r="K2" s="33" t="s">
        <v>59</v>
      </c>
    </row>
    <row r="3" spans="1:11">
      <c r="A3" s="11" t="s">
        <v>11</v>
      </c>
      <c r="B3" s="12">
        <v>42372</v>
      </c>
      <c r="C3" s="11" t="s">
        <v>12</v>
      </c>
      <c r="D3" s="11" t="s">
        <v>13</v>
      </c>
      <c r="E3" s="11" t="s">
        <v>10</v>
      </c>
      <c r="F3" s="13">
        <v>1.5</v>
      </c>
      <c r="G3" s="11">
        <v>9224</v>
      </c>
      <c r="H3" s="13">
        <f>F3*G3</f>
        <v>13836</v>
      </c>
      <c r="J3" s="33">
        <v>2</v>
      </c>
      <c r="K3" s="33" t="s">
        <v>60</v>
      </c>
    </row>
    <row r="4" spans="1:11">
      <c r="A4" s="11" t="s">
        <v>7</v>
      </c>
      <c r="B4" s="12">
        <v>42521</v>
      </c>
      <c r="C4" s="11" t="s">
        <v>14</v>
      </c>
      <c r="D4" s="11" t="s">
        <v>15</v>
      </c>
      <c r="E4" s="11" t="s">
        <v>10</v>
      </c>
      <c r="F4" s="13">
        <v>1.5</v>
      </c>
      <c r="G4" s="11">
        <v>9628</v>
      </c>
      <c r="H4" s="13">
        <f>F4*G4</f>
        <v>14442</v>
      </c>
      <c r="J4" s="33">
        <v>3</v>
      </c>
      <c r="K4" s="33" t="s">
        <v>61</v>
      </c>
    </row>
    <row r="5" spans="1:11">
      <c r="A5" s="11" t="s">
        <v>16</v>
      </c>
      <c r="B5" s="12">
        <v>42197</v>
      </c>
      <c r="C5" s="11" t="s">
        <v>17</v>
      </c>
      <c r="D5" s="11" t="s">
        <v>9</v>
      </c>
      <c r="E5" s="11" t="s">
        <v>18</v>
      </c>
      <c r="F5" s="13">
        <v>3.4</v>
      </c>
      <c r="G5" s="11">
        <v>8367</v>
      </c>
      <c r="H5" s="13">
        <f>F5*G5</f>
        <v>28447.8</v>
      </c>
      <c r="J5" s="33">
        <v>4</v>
      </c>
      <c r="K5" s="33" t="s">
        <v>62</v>
      </c>
    </row>
    <row r="6" spans="1:11">
      <c r="A6" s="11" t="s">
        <v>19</v>
      </c>
      <c r="B6" s="12">
        <v>42353</v>
      </c>
      <c r="C6" s="11" t="s">
        <v>20</v>
      </c>
      <c r="D6" s="11" t="s">
        <v>21</v>
      </c>
      <c r="E6" s="11" t="s">
        <v>22</v>
      </c>
      <c r="F6" s="13">
        <v>6</v>
      </c>
      <c r="G6" s="11">
        <v>6550</v>
      </c>
      <c r="H6" s="13">
        <f t="shared" ref="H6:H30" si="0">F6*G6</f>
        <v>39300</v>
      </c>
      <c r="J6" s="33">
        <v>5</v>
      </c>
      <c r="K6" s="33" t="s">
        <v>63</v>
      </c>
    </row>
    <row r="7" spans="1:11">
      <c r="A7" s="11" t="s">
        <v>23</v>
      </c>
      <c r="B7" s="12">
        <v>42050</v>
      </c>
      <c r="C7" s="11" t="s">
        <v>24</v>
      </c>
      <c r="D7" s="11" t="s">
        <v>9</v>
      </c>
      <c r="E7" s="11" t="s">
        <v>22</v>
      </c>
      <c r="F7" s="13">
        <v>6</v>
      </c>
      <c r="G7" s="11">
        <v>6987</v>
      </c>
      <c r="H7" s="13">
        <f t="shared" si="0"/>
        <v>41922</v>
      </c>
      <c r="J7" s="33">
        <v>6</v>
      </c>
      <c r="K7" s="33" t="s">
        <v>64</v>
      </c>
    </row>
    <row r="8" spans="1:11">
      <c r="A8" s="11" t="s">
        <v>11</v>
      </c>
      <c r="B8" s="12">
        <v>42062</v>
      </c>
      <c r="C8" s="11" t="s">
        <v>14</v>
      </c>
      <c r="D8" s="11" t="s">
        <v>15</v>
      </c>
      <c r="E8" s="11" t="s">
        <v>25</v>
      </c>
      <c r="F8" s="13">
        <v>21</v>
      </c>
      <c r="G8" s="11">
        <v>5954</v>
      </c>
      <c r="H8" s="13">
        <f>F8*G8</f>
        <v>125034</v>
      </c>
      <c r="J8" s="33">
        <v>7</v>
      </c>
      <c r="K8" s="33" t="s">
        <v>65</v>
      </c>
    </row>
    <row r="9" spans="1:11">
      <c r="A9" s="11" t="s">
        <v>26</v>
      </c>
      <c r="B9" s="12">
        <v>42546</v>
      </c>
      <c r="C9" s="11" t="s">
        <v>8</v>
      </c>
      <c r="D9" s="11" t="s">
        <v>13</v>
      </c>
      <c r="E9" s="11" t="s">
        <v>27</v>
      </c>
      <c r="F9" s="13">
        <v>25</v>
      </c>
      <c r="G9" s="11">
        <v>7329</v>
      </c>
      <c r="H9" s="13">
        <f>F9*G9</f>
        <v>183225</v>
      </c>
      <c r="J9" s="33">
        <v>8</v>
      </c>
      <c r="K9" s="33" t="s">
        <v>66</v>
      </c>
    </row>
    <row r="10" spans="1:11">
      <c r="A10" s="11" t="s">
        <v>16</v>
      </c>
      <c r="B10" s="12">
        <v>42287</v>
      </c>
      <c r="C10" s="11" t="s">
        <v>8</v>
      </c>
      <c r="D10" s="11" t="s">
        <v>15</v>
      </c>
      <c r="E10" s="11" t="s">
        <v>10</v>
      </c>
      <c r="F10" s="13">
        <v>1.5</v>
      </c>
      <c r="G10" s="11">
        <v>5293</v>
      </c>
      <c r="H10" s="13">
        <f>F10*G10</f>
        <v>7939.5</v>
      </c>
      <c r="J10" s="33">
        <v>9</v>
      </c>
      <c r="K10" s="33" t="s">
        <v>67</v>
      </c>
    </row>
    <row r="11" spans="1:11">
      <c r="A11" s="11" t="s">
        <v>28</v>
      </c>
      <c r="B11" s="12">
        <v>42366</v>
      </c>
      <c r="C11" s="11" t="s">
        <v>20</v>
      </c>
      <c r="D11" s="11" t="s">
        <v>21</v>
      </c>
      <c r="E11" s="11" t="s">
        <v>10</v>
      </c>
      <c r="F11" s="13">
        <v>1.5</v>
      </c>
      <c r="G11" s="11">
        <v>5562</v>
      </c>
      <c r="H11" s="13">
        <f t="shared" si="0"/>
        <v>8343</v>
      </c>
      <c r="J11" s="33">
        <v>10</v>
      </c>
      <c r="K11" s="33" t="s">
        <v>68</v>
      </c>
    </row>
    <row r="12" spans="1:11">
      <c r="A12" s="11" t="s">
        <v>29</v>
      </c>
      <c r="B12" s="12">
        <v>42517</v>
      </c>
      <c r="C12" s="11" t="s">
        <v>24</v>
      </c>
      <c r="D12" s="11" t="s">
        <v>15</v>
      </c>
      <c r="E12" s="11" t="s">
        <v>10</v>
      </c>
      <c r="F12" s="13">
        <v>1.5</v>
      </c>
      <c r="G12" s="11">
        <v>6852</v>
      </c>
      <c r="H12" s="13">
        <f>F12*G12</f>
        <v>10278</v>
      </c>
      <c r="J12" s="33">
        <v>11</v>
      </c>
      <c r="K12" s="33" t="s">
        <v>69</v>
      </c>
    </row>
    <row r="13" spans="1:11">
      <c r="A13" s="11" t="s">
        <v>7</v>
      </c>
      <c r="B13" s="12">
        <v>42237</v>
      </c>
      <c r="C13" s="11" t="s">
        <v>12</v>
      </c>
      <c r="D13" s="11" t="s">
        <v>13</v>
      </c>
      <c r="E13" s="11" t="s">
        <v>18</v>
      </c>
      <c r="F13" s="13">
        <v>3.4</v>
      </c>
      <c r="G13" s="11">
        <v>5641</v>
      </c>
      <c r="H13" s="13">
        <f t="shared" si="0"/>
        <v>19179.399999999998</v>
      </c>
      <c r="J13" s="33">
        <v>12</v>
      </c>
      <c r="K13" s="33" t="s">
        <v>70</v>
      </c>
    </row>
    <row r="14" spans="1:11">
      <c r="A14" s="11" t="s">
        <v>30</v>
      </c>
      <c r="B14" s="12">
        <v>42393</v>
      </c>
      <c r="C14" s="11" t="s">
        <v>17</v>
      </c>
      <c r="D14" s="11" t="s">
        <v>21</v>
      </c>
      <c r="E14" s="11" t="s">
        <v>18</v>
      </c>
      <c r="F14" s="13">
        <v>3.4</v>
      </c>
      <c r="G14" s="11">
        <v>7212</v>
      </c>
      <c r="H14" s="13">
        <f>F14*G14</f>
        <v>24520.799999999999</v>
      </c>
    </row>
    <row r="15" spans="1:11">
      <c r="A15" s="11" t="s">
        <v>26</v>
      </c>
      <c r="B15" s="12">
        <v>42044</v>
      </c>
      <c r="C15" s="11" t="s">
        <v>24</v>
      </c>
      <c r="D15" s="11" t="s">
        <v>9</v>
      </c>
      <c r="E15" s="11" t="s">
        <v>22</v>
      </c>
      <c r="F15" s="13">
        <v>6</v>
      </c>
      <c r="G15" s="11">
        <v>5764</v>
      </c>
      <c r="H15" s="13">
        <f t="shared" si="0"/>
        <v>34584</v>
      </c>
    </row>
    <row r="16" spans="1:11">
      <c r="A16" s="11" t="s">
        <v>11</v>
      </c>
      <c r="B16" s="12">
        <v>42423</v>
      </c>
      <c r="C16" s="11" t="s">
        <v>14</v>
      </c>
      <c r="D16" s="11" t="s">
        <v>21</v>
      </c>
      <c r="E16" s="11" t="s">
        <v>31</v>
      </c>
      <c r="F16" s="13">
        <v>12</v>
      </c>
      <c r="G16" s="11">
        <v>9886</v>
      </c>
      <c r="H16" s="13">
        <f t="shared" si="0"/>
        <v>118632</v>
      </c>
    </row>
    <row r="17" spans="1:8">
      <c r="A17" s="11" t="s">
        <v>32</v>
      </c>
      <c r="B17" s="12">
        <v>42482</v>
      </c>
      <c r="C17" s="11" t="s">
        <v>33</v>
      </c>
      <c r="D17" s="11" t="s">
        <v>15</v>
      </c>
      <c r="E17" s="11" t="s">
        <v>27</v>
      </c>
      <c r="F17" s="13">
        <v>25</v>
      </c>
      <c r="G17" s="11">
        <v>6728</v>
      </c>
      <c r="H17" s="13">
        <f>F17*G17</f>
        <v>168200</v>
      </c>
    </row>
    <row r="18" spans="1:8">
      <c r="A18" s="11" t="s">
        <v>28</v>
      </c>
      <c r="B18" s="12">
        <v>42351</v>
      </c>
      <c r="C18" s="11" t="s">
        <v>14</v>
      </c>
      <c r="D18" s="11" t="s">
        <v>9</v>
      </c>
      <c r="E18" s="11" t="s">
        <v>25</v>
      </c>
      <c r="F18" s="13">
        <v>21</v>
      </c>
      <c r="G18" s="11">
        <v>8694</v>
      </c>
      <c r="H18" s="13">
        <f>F18*G18</f>
        <v>182574</v>
      </c>
    </row>
    <row r="19" spans="1:8">
      <c r="A19" s="11" t="s">
        <v>11</v>
      </c>
      <c r="B19" s="12">
        <v>42094</v>
      </c>
      <c r="C19" s="11" t="s">
        <v>20</v>
      </c>
      <c r="D19" s="11" t="s">
        <v>15</v>
      </c>
      <c r="E19" s="11" t="s">
        <v>10</v>
      </c>
      <c r="F19" s="13">
        <v>1.5</v>
      </c>
      <c r="G19" s="11">
        <v>5750</v>
      </c>
      <c r="H19" s="13">
        <f>F19*G19</f>
        <v>8625</v>
      </c>
    </row>
    <row r="20" spans="1:8">
      <c r="A20" s="11" t="s">
        <v>7</v>
      </c>
      <c r="B20" s="12">
        <v>42181</v>
      </c>
      <c r="C20" s="11" t="s">
        <v>12</v>
      </c>
      <c r="D20" s="11" t="s">
        <v>9</v>
      </c>
      <c r="E20" s="11" t="s">
        <v>10</v>
      </c>
      <c r="F20" s="13">
        <v>1.5</v>
      </c>
      <c r="G20" s="11">
        <v>8639</v>
      </c>
      <c r="H20" s="13">
        <f>F20*G20</f>
        <v>12958.5</v>
      </c>
    </row>
    <row r="21" spans="1:8">
      <c r="A21" s="11" t="s">
        <v>16</v>
      </c>
      <c r="B21" s="12">
        <v>42398</v>
      </c>
      <c r="C21" s="11" t="s">
        <v>12</v>
      </c>
      <c r="D21" s="11" t="s">
        <v>9</v>
      </c>
      <c r="E21" s="11" t="s">
        <v>10</v>
      </c>
      <c r="F21" s="13">
        <v>1.5</v>
      </c>
      <c r="G21" s="11">
        <v>8804</v>
      </c>
      <c r="H21" s="13">
        <f>F21*G21</f>
        <v>13206</v>
      </c>
    </row>
    <row r="22" spans="1:8">
      <c r="A22" s="11" t="s">
        <v>32</v>
      </c>
      <c r="B22" s="12">
        <v>42317</v>
      </c>
      <c r="C22" s="11" t="s">
        <v>17</v>
      </c>
      <c r="D22" s="11" t="s">
        <v>21</v>
      </c>
      <c r="E22" s="11" t="s">
        <v>31</v>
      </c>
      <c r="F22" s="13">
        <v>12</v>
      </c>
      <c r="G22" s="11">
        <v>5136</v>
      </c>
      <c r="H22" s="13">
        <f t="shared" si="0"/>
        <v>61632</v>
      </c>
    </row>
    <row r="23" spans="1:8">
      <c r="A23" s="11" t="s">
        <v>28</v>
      </c>
      <c r="B23" s="12">
        <v>42434</v>
      </c>
      <c r="C23" s="11" t="s">
        <v>20</v>
      </c>
      <c r="D23" s="11" t="s">
        <v>15</v>
      </c>
      <c r="E23" s="11" t="s">
        <v>31</v>
      </c>
      <c r="F23" s="13">
        <v>12</v>
      </c>
      <c r="G23" s="11">
        <v>7017</v>
      </c>
      <c r="H23" s="13">
        <f>F23*G23</f>
        <v>84204</v>
      </c>
    </row>
    <row r="24" spans="1:8">
      <c r="A24" s="11" t="s">
        <v>11</v>
      </c>
      <c r="B24" s="12">
        <v>42387</v>
      </c>
      <c r="C24" s="11" t="s">
        <v>20</v>
      </c>
      <c r="D24" s="11" t="s">
        <v>15</v>
      </c>
      <c r="E24" s="11" t="s">
        <v>10</v>
      </c>
      <c r="F24" s="13">
        <v>1.5</v>
      </c>
      <c r="G24" s="11">
        <v>8611</v>
      </c>
      <c r="H24" s="13">
        <f t="shared" si="0"/>
        <v>12916.5</v>
      </c>
    </row>
    <row r="25" spans="1:8">
      <c r="A25" s="11" t="s">
        <v>26</v>
      </c>
      <c r="B25" s="12">
        <v>42540</v>
      </c>
      <c r="C25" s="11" t="s">
        <v>24</v>
      </c>
      <c r="D25" s="11" t="s">
        <v>13</v>
      </c>
      <c r="E25" s="11" t="s">
        <v>31</v>
      </c>
      <c r="F25" s="13">
        <v>12</v>
      </c>
      <c r="G25" s="11">
        <v>9924</v>
      </c>
      <c r="H25" s="13">
        <f t="shared" si="0"/>
        <v>119088</v>
      </c>
    </row>
    <row r="26" spans="1:8">
      <c r="A26" s="11" t="s">
        <v>7</v>
      </c>
      <c r="B26" s="12">
        <v>42379</v>
      </c>
      <c r="C26" s="11" t="s">
        <v>17</v>
      </c>
      <c r="D26" s="11" t="s">
        <v>9</v>
      </c>
      <c r="E26" s="11" t="s">
        <v>25</v>
      </c>
      <c r="F26" s="13">
        <v>21</v>
      </c>
      <c r="G26" s="11">
        <v>8279</v>
      </c>
      <c r="H26" s="13">
        <f t="shared" si="0"/>
        <v>173859</v>
      </c>
    </row>
    <row r="27" spans="1:8">
      <c r="A27" s="11" t="s">
        <v>30</v>
      </c>
      <c r="B27" s="12">
        <v>42070</v>
      </c>
      <c r="C27" s="11" t="s">
        <v>14</v>
      </c>
      <c r="D27" s="11" t="s">
        <v>15</v>
      </c>
      <c r="E27" s="11" t="s">
        <v>27</v>
      </c>
      <c r="F27" s="13">
        <v>25</v>
      </c>
      <c r="G27" s="11">
        <v>7346</v>
      </c>
      <c r="H27" s="13">
        <f>F27*G27</f>
        <v>183650</v>
      </c>
    </row>
    <row r="28" spans="1:8">
      <c r="A28" s="11" t="s">
        <v>29</v>
      </c>
      <c r="B28" s="12">
        <v>42167</v>
      </c>
      <c r="C28" s="11" t="s">
        <v>17</v>
      </c>
      <c r="D28" s="11" t="s">
        <v>15</v>
      </c>
      <c r="E28" s="11" t="s">
        <v>10</v>
      </c>
      <c r="F28" s="13">
        <v>1.5</v>
      </c>
      <c r="G28" s="11">
        <v>6213</v>
      </c>
      <c r="H28" s="13">
        <f t="shared" si="0"/>
        <v>9319.5</v>
      </c>
    </row>
    <row r="29" spans="1:8">
      <c r="A29" s="11" t="s">
        <v>11</v>
      </c>
      <c r="B29" s="12">
        <v>42385</v>
      </c>
      <c r="C29" s="11" t="s">
        <v>20</v>
      </c>
      <c r="D29" s="11" t="s">
        <v>15</v>
      </c>
      <c r="E29" s="11" t="s">
        <v>10</v>
      </c>
      <c r="F29" s="13">
        <v>1.5</v>
      </c>
      <c r="G29" s="11">
        <v>7645</v>
      </c>
      <c r="H29" s="13">
        <f>F29*G29</f>
        <v>11467.5</v>
      </c>
    </row>
    <row r="30" spans="1:8">
      <c r="A30" s="11" t="s">
        <v>23</v>
      </c>
      <c r="B30" s="12">
        <v>42535</v>
      </c>
      <c r="C30" s="11" t="s">
        <v>20</v>
      </c>
      <c r="D30" s="11" t="s">
        <v>13</v>
      </c>
      <c r="E30" s="11" t="s">
        <v>10</v>
      </c>
      <c r="F30" s="13">
        <v>1.5</v>
      </c>
      <c r="G30" s="11">
        <v>8091</v>
      </c>
      <c r="H30" s="13">
        <f t="shared" si="0"/>
        <v>12136.5</v>
      </c>
    </row>
    <row r="31" spans="1:8">
      <c r="A31" s="11" t="s">
        <v>28</v>
      </c>
      <c r="B31" s="12">
        <v>42394</v>
      </c>
      <c r="C31" s="11" t="s">
        <v>8</v>
      </c>
      <c r="D31" s="11" t="s">
        <v>15</v>
      </c>
      <c r="E31" s="11" t="s">
        <v>18</v>
      </c>
      <c r="F31" s="13">
        <v>3.4</v>
      </c>
      <c r="G31" s="11">
        <v>7819</v>
      </c>
      <c r="H31" s="13">
        <f>F31*G31</f>
        <v>26584.6</v>
      </c>
    </row>
    <row r="32" spans="1:8">
      <c r="A32" s="11" t="s">
        <v>19</v>
      </c>
      <c r="B32" s="12">
        <v>42290</v>
      </c>
      <c r="C32" s="11" t="s">
        <v>17</v>
      </c>
      <c r="D32" s="11" t="s">
        <v>9</v>
      </c>
      <c r="E32" s="11" t="s">
        <v>18</v>
      </c>
      <c r="F32" s="13">
        <v>3.4</v>
      </c>
      <c r="G32" s="11">
        <v>8227</v>
      </c>
      <c r="H32" s="13">
        <f t="shared" ref="H32:H50" si="1">F32*G32</f>
        <v>27971.8</v>
      </c>
    </row>
    <row r="33" spans="1:8">
      <c r="A33" s="11" t="s">
        <v>32</v>
      </c>
      <c r="B33" s="12">
        <v>42391</v>
      </c>
      <c r="C33" s="11" t="s">
        <v>12</v>
      </c>
      <c r="D33" s="11" t="s">
        <v>15</v>
      </c>
      <c r="E33" s="11" t="s">
        <v>22</v>
      </c>
      <c r="F33" s="13">
        <v>6</v>
      </c>
      <c r="G33" s="11">
        <v>6317</v>
      </c>
      <c r="H33" s="13">
        <f t="shared" si="1"/>
        <v>37902</v>
      </c>
    </row>
    <row r="34" spans="1:8">
      <c r="A34" s="11" t="s">
        <v>28</v>
      </c>
      <c r="B34" s="12">
        <v>42052</v>
      </c>
      <c r="C34" s="11" t="s">
        <v>12</v>
      </c>
      <c r="D34" s="11" t="s">
        <v>13</v>
      </c>
      <c r="E34" s="11" t="s">
        <v>25</v>
      </c>
      <c r="F34" s="13">
        <v>21</v>
      </c>
      <c r="G34" s="11">
        <v>9401</v>
      </c>
      <c r="H34" s="13">
        <f>F34*G34</f>
        <v>197421</v>
      </c>
    </row>
    <row r="35" spans="1:8">
      <c r="A35" s="11" t="s">
        <v>29</v>
      </c>
      <c r="B35" s="12">
        <v>42444</v>
      </c>
      <c r="C35" s="11" t="s">
        <v>20</v>
      </c>
      <c r="D35" s="11" t="s">
        <v>15</v>
      </c>
      <c r="E35" s="11" t="s">
        <v>22</v>
      </c>
      <c r="F35" s="13">
        <v>6</v>
      </c>
      <c r="G35" s="11">
        <v>7373</v>
      </c>
      <c r="H35" s="13">
        <f>F35*G35</f>
        <v>44238</v>
      </c>
    </row>
    <row r="36" spans="1:8">
      <c r="A36" s="11" t="s">
        <v>7</v>
      </c>
      <c r="B36" s="12">
        <v>42188</v>
      </c>
      <c r="C36" s="11" t="s">
        <v>12</v>
      </c>
      <c r="D36" s="11" t="s">
        <v>13</v>
      </c>
      <c r="E36" s="11" t="s">
        <v>31</v>
      </c>
      <c r="F36" s="13">
        <v>12</v>
      </c>
      <c r="G36" s="11">
        <v>9062</v>
      </c>
      <c r="H36" s="13">
        <f t="shared" si="1"/>
        <v>108744</v>
      </c>
    </row>
    <row r="37" spans="1:8">
      <c r="A37" s="11" t="s">
        <v>7</v>
      </c>
      <c r="B37" s="12">
        <v>42293</v>
      </c>
      <c r="C37" s="11" t="s">
        <v>24</v>
      </c>
      <c r="D37" s="11" t="s">
        <v>9</v>
      </c>
      <c r="E37" s="11" t="s">
        <v>18</v>
      </c>
      <c r="F37" s="13">
        <v>3.4</v>
      </c>
      <c r="G37" s="11">
        <v>5336</v>
      </c>
      <c r="H37" s="13">
        <f>F37*G37</f>
        <v>18142.399999999998</v>
      </c>
    </row>
    <row r="38" spans="1:8">
      <c r="A38" s="11" t="s">
        <v>23</v>
      </c>
      <c r="B38" s="12">
        <v>42246</v>
      </c>
      <c r="C38" s="11" t="s">
        <v>12</v>
      </c>
      <c r="D38" s="11" t="s">
        <v>13</v>
      </c>
      <c r="E38" s="11" t="s">
        <v>18</v>
      </c>
      <c r="F38" s="13">
        <v>3.4</v>
      </c>
      <c r="G38" s="11">
        <v>9165</v>
      </c>
      <c r="H38" s="13">
        <f t="shared" si="1"/>
        <v>31161</v>
      </c>
    </row>
    <row r="39" spans="1:8">
      <c r="A39" s="11" t="s">
        <v>16</v>
      </c>
      <c r="B39" s="12">
        <v>42330</v>
      </c>
      <c r="C39" s="11" t="s">
        <v>20</v>
      </c>
      <c r="D39" s="11" t="s">
        <v>13</v>
      </c>
      <c r="E39" s="11" t="s">
        <v>22</v>
      </c>
      <c r="F39" s="13">
        <v>6</v>
      </c>
      <c r="G39" s="11">
        <v>7700</v>
      </c>
      <c r="H39" s="13">
        <f>F39*G39</f>
        <v>46200</v>
      </c>
    </row>
    <row r="40" spans="1:8">
      <c r="A40" s="11" t="s">
        <v>28</v>
      </c>
      <c r="B40" s="12">
        <v>42322</v>
      </c>
      <c r="C40" s="11" t="s">
        <v>24</v>
      </c>
      <c r="D40" s="11" t="s">
        <v>13</v>
      </c>
      <c r="E40" s="11" t="s">
        <v>22</v>
      </c>
      <c r="F40" s="13">
        <v>6</v>
      </c>
      <c r="G40" s="11">
        <v>8407</v>
      </c>
      <c r="H40" s="13">
        <f>F40*G40</f>
        <v>50442</v>
      </c>
    </row>
    <row r="41" spans="1:8">
      <c r="A41" s="11" t="s">
        <v>32</v>
      </c>
      <c r="B41" s="12">
        <v>42098</v>
      </c>
      <c r="C41" s="11" t="s">
        <v>24</v>
      </c>
      <c r="D41" s="11" t="s">
        <v>9</v>
      </c>
      <c r="E41" s="11" t="s">
        <v>22</v>
      </c>
      <c r="F41" s="13">
        <v>6</v>
      </c>
      <c r="G41" s="11">
        <v>8489</v>
      </c>
      <c r="H41" s="13">
        <f t="shared" si="1"/>
        <v>50934</v>
      </c>
    </row>
    <row r="42" spans="1:8">
      <c r="A42" s="11" t="s">
        <v>28</v>
      </c>
      <c r="B42" s="12">
        <v>42252</v>
      </c>
      <c r="C42" s="11" t="s">
        <v>12</v>
      </c>
      <c r="D42" s="11" t="s">
        <v>21</v>
      </c>
      <c r="E42" s="11" t="s">
        <v>22</v>
      </c>
      <c r="F42" s="13">
        <v>6</v>
      </c>
      <c r="G42" s="11">
        <v>9929</v>
      </c>
      <c r="H42" s="13">
        <f t="shared" si="1"/>
        <v>59574</v>
      </c>
    </row>
    <row r="43" spans="1:8">
      <c r="A43" s="11" t="s">
        <v>19</v>
      </c>
      <c r="B43" s="12">
        <v>42307</v>
      </c>
      <c r="C43" s="11" t="s">
        <v>8</v>
      </c>
      <c r="D43" s="11" t="s">
        <v>15</v>
      </c>
      <c r="E43" s="11" t="s">
        <v>31</v>
      </c>
      <c r="F43" s="13">
        <v>12</v>
      </c>
      <c r="G43" s="11">
        <v>5463</v>
      </c>
      <c r="H43" s="13">
        <f t="shared" si="1"/>
        <v>65556</v>
      </c>
    </row>
    <row r="44" spans="1:8">
      <c r="A44" s="11" t="s">
        <v>23</v>
      </c>
      <c r="B44" s="12">
        <v>42202</v>
      </c>
      <c r="C44" s="11" t="s">
        <v>20</v>
      </c>
      <c r="D44" s="11" t="s">
        <v>13</v>
      </c>
      <c r="E44" s="11" t="s">
        <v>31</v>
      </c>
      <c r="F44" s="13">
        <v>12</v>
      </c>
      <c r="G44" s="11">
        <v>6660</v>
      </c>
      <c r="H44" s="13">
        <f t="shared" si="1"/>
        <v>79920</v>
      </c>
    </row>
    <row r="45" spans="1:8">
      <c r="A45" s="11" t="s">
        <v>7</v>
      </c>
      <c r="B45" s="12">
        <v>42514</v>
      </c>
      <c r="C45" s="11" t="s">
        <v>14</v>
      </c>
      <c r="D45" s="11" t="s">
        <v>15</v>
      </c>
      <c r="E45" s="11" t="s">
        <v>31</v>
      </c>
      <c r="F45" s="13">
        <v>12</v>
      </c>
      <c r="G45" s="11">
        <v>7349</v>
      </c>
      <c r="H45" s="13">
        <f t="shared" si="1"/>
        <v>88188</v>
      </c>
    </row>
    <row r="46" spans="1:8">
      <c r="A46" s="11" t="s">
        <v>30</v>
      </c>
      <c r="B46" s="12">
        <v>42398</v>
      </c>
      <c r="C46" s="11" t="s">
        <v>17</v>
      </c>
      <c r="D46" s="11" t="s">
        <v>21</v>
      </c>
      <c r="E46" s="11" t="s">
        <v>27</v>
      </c>
      <c r="F46" s="13">
        <v>25</v>
      </c>
      <c r="G46" s="11">
        <v>6075</v>
      </c>
      <c r="H46" s="13">
        <f t="shared" si="1"/>
        <v>151875</v>
      </c>
    </row>
    <row r="47" spans="1:8">
      <c r="A47" s="11" t="s">
        <v>23</v>
      </c>
      <c r="B47" s="12">
        <v>42477</v>
      </c>
      <c r="C47" s="11" t="s">
        <v>14</v>
      </c>
      <c r="D47" s="11" t="s">
        <v>9</v>
      </c>
      <c r="E47" s="11" t="s">
        <v>27</v>
      </c>
      <c r="F47" s="13">
        <v>25</v>
      </c>
      <c r="G47" s="11">
        <v>6183</v>
      </c>
      <c r="H47" s="13">
        <f t="shared" si="1"/>
        <v>154575</v>
      </c>
    </row>
    <row r="48" spans="1:8">
      <c r="A48" s="11" t="s">
        <v>19</v>
      </c>
      <c r="B48" s="12">
        <v>42293</v>
      </c>
      <c r="C48" s="11" t="s">
        <v>17</v>
      </c>
      <c r="D48" s="11" t="s">
        <v>9</v>
      </c>
      <c r="E48" s="11" t="s">
        <v>25</v>
      </c>
      <c r="F48" s="13">
        <v>21</v>
      </c>
      <c r="G48" s="11">
        <v>7464</v>
      </c>
      <c r="H48" s="13">
        <f t="shared" si="1"/>
        <v>156744</v>
      </c>
    </row>
    <row r="49" spans="1:8">
      <c r="A49" s="11" t="s">
        <v>28</v>
      </c>
      <c r="B49" s="12">
        <v>42430</v>
      </c>
      <c r="C49" s="11" t="s">
        <v>12</v>
      </c>
      <c r="D49" s="11" t="s">
        <v>15</v>
      </c>
      <c r="E49" s="11" t="s">
        <v>27</v>
      </c>
      <c r="F49" s="13">
        <v>25</v>
      </c>
      <c r="G49" s="11">
        <v>6523</v>
      </c>
      <c r="H49" s="13">
        <f t="shared" si="1"/>
        <v>163075</v>
      </c>
    </row>
    <row r="50" spans="1:8">
      <c r="A50" s="11" t="s">
        <v>28</v>
      </c>
      <c r="B50" s="12">
        <v>42013</v>
      </c>
      <c r="C50" s="11" t="s">
        <v>17</v>
      </c>
      <c r="D50" s="11" t="s">
        <v>15</v>
      </c>
      <c r="E50" s="11" t="s">
        <v>25</v>
      </c>
      <c r="F50" s="13">
        <v>21</v>
      </c>
      <c r="G50" s="11">
        <v>9201</v>
      </c>
      <c r="H50" s="13">
        <f t="shared" si="1"/>
        <v>193221</v>
      </c>
    </row>
  </sheetData>
  <printOptions gridLines="1" gridLinesSet="0"/>
  <pageMargins left="0.78740157499999996" right="0.78740157499999996" top="0.984251969" bottom="0.984251969" header="0.4921259845" footer="0.4921259845"/>
  <pageSetup paperSize="9" orientation="portrait" horizontalDpi="4294967292" verticalDpi="360" r:id="rId1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55E33-2F68-462B-82EF-4E8542FFAD5A}">
  <dimension ref="A3:C14"/>
  <sheetViews>
    <sheetView workbookViewId="0">
      <selection activeCell="F20" sqref="F20"/>
    </sheetView>
  </sheetViews>
  <sheetFormatPr baseColWidth="10" defaultRowHeight="12.75"/>
  <cols>
    <col min="1" max="1" width="21.140625" bestFit="1" customWidth="1"/>
    <col min="2" max="2" width="16.140625" bestFit="1" customWidth="1"/>
    <col min="3" max="3" width="9.85546875" bestFit="1" customWidth="1"/>
  </cols>
  <sheetData>
    <row r="3" spans="1:3">
      <c r="A3" s="14" t="s">
        <v>71</v>
      </c>
      <c r="B3" t="s">
        <v>75</v>
      </c>
      <c r="C3" t="s">
        <v>74</v>
      </c>
    </row>
    <row r="4" spans="1:3">
      <c r="A4" s="15" t="s">
        <v>30</v>
      </c>
      <c r="B4" s="18">
        <v>360045.8</v>
      </c>
      <c r="C4" s="17">
        <v>0.10323801251618875</v>
      </c>
    </row>
    <row r="5" spans="1:3">
      <c r="A5" s="15" t="s">
        <v>26</v>
      </c>
      <c r="B5" s="18">
        <v>336897</v>
      </c>
      <c r="C5" s="17">
        <v>9.6600423342437097E-2</v>
      </c>
    </row>
    <row r="6" spans="1:3">
      <c r="A6" s="15" t="s">
        <v>23</v>
      </c>
      <c r="B6" s="18">
        <v>319714.5</v>
      </c>
      <c r="C6" s="17">
        <v>9.1673585839932112E-2</v>
      </c>
    </row>
    <row r="7" spans="1:3">
      <c r="A7" s="15" t="s">
        <v>11</v>
      </c>
      <c r="B7" s="18">
        <v>290511</v>
      </c>
      <c r="C7" s="17">
        <v>8.3299897552173943E-2</v>
      </c>
    </row>
    <row r="8" spans="1:3">
      <c r="A8" s="15" t="s">
        <v>16</v>
      </c>
      <c r="B8" s="18">
        <v>95793.3</v>
      </c>
      <c r="C8" s="17">
        <v>2.7467366386073729E-2</v>
      </c>
    </row>
    <row r="9" spans="1:3">
      <c r="A9" s="15" t="s">
        <v>19</v>
      </c>
      <c r="B9" s="18">
        <v>289571.8</v>
      </c>
      <c r="C9" s="17">
        <v>8.303059530963923E-2</v>
      </c>
    </row>
    <row r="10" spans="1:3">
      <c r="A10" s="15" t="s">
        <v>28</v>
      </c>
      <c r="B10" s="18">
        <v>965438.6</v>
      </c>
      <c r="C10" s="17">
        <v>0.27682578791479234</v>
      </c>
    </row>
    <row r="11" spans="1:3">
      <c r="A11" s="15" t="s">
        <v>7</v>
      </c>
      <c r="B11" s="18">
        <v>447055.80000000005</v>
      </c>
      <c r="C11" s="17">
        <v>0.12818689254487839</v>
      </c>
    </row>
    <row r="12" spans="1:3">
      <c r="A12" s="15" t="s">
        <v>32</v>
      </c>
      <c r="B12" s="18">
        <v>318668</v>
      </c>
      <c r="C12" s="17">
        <v>9.1373516848436601E-2</v>
      </c>
    </row>
    <row r="13" spans="1:3">
      <c r="A13" s="15" t="s">
        <v>29</v>
      </c>
      <c r="B13" s="18">
        <v>63835.5</v>
      </c>
      <c r="C13" s="17">
        <v>1.8303921745447847E-2</v>
      </c>
    </row>
    <row r="14" spans="1:3">
      <c r="A14" s="15" t="s">
        <v>72</v>
      </c>
      <c r="B14" s="18">
        <v>3487531.3</v>
      </c>
      <c r="C14" s="17">
        <v>1</v>
      </c>
    </row>
  </sheetData>
  <conditionalFormatting pivot="1" sqref="B4:B13">
    <cfRule type="cellIs" dxfId="0" priority="1" operator="greaterThanOrEqual">
      <formula>300000</formula>
    </cfRule>
  </conditionalFormatting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6F458-3518-4C0F-A99B-EC999AC8A33B}">
  <dimension ref="A1:B10"/>
  <sheetViews>
    <sheetView workbookViewId="0">
      <selection activeCell="E16" sqref="E16"/>
    </sheetView>
  </sheetViews>
  <sheetFormatPr baseColWidth="10" defaultRowHeight="12.75"/>
  <cols>
    <col min="1" max="1" width="21.140625" bestFit="1" customWidth="1"/>
    <col min="2" max="2" width="16.140625" bestFit="1" customWidth="1"/>
    <col min="3" max="3" width="9.85546875" bestFit="1" customWidth="1"/>
  </cols>
  <sheetData>
    <row r="1" spans="1:2">
      <c r="A1" s="14" t="s">
        <v>2</v>
      </c>
      <c r="B1" t="s">
        <v>76</v>
      </c>
    </row>
    <row r="3" spans="1:2">
      <c r="A3" s="14" t="s">
        <v>71</v>
      </c>
      <c r="B3" t="s">
        <v>75</v>
      </c>
    </row>
    <row r="4" spans="1:2">
      <c r="A4" s="15" t="s">
        <v>25</v>
      </c>
      <c r="B4" s="18">
        <v>1028853</v>
      </c>
    </row>
    <row r="5" spans="1:2">
      <c r="A5" s="15" t="s">
        <v>31</v>
      </c>
      <c r="B5" s="18">
        <v>725964</v>
      </c>
    </row>
    <row r="6" spans="1:2">
      <c r="A6" s="15" t="s">
        <v>22</v>
      </c>
      <c r="B6" s="18">
        <v>405096</v>
      </c>
    </row>
    <row r="7" spans="1:2">
      <c r="A7" s="15" t="s">
        <v>27</v>
      </c>
      <c r="B7" s="18">
        <v>1004600</v>
      </c>
    </row>
    <row r="8" spans="1:2">
      <c r="A8" s="15" t="s">
        <v>18</v>
      </c>
      <c r="B8" s="18">
        <v>176007.80000000002</v>
      </c>
    </row>
    <row r="9" spans="1:2">
      <c r="A9" s="15" t="s">
        <v>10</v>
      </c>
      <c r="B9" s="18">
        <v>147010.5</v>
      </c>
    </row>
    <row r="10" spans="1:2">
      <c r="A10" s="15" t="s">
        <v>72</v>
      </c>
      <c r="B10" s="18">
        <v>3487531.3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9E593-4B73-4864-B96E-44E9496340D5}">
  <dimension ref="A1:E14"/>
  <sheetViews>
    <sheetView workbookViewId="0">
      <selection activeCell="H25" sqref="H25"/>
    </sheetView>
  </sheetViews>
  <sheetFormatPr baseColWidth="10" defaultRowHeight="12.75"/>
  <cols>
    <col min="1" max="1" width="21.140625" bestFit="1" customWidth="1"/>
    <col min="2" max="2" width="8.42578125" bestFit="1" customWidth="1"/>
    <col min="3" max="3" width="20.7109375" bestFit="1" customWidth="1"/>
    <col min="4" max="4" width="8" bestFit="1" customWidth="1"/>
    <col min="5" max="5" width="5.7109375" bestFit="1" customWidth="1"/>
    <col min="6" max="6" width="12.85546875" bestFit="1" customWidth="1"/>
  </cols>
  <sheetData>
    <row r="1" spans="1:5">
      <c r="A1" s="14" t="s">
        <v>3</v>
      </c>
      <c r="B1" t="s">
        <v>76</v>
      </c>
    </row>
    <row r="3" spans="1:5">
      <c r="A3" s="14" t="s">
        <v>71</v>
      </c>
      <c r="B3" t="s">
        <v>77</v>
      </c>
      <c r="C3" t="s">
        <v>73</v>
      </c>
      <c r="D3" t="s">
        <v>79</v>
      </c>
      <c r="E3" t="s">
        <v>80</v>
      </c>
    </row>
    <row r="4" spans="1:5">
      <c r="A4" s="15" t="s">
        <v>29</v>
      </c>
      <c r="B4" s="16">
        <v>3</v>
      </c>
      <c r="C4" s="18">
        <v>63835.5</v>
      </c>
      <c r="D4" s="17">
        <v>1.8303921745447847E-2</v>
      </c>
      <c r="E4" s="16">
        <v>10</v>
      </c>
    </row>
    <row r="5" spans="1:5">
      <c r="A5" s="15" t="s">
        <v>16</v>
      </c>
      <c r="B5" s="16">
        <v>4</v>
      </c>
      <c r="C5" s="18">
        <v>95793.3</v>
      </c>
      <c r="D5" s="17">
        <v>2.7467366386073729E-2</v>
      </c>
      <c r="E5" s="16">
        <v>9</v>
      </c>
    </row>
    <row r="6" spans="1:5">
      <c r="A6" s="15" t="s">
        <v>19</v>
      </c>
      <c r="B6" s="16">
        <v>4</v>
      </c>
      <c r="C6" s="18">
        <v>289571.8</v>
      </c>
      <c r="D6" s="17">
        <v>8.303059530963923E-2</v>
      </c>
      <c r="E6" s="16">
        <v>8</v>
      </c>
    </row>
    <row r="7" spans="1:5">
      <c r="A7" s="15" t="s">
        <v>11</v>
      </c>
      <c r="B7" s="16">
        <v>6</v>
      </c>
      <c r="C7" s="18">
        <v>290511</v>
      </c>
      <c r="D7" s="17">
        <v>8.3299897552173943E-2</v>
      </c>
      <c r="E7" s="16">
        <v>7</v>
      </c>
    </row>
    <row r="8" spans="1:5">
      <c r="A8" s="15" t="s">
        <v>32</v>
      </c>
      <c r="B8" s="16">
        <v>4</v>
      </c>
      <c r="C8" s="18">
        <v>318668</v>
      </c>
      <c r="D8" s="17">
        <v>9.1373516848436601E-2</v>
      </c>
      <c r="E8" s="16">
        <v>6</v>
      </c>
    </row>
    <row r="9" spans="1:5">
      <c r="A9" s="15" t="s">
        <v>23</v>
      </c>
      <c r="B9" s="16">
        <v>5</v>
      </c>
      <c r="C9" s="18">
        <v>319714.5</v>
      </c>
      <c r="D9" s="17">
        <v>9.1673585839932112E-2</v>
      </c>
      <c r="E9" s="16">
        <v>5</v>
      </c>
    </row>
    <row r="10" spans="1:5">
      <c r="A10" s="15" t="s">
        <v>26</v>
      </c>
      <c r="B10" s="16">
        <v>3</v>
      </c>
      <c r="C10" s="18">
        <v>336897</v>
      </c>
      <c r="D10" s="17">
        <v>9.6600423342437097E-2</v>
      </c>
      <c r="E10" s="16">
        <v>4</v>
      </c>
    </row>
    <row r="11" spans="1:5">
      <c r="A11" s="15" t="s">
        <v>30</v>
      </c>
      <c r="B11" s="16">
        <v>3</v>
      </c>
      <c r="C11" s="18">
        <v>360045.8</v>
      </c>
      <c r="D11" s="17">
        <v>0.10323801251618875</v>
      </c>
      <c r="E11" s="16">
        <v>3</v>
      </c>
    </row>
    <row r="12" spans="1:5">
      <c r="A12" s="15" t="s">
        <v>7</v>
      </c>
      <c r="B12" s="16">
        <v>8</v>
      </c>
      <c r="C12" s="18">
        <v>447055.80000000005</v>
      </c>
      <c r="D12" s="17">
        <v>0.12818689254487839</v>
      </c>
      <c r="E12" s="16">
        <v>2</v>
      </c>
    </row>
    <row r="13" spans="1:5">
      <c r="A13" s="15" t="s">
        <v>28</v>
      </c>
      <c r="B13" s="16">
        <v>9</v>
      </c>
      <c r="C13" s="18">
        <v>965438.6</v>
      </c>
      <c r="D13" s="17">
        <v>0.27682578791479234</v>
      </c>
      <c r="E13" s="16">
        <v>1</v>
      </c>
    </row>
    <row r="14" spans="1:5">
      <c r="A14" s="15" t="s">
        <v>72</v>
      </c>
      <c r="B14" s="16">
        <v>49</v>
      </c>
      <c r="C14" s="18">
        <v>3487531.3</v>
      </c>
      <c r="D14" s="17">
        <v>1</v>
      </c>
      <c r="E14" s="16"/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92879-A051-4140-B676-9A51FA132363}">
  <dimension ref="A3:B8"/>
  <sheetViews>
    <sheetView showGridLines="0" workbookViewId="0">
      <selection activeCell="K22" sqref="K22"/>
    </sheetView>
  </sheetViews>
  <sheetFormatPr baseColWidth="10" defaultRowHeight="12.75"/>
  <cols>
    <col min="1" max="1" width="21.140625" bestFit="1" customWidth="1"/>
    <col min="2" max="2" width="17.5703125" bestFit="1" customWidth="1"/>
    <col min="3" max="3" width="16.140625" bestFit="1" customWidth="1"/>
    <col min="4" max="4" width="12.85546875" bestFit="1" customWidth="1"/>
  </cols>
  <sheetData>
    <row r="3" spans="1:2">
      <c r="A3" s="14" t="s">
        <v>71</v>
      </c>
      <c r="B3" t="s">
        <v>78</v>
      </c>
    </row>
    <row r="4" spans="1:2">
      <c r="A4" s="15" t="s">
        <v>9</v>
      </c>
      <c r="B4" s="16">
        <v>69804.692307692312</v>
      </c>
    </row>
    <row r="5" spans="1:2">
      <c r="A5" s="15" t="s">
        <v>13</v>
      </c>
      <c r="B5" s="16">
        <v>78304.809090909097</v>
      </c>
    </row>
    <row r="6" spans="1:2">
      <c r="A6" s="15" t="s">
        <v>15</v>
      </c>
      <c r="B6" s="16">
        <v>69713.366666666669</v>
      </c>
    </row>
    <row r="7" spans="1:2">
      <c r="A7" s="15" t="s">
        <v>21</v>
      </c>
      <c r="B7" s="16">
        <v>66268.114285714284</v>
      </c>
    </row>
    <row r="8" spans="1:2">
      <c r="A8" s="15" t="s">
        <v>72</v>
      </c>
      <c r="B8" s="16">
        <v>71174.108163265308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ECAEC-A80E-4A33-BEF6-B94DB351DFD8}">
  <dimension ref="A3:B51"/>
  <sheetViews>
    <sheetView workbookViewId="0">
      <selection activeCell="A6" sqref="A6"/>
    </sheetView>
  </sheetViews>
  <sheetFormatPr baseColWidth="10" defaultRowHeight="12.75"/>
  <cols>
    <col min="1" max="1" width="21.140625" bestFit="1" customWidth="1"/>
    <col min="2" max="2" width="20.7109375" bestFit="1" customWidth="1"/>
    <col min="3" max="4" width="14.42578125" bestFit="1" customWidth="1"/>
    <col min="5" max="8" width="12.85546875" bestFit="1" customWidth="1"/>
    <col min="9" max="10" width="11.85546875" bestFit="1" customWidth="1"/>
    <col min="11" max="13" width="12.85546875" bestFit="1" customWidth="1"/>
    <col min="14" max="14" width="14.42578125" bestFit="1" customWidth="1"/>
  </cols>
  <sheetData>
    <row r="3" spans="1:2">
      <c r="A3" s="14" t="s">
        <v>71</v>
      </c>
      <c r="B3" t="s">
        <v>73</v>
      </c>
    </row>
    <row r="4" spans="1:2">
      <c r="A4" s="28">
        <v>42013</v>
      </c>
      <c r="B4" s="18">
        <v>193221</v>
      </c>
    </row>
    <row r="5" spans="1:2">
      <c r="A5" s="28">
        <v>42044</v>
      </c>
      <c r="B5" s="18">
        <v>34584</v>
      </c>
    </row>
    <row r="6" spans="1:2">
      <c r="A6" s="28">
        <v>42050</v>
      </c>
      <c r="B6" s="18">
        <v>41922</v>
      </c>
    </row>
    <row r="7" spans="1:2">
      <c r="A7" s="28">
        <v>42052</v>
      </c>
      <c r="B7" s="18">
        <v>197421</v>
      </c>
    </row>
    <row r="8" spans="1:2">
      <c r="A8" s="28">
        <v>42062</v>
      </c>
      <c r="B8" s="18">
        <v>125034</v>
      </c>
    </row>
    <row r="9" spans="1:2">
      <c r="A9" s="28">
        <v>42070</v>
      </c>
      <c r="B9" s="18">
        <v>183650</v>
      </c>
    </row>
    <row r="10" spans="1:2">
      <c r="A10" s="28">
        <v>42094</v>
      </c>
      <c r="B10" s="18">
        <v>8625</v>
      </c>
    </row>
    <row r="11" spans="1:2">
      <c r="A11" s="28">
        <v>42098</v>
      </c>
      <c r="B11" s="18">
        <v>50934</v>
      </c>
    </row>
    <row r="12" spans="1:2">
      <c r="A12" s="28">
        <v>42155</v>
      </c>
      <c r="B12" s="18">
        <v>11542.5</v>
      </c>
    </row>
    <row r="13" spans="1:2">
      <c r="A13" s="28">
        <v>42167</v>
      </c>
      <c r="B13" s="18">
        <v>9319.5</v>
      </c>
    </row>
    <row r="14" spans="1:2">
      <c r="A14" s="28">
        <v>42181</v>
      </c>
      <c r="B14" s="18">
        <v>12958.5</v>
      </c>
    </row>
    <row r="15" spans="1:2">
      <c r="A15" s="28">
        <v>42188</v>
      </c>
      <c r="B15" s="18">
        <v>108744</v>
      </c>
    </row>
    <row r="16" spans="1:2">
      <c r="A16" s="28">
        <v>42197</v>
      </c>
      <c r="B16" s="18">
        <v>28447.8</v>
      </c>
    </row>
    <row r="17" spans="1:2">
      <c r="A17" s="28">
        <v>42202</v>
      </c>
      <c r="B17" s="18">
        <v>79920</v>
      </c>
    </row>
    <row r="18" spans="1:2">
      <c r="A18" s="28">
        <v>42237</v>
      </c>
      <c r="B18" s="18">
        <v>19179.399999999998</v>
      </c>
    </row>
    <row r="19" spans="1:2">
      <c r="A19" s="28">
        <v>42246</v>
      </c>
      <c r="B19" s="18">
        <v>31161</v>
      </c>
    </row>
    <row r="20" spans="1:2">
      <c r="A20" s="28">
        <v>42252</v>
      </c>
      <c r="B20" s="18">
        <v>59574</v>
      </c>
    </row>
    <row r="21" spans="1:2">
      <c r="A21" s="28">
        <v>42287</v>
      </c>
      <c r="B21" s="18">
        <v>7939.5</v>
      </c>
    </row>
    <row r="22" spans="1:2">
      <c r="A22" s="28">
        <v>42290</v>
      </c>
      <c r="B22" s="18">
        <v>27971.8</v>
      </c>
    </row>
    <row r="23" spans="1:2">
      <c r="A23" s="28">
        <v>42293</v>
      </c>
      <c r="B23" s="18">
        <v>174886.39999999999</v>
      </c>
    </row>
    <row r="24" spans="1:2">
      <c r="A24" s="28">
        <v>42307</v>
      </c>
      <c r="B24" s="18">
        <v>65556</v>
      </c>
    </row>
    <row r="25" spans="1:2">
      <c r="A25" s="28">
        <v>42317</v>
      </c>
      <c r="B25" s="18">
        <v>61632</v>
      </c>
    </row>
    <row r="26" spans="1:2">
      <c r="A26" s="28">
        <v>42322</v>
      </c>
      <c r="B26" s="18">
        <v>50442</v>
      </c>
    </row>
    <row r="27" spans="1:2">
      <c r="A27" s="28">
        <v>42330</v>
      </c>
      <c r="B27" s="18">
        <v>46200</v>
      </c>
    </row>
    <row r="28" spans="1:2">
      <c r="A28" s="28">
        <v>42351</v>
      </c>
      <c r="B28" s="18">
        <v>182574</v>
      </c>
    </row>
    <row r="29" spans="1:2">
      <c r="A29" s="28">
        <v>42353</v>
      </c>
      <c r="B29" s="18">
        <v>39300</v>
      </c>
    </row>
    <row r="30" spans="1:2">
      <c r="A30" s="28">
        <v>42366</v>
      </c>
      <c r="B30" s="18">
        <v>8343</v>
      </c>
    </row>
    <row r="31" spans="1:2">
      <c r="A31" s="28">
        <v>42372</v>
      </c>
      <c r="B31" s="18">
        <v>13836</v>
      </c>
    </row>
    <row r="32" spans="1:2">
      <c r="A32" s="28">
        <v>42379</v>
      </c>
      <c r="B32" s="18">
        <v>173859</v>
      </c>
    </row>
    <row r="33" spans="1:2">
      <c r="A33" s="28">
        <v>42385</v>
      </c>
      <c r="B33" s="18">
        <v>11467.5</v>
      </c>
    </row>
    <row r="34" spans="1:2">
      <c r="A34" s="28">
        <v>42387</v>
      </c>
      <c r="B34" s="18">
        <v>12916.5</v>
      </c>
    </row>
    <row r="35" spans="1:2">
      <c r="A35" s="28">
        <v>42391</v>
      </c>
      <c r="B35" s="18">
        <v>37902</v>
      </c>
    </row>
    <row r="36" spans="1:2">
      <c r="A36" s="28">
        <v>42393</v>
      </c>
      <c r="B36" s="18">
        <v>24520.799999999999</v>
      </c>
    </row>
    <row r="37" spans="1:2">
      <c r="A37" s="28">
        <v>42394</v>
      </c>
      <c r="B37" s="18">
        <v>26584.6</v>
      </c>
    </row>
    <row r="38" spans="1:2">
      <c r="A38" s="28">
        <v>42398</v>
      </c>
      <c r="B38" s="18">
        <v>165081</v>
      </c>
    </row>
    <row r="39" spans="1:2">
      <c r="A39" s="28">
        <v>42423</v>
      </c>
      <c r="B39" s="18">
        <v>118632</v>
      </c>
    </row>
    <row r="40" spans="1:2">
      <c r="A40" s="28">
        <v>42430</v>
      </c>
      <c r="B40" s="18">
        <v>163075</v>
      </c>
    </row>
    <row r="41" spans="1:2">
      <c r="A41" s="28">
        <v>42434</v>
      </c>
      <c r="B41" s="18">
        <v>84204</v>
      </c>
    </row>
    <row r="42" spans="1:2">
      <c r="A42" s="28">
        <v>42444</v>
      </c>
      <c r="B42" s="18">
        <v>44238</v>
      </c>
    </row>
    <row r="43" spans="1:2">
      <c r="A43" s="28">
        <v>42477</v>
      </c>
      <c r="B43" s="18">
        <v>154575</v>
      </c>
    </row>
    <row r="44" spans="1:2">
      <c r="A44" s="28">
        <v>42482</v>
      </c>
      <c r="B44" s="18">
        <v>168200</v>
      </c>
    </row>
    <row r="45" spans="1:2">
      <c r="A45" s="28">
        <v>42514</v>
      </c>
      <c r="B45" s="18">
        <v>88188</v>
      </c>
    </row>
    <row r="46" spans="1:2">
      <c r="A46" s="28">
        <v>42517</v>
      </c>
      <c r="B46" s="18">
        <v>10278</v>
      </c>
    </row>
    <row r="47" spans="1:2">
      <c r="A47" s="28">
        <v>42521</v>
      </c>
      <c r="B47" s="18">
        <v>14442</v>
      </c>
    </row>
    <row r="48" spans="1:2">
      <c r="A48" s="28">
        <v>42535</v>
      </c>
      <c r="B48" s="18">
        <v>12136.5</v>
      </c>
    </row>
    <row r="49" spans="1:2">
      <c r="A49" s="28">
        <v>42540</v>
      </c>
      <c r="B49" s="18">
        <v>119088</v>
      </c>
    </row>
    <row r="50" spans="1:2">
      <c r="A50" s="28">
        <v>42546</v>
      </c>
      <c r="B50" s="18">
        <v>183225</v>
      </c>
    </row>
    <row r="51" spans="1:2">
      <c r="A51" s="28" t="s">
        <v>72</v>
      </c>
      <c r="B51" s="18">
        <v>3487531.3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8"/>
  <sheetViews>
    <sheetView workbookViewId="0">
      <selection activeCell="F3" sqref="F3:G3"/>
    </sheetView>
  </sheetViews>
  <sheetFormatPr baseColWidth="10" defaultColWidth="11.42578125" defaultRowHeight="12.75"/>
  <cols>
    <col min="1" max="1" width="29.28515625" style="1" customWidth="1"/>
    <col min="2" max="2" width="19.140625" style="1" customWidth="1"/>
    <col min="3" max="3" width="29.28515625" style="1" customWidth="1"/>
    <col min="4" max="4" width="45.42578125" style="2" customWidth="1"/>
    <col min="5" max="5" width="11.42578125" style="2"/>
    <col min="6" max="7" width="13.5703125" style="2" customWidth="1"/>
    <col min="8" max="16384" width="11.42578125" style="2"/>
  </cols>
  <sheetData>
    <row r="1" spans="1:7" ht="13.5" thickBot="1">
      <c r="F1" s="29"/>
      <c r="G1" s="29"/>
    </row>
    <row r="2" spans="1:7" ht="16.5" thickBot="1">
      <c r="A2" s="30" t="s">
        <v>34</v>
      </c>
      <c r="B2" s="31"/>
      <c r="C2" s="31"/>
      <c r="D2" s="32"/>
    </row>
    <row r="3" spans="1:7">
      <c r="A3" s="3" t="s">
        <v>35</v>
      </c>
      <c r="B3" s="4" t="s">
        <v>36</v>
      </c>
      <c r="C3" s="4"/>
      <c r="D3" s="5"/>
      <c r="F3" s="29" t="s">
        <v>37</v>
      </c>
      <c r="G3" s="29"/>
    </row>
    <row r="4" spans="1:7">
      <c r="A4" s="6"/>
      <c r="B4" s="4"/>
      <c r="C4" s="4" t="s">
        <v>38</v>
      </c>
      <c r="D4" s="5"/>
    </row>
    <row r="5" spans="1:7">
      <c r="A5" s="6"/>
      <c r="B5" s="4"/>
      <c r="C5" s="4" t="s">
        <v>39</v>
      </c>
      <c r="D5" s="5"/>
    </row>
    <row r="6" spans="1:7" ht="13.5" thickBot="1">
      <c r="A6" s="7"/>
      <c r="B6" s="8"/>
      <c r="C6" s="8"/>
      <c r="D6" s="9"/>
    </row>
    <row r="7" spans="1:7">
      <c r="A7" s="3" t="s">
        <v>40</v>
      </c>
      <c r="B7" s="4" t="s">
        <v>41</v>
      </c>
      <c r="C7" s="4"/>
      <c r="D7" s="5"/>
    </row>
    <row r="8" spans="1:7">
      <c r="A8" s="6"/>
      <c r="B8" s="4"/>
      <c r="C8" s="4" t="s">
        <v>42</v>
      </c>
      <c r="D8" s="5"/>
    </row>
    <row r="9" spans="1:7">
      <c r="A9" s="6"/>
      <c r="B9" s="4"/>
      <c r="C9" s="4" t="s">
        <v>43</v>
      </c>
      <c r="D9" s="5"/>
    </row>
    <row r="10" spans="1:7">
      <c r="A10" s="6"/>
      <c r="B10" s="4"/>
      <c r="C10" s="4"/>
      <c r="D10" s="5"/>
    </row>
    <row r="11" spans="1:7" ht="13.5" thickBot="1">
      <c r="A11" s="7"/>
      <c r="B11" s="8"/>
      <c r="C11" s="8"/>
      <c r="D11" s="9"/>
    </row>
    <row r="12" spans="1:7">
      <c r="A12" s="3" t="s">
        <v>44</v>
      </c>
      <c r="B12" s="4" t="s">
        <v>45</v>
      </c>
      <c r="C12" s="4"/>
      <c r="D12" s="5"/>
    </row>
    <row r="13" spans="1:7">
      <c r="A13" s="6"/>
      <c r="B13" s="4"/>
      <c r="C13" s="4" t="s">
        <v>46</v>
      </c>
      <c r="D13" s="5"/>
    </row>
    <row r="14" spans="1:7">
      <c r="A14" s="6"/>
      <c r="B14" s="4"/>
      <c r="C14" s="4" t="s">
        <v>47</v>
      </c>
      <c r="D14" s="5"/>
    </row>
    <row r="15" spans="1:7">
      <c r="A15" s="6"/>
      <c r="B15" s="4"/>
      <c r="C15" s="4" t="s">
        <v>48</v>
      </c>
      <c r="D15" s="5"/>
    </row>
    <row r="16" spans="1:7">
      <c r="A16" s="6"/>
      <c r="B16" s="4"/>
      <c r="C16" s="4" t="s">
        <v>49</v>
      </c>
      <c r="D16" s="5"/>
    </row>
    <row r="17" spans="1:4">
      <c r="A17" s="6"/>
      <c r="B17" s="4"/>
      <c r="C17" s="4"/>
      <c r="D17" s="5"/>
    </row>
    <row r="18" spans="1:4" ht="13.5" thickBot="1">
      <c r="A18" s="7"/>
      <c r="B18" s="8"/>
      <c r="C18" s="8"/>
      <c r="D18" s="9"/>
    </row>
    <row r="19" spans="1:4">
      <c r="A19" s="3" t="s">
        <v>50</v>
      </c>
      <c r="B19" s="4" t="s">
        <v>51</v>
      </c>
      <c r="C19" s="4"/>
      <c r="D19" s="5" t="s">
        <v>52</v>
      </c>
    </row>
    <row r="20" spans="1:4">
      <c r="A20" s="6"/>
      <c r="B20" s="4"/>
      <c r="C20" s="4" t="s">
        <v>53</v>
      </c>
      <c r="D20" s="5"/>
    </row>
    <row r="21" spans="1:4">
      <c r="A21" s="6"/>
      <c r="B21" s="4"/>
      <c r="C21" s="4" t="s">
        <v>39</v>
      </c>
      <c r="D21" s="5"/>
    </row>
    <row r="22" spans="1:4">
      <c r="A22" s="6"/>
      <c r="B22" s="4"/>
      <c r="C22" s="4" t="s">
        <v>57</v>
      </c>
      <c r="D22" s="5"/>
    </row>
    <row r="23" spans="1:4" ht="13.5" thickBot="1">
      <c r="A23" s="7"/>
      <c r="B23" s="8"/>
      <c r="C23" s="8"/>
      <c r="D23" s="9"/>
    </row>
    <row r="24" spans="1:4">
      <c r="A24" s="3" t="s">
        <v>54</v>
      </c>
      <c r="B24" s="4" t="s">
        <v>55</v>
      </c>
      <c r="C24" s="4"/>
      <c r="D24" s="5"/>
    </row>
    <row r="25" spans="1:4">
      <c r="A25" s="6"/>
      <c r="B25" s="4"/>
      <c r="C25" s="4" t="s">
        <v>53</v>
      </c>
      <c r="D25" s="5"/>
    </row>
    <row r="26" spans="1:4">
      <c r="A26" s="6"/>
      <c r="B26" s="4"/>
      <c r="C26" s="4" t="s">
        <v>39</v>
      </c>
      <c r="D26" s="5"/>
    </row>
    <row r="27" spans="1:4">
      <c r="A27" s="6"/>
      <c r="B27" s="4"/>
      <c r="C27" s="4" t="s">
        <v>56</v>
      </c>
      <c r="D27" s="5"/>
    </row>
    <row r="28" spans="1:4" ht="13.5" thickBot="1">
      <c r="A28" s="7"/>
      <c r="B28" s="8"/>
      <c r="C28" s="8"/>
      <c r="D28" s="9"/>
    </row>
  </sheetData>
  <mergeCells count="3">
    <mergeCell ref="F1:G1"/>
    <mergeCell ref="A2:D2"/>
    <mergeCell ref="F3:G3"/>
  </mergeCells>
  <hyperlinks>
    <hyperlink ref="F3:G3" location="'bdd commandes'!A1" display="RETOUR BBD COMMANDE" xr:uid="{00000000-0004-0000-05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TCD1</vt:lpstr>
      <vt:lpstr>TCD2</vt:lpstr>
      <vt:lpstr>TCD3</vt:lpstr>
      <vt:lpstr>TCD4</vt:lpstr>
      <vt:lpstr>TCD5</vt:lpstr>
      <vt:lpstr>bdd commandes</vt:lpstr>
      <vt:lpstr>TCD1 SOL</vt:lpstr>
      <vt:lpstr>TCD2 SOL</vt:lpstr>
      <vt:lpstr>TCD3 SOL</vt:lpstr>
      <vt:lpstr>TCD4 SOL</vt:lpstr>
      <vt:lpstr>TCD5 SOL</vt:lpstr>
      <vt:lpstr>TCD Commandes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Sieffert sandrine</dc:creator>
  <cp:lastModifiedBy>Sandrine</cp:lastModifiedBy>
  <dcterms:created xsi:type="dcterms:W3CDTF">2013-06-20T13:08:56Z</dcterms:created>
  <dcterms:modified xsi:type="dcterms:W3CDTF">2020-09-22T16:58:09Z</dcterms:modified>
</cp:coreProperties>
</file>