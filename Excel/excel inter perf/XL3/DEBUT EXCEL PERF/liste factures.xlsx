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13_ncr:1_{5266325C-B89C-4B5D-A1B6-FBB63103AA39}" xr6:coauthVersionLast="36" xr6:coauthVersionMax="36" xr10:uidLastSave="{00000000-0000-0000-0000-000000000000}"/>
  <bookViews>
    <workbookView xWindow="-105" yWindow="-105" windowWidth="22785" windowHeight="14655" xr2:uid="{00000000-000D-0000-FFFF-FFFF00000000}"/>
  </bookViews>
  <sheets>
    <sheet name="  LISTE commandes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5" l="1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10" i="5"/>
</calcChain>
</file>

<file path=xl/sharedStrings.xml><?xml version="1.0" encoding="utf-8"?>
<sst xmlns="http://schemas.openxmlformats.org/spreadsheetml/2006/main" count="315" uniqueCount="133">
  <si>
    <t>Produit</t>
  </si>
  <si>
    <t>Vile</t>
  </si>
  <si>
    <t>Code Postal</t>
  </si>
  <si>
    <t>Région</t>
  </si>
  <si>
    <t>Gomme</t>
  </si>
  <si>
    <t>Carte Bleue</t>
  </si>
  <si>
    <t>AUBERY</t>
  </si>
  <si>
    <t>Paris</t>
  </si>
  <si>
    <t>Ile de France</t>
  </si>
  <si>
    <t>Stylo</t>
  </si>
  <si>
    <t>Chèque</t>
  </si>
  <si>
    <t>BOUANICH</t>
  </si>
  <si>
    <t>BOUQUET</t>
  </si>
  <si>
    <t>Chartres</t>
  </si>
  <si>
    <t>Centre</t>
  </si>
  <si>
    <t>stylo 4 couleurs</t>
  </si>
  <si>
    <t>CASTELLVI</t>
  </si>
  <si>
    <t>St Lye</t>
  </si>
  <si>
    <t>Champagne-Ardenne</t>
  </si>
  <si>
    <t>CHALMANDRIER</t>
  </si>
  <si>
    <t>Auvers sur oise</t>
  </si>
  <si>
    <t>CHATRON</t>
  </si>
  <si>
    <t>CIVINO</t>
  </si>
  <si>
    <t>DENOS</t>
  </si>
  <si>
    <t>DETOURBET</t>
  </si>
  <si>
    <t>Tours</t>
  </si>
  <si>
    <t>DUVAL</t>
  </si>
  <si>
    <t>crayon papier</t>
  </si>
  <si>
    <t>GIOUX</t>
  </si>
  <si>
    <t>GORLICKI</t>
  </si>
  <si>
    <t>Saint Avertin</t>
  </si>
  <si>
    <t>LE COGUIEC</t>
  </si>
  <si>
    <t>St Germain du Puy</t>
  </si>
  <si>
    <t>LONGELIN</t>
  </si>
  <si>
    <t>MONTFORT</t>
  </si>
  <si>
    <t>RONDEAU</t>
  </si>
  <si>
    <t>TEGNER</t>
  </si>
  <si>
    <t>Reims</t>
  </si>
  <si>
    <t>Champagne</t>
  </si>
  <si>
    <t>VIGNON</t>
  </si>
  <si>
    <t>Commercial</t>
  </si>
  <si>
    <t>Client</t>
  </si>
  <si>
    <t>Bogdan</t>
  </si>
  <si>
    <t xml:space="preserve">Abdi </t>
  </si>
  <si>
    <t>Smith</t>
  </si>
  <si>
    <t>Martin</t>
  </si>
  <si>
    <t xml:space="preserve"> Stylo</t>
  </si>
  <si>
    <t>stylo 4  couleurs</t>
  </si>
  <si>
    <t xml:space="preserve"> crayon papier</t>
  </si>
  <si>
    <t xml:space="preserve">Gomme  </t>
  </si>
  <si>
    <t xml:space="preserve"> stylo 4 couleurs</t>
  </si>
  <si>
    <t>gomme</t>
  </si>
  <si>
    <t>Gomme encre</t>
  </si>
  <si>
    <t>Stylo plume</t>
  </si>
  <si>
    <t>gomme encre</t>
  </si>
  <si>
    <t>Provence-Alpes-Côte d'Azur</t>
  </si>
  <si>
    <t>Cannes</t>
  </si>
  <si>
    <t>Nice</t>
  </si>
  <si>
    <t>Saint-Paul-de-Vence</t>
  </si>
  <si>
    <t>La Roquette-sur-Siagne</t>
  </si>
  <si>
    <t>Mandelieu-la-Napoule</t>
  </si>
  <si>
    <t>Théoule-sur-Mer</t>
  </si>
  <si>
    <t>Mode
 Paiement</t>
  </si>
  <si>
    <t xml:space="preserve"> N° de Facture</t>
  </si>
  <si>
    <t>N°101 GO500</t>
  </si>
  <si>
    <t>N°119 GO517</t>
  </si>
  <si>
    <t>N°102 ST501</t>
  </si>
  <si>
    <t>N°120 ST517</t>
  </si>
  <si>
    <t>N°103 ST502</t>
  </si>
  <si>
    <t>N°121 ST517</t>
  </si>
  <si>
    <t>N°104 SC503</t>
  </si>
  <si>
    <t>N°122 SC517</t>
  </si>
  <si>
    <t>N°105 GO504</t>
  </si>
  <si>
    <t>N°123 GO517</t>
  </si>
  <si>
    <t>N°106 ST505</t>
  </si>
  <si>
    <t>N°124 ST517</t>
  </si>
  <si>
    <t>N°107 SC506</t>
  </si>
  <si>
    <t>N°125 SC517</t>
  </si>
  <si>
    <t>N°108 ST507</t>
  </si>
  <si>
    <t>N°126 ST517</t>
  </si>
  <si>
    <t>N°109 GO508</t>
  </si>
  <si>
    <t>N°127 GO517</t>
  </si>
  <si>
    <t>N°110 ST509</t>
  </si>
  <si>
    <t>N°128 ST517</t>
  </si>
  <si>
    <t>N°111 CP510</t>
  </si>
  <si>
    <t>N°129 CP517</t>
  </si>
  <si>
    <t>N°112 SC511</t>
  </si>
  <si>
    <t>N°130 SC517</t>
  </si>
  <si>
    <t>N°113 GO512</t>
  </si>
  <si>
    <t>N°131 GO517</t>
  </si>
  <si>
    <t>N°114 CP513</t>
  </si>
  <si>
    <t>N°132 CP517</t>
  </si>
  <si>
    <t>N°115 SC514</t>
  </si>
  <si>
    <t>N°133 SC517</t>
  </si>
  <si>
    <t>N°116 ST515</t>
  </si>
  <si>
    <t>N°134 ST517</t>
  </si>
  <si>
    <t>N°117 GO516</t>
  </si>
  <si>
    <t>N°135 GO517</t>
  </si>
  <si>
    <t>N°118 CP517</t>
  </si>
  <si>
    <t>N°136 CP517</t>
  </si>
  <si>
    <t>Département</t>
  </si>
  <si>
    <t>Date de paiement</t>
  </si>
  <si>
    <t>Produit majuscule</t>
  </si>
  <si>
    <t>Produit sans espace</t>
  </si>
  <si>
    <t>Commercial majuscule</t>
  </si>
  <si>
    <t>Facture sans N°</t>
  </si>
  <si>
    <t>Supprimer les espaces en trop</t>
  </si>
  <si>
    <t>Mettre en majuscule les produits</t>
  </si>
  <si>
    <t xml:space="preserve">Département </t>
  </si>
  <si>
    <t>Afficher le numéro du département</t>
  </si>
  <si>
    <t>Afficher le numéro de facture sans N°</t>
  </si>
  <si>
    <t>Mettre le nom des commerciaux en majuscule</t>
  </si>
  <si>
    <t>Code</t>
  </si>
  <si>
    <t>Afficher les 5 derniers chiffres du N° de facture</t>
  </si>
  <si>
    <t>06210</t>
  </si>
  <si>
    <t>37500</t>
  </si>
  <si>
    <t>18390</t>
  </si>
  <si>
    <t>75015</t>
  </si>
  <si>
    <t>75014</t>
  </si>
  <si>
    <t>75007</t>
  </si>
  <si>
    <t>06570</t>
  </si>
  <si>
    <t>37000</t>
  </si>
  <si>
    <t>06000</t>
  </si>
  <si>
    <t>06550</t>
  </si>
  <si>
    <t>75018</t>
  </si>
  <si>
    <t>28000</t>
  </si>
  <si>
    <t>10180</t>
  </si>
  <si>
    <t>95430</t>
  </si>
  <si>
    <t>75017</t>
  </si>
  <si>
    <t>51000</t>
  </si>
  <si>
    <t>Montant</t>
  </si>
  <si>
    <t>Produit
majuscule</t>
  </si>
  <si>
    <t>Date
Facture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</si>
</sst>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00000"/>
  </numFmts>
  <fonts count="6" x14ac:knownFonts="1"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5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Fill="1" applyBorder="1"/>
    <xf numFmtId="14" fontId="2" fillId="0" borderId="1" xfId="0" applyNumberFormat="1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right"/>
    </xf>
    <xf numFmtId="14" fontId="0" fillId="0" borderId="0" xfId="0" applyNumberFormat="1"/>
    <xf numFmtId="14" fontId="2" fillId="0" borderId="1" xfId="0" applyNumberFormat="1" applyFont="1" applyFill="1" applyBorder="1" applyAlignment="1">
      <alignment horizontal="right"/>
    </xf>
    <xf numFmtId="0" fontId="4" fillId="0" borderId="0" xfId="0" applyFont="1"/>
    <xf numFmtId="0" fontId="4" fillId="0" borderId="0" xfId="0" applyNumberFormat="1" applyFont="1"/>
    <xf numFmtId="43" fontId="0" fillId="0" borderId="1" xfId="2" applyFont="1" applyBorder="1"/>
    <xf numFmtId="9" fontId="0" fillId="0" borderId="0" xfId="0" applyNumberFormat="1"/>
    <xf numFmtId="0" fontId="2" fillId="0" borderId="3" xfId="0" applyFont="1" applyFill="1" applyBorder="1"/>
    <xf numFmtId="14" fontId="2" fillId="0" borderId="3" xfId="0" applyNumberFormat="1" applyFont="1" applyFill="1" applyBorder="1"/>
    <xf numFmtId="14" fontId="2" fillId="0" borderId="3" xfId="0" applyNumberFormat="1" applyFont="1" applyFill="1" applyBorder="1" applyAlignment="1">
      <alignment horizontal="right"/>
    </xf>
    <xf numFmtId="0" fontId="2" fillId="0" borderId="3" xfId="0" applyFont="1" applyBorder="1"/>
    <xf numFmtId="0" fontId="0" fillId="0" borderId="3" xfId="0" applyBorder="1"/>
    <xf numFmtId="0" fontId="2" fillId="0" borderId="3" xfId="0" applyNumberFormat="1" applyFont="1" applyBorder="1"/>
    <xf numFmtId="43" fontId="0" fillId="0" borderId="3" xfId="2" applyFont="1" applyBorder="1"/>
    <xf numFmtId="0" fontId="2" fillId="0" borderId="7" xfId="0" applyFont="1" applyFill="1" applyBorder="1"/>
    <xf numFmtId="164" fontId="2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43" fontId="4" fillId="2" borderId="6" xfId="2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Milliers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744681</xdr:colOff>
      <xdr:row>5</xdr:row>
      <xdr:rowOff>1</xdr:rowOff>
    </xdr:from>
    <xdr:to>
      <xdr:col>23</xdr:col>
      <xdr:colOff>519545</xdr:colOff>
      <xdr:row>44</xdr:row>
      <xdr:rowOff>103909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16CF9B6-F312-4F1B-8CB6-82603E734560}"/>
            </a:ext>
          </a:extLst>
        </xdr:cNvPr>
        <xdr:cNvSpPr txBox="1"/>
      </xdr:nvSpPr>
      <xdr:spPr>
        <a:xfrm>
          <a:off x="21994090" y="900546"/>
          <a:ext cx="3931228" cy="68926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les fonctions texte :</a:t>
          </a:r>
        </a:p>
        <a:p>
          <a:r>
            <a:rPr lang="fr-FR" sz="1600"/>
            <a:t>gauche</a:t>
          </a:r>
          <a:r>
            <a:rPr lang="fr-FR" sz="1600" baseline="0"/>
            <a:t> </a:t>
          </a:r>
        </a:p>
        <a:p>
          <a:r>
            <a:rPr lang="fr-FR" sz="1600"/>
            <a:t>droite</a:t>
          </a:r>
        </a:p>
        <a:p>
          <a:r>
            <a:rPr lang="fr-FR" sz="1600"/>
            <a:t>stxt </a:t>
          </a:r>
        </a:p>
        <a:p>
          <a:r>
            <a:rPr lang="fr-FR" sz="1600"/>
            <a:t>Concatener</a:t>
          </a:r>
        </a:p>
        <a:p>
          <a:r>
            <a:rPr lang="fr-FR" sz="1600"/>
            <a:t>supprespace </a:t>
          </a:r>
        </a:p>
        <a:p>
          <a:r>
            <a:rPr lang="fr-FR" sz="16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Les fonctions de dates :</a:t>
          </a:r>
        </a:p>
        <a:p>
          <a:r>
            <a:rPr lang="fr-FR" sz="1600"/>
            <a:t>aujourdhui ()</a:t>
          </a:r>
        </a:p>
        <a:p>
          <a:r>
            <a:rPr lang="fr-FR" sz="1600"/>
            <a:t>jour </a:t>
          </a:r>
        </a:p>
        <a:p>
          <a:r>
            <a:rPr lang="fr-FR" sz="1600"/>
            <a:t>mois </a:t>
          </a:r>
        </a:p>
        <a:p>
          <a:r>
            <a:rPr lang="fr-FR" sz="1600"/>
            <a:t>année </a:t>
          </a:r>
        </a:p>
        <a:p>
          <a:r>
            <a:rPr lang="fr-FR" sz="1600"/>
            <a:t>datedatedif</a:t>
          </a:r>
        </a:p>
        <a:p>
          <a:r>
            <a:rPr lang="fr-FR" sz="1600"/>
            <a:t>fonction texte</a:t>
          </a:r>
          <a:r>
            <a:rPr lang="fr-FR" sz="1600" baseline="0"/>
            <a:t> </a:t>
          </a:r>
          <a:endParaRPr lang="fr-FR" sz="1600"/>
        </a:p>
        <a:p>
          <a:r>
            <a:rPr lang="fr-FR" sz="1600"/>
            <a:t>Somme.si</a:t>
          </a:r>
        </a:p>
        <a:p>
          <a:r>
            <a:rPr lang="fr-FR" sz="1600"/>
            <a:t>Somme.si ens</a:t>
          </a:r>
        </a:p>
        <a:p>
          <a:r>
            <a:rPr lang="fr-FR" sz="1600"/>
            <a:t>NB</a:t>
          </a:r>
        </a:p>
        <a:p>
          <a:r>
            <a:rPr lang="fr-FR" sz="1600"/>
            <a:t>NB.SI</a:t>
          </a:r>
        </a:p>
        <a:p>
          <a:r>
            <a:rPr lang="fr-FR" sz="1600"/>
            <a:t>nb.SI.ENS</a:t>
          </a:r>
        </a:p>
        <a:p>
          <a:endParaRPr lang="fr-FR" sz="1600"/>
        </a:p>
        <a:p>
          <a:r>
            <a:rPr lang="fr-FR" sz="1600" b="1">
              <a:solidFill>
                <a:srgbClr val="FF0000"/>
              </a:solidFill>
            </a:rPr>
            <a:t>TCD</a:t>
          </a:r>
        </a:p>
        <a:p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travailler avec des listes de données</a:t>
          </a:r>
        </a:p>
        <a:p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Mise en forme de tableau</a:t>
          </a:r>
          <a:br>
            <a:rPr lang="fr-FR" sz="1600"/>
          </a:b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tableau croisé dynamique</a:t>
          </a:r>
          <a:br>
            <a:rPr lang="fr-FR" sz="1600"/>
          </a:b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créer / le modifier</a:t>
          </a:r>
          <a:br>
            <a:rPr lang="fr-FR" sz="1600"/>
          </a:b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Afficher les données en % le rang</a:t>
          </a:r>
          <a:br>
            <a:rPr lang="fr-FR" sz="1600"/>
          </a:b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Grouper par dates (mois, trimestre, années)</a:t>
          </a:r>
          <a:br>
            <a:rPr lang="fr-FR" sz="1600"/>
          </a:b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Grouper par tranche</a:t>
          </a:r>
          <a:br>
            <a:rPr lang="fr-FR" sz="1600"/>
          </a:b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Eléments calculés / Champs calculés</a:t>
          </a:r>
          <a:endParaRPr lang="fr-FR" sz="1600" b="1">
            <a:solidFill>
              <a:srgbClr val="FF0000"/>
            </a:solidFill>
          </a:endParaRPr>
        </a:p>
        <a:p>
          <a:endParaRPr lang="fr-FR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abSelected="1" zoomScale="85" zoomScaleNormal="85" workbookViewId="0">
      <selection activeCell="A10" sqref="A10"/>
    </sheetView>
  </sheetViews>
  <sheetFormatPr baseColWidth="10" defaultRowHeight="14.25" x14ac:dyDescent="0.2"/>
  <cols>
    <col min="1" max="3" width="15.375" customWidth="1"/>
    <col min="4" max="4" width="13.875" bestFit="1" customWidth="1"/>
    <col min="5" max="5" width="13.875" customWidth="1"/>
    <col min="6" max="6" width="19.75" bestFit="1" customWidth="1"/>
    <col min="7" max="7" width="13.625" style="9" customWidth="1"/>
    <col min="8" max="8" width="13.625" style="8" customWidth="1"/>
    <col min="9" max="9" width="14.875" customWidth="1"/>
    <col min="10" max="10" width="20.125" customWidth="1"/>
    <col min="11" max="11" width="11.5" customWidth="1"/>
    <col min="12" max="12" width="15.125" customWidth="1"/>
    <col min="13" max="13" width="20.125" bestFit="1" customWidth="1"/>
    <col min="14" max="14" width="7.875" style="7" customWidth="1"/>
    <col min="15" max="15" width="15.625" style="7" customWidth="1"/>
    <col min="16" max="16" width="23.375" bestFit="1" customWidth="1"/>
    <col min="17" max="17" width="12.625" bestFit="1" customWidth="1"/>
  </cols>
  <sheetData>
    <row r="1" spans="1:17" ht="15" x14ac:dyDescent="0.25">
      <c r="A1" s="11" t="s">
        <v>112</v>
      </c>
      <c r="E1" s="11" t="s">
        <v>103</v>
      </c>
      <c r="I1" s="11"/>
      <c r="K1" s="11" t="s">
        <v>104</v>
      </c>
      <c r="N1" s="12" t="s">
        <v>108</v>
      </c>
    </row>
    <row r="2" spans="1:17" x14ac:dyDescent="0.2">
      <c r="A2" t="s">
        <v>113</v>
      </c>
      <c r="E2" t="s">
        <v>106</v>
      </c>
      <c r="K2" t="s">
        <v>111</v>
      </c>
      <c r="N2" s="7" t="s">
        <v>109</v>
      </c>
      <c r="Q2" s="14"/>
    </row>
    <row r="4" spans="1:17" ht="15" x14ac:dyDescent="0.25">
      <c r="A4" s="11" t="s">
        <v>105</v>
      </c>
      <c r="E4" s="11" t="s">
        <v>102</v>
      </c>
    </row>
    <row r="5" spans="1:17" x14ac:dyDescent="0.2">
      <c r="A5" t="s">
        <v>110</v>
      </c>
      <c r="E5" t="s">
        <v>107</v>
      </c>
    </row>
    <row r="8" spans="1:17" ht="15" thickBot="1" x14ac:dyDescent="0.25"/>
    <row r="9" spans="1:17" s="6" customFormat="1" ht="30.75" thickBot="1" x14ac:dyDescent="0.25">
      <c r="A9" s="32" t="s">
        <v>63</v>
      </c>
      <c r="B9" s="25" t="s">
        <v>112</v>
      </c>
      <c r="C9" s="26" t="s">
        <v>105</v>
      </c>
      <c r="D9" s="27" t="s">
        <v>0</v>
      </c>
      <c r="E9" s="28" t="s">
        <v>103</v>
      </c>
      <c r="F9" s="27" t="s">
        <v>131</v>
      </c>
      <c r="G9" s="29" t="s">
        <v>132</v>
      </c>
      <c r="H9" s="29" t="s">
        <v>101</v>
      </c>
      <c r="I9" s="27" t="s">
        <v>62</v>
      </c>
      <c r="J9" s="27" t="s">
        <v>41</v>
      </c>
      <c r="K9" s="27" t="s">
        <v>40</v>
      </c>
      <c r="L9" s="27" t="s">
        <v>104</v>
      </c>
      <c r="M9" s="27" t="s">
        <v>1</v>
      </c>
      <c r="N9" s="30" t="s">
        <v>2</v>
      </c>
      <c r="O9" s="30" t="s">
        <v>100</v>
      </c>
      <c r="P9" s="27" t="s">
        <v>3</v>
      </c>
      <c r="Q9" s="31" t="s">
        <v>130</v>
      </c>
    </row>
    <row r="10" spans="1:17" ht="15" customHeight="1" thickTop="1" x14ac:dyDescent="0.2">
      <c r="A10" s="1" t="s">
        <v>84</v>
      </c>
      <c r="B10" s="15"/>
      <c r="C10" s="15"/>
      <c r="D10" s="15" t="s">
        <v>48</v>
      </c>
      <c r="E10" s="22" t="str">
        <f>TRIM(D10)</f>
        <v>crayon papier</v>
      </c>
      <c r="F10" s="15"/>
      <c r="G10" s="16">
        <v>44029</v>
      </c>
      <c r="H10" s="17">
        <v>44049</v>
      </c>
      <c r="I10" s="15" t="s">
        <v>10</v>
      </c>
      <c r="J10" s="18" t="s">
        <v>28</v>
      </c>
      <c r="K10" s="19" t="s">
        <v>43</v>
      </c>
      <c r="L10" s="19"/>
      <c r="M10" s="18" t="s">
        <v>60</v>
      </c>
      <c r="N10" s="23" t="s">
        <v>114</v>
      </c>
      <c r="O10" s="20"/>
      <c r="P10" s="19" t="s">
        <v>55</v>
      </c>
      <c r="Q10" s="21">
        <v>15000</v>
      </c>
    </row>
    <row r="11" spans="1:17" ht="15" customHeight="1" x14ac:dyDescent="0.2">
      <c r="A11" s="1" t="s">
        <v>85</v>
      </c>
      <c r="B11" s="1"/>
      <c r="C11" s="1"/>
      <c r="D11" s="1" t="s">
        <v>27</v>
      </c>
      <c r="E11" s="15" t="str">
        <f t="shared" ref="E11:E45" si="0">TRIM(D11)</f>
        <v>crayon papier</v>
      </c>
      <c r="F11" s="15"/>
      <c r="G11" s="2">
        <v>44030</v>
      </c>
      <c r="H11" s="10">
        <v>44050</v>
      </c>
      <c r="I11" s="1" t="s">
        <v>10</v>
      </c>
      <c r="J11" s="4" t="s">
        <v>28</v>
      </c>
      <c r="K11" s="5" t="s">
        <v>43</v>
      </c>
      <c r="L11" s="5"/>
      <c r="M11" s="5" t="s">
        <v>61</v>
      </c>
      <c r="N11" s="24">
        <v>6590</v>
      </c>
      <c r="O11" s="20"/>
      <c r="P11" s="5" t="s">
        <v>55</v>
      </c>
      <c r="Q11" s="13">
        <v>2300</v>
      </c>
    </row>
    <row r="12" spans="1:17" ht="15" customHeight="1" x14ac:dyDescent="0.2">
      <c r="A12" s="1" t="s">
        <v>86</v>
      </c>
      <c r="B12" s="1"/>
      <c r="C12" s="1"/>
      <c r="D12" s="1" t="s">
        <v>15</v>
      </c>
      <c r="E12" s="15" t="str">
        <f t="shared" si="0"/>
        <v>stylo 4 couleurs</v>
      </c>
      <c r="F12" s="15"/>
      <c r="G12" s="2">
        <v>44031</v>
      </c>
      <c r="H12" s="10">
        <v>44051</v>
      </c>
      <c r="I12" s="1" t="s">
        <v>10</v>
      </c>
      <c r="J12" s="4" t="s">
        <v>29</v>
      </c>
      <c r="K12" s="5" t="s">
        <v>43</v>
      </c>
      <c r="L12" s="5"/>
      <c r="M12" s="4" t="s">
        <v>30</v>
      </c>
      <c r="N12" s="24" t="s">
        <v>115</v>
      </c>
      <c r="O12" s="20"/>
      <c r="P12" s="3" t="s">
        <v>14</v>
      </c>
      <c r="Q12" s="13">
        <v>3600</v>
      </c>
    </row>
    <row r="13" spans="1:17" ht="15" customHeight="1" x14ac:dyDescent="0.2">
      <c r="A13" s="1" t="s">
        <v>87</v>
      </c>
      <c r="B13" s="1"/>
      <c r="C13" s="1"/>
      <c r="D13" s="1" t="s">
        <v>15</v>
      </c>
      <c r="E13" s="15" t="str">
        <f t="shared" si="0"/>
        <v>stylo 4 couleurs</v>
      </c>
      <c r="F13" s="15"/>
      <c r="G13" s="2">
        <v>44032</v>
      </c>
      <c r="H13" s="10">
        <v>44052</v>
      </c>
      <c r="I13" s="1" t="s">
        <v>10</v>
      </c>
      <c r="J13" s="4" t="s">
        <v>29</v>
      </c>
      <c r="K13" s="5" t="s">
        <v>43</v>
      </c>
      <c r="L13" s="5"/>
      <c r="M13" s="4" t="s">
        <v>30</v>
      </c>
      <c r="N13" s="24" t="s">
        <v>115</v>
      </c>
      <c r="O13" s="20"/>
      <c r="P13" s="3" t="s">
        <v>14</v>
      </c>
      <c r="Q13" s="13">
        <v>650</v>
      </c>
    </row>
    <row r="14" spans="1:17" ht="15" customHeight="1" x14ac:dyDescent="0.2">
      <c r="A14" s="1" t="s">
        <v>88</v>
      </c>
      <c r="B14" s="1"/>
      <c r="C14" s="1"/>
      <c r="D14" s="1" t="s">
        <v>4</v>
      </c>
      <c r="E14" s="15" t="str">
        <f t="shared" si="0"/>
        <v>Gomme</v>
      </c>
      <c r="F14" s="15"/>
      <c r="G14" s="2">
        <v>44033</v>
      </c>
      <c r="H14" s="10">
        <v>44053</v>
      </c>
      <c r="I14" s="1" t="s">
        <v>5</v>
      </c>
      <c r="J14" s="4" t="s">
        <v>31</v>
      </c>
      <c r="K14" s="5" t="s">
        <v>43</v>
      </c>
      <c r="L14" s="5"/>
      <c r="M14" s="4" t="s">
        <v>32</v>
      </c>
      <c r="N14" s="24" t="s">
        <v>116</v>
      </c>
      <c r="O14" s="20"/>
      <c r="P14" s="3" t="s">
        <v>14</v>
      </c>
      <c r="Q14" s="13">
        <v>63210</v>
      </c>
    </row>
    <row r="15" spans="1:17" ht="15" customHeight="1" x14ac:dyDescent="0.2">
      <c r="A15" s="1" t="s">
        <v>89</v>
      </c>
      <c r="B15" s="1"/>
      <c r="C15" s="1"/>
      <c r="D15" s="1" t="s">
        <v>49</v>
      </c>
      <c r="E15" s="15" t="str">
        <f t="shared" si="0"/>
        <v>Gomme</v>
      </c>
      <c r="F15" s="15"/>
      <c r="G15" s="2">
        <v>44034</v>
      </c>
      <c r="H15" s="10">
        <v>44054</v>
      </c>
      <c r="I15" s="1" t="s">
        <v>5</v>
      </c>
      <c r="J15" s="4" t="s">
        <v>31</v>
      </c>
      <c r="K15" s="5" t="s">
        <v>43</v>
      </c>
      <c r="L15" s="5"/>
      <c r="M15" s="4" t="s">
        <v>32</v>
      </c>
      <c r="N15" s="24" t="s">
        <v>116</v>
      </c>
      <c r="O15" s="20"/>
      <c r="P15" s="3" t="s">
        <v>14</v>
      </c>
      <c r="Q15" s="13">
        <v>15000</v>
      </c>
    </row>
    <row r="16" spans="1:17" ht="15" customHeight="1" x14ac:dyDescent="0.2">
      <c r="A16" s="1" t="s">
        <v>90</v>
      </c>
      <c r="B16" s="1"/>
      <c r="C16" s="1"/>
      <c r="D16" s="1" t="s">
        <v>27</v>
      </c>
      <c r="E16" s="15" t="str">
        <f t="shared" si="0"/>
        <v>crayon papier</v>
      </c>
      <c r="F16" s="15"/>
      <c r="G16" s="2">
        <v>44035</v>
      </c>
      <c r="H16" s="10">
        <v>44055</v>
      </c>
      <c r="I16" s="1" t="s">
        <v>10</v>
      </c>
      <c r="J16" s="4" t="s">
        <v>33</v>
      </c>
      <c r="K16" s="5" t="s">
        <v>43</v>
      </c>
      <c r="L16" s="5"/>
      <c r="M16" s="4" t="s">
        <v>7</v>
      </c>
      <c r="N16" s="24" t="s">
        <v>117</v>
      </c>
      <c r="O16" s="20"/>
      <c r="P16" s="3" t="s">
        <v>8</v>
      </c>
      <c r="Q16" s="13">
        <v>15000</v>
      </c>
    </row>
    <row r="17" spans="1:17" ht="15" customHeight="1" x14ac:dyDescent="0.2">
      <c r="A17" s="1" t="s">
        <v>91</v>
      </c>
      <c r="B17" s="1"/>
      <c r="C17" s="1"/>
      <c r="D17" s="1" t="s">
        <v>27</v>
      </c>
      <c r="E17" s="15" t="str">
        <f t="shared" si="0"/>
        <v>crayon papier</v>
      </c>
      <c r="F17" s="15"/>
      <c r="G17" s="2">
        <v>44036</v>
      </c>
      <c r="H17" s="10">
        <v>44056</v>
      </c>
      <c r="I17" s="1" t="s">
        <v>10</v>
      </c>
      <c r="J17" s="4" t="s">
        <v>33</v>
      </c>
      <c r="K17" s="5" t="s">
        <v>43</v>
      </c>
      <c r="L17" s="5"/>
      <c r="M17" s="4" t="s">
        <v>7</v>
      </c>
      <c r="N17" s="24" t="s">
        <v>117</v>
      </c>
      <c r="O17" s="20"/>
      <c r="P17" s="3" t="s">
        <v>8</v>
      </c>
      <c r="Q17" s="13">
        <v>15000</v>
      </c>
    </row>
    <row r="18" spans="1:17" ht="15" customHeight="1" x14ac:dyDescent="0.2">
      <c r="A18" s="1" t="s">
        <v>74</v>
      </c>
      <c r="B18" s="1"/>
      <c r="C18" s="1"/>
      <c r="D18" s="1" t="s">
        <v>9</v>
      </c>
      <c r="E18" s="15" t="str">
        <f t="shared" si="0"/>
        <v>Stylo</v>
      </c>
      <c r="F18" s="15"/>
      <c r="G18" s="2">
        <v>44037</v>
      </c>
      <c r="H18" s="10">
        <v>44057</v>
      </c>
      <c r="I18" s="1" t="s">
        <v>10</v>
      </c>
      <c r="J18" s="4" t="s">
        <v>21</v>
      </c>
      <c r="K18" s="5" t="s">
        <v>42</v>
      </c>
      <c r="L18" s="5"/>
      <c r="M18" s="4" t="s">
        <v>7</v>
      </c>
      <c r="N18" s="24" t="s">
        <v>118</v>
      </c>
      <c r="O18" s="20"/>
      <c r="P18" s="3" t="s">
        <v>8</v>
      </c>
      <c r="Q18" s="13">
        <v>15000</v>
      </c>
    </row>
    <row r="19" spans="1:17" ht="15" customHeight="1" x14ac:dyDescent="0.2">
      <c r="A19" s="1" t="s">
        <v>75</v>
      </c>
      <c r="B19" s="1"/>
      <c r="C19" s="1"/>
      <c r="D19" s="1" t="s">
        <v>9</v>
      </c>
      <c r="E19" s="15" t="str">
        <f t="shared" si="0"/>
        <v>Stylo</v>
      </c>
      <c r="F19" s="15"/>
      <c r="G19" s="2">
        <v>44038</v>
      </c>
      <c r="H19" s="10">
        <v>44063</v>
      </c>
      <c r="I19" s="1" t="s">
        <v>10</v>
      </c>
      <c r="J19" s="4" t="s">
        <v>21</v>
      </c>
      <c r="K19" s="5" t="s">
        <v>42</v>
      </c>
      <c r="L19" s="5"/>
      <c r="M19" s="4" t="s">
        <v>7</v>
      </c>
      <c r="N19" s="24" t="s">
        <v>118</v>
      </c>
      <c r="O19" s="20"/>
      <c r="P19" s="3" t="s">
        <v>8</v>
      </c>
      <c r="Q19" s="13">
        <v>15000</v>
      </c>
    </row>
    <row r="20" spans="1:17" ht="15" customHeight="1" x14ac:dyDescent="0.2">
      <c r="A20" s="1" t="s">
        <v>76</v>
      </c>
      <c r="B20" s="1"/>
      <c r="C20" s="1"/>
      <c r="D20" s="1" t="s">
        <v>15</v>
      </c>
      <c r="E20" s="15" t="str">
        <f t="shared" si="0"/>
        <v>stylo 4 couleurs</v>
      </c>
      <c r="F20" s="15"/>
      <c r="G20" s="2">
        <v>44039</v>
      </c>
      <c r="H20" s="10">
        <v>44074</v>
      </c>
      <c r="I20" s="1" t="s">
        <v>5</v>
      </c>
      <c r="J20" s="4" t="s">
        <v>22</v>
      </c>
      <c r="K20" s="5" t="s">
        <v>42</v>
      </c>
      <c r="L20" s="5"/>
      <c r="M20" s="4" t="s">
        <v>7</v>
      </c>
      <c r="N20" s="24" t="s">
        <v>119</v>
      </c>
      <c r="O20" s="20"/>
      <c r="P20" s="3" t="s">
        <v>8</v>
      </c>
      <c r="Q20" s="13">
        <v>5600</v>
      </c>
    </row>
    <row r="21" spans="1:17" x14ac:dyDescent="0.2">
      <c r="A21" s="1" t="s">
        <v>77</v>
      </c>
      <c r="B21" s="1"/>
      <c r="C21" s="1"/>
      <c r="D21" s="1" t="s">
        <v>15</v>
      </c>
      <c r="E21" s="15" t="str">
        <f t="shared" si="0"/>
        <v>stylo 4 couleurs</v>
      </c>
      <c r="F21" s="15"/>
      <c r="G21" s="2">
        <v>44040</v>
      </c>
      <c r="H21" s="10">
        <v>44075</v>
      </c>
      <c r="I21" s="1" t="s">
        <v>5</v>
      </c>
      <c r="J21" s="4" t="s">
        <v>22</v>
      </c>
      <c r="K21" s="5" t="s">
        <v>42</v>
      </c>
      <c r="L21" s="5"/>
      <c r="M21" s="4" t="s">
        <v>7</v>
      </c>
      <c r="N21" s="24" t="s">
        <v>119</v>
      </c>
      <c r="O21" s="20"/>
      <c r="P21" s="3" t="s">
        <v>8</v>
      </c>
      <c r="Q21" s="13">
        <v>10000</v>
      </c>
    </row>
    <row r="22" spans="1:17" x14ac:dyDescent="0.2">
      <c r="A22" s="1" t="s">
        <v>78</v>
      </c>
      <c r="B22" s="1"/>
      <c r="C22" s="1"/>
      <c r="D22" s="1" t="s">
        <v>9</v>
      </c>
      <c r="E22" s="15" t="str">
        <f t="shared" si="0"/>
        <v>Stylo</v>
      </c>
      <c r="F22" s="15"/>
      <c r="G22" s="2">
        <v>44041</v>
      </c>
      <c r="H22" s="10">
        <v>44076</v>
      </c>
      <c r="I22" s="1" t="s">
        <v>10</v>
      </c>
      <c r="J22" s="4" t="s">
        <v>23</v>
      </c>
      <c r="K22" s="5" t="s">
        <v>42</v>
      </c>
      <c r="L22" s="5"/>
      <c r="M22" s="4" t="s">
        <v>56</v>
      </c>
      <c r="N22" s="24">
        <v>6400</v>
      </c>
      <c r="O22" s="20"/>
      <c r="P22" s="5" t="s">
        <v>55</v>
      </c>
      <c r="Q22" s="13">
        <v>56201</v>
      </c>
    </row>
    <row r="23" spans="1:17" x14ac:dyDescent="0.2">
      <c r="A23" s="1" t="s">
        <v>79</v>
      </c>
      <c r="B23" s="1"/>
      <c r="C23" s="1"/>
      <c r="D23" s="1" t="s">
        <v>53</v>
      </c>
      <c r="E23" s="15" t="str">
        <f t="shared" si="0"/>
        <v>Stylo plume</v>
      </c>
      <c r="F23" s="15"/>
      <c r="G23" s="2">
        <v>44042</v>
      </c>
      <c r="H23" s="10">
        <v>44077</v>
      </c>
      <c r="I23" s="1" t="s">
        <v>10</v>
      </c>
      <c r="J23" s="4" t="s">
        <v>23</v>
      </c>
      <c r="K23" s="5" t="s">
        <v>42</v>
      </c>
      <c r="L23" s="5"/>
      <c r="M23" s="5" t="s">
        <v>58</v>
      </c>
      <c r="N23" s="24" t="s">
        <v>120</v>
      </c>
      <c r="O23" s="20"/>
      <c r="P23" s="5" t="s">
        <v>55</v>
      </c>
      <c r="Q23" s="13">
        <v>65000</v>
      </c>
    </row>
    <row r="24" spans="1:17" x14ac:dyDescent="0.2">
      <c r="A24" s="1" t="s">
        <v>80</v>
      </c>
      <c r="B24" s="1"/>
      <c r="C24" s="1"/>
      <c r="D24" s="1" t="s">
        <v>4</v>
      </c>
      <c r="E24" s="15" t="str">
        <f t="shared" si="0"/>
        <v>Gomme</v>
      </c>
      <c r="F24" s="15"/>
      <c r="G24" s="2">
        <v>44043</v>
      </c>
      <c r="H24" s="10">
        <v>44078</v>
      </c>
      <c r="I24" s="1" t="s">
        <v>5</v>
      </c>
      <c r="J24" s="4" t="s">
        <v>24</v>
      </c>
      <c r="K24" s="5" t="s">
        <v>42</v>
      </c>
      <c r="L24" s="5"/>
      <c r="M24" s="4" t="s">
        <v>25</v>
      </c>
      <c r="N24" s="24" t="s">
        <v>121</v>
      </c>
      <c r="O24" s="20"/>
      <c r="P24" s="3" t="s">
        <v>14</v>
      </c>
      <c r="Q24" s="13">
        <v>58000</v>
      </c>
    </row>
    <row r="25" spans="1:17" x14ac:dyDescent="0.2">
      <c r="A25" s="1" t="s">
        <v>81</v>
      </c>
      <c r="B25" s="1"/>
      <c r="C25" s="1"/>
      <c r="D25" s="1" t="s">
        <v>4</v>
      </c>
      <c r="E25" s="15" t="str">
        <f t="shared" si="0"/>
        <v>Gomme</v>
      </c>
      <c r="F25" s="15"/>
      <c r="G25" s="2">
        <v>44044</v>
      </c>
      <c r="H25" s="10">
        <v>44079</v>
      </c>
      <c r="I25" s="1" t="s">
        <v>5</v>
      </c>
      <c r="J25" s="4" t="s">
        <v>24</v>
      </c>
      <c r="K25" s="5" t="s">
        <v>42</v>
      </c>
      <c r="L25" s="5"/>
      <c r="M25" s="4" t="s">
        <v>25</v>
      </c>
      <c r="N25" s="24" t="s">
        <v>121</v>
      </c>
      <c r="O25" s="20"/>
      <c r="P25" s="3" t="s">
        <v>14</v>
      </c>
      <c r="Q25" s="13">
        <v>3600</v>
      </c>
    </row>
    <row r="26" spans="1:17" x14ac:dyDescent="0.2">
      <c r="A26" s="1" t="s">
        <v>82</v>
      </c>
      <c r="B26" s="1"/>
      <c r="C26" s="1"/>
      <c r="D26" s="1" t="s">
        <v>9</v>
      </c>
      <c r="E26" s="15" t="str">
        <f t="shared" si="0"/>
        <v>Stylo</v>
      </c>
      <c r="F26" s="15"/>
      <c r="G26" s="2">
        <v>44045</v>
      </c>
      <c r="H26" s="10">
        <v>44080</v>
      </c>
      <c r="I26" s="1" t="s">
        <v>5</v>
      </c>
      <c r="J26" s="4" t="s">
        <v>26</v>
      </c>
      <c r="K26" s="5" t="s">
        <v>42</v>
      </c>
      <c r="L26" s="5"/>
      <c r="M26" s="4" t="s">
        <v>57</v>
      </c>
      <c r="N26" s="24" t="s">
        <v>122</v>
      </c>
      <c r="O26" s="20"/>
      <c r="P26" s="5" t="s">
        <v>55</v>
      </c>
      <c r="Q26" s="13">
        <v>1250</v>
      </c>
    </row>
    <row r="27" spans="1:17" x14ac:dyDescent="0.2">
      <c r="A27" s="1" t="s">
        <v>83</v>
      </c>
      <c r="B27" s="1"/>
      <c r="C27" s="1"/>
      <c r="D27" s="1" t="s">
        <v>9</v>
      </c>
      <c r="E27" s="15" t="str">
        <f t="shared" si="0"/>
        <v>Stylo</v>
      </c>
      <c r="F27" s="15"/>
      <c r="G27" s="2">
        <v>44046</v>
      </c>
      <c r="H27" s="10">
        <v>44081</v>
      </c>
      <c r="I27" s="1" t="s">
        <v>5</v>
      </c>
      <c r="J27" s="4" t="s">
        <v>26</v>
      </c>
      <c r="K27" s="5" t="s">
        <v>42</v>
      </c>
      <c r="L27" s="5"/>
      <c r="M27" s="4" t="s">
        <v>59</v>
      </c>
      <c r="N27" s="24" t="s">
        <v>123</v>
      </c>
      <c r="O27" s="20"/>
      <c r="P27" s="5" t="s">
        <v>55</v>
      </c>
      <c r="Q27" s="13">
        <v>56000</v>
      </c>
    </row>
    <row r="28" spans="1:17" x14ac:dyDescent="0.2">
      <c r="A28" s="1" t="s">
        <v>64</v>
      </c>
      <c r="B28" s="1"/>
      <c r="C28" s="1"/>
      <c r="D28" s="1" t="s">
        <v>52</v>
      </c>
      <c r="E28" s="15" t="str">
        <f t="shared" si="0"/>
        <v>Gomme encre</v>
      </c>
      <c r="F28" s="15"/>
      <c r="G28" s="2">
        <v>44047</v>
      </c>
      <c r="H28" s="10">
        <v>44082</v>
      </c>
      <c r="I28" s="1" t="s">
        <v>5</v>
      </c>
      <c r="J28" s="4" t="s">
        <v>6</v>
      </c>
      <c r="K28" s="4" t="s">
        <v>45</v>
      </c>
      <c r="L28" s="5"/>
      <c r="M28" s="4" t="s">
        <v>7</v>
      </c>
      <c r="N28" s="24" t="s">
        <v>124</v>
      </c>
      <c r="O28" s="20"/>
      <c r="P28" s="3" t="s">
        <v>8</v>
      </c>
      <c r="Q28" s="13">
        <v>4000</v>
      </c>
    </row>
    <row r="29" spans="1:17" x14ac:dyDescent="0.2">
      <c r="A29" s="1" t="s">
        <v>65</v>
      </c>
      <c r="B29" s="1"/>
      <c r="C29" s="1"/>
      <c r="D29" s="1" t="s">
        <v>4</v>
      </c>
      <c r="E29" s="15" t="str">
        <f t="shared" si="0"/>
        <v>Gomme</v>
      </c>
      <c r="F29" s="15"/>
      <c r="G29" s="2">
        <v>44048</v>
      </c>
      <c r="H29" s="10">
        <v>44093</v>
      </c>
      <c r="I29" s="1" t="s">
        <v>5</v>
      </c>
      <c r="J29" s="4" t="s">
        <v>6</v>
      </c>
      <c r="K29" s="4" t="s">
        <v>45</v>
      </c>
      <c r="L29" s="5"/>
      <c r="M29" s="4" t="s">
        <v>7</v>
      </c>
      <c r="N29" s="24" t="s">
        <v>124</v>
      </c>
      <c r="O29" s="20"/>
      <c r="P29" s="3" t="s">
        <v>8</v>
      </c>
      <c r="Q29" s="13">
        <v>3000</v>
      </c>
    </row>
    <row r="30" spans="1:17" x14ac:dyDescent="0.2">
      <c r="A30" s="1" t="s">
        <v>66</v>
      </c>
      <c r="B30" s="1"/>
      <c r="C30" s="1"/>
      <c r="D30" s="1" t="s">
        <v>9</v>
      </c>
      <c r="E30" s="15" t="str">
        <f t="shared" si="0"/>
        <v>Stylo</v>
      </c>
      <c r="F30" s="15"/>
      <c r="G30" s="2">
        <v>44049</v>
      </c>
      <c r="H30" s="10">
        <v>44074</v>
      </c>
      <c r="I30" s="1" t="s">
        <v>10</v>
      </c>
      <c r="J30" s="4" t="s">
        <v>11</v>
      </c>
      <c r="K30" s="4" t="s">
        <v>45</v>
      </c>
      <c r="L30" s="5"/>
      <c r="M30" s="4" t="s">
        <v>7</v>
      </c>
      <c r="N30" s="24" t="s">
        <v>117</v>
      </c>
      <c r="O30" s="20"/>
      <c r="P30" s="3" t="s">
        <v>8</v>
      </c>
      <c r="Q30" s="13">
        <v>6500</v>
      </c>
    </row>
    <row r="31" spans="1:17" x14ac:dyDescent="0.2">
      <c r="A31" s="1" t="s">
        <v>67</v>
      </c>
      <c r="B31" s="1"/>
      <c r="C31" s="1"/>
      <c r="D31" s="1" t="s">
        <v>46</v>
      </c>
      <c r="E31" s="15" t="str">
        <f t="shared" si="0"/>
        <v>Stylo</v>
      </c>
      <c r="F31" s="15"/>
      <c r="G31" s="2">
        <v>44050</v>
      </c>
      <c r="H31" s="10">
        <v>44075</v>
      </c>
      <c r="I31" s="1" t="s">
        <v>10</v>
      </c>
      <c r="J31" s="4" t="s">
        <v>11</v>
      </c>
      <c r="K31" s="4" t="s">
        <v>45</v>
      </c>
      <c r="L31" s="5"/>
      <c r="M31" s="4" t="s">
        <v>7</v>
      </c>
      <c r="N31" s="24" t="s">
        <v>117</v>
      </c>
      <c r="O31" s="20"/>
      <c r="P31" s="3" t="s">
        <v>8</v>
      </c>
      <c r="Q31" s="13">
        <v>9800</v>
      </c>
    </row>
    <row r="32" spans="1:17" x14ac:dyDescent="0.2">
      <c r="A32" s="1" t="s">
        <v>68</v>
      </c>
      <c r="B32" s="1"/>
      <c r="C32" s="1"/>
      <c r="D32" s="1" t="s">
        <v>53</v>
      </c>
      <c r="E32" s="15" t="str">
        <f t="shared" si="0"/>
        <v>Stylo plume</v>
      </c>
      <c r="F32" s="15"/>
      <c r="G32" s="2">
        <v>44051</v>
      </c>
      <c r="H32" s="10">
        <v>44076</v>
      </c>
      <c r="I32" s="1" t="s">
        <v>5</v>
      </c>
      <c r="J32" s="4" t="s">
        <v>12</v>
      </c>
      <c r="K32" s="4" t="s">
        <v>45</v>
      </c>
      <c r="L32" s="5"/>
      <c r="M32" s="4" t="s">
        <v>13</v>
      </c>
      <c r="N32" s="24" t="s">
        <v>125</v>
      </c>
      <c r="O32" s="20"/>
      <c r="P32" s="3" t="s">
        <v>14</v>
      </c>
      <c r="Q32" s="13">
        <v>1200</v>
      </c>
    </row>
    <row r="33" spans="1:17" x14ac:dyDescent="0.2">
      <c r="A33" s="1" t="s">
        <v>69</v>
      </c>
      <c r="B33" s="1"/>
      <c r="C33" s="1"/>
      <c r="D33" s="1" t="s">
        <v>9</v>
      </c>
      <c r="E33" s="15" t="str">
        <f t="shared" si="0"/>
        <v>Stylo</v>
      </c>
      <c r="F33" s="15"/>
      <c r="G33" s="2">
        <v>44052</v>
      </c>
      <c r="H33" s="10">
        <v>44077</v>
      </c>
      <c r="I33" s="1" t="s">
        <v>5</v>
      </c>
      <c r="J33" s="4" t="s">
        <v>12</v>
      </c>
      <c r="K33" s="4" t="s">
        <v>45</v>
      </c>
      <c r="L33" s="5"/>
      <c r="M33" s="4" t="s">
        <v>13</v>
      </c>
      <c r="N33" s="24" t="s">
        <v>125</v>
      </c>
      <c r="O33" s="20"/>
      <c r="P33" s="3" t="s">
        <v>14</v>
      </c>
      <c r="Q33" s="13">
        <v>2300</v>
      </c>
    </row>
    <row r="34" spans="1:17" x14ac:dyDescent="0.2">
      <c r="A34" s="1" t="s">
        <v>70</v>
      </c>
      <c r="B34" s="1"/>
      <c r="C34" s="1"/>
      <c r="D34" s="1" t="s">
        <v>47</v>
      </c>
      <c r="E34" s="15" t="str">
        <f t="shared" si="0"/>
        <v>stylo 4 couleurs</v>
      </c>
      <c r="F34" s="15"/>
      <c r="G34" s="2">
        <v>44053</v>
      </c>
      <c r="H34" s="10">
        <v>44078</v>
      </c>
      <c r="I34" s="1" t="s">
        <v>5</v>
      </c>
      <c r="J34" s="4" t="s">
        <v>16</v>
      </c>
      <c r="K34" s="4" t="s">
        <v>45</v>
      </c>
      <c r="L34" s="5"/>
      <c r="M34" s="4" t="s">
        <v>17</v>
      </c>
      <c r="N34" s="24" t="s">
        <v>126</v>
      </c>
      <c r="O34" s="20"/>
      <c r="P34" s="3" t="s">
        <v>18</v>
      </c>
      <c r="Q34" s="13">
        <v>6900</v>
      </c>
    </row>
    <row r="35" spans="1:17" x14ac:dyDescent="0.2">
      <c r="A35" s="1" t="s">
        <v>71</v>
      </c>
      <c r="B35" s="1"/>
      <c r="C35" s="1"/>
      <c r="D35" s="1" t="s">
        <v>15</v>
      </c>
      <c r="E35" s="15" t="str">
        <f t="shared" si="0"/>
        <v>stylo 4 couleurs</v>
      </c>
      <c r="F35" s="15"/>
      <c r="G35" s="2">
        <v>44054</v>
      </c>
      <c r="H35" s="10">
        <v>44079</v>
      </c>
      <c r="I35" s="1" t="s">
        <v>5</v>
      </c>
      <c r="J35" s="4" t="s">
        <v>16</v>
      </c>
      <c r="K35" s="4" t="s">
        <v>45</v>
      </c>
      <c r="L35" s="5"/>
      <c r="M35" s="4" t="s">
        <v>17</v>
      </c>
      <c r="N35" s="24" t="s">
        <v>126</v>
      </c>
      <c r="O35" s="20"/>
      <c r="P35" s="3" t="s">
        <v>18</v>
      </c>
      <c r="Q35" s="13">
        <v>6500</v>
      </c>
    </row>
    <row r="36" spans="1:17" x14ac:dyDescent="0.2">
      <c r="A36" s="1" t="s">
        <v>72</v>
      </c>
      <c r="B36" s="1"/>
      <c r="C36" s="1"/>
      <c r="D36" s="1" t="s">
        <v>51</v>
      </c>
      <c r="E36" s="15" t="str">
        <f t="shared" si="0"/>
        <v>gomme</v>
      </c>
      <c r="F36" s="15"/>
      <c r="G36" s="2">
        <v>44055</v>
      </c>
      <c r="H36" s="10">
        <v>44080</v>
      </c>
      <c r="I36" s="1" t="s">
        <v>10</v>
      </c>
      <c r="J36" s="4" t="s">
        <v>19</v>
      </c>
      <c r="K36" s="4" t="s">
        <v>45</v>
      </c>
      <c r="L36" s="5"/>
      <c r="M36" s="4" t="s">
        <v>20</v>
      </c>
      <c r="N36" s="24" t="s">
        <v>127</v>
      </c>
      <c r="O36" s="20"/>
      <c r="P36" s="3" t="s">
        <v>8</v>
      </c>
      <c r="Q36" s="13">
        <v>1520</v>
      </c>
    </row>
    <row r="37" spans="1:17" x14ac:dyDescent="0.2">
      <c r="A37" s="1" t="s">
        <v>73</v>
      </c>
      <c r="B37" s="1"/>
      <c r="C37" s="1"/>
      <c r="D37" s="1" t="s">
        <v>52</v>
      </c>
      <c r="E37" s="15" t="str">
        <f t="shared" si="0"/>
        <v>Gomme encre</v>
      </c>
      <c r="F37" s="15"/>
      <c r="G37" s="2">
        <v>44056</v>
      </c>
      <c r="H37" s="10">
        <v>44081</v>
      </c>
      <c r="I37" s="1" t="s">
        <v>10</v>
      </c>
      <c r="J37" s="4" t="s">
        <v>19</v>
      </c>
      <c r="K37" s="4" t="s">
        <v>45</v>
      </c>
      <c r="L37" s="5"/>
      <c r="M37" s="4" t="s">
        <v>20</v>
      </c>
      <c r="N37" s="24" t="s">
        <v>127</v>
      </c>
      <c r="O37" s="20"/>
      <c r="P37" s="3" t="s">
        <v>8</v>
      </c>
      <c r="Q37" s="13">
        <v>6000</v>
      </c>
    </row>
    <row r="38" spans="1:17" x14ac:dyDescent="0.2">
      <c r="A38" s="1" t="s">
        <v>92</v>
      </c>
      <c r="B38" s="1"/>
      <c r="C38" s="1"/>
      <c r="D38" s="1" t="s">
        <v>15</v>
      </c>
      <c r="E38" s="15" t="str">
        <f t="shared" si="0"/>
        <v>stylo 4 couleurs</v>
      </c>
      <c r="F38" s="15"/>
      <c r="G38" s="2">
        <v>44057</v>
      </c>
      <c r="H38" s="10">
        <v>44082</v>
      </c>
      <c r="I38" s="1" t="s">
        <v>5</v>
      </c>
      <c r="J38" s="4" t="s">
        <v>34</v>
      </c>
      <c r="K38" s="4" t="s">
        <v>44</v>
      </c>
      <c r="L38" s="5"/>
      <c r="M38" s="4" t="s">
        <v>25</v>
      </c>
      <c r="N38" s="24" t="s">
        <v>121</v>
      </c>
      <c r="O38" s="20"/>
      <c r="P38" s="3" t="s">
        <v>14</v>
      </c>
      <c r="Q38" s="13">
        <v>6203</v>
      </c>
    </row>
    <row r="39" spans="1:17" x14ac:dyDescent="0.2">
      <c r="A39" s="1" t="s">
        <v>93</v>
      </c>
      <c r="B39" s="1"/>
      <c r="C39" s="1"/>
      <c r="D39" s="1" t="s">
        <v>50</v>
      </c>
      <c r="E39" s="15" t="str">
        <f t="shared" si="0"/>
        <v>stylo 4 couleurs</v>
      </c>
      <c r="F39" s="15"/>
      <c r="G39" s="2">
        <v>44058</v>
      </c>
      <c r="H39" s="10">
        <v>44083</v>
      </c>
      <c r="I39" s="1" t="s">
        <v>5</v>
      </c>
      <c r="J39" s="4" t="s">
        <v>34</v>
      </c>
      <c r="K39" s="4" t="s">
        <v>44</v>
      </c>
      <c r="L39" s="5"/>
      <c r="M39" s="4" t="s">
        <v>25</v>
      </c>
      <c r="N39" s="24" t="s">
        <v>121</v>
      </c>
      <c r="O39" s="20"/>
      <c r="P39" s="3" t="s">
        <v>14</v>
      </c>
      <c r="Q39" s="13">
        <v>1200</v>
      </c>
    </row>
    <row r="40" spans="1:17" x14ac:dyDescent="0.2">
      <c r="A40" s="1" t="s">
        <v>94</v>
      </c>
      <c r="B40" s="1"/>
      <c r="C40" s="1"/>
      <c r="D40" s="1" t="s">
        <v>53</v>
      </c>
      <c r="E40" s="15" t="str">
        <f t="shared" si="0"/>
        <v>Stylo plume</v>
      </c>
      <c r="F40" s="15"/>
      <c r="G40" s="2">
        <v>44059</v>
      </c>
      <c r="H40" s="10">
        <v>44084</v>
      </c>
      <c r="I40" s="1" t="s">
        <v>5</v>
      </c>
      <c r="J40" s="4" t="s">
        <v>35</v>
      </c>
      <c r="K40" s="4" t="s">
        <v>44</v>
      </c>
      <c r="L40" s="5"/>
      <c r="M40" s="4" t="s">
        <v>7</v>
      </c>
      <c r="N40" s="24" t="s">
        <v>128</v>
      </c>
      <c r="O40" s="20"/>
      <c r="P40" s="3" t="s">
        <v>8</v>
      </c>
      <c r="Q40" s="13">
        <v>23000</v>
      </c>
    </row>
    <row r="41" spans="1:17" x14ac:dyDescent="0.2">
      <c r="A41" s="1" t="s">
        <v>95</v>
      </c>
      <c r="B41" s="1"/>
      <c r="C41" s="1"/>
      <c r="D41" s="1" t="s">
        <v>9</v>
      </c>
      <c r="E41" s="15" t="str">
        <f t="shared" si="0"/>
        <v>Stylo</v>
      </c>
      <c r="F41" s="15"/>
      <c r="G41" s="2">
        <v>44060</v>
      </c>
      <c r="H41" s="10">
        <v>44085</v>
      </c>
      <c r="I41" s="1" t="s">
        <v>5</v>
      </c>
      <c r="J41" s="4" t="s">
        <v>35</v>
      </c>
      <c r="K41" s="4" t="s">
        <v>44</v>
      </c>
      <c r="L41" s="5"/>
      <c r="M41" s="4" t="s">
        <v>7</v>
      </c>
      <c r="N41" s="24" t="s">
        <v>128</v>
      </c>
      <c r="O41" s="20"/>
      <c r="P41" s="3" t="s">
        <v>8</v>
      </c>
      <c r="Q41" s="13">
        <v>32000</v>
      </c>
    </row>
    <row r="42" spans="1:17" x14ac:dyDescent="0.2">
      <c r="A42" s="1" t="s">
        <v>96</v>
      </c>
      <c r="B42" s="1"/>
      <c r="C42" s="1"/>
      <c r="D42" s="1" t="s">
        <v>54</v>
      </c>
      <c r="E42" s="15" t="str">
        <f t="shared" si="0"/>
        <v>gomme encre</v>
      </c>
      <c r="F42" s="15"/>
      <c r="G42" s="2">
        <v>44061</v>
      </c>
      <c r="H42" s="10">
        <v>44086</v>
      </c>
      <c r="I42" s="1" t="s">
        <v>10</v>
      </c>
      <c r="J42" s="4" t="s">
        <v>36</v>
      </c>
      <c r="K42" s="4" t="s">
        <v>44</v>
      </c>
      <c r="L42" s="5"/>
      <c r="M42" s="4" t="s">
        <v>37</v>
      </c>
      <c r="N42" s="24" t="s">
        <v>129</v>
      </c>
      <c r="O42" s="20"/>
      <c r="P42" s="3" t="s">
        <v>38</v>
      </c>
      <c r="Q42" s="13">
        <v>8000</v>
      </c>
    </row>
    <row r="43" spans="1:17" x14ac:dyDescent="0.2">
      <c r="A43" s="1" t="s">
        <v>97</v>
      </c>
      <c r="B43" s="1"/>
      <c r="C43" s="1"/>
      <c r="D43" s="1" t="s">
        <v>4</v>
      </c>
      <c r="E43" s="15" t="str">
        <f t="shared" si="0"/>
        <v>Gomme</v>
      </c>
      <c r="F43" s="15"/>
      <c r="G43" s="2">
        <v>44062</v>
      </c>
      <c r="H43" s="10">
        <v>44087</v>
      </c>
      <c r="I43" s="1" t="s">
        <v>10</v>
      </c>
      <c r="J43" s="4" t="s">
        <v>36</v>
      </c>
      <c r="K43" s="4" t="s">
        <v>44</v>
      </c>
      <c r="L43" s="5"/>
      <c r="M43" s="4" t="s">
        <v>37</v>
      </c>
      <c r="N43" s="24" t="s">
        <v>129</v>
      </c>
      <c r="O43" s="20"/>
      <c r="P43" s="3" t="s">
        <v>38</v>
      </c>
      <c r="Q43" s="13">
        <v>12500</v>
      </c>
    </row>
    <row r="44" spans="1:17" x14ac:dyDescent="0.2">
      <c r="A44" s="1" t="s">
        <v>98</v>
      </c>
      <c r="B44" s="1"/>
      <c r="C44" s="1"/>
      <c r="D44" s="1" t="s">
        <v>27</v>
      </c>
      <c r="E44" s="15" t="str">
        <f t="shared" si="0"/>
        <v>crayon papier</v>
      </c>
      <c r="F44" s="15"/>
      <c r="G44" s="2">
        <v>44063</v>
      </c>
      <c r="H44" s="10">
        <v>44088</v>
      </c>
      <c r="I44" s="1" t="s">
        <v>10</v>
      </c>
      <c r="J44" s="4" t="s">
        <v>39</v>
      </c>
      <c r="K44" s="4" t="s">
        <v>44</v>
      </c>
      <c r="L44" s="5"/>
      <c r="M44" s="4" t="s">
        <v>37</v>
      </c>
      <c r="N44" s="24" t="s">
        <v>129</v>
      </c>
      <c r="O44" s="20"/>
      <c r="P44" s="3" t="s">
        <v>38</v>
      </c>
      <c r="Q44" s="13">
        <v>3620</v>
      </c>
    </row>
    <row r="45" spans="1:17" x14ac:dyDescent="0.2">
      <c r="A45" s="1" t="s">
        <v>99</v>
      </c>
      <c r="B45" s="1"/>
      <c r="C45" s="1"/>
      <c r="D45" s="1" t="s">
        <v>27</v>
      </c>
      <c r="E45" s="15" t="str">
        <f t="shared" si="0"/>
        <v>crayon papier</v>
      </c>
      <c r="F45" s="15"/>
      <c r="G45" s="2">
        <v>44064</v>
      </c>
      <c r="H45" s="10">
        <v>44089</v>
      </c>
      <c r="I45" s="1" t="s">
        <v>10</v>
      </c>
      <c r="J45" s="4" t="s">
        <v>39</v>
      </c>
      <c r="K45" s="4" t="s">
        <v>44</v>
      </c>
      <c r="L45" s="5"/>
      <c r="M45" s="4" t="s">
        <v>37</v>
      </c>
      <c r="N45" s="24" t="s">
        <v>129</v>
      </c>
      <c r="O45" s="20"/>
      <c r="P45" s="3" t="s">
        <v>38</v>
      </c>
      <c r="Q45" s="13">
        <v>2520</v>
      </c>
    </row>
    <row r="50" spans="6:15" x14ac:dyDescent="0.2">
      <c r="F50" s="9"/>
      <c r="G50" s="8"/>
      <c r="H50"/>
      <c r="M50" s="7"/>
      <c r="O50"/>
    </row>
    <row r="52" spans="6:15" x14ac:dyDescent="0.2">
      <c r="M52" s="7"/>
      <c r="O52"/>
    </row>
  </sheetData>
  <printOptions horizontalCentered="1"/>
  <pageMargins left="0" right="0" top="0.55118110236220474" bottom="0.74803149606299213" header="0.31496062992125984" footer="0.31496062992125984"/>
  <pageSetup paperSize="9" scale="34" orientation="landscape" horizontalDpi="4294967293" verticalDpi="300" r:id="rId1"/>
  <ignoredErrors>
    <ignoredError sqref="N24:N45 N21 N17:N20 N12:N16 N10 N2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 LISTE commandes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Sandrine</cp:lastModifiedBy>
  <cp:lastPrinted>2020-09-22T07:56:13Z</cp:lastPrinted>
  <dcterms:created xsi:type="dcterms:W3CDTF">2016-11-27T16:21:14Z</dcterms:created>
  <dcterms:modified xsi:type="dcterms:W3CDTF">2020-09-22T17:00:11Z</dcterms:modified>
</cp:coreProperties>
</file>