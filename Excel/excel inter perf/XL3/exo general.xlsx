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20" yWindow="270" windowWidth="17280" windowHeight="6795" activeTab="4"/>
  </bookViews>
  <sheets>
    <sheet name="EXO1 CALCUL DIVERS" sheetId="1" r:id="rId1"/>
    <sheet name="TEXTE" sheetId="2" r:id="rId2"/>
    <sheet name="DATE" sheetId="3" r:id="rId3"/>
    <sheet name="EXOS SI" sheetId="4" r:id="rId4"/>
    <sheet name="EXO SI" sheetId="5" r:id="rId5"/>
    <sheet name="SommeSI" sheetId="6" r:id="rId6"/>
    <sheet name="NB.SI NB.SI.ENS" sheetId="7" r:id="rId7"/>
    <sheet name="Texte 2" sheetId="8" r:id="rId8"/>
    <sheet name="Texte 3" sheetId="9" r:id="rId9"/>
    <sheet name="Date 1" sheetId="10" r:id="rId10"/>
    <sheet name="Date 2" sheetId="11" r:id="rId11"/>
    <sheet name="Enoncé" sheetId="12" r:id="rId12"/>
    <sheet name="Plan et vue" sheetId="13" r:id="rId13"/>
  </sheets>
  <externalReferences>
    <externalReference r:id="rId14"/>
  </externalReferences>
  <definedNames>
    <definedName name="CNE">'[1]ID ETUDIANT (2)'!$A$1:$E$5</definedName>
    <definedName name="cursource" hidden="1">#N/A</definedName>
    <definedName name="DATA">[1]BDLIRE!$A$3:$C$8</definedName>
    <definedName name="_xlnm.Print_Titles" localSheetId="11">Enoncé!$A$1:$IV$3</definedName>
    <definedName name="int_ext_sel" hidden="1">1</definedName>
    <definedName name="NOTE">'[1]NOTES (2)'!$A$1:$H$5</definedName>
  </definedNames>
  <calcPr calcId="145621"/>
</workbook>
</file>

<file path=xl/calcChain.xml><?xml version="1.0" encoding="utf-8"?>
<calcChain xmlns="http://schemas.openxmlformats.org/spreadsheetml/2006/main">
  <c r="O9" i="13" l="1"/>
  <c r="N9" i="13"/>
  <c r="M9" i="13"/>
  <c r="L9" i="13"/>
  <c r="L10" i="13" s="1"/>
  <c r="J9" i="13"/>
  <c r="I9" i="13"/>
  <c r="H9" i="13"/>
  <c r="G9" i="13"/>
  <c r="G10" i="13" s="1"/>
  <c r="E9" i="13"/>
  <c r="D9" i="13"/>
  <c r="C9" i="13"/>
  <c r="C10" i="13" s="1"/>
  <c r="B9" i="13"/>
  <c r="B10" i="13" s="1"/>
  <c r="P8" i="13"/>
  <c r="K8" i="13"/>
  <c r="F8" i="13"/>
  <c r="P7" i="13"/>
  <c r="Q7" i="13" s="1"/>
  <c r="K7" i="13"/>
  <c r="F7" i="13"/>
  <c r="O6" i="13"/>
  <c r="N6" i="13"/>
  <c r="M6" i="13"/>
  <c r="L6" i="13"/>
  <c r="J6" i="13"/>
  <c r="I6" i="13"/>
  <c r="H6" i="13"/>
  <c r="G6" i="13"/>
  <c r="E6" i="13"/>
  <c r="D6" i="13"/>
  <c r="C6" i="13"/>
  <c r="B6" i="13"/>
  <c r="P5" i="13"/>
  <c r="K5" i="13"/>
  <c r="F5" i="13"/>
  <c r="P4" i="13"/>
  <c r="K4" i="13"/>
  <c r="F4" i="13"/>
  <c r="P3" i="13"/>
  <c r="K3" i="13"/>
  <c r="F3" i="13"/>
  <c r="P2" i="13"/>
  <c r="Q2" i="13" s="1"/>
  <c r="K2" i="13"/>
  <c r="F2" i="13"/>
  <c r="F13" i="12"/>
  <c r="F12" i="12"/>
  <c r="F11" i="12"/>
  <c r="F10" i="12"/>
  <c r="F9" i="12"/>
  <c r="F8" i="12"/>
  <c r="F7" i="12"/>
  <c r="F6" i="12"/>
  <c r="F5" i="12"/>
  <c r="F4" i="12"/>
  <c r="B7" i="11"/>
  <c r="B6" i="11" s="1"/>
  <c r="B5" i="11" s="1"/>
  <c r="B4" i="11" s="1"/>
  <c r="A33" i="10"/>
  <c r="C23" i="10"/>
  <c r="C21" i="10"/>
  <c r="B12" i="10"/>
  <c r="B9" i="10" s="1"/>
  <c r="B8" i="10" s="1"/>
  <c r="B7" i="10" s="1"/>
  <c r="B6" i="10" s="1"/>
  <c r="C2" i="10"/>
  <c r="D41" i="7"/>
  <c r="D36" i="7"/>
  <c r="E22" i="6"/>
  <c r="E21" i="6"/>
  <c r="E20" i="6"/>
  <c r="E19" i="6"/>
  <c r="E18" i="6"/>
  <c r="E17" i="6"/>
  <c r="E16" i="6"/>
  <c r="E15" i="6"/>
  <c r="E14" i="6"/>
  <c r="D13" i="6"/>
  <c r="E13" i="6" s="1"/>
  <c r="G27" i="6" s="1"/>
  <c r="D12" i="6"/>
  <c r="E12" i="6" s="1"/>
  <c r="G26" i="6" s="1"/>
  <c r="D11" i="6"/>
  <c r="E11" i="6" s="1"/>
  <c r="D10" i="6"/>
  <c r="E10" i="6" s="1"/>
  <c r="D9" i="6"/>
  <c r="E9" i="6" s="1"/>
  <c r="D8" i="6"/>
  <c r="E8" i="6" s="1"/>
  <c r="D7" i="6"/>
  <c r="E7" i="6" s="1"/>
  <c r="G28" i="6" s="1"/>
  <c r="D6" i="6"/>
  <c r="E6" i="6" s="1"/>
  <c r="E5" i="6"/>
  <c r="G25" i="6" l="1"/>
  <c r="P10" i="13"/>
  <c r="Q5" i="13"/>
  <c r="H10" i="13"/>
  <c r="M10" i="13"/>
  <c r="Q4" i="13"/>
  <c r="F6" i="13"/>
  <c r="Q6" i="13" s="1"/>
  <c r="K6" i="13"/>
  <c r="P6" i="13"/>
  <c r="D10" i="13"/>
  <c r="F10" i="13" s="1"/>
  <c r="I10" i="13"/>
  <c r="K10" i="13" s="1"/>
  <c r="Q10" i="13" s="1"/>
  <c r="N10" i="13"/>
  <c r="Q3" i="13"/>
  <c r="Q8" i="13"/>
  <c r="E10" i="13"/>
  <c r="J10" i="13"/>
  <c r="O10" i="13"/>
  <c r="F9" i="13"/>
  <c r="K9" i="13"/>
  <c r="P9" i="13"/>
  <c r="Q9" i="13" s="1"/>
</calcChain>
</file>

<file path=xl/comments1.xml><?xml version="1.0" encoding="utf-8"?>
<comments xmlns="http://schemas.openxmlformats.org/spreadsheetml/2006/main">
  <authors>
    <author>SANDRINE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ESSAI</t>
        </r>
      </text>
    </comment>
  </commentList>
</comments>
</file>

<file path=xl/sharedStrings.xml><?xml version="1.0" encoding="utf-8"?>
<sst xmlns="http://schemas.openxmlformats.org/spreadsheetml/2006/main" count="350" uniqueCount="269">
  <si>
    <t>RESULTAT DES VENTES</t>
  </si>
  <si>
    <t>RETOUR MENU</t>
  </si>
  <si>
    <t>NOM</t>
  </si>
  <si>
    <t>SEXE</t>
  </si>
  <si>
    <t>DATE DE NAISSANCE</t>
  </si>
  <si>
    <t>AGE</t>
  </si>
  <si>
    <t>VENTES</t>
  </si>
  <si>
    <t>PRIMES</t>
  </si>
  <si>
    <t>CONVOCATION</t>
  </si>
  <si>
    <t>OBJECTIF</t>
  </si>
  <si>
    <t>MEDAILLE</t>
  </si>
  <si>
    <t>PRIMES SUR %</t>
  </si>
  <si>
    <t>PART EN %</t>
  </si>
  <si>
    <t>RANG</t>
  </si>
  <si>
    <t>NOM1</t>
  </si>
  <si>
    <t>F</t>
  </si>
  <si>
    <t>NOM2</t>
  </si>
  <si>
    <t>H</t>
  </si>
  <si>
    <t>NOM3</t>
  </si>
  <si>
    <t>NOM4</t>
  </si>
  <si>
    <t>NOM5</t>
  </si>
  <si>
    <t>NOM6</t>
  </si>
  <si>
    <t>NOM7</t>
  </si>
  <si>
    <t>NOM8</t>
  </si>
  <si>
    <t>NOM9</t>
  </si>
  <si>
    <t>TOTAL</t>
  </si>
  <si>
    <t>MOYENNE</t>
  </si>
  <si>
    <t>MAX</t>
  </si>
  <si>
    <t>MIN</t>
  </si>
  <si>
    <t>NB VENDEURS</t>
  </si>
  <si>
    <t>NB FEMMES</t>
  </si>
  <si>
    <t>NB HOMMES</t>
  </si>
  <si>
    <t>CALCUL</t>
  </si>
  <si>
    <t>NB PERS &gt;=50</t>
  </si>
  <si>
    <t>NB DE CASE VIDE</t>
  </si>
  <si>
    <t>PRIME 2% SI VENTE &gt;+ 200000</t>
  </si>
  <si>
    <t>NB OBJECTIF</t>
  </si>
  <si>
    <t>CONVOCATION A UNE VISITE POUR LES PERS DE + DE 50 ANS</t>
  </si>
  <si>
    <t>OBJECTIF ATTIENT SI VENTE &gt;= 200000</t>
  </si>
  <si>
    <t>COUT SALARIAL FEMMES</t>
  </si>
  <si>
    <t>MEDAILLE DU TRAVAIL POUR LES FEMMES DE PLUS DE 50ANS</t>
  </si>
  <si>
    <t>COUT SALARIAL HOMMES</t>
  </si>
  <si>
    <t>PRIME DE 5% pour 500000 de 4% pour 400000 de 3% pour 300000 de 2% pour 200000 et rien pour les autres</t>
  </si>
  <si>
    <t>FONCTION TEXTE</t>
  </si>
  <si>
    <t>CP VILLE</t>
  </si>
  <si>
    <t>GAUCHE</t>
  </si>
  <si>
    <t>code</t>
  </si>
  <si>
    <t>LETTRE</t>
  </si>
  <si>
    <t>2 CHIFFRES DROITE</t>
  </si>
  <si>
    <t>75014 PARIS</t>
  </si>
  <si>
    <t>25A32</t>
  </si>
  <si>
    <t>75012 PARIS</t>
  </si>
  <si>
    <t>32X65</t>
  </si>
  <si>
    <t>37250 VEIGNE</t>
  </si>
  <si>
    <t>65Z56</t>
  </si>
  <si>
    <t>65M84</t>
  </si>
  <si>
    <t>Minuscule</t>
  </si>
  <si>
    <t>MAJUSCULE</t>
  </si>
  <si>
    <t>NOM Propre</t>
  </si>
  <si>
    <t>Coller en valeur</t>
  </si>
  <si>
    <t>sieffert</t>
  </si>
  <si>
    <t>louison</t>
  </si>
  <si>
    <t>martinet</t>
  </si>
  <si>
    <t>martineau</t>
  </si>
  <si>
    <t>jeanvier</t>
  </si>
  <si>
    <t>PRENOM</t>
  </si>
  <si>
    <t>CONCATENER</t>
  </si>
  <si>
    <t>SIEFFERT</t>
  </si>
  <si>
    <t>Sandrine</t>
  </si>
  <si>
    <t>MARTINET</t>
  </si>
  <si>
    <t>Martine</t>
  </si>
  <si>
    <t>MARTIN</t>
  </si>
  <si>
    <t>Jean</t>
  </si>
  <si>
    <t>MARTH</t>
  </si>
  <si>
    <t>Jeanne</t>
  </si>
  <si>
    <t>EXERCICE DATE</t>
  </si>
  <si>
    <t>Insertion date fixe :</t>
  </si>
  <si>
    <t>Insertin date automatique</t>
  </si>
  <si>
    <t>ANNEE</t>
  </si>
  <si>
    <t>MOIS</t>
  </si>
  <si>
    <t>JOUR</t>
  </si>
  <si>
    <t>RECONSTITUER
LA DATE</t>
  </si>
  <si>
    <t>DATE</t>
  </si>
  <si>
    <t>N°semaine</t>
  </si>
  <si>
    <t>RESULTAT ELEVES CLASSE 3</t>
  </si>
  <si>
    <t>ELEVES</t>
  </si>
  <si>
    <t>NOTE
Français</t>
  </si>
  <si>
    <t>NOTES
MATHS</t>
  </si>
  <si>
    <t>RECU
RECALE</t>
  </si>
  <si>
    <t>SMILEYS</t>
  </si>
  <si>
    <t>MOYENNE
2 NOTES</t>
  </si>
  <si>
    <t>MENTION</t>
  </si>
  <si>
    <t>ELEVE1</t>
  </si>
  <si>
    <t>ELEVE2</t>
  </si>
  <si>
    <t>ELEVE3</t>
  </si>
  <si>
    <t>ELEVE4</t>
  </si>
  <si>
    <t>l</t>
  </si>
  <si>
    <t>FAIRE LES CALCULS</t>
  </si>
  <si>
    <t>ELEVE5</t>
  </si>
  <si>
    <t>METTRE UNE MISE EN FORME SUR LES SMILEYS</t>
  </si>
  <si>
    <t>ELEVE6</t>
  </si>
  <si>
    <t>AFFICHER LES NOTES &gt;=15 en jaune et les &lt;8 en Grise et 0 en rouge</t>
  </si>
  <si>
    <t>ELEVE7</t>
  </si>
  <si>
    <t>FAIRE UN GRAPHIQUE EN SECTEUR AVEC LA PART EN % DES RECUS ET RECALES</t>
  </si>
  <si>
    <t>ELEVE8</t>
  </si>
  <si>
    <t>ELEVE9</t>
  </si>
  <si>
    <t>ELEVE10</t>
  </si>
  <si>
    <t>ELEVE11</t>
  </si>
  <si>
    <t>ELEVE12</t>
  </si>
  <si>
    <t>ELEVE13</t>
  </si>
  <si>
    <t>ELEVE14</t>
  </si>
  <si>
    <t>ELEVE15</t>
  </si>
  <si>
    <t>ELEVE16</t>
  </si>
  <si>
    <t>ELEVE17</t>
  </si>
  <si>
    <t>ELEVE18</t>
  </si>
  <si>
    <t>ELEVE19</t>
  </si>
  <si>
    <t>ELEVE20</t>
  </si>
  <si>
    <t>MOYENNE MATIERE</t>
  </si>
  <si>
    <t>NB ELEVES</t>
  </si>
  <si>
    <t>NOTE MAXI</t>
  </si>
  <si>
    <t>NOTE MINI</t>
  </si>
  <si>
    <t>NB NOTES &gt;10</t>
  </si>
  <si>
    <t>NB NOTES &lt;10</t>
  </si>
  <si>
    <t>DEPENSES SALARIALES</t>
  </si>
  <si>
    <t>Noms des
salariés</t>
  </si>
  <si>
    <t>Ancienneté</t>
  </si>
  <si>
    <t>Salaire</t>
  </si>
  <si>
    <t>Moyen
de transport</t>
  </si>
  <si>
    <t>Frais
de transport</t>
  </si>
  <si>
    <t>Prime</t>
  </si>
  <si>
    <t>Taxes
salariales</t>
  </si>
  <si>
    <t>Sécurité
sociale</t>
  </si>
  <si>
    <t>Retraite</t>
  </si>
  <si>
    <t>Dépenses
totales</t>
  </si>
  <si>
    <t>DUPUIS</t>
  </si>
  <si>
    <t>AUTRE</t>
  </si>
  <si>
    <t>VAUTRAIN</t>
  </si>
  <si>
    <t>VOITURE</t>
  </si>
  <si>
    <t>DUPONT</t>
  </si>
  <si>
    <t>ROGER</t>
  </si>
  <si>
    <t>Suivi machine à affranchir</t>
  </si>
  <si>
    <t>Dates</t>
  </si>
  <si>
    <t>Service</t>
  </si>
  <si>
    <t>Compteur
début</t>
  </si>
  <si>
    <t>Compteur
fin</t>
  </si>
  <si>
    <t>Total</t>
  </si>
  <si>
    <t>Compta</t>
  </si>
  <si>
    <t>Qualité</t>
  </si>
  <si>
    <t>Marketing</t>
  </si>
  <si>
    <t>Production</t>
  </si>
  <si>
    <t>A facturer</t>
  </si>
  <si>
    <t>Prénom</t>
  </si>
  <si>
    <t>Mois</t>
  </si>
  <si>
    <t>Montant</t>
  </si>
  <si>
    <t>Pierre</t>
  </si>
  <si>
    <t>Janvier</t>
  </si>
  <si>
    <t>Pascal</t>
  </si>
  <si>
    <t>Février</t>
  </si>
  <si>
    <t>1) Compter le nbre de ventes faites par Pierre sur le mois de février</t>
  </si>
  <si>
    <t xml:space="preserve">Réponse </t>
  </si>
  <si>
    <t>2) Compter les mois où les ventes sons plus grandes qu'une quantité spécifiques &gt;200</t>
  </si>
  <si>
    <t>exemple janvier  et Montant &gt;200</t>
  </si>
  <si>
    <t>Réponse</t>
  </si>
  <si>
    <t>3) Compter le nombre de ventes comprises entre 200 et 500</t>
  </si>
  <si>
    <t>4) Compter le nombre de ventes réalisé par Jean en Février dont le montant est &gt;=500</t>
  </si>
  <si>
    <t>5) Totaliser les ventes de Pascal pour pour Février</t>
  </si>
  <si>
    <t>5) Totaliser les vents combinées pour pierre et jean</t>
  </si>
  <si>
    <t>Inscrire dans une seule cellule la Civilité, le Prénom et le Nom</t>
  </si>
  <si>
    <t>Civilités</t>
  </si>
  <si>
    <t>Prénoms</t>
  </si>
  <si>
    <t>Noms</t>
  </si>
  <si>
    <t>Noms complets</t>
  </si>
  <si>
    <t>Mme</t>
  </si>
  <si>
    <t>Renée</t>
  </si>
  <si>
    <t>Sens</t>
  </si>
  <si>
    <t>Mlle</t>
  </si>
  <si>
    <t>Sacha</t>
  </si>
  <si>
    <t>Hutte</t>
  </si>
  <si>
    <t>M.</t>
  </si>
  <si>
    <t>Sam</t>
  </si>
  <si>
    <t>Hovar</t>
  </si>
  <si>
    <t>Sarâh</t>
  </si>
  <si>
    <t>Fréchit</t>
  </si>
  <si>
    <t>Serge</t>
  </si>
  <si>
    <t>Oin</t>
  </si>
  <si>
    <t>Séparer les Prénoms des Noms</t>
  </si>
  <si>
    <t>Nombre de caractères dans nom complet</t>
  </si>
  <si>
    <t>Position d'un caractère</t>
  </si>
  <si>
    <t>Tex Agère</t>
  </si>
  <si>
    <t>Thomas Waques</t>
  </si>
  <si>
    <t>Tom Égérie</t>
  </si>
  <si>
    <t>Yves Héron</t>
  </si>
  <si>
    <t>Adrienne Kepoura</t>
  </si>
  <si>
    <t>Akim Embett</t>
  </si>
  <si>
    <t>Ajouter 30 jours à une date</t>
  </si>
  <si>
    <t>Employés</t>
  </si>
  <si>
    <t>Date de naissance</t>
  </si>
  <si>
    <t>Age</t>
  </si>
  <si>
    <t>Alain Térieur</t>
  </si>
  <si>
    <t>Alex Ception</t>
  </si>
  <si>
    <t>Avec la fonction DATEDIF</t>
  </si>
  <si>
    <t>Ali Gator</t>
  </si>
  <si>
    <t>Afficher l'année en cours</t>
  </si>
  <si>
    <t>Afficher le mois en cours</t>
  </si>
  <si>
    <t xml:space="preserve">Afficher le jour en cours  </t>
  </si>
  <si>
    <t>Afficher le jour de Noel de l'année en cours</t>
  </si>
  <si>
    <t>Afficher la date du 1er jour du mois prochain</t>
  </si>
  <si>
    <t>Afficher la date du dernier jour du mois en cours</t>
  </si>
  <si>
    <t>Afficher le dernier jour du mois suivant</t>
  </si>
  <si>
    <t>Numero Semaine</t>
  </si>
  <si>
    <t>1) Extraire les différents éléments d'une date</t>
  </si>
  <si>
    <t>Jour</t>
  </si>
  <si>
    <t>Année</t>
  </si>
  <si>
    <t>2) Reconstituer les dates, d'après les éléments de droite</t>
  </si>
  <si>
    <t>Reconstituer une date</t>
  </si>
  <si>
    <t>PENALITES DE RETARD</t>
  </si>
  <si>
    <t>Numéro de Facture</t>
  </si>
  <si>
    <t>Jour de Facturation</t>
  </si>
  <si>
    <t>Mois de Facturation</t>
  </si>
  <si>
    <t>Année de Facturation</t>
  </si>
  <si>
    <t>Date de la Facture</t>
  </si>
  <si>
    <t>Code du Client</t>
  </si>
  <si>
    <t>Prénom du Client</t>
  </si>
  <si>
    <t>Nom du Client</t>
  </si>
  <si>
    <t>Intitulé Complet du Client</t>
  </si>
  <si>
    <t>Montant de la Facture</t>
  </si>
  <si>
    <t>Nombre de jours écoulés</t>
  </si>
  <si>
    <t>Pénalité au delà de 30 jours</t>
  </si>
  <si>
    <t>Martin</t>
  </si>
  <si>
    <t>Dubois</t>
  </si>
  <si>
    <t>Olivier</t>
  </si>
  <si>
    <t>Perrier</t>
  </si>
  <si>
    <t>Catherine</t>
  </si>
  <si>
    <t>Chalabre</t>
  </si>
  <si>
    <t>André</t>
  </si>
  <si>
    <t>Verne</t>
  </si>
  <si>
    <t>Louis</t>
  </si>
  <si>
    <t>Vallet</t>
  </si>
  <si>
    <t>Charlotte</t>
  </si>
  <si>
    <t>Carmel</t>
  </si>
  <si>
    <t>Montier</t>
  </si>
  <si>
    <t>Franck</t>
  </si>
  <si>
    <t>Leboeuf</t>
  </si>
  <si>
    <t>Volutret</t>
  </si>
  <si>
    <t>SEM1</t>
  </si>
  <si>
    <t>SEM2</t>
  </si>
  <si>
    <t>SEM3</t>
  </si>
  <si>
    <t>SEM4</t>
  </si>
  <si>
    <t>Total 01</t>
  </si>
  <si>
    <t>SEM5</t>
  </si>
  <si>
    <t>SEM6</t>
  </si>
  <si>
    <t>SEM7</t>
  </si>
  <si>
    <t>SEM8</t>
  </si>
  <si>
    <t>Total 02</t>
  </si>
  <si>
    <t>SEM9</t>
  </si>
  <si>
    <t>SEM10</t>
  </si>
  <si>
    <t>SEM11</t>
  </si>
  <si>
    <t>SEM12</t>
  </si>
  <si>
    <t>Total 03</t>
  </si>
  <si>
    <t>Total Trim1</t>
  </si>
  <si>
    <t>Salaires</t>
  </si>
  <si>
    <t>Ménage</t>
  </si>
  <si>
    <t>EDF</t>
  </si>
  <si>
    <t>Orange</t>
  </si>
  <si>
    <t>Total Charges Variables</t>
  </si>
  <si>
    <t>Loyer</t>
  </si>
  <si>
    <t>Assurance</t>
  </si>
  <si>
    <t>Total Charges Fixes</t>
  </si>
  <si>
    <t>Total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</si>
</sst>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[$-F800]dddd\,\ mmmm\ dd\,\ yyyy"/>
    <numFmt numFmtId="165" formatCode="&quot;Afficher le jour de l'année (&quot;0&quot;)&quot;"/>
    <numFmt numFmtId="166" formatCode="dddd\ dd\ mmmm\ yyyy"/>
    <numFmt numFmtId="167" formatCode="_-* #,##0.00\ [$€]_-;\-* #,##0.00\ [$€]_-;_-* &quot;-&quot;??\ [$€]_-;_-@_-"/>
    <numFmt numFmtId="168" formatCode="_-* #,##0.00\ _F_-;\-* #,##0.00\ _F_-;_-* &quot;-&quot;??\ _F_-;_-@_-"/>
    <numFmt numFmtId="169" formatCode="_-* #,##0.00\ &quot;F&quot;_-;\-* #,##0.00\ &quot;F&quot;_-;_-* &quot;-&quot;??\ &quot;F&quot;_-;_-@_-"/>
    <numFmt numFmtId="170" formatCode="_ * #,##0.00_)\ &quot;$&quot;_ ;_ * \(#,##0.00\)\ &quot;$&quot;_ ;_ * &quot;-&quot;??_)\ &quot;$&quot;_ ;_ @_ "/>
    <numFmt numFmtId="171" formatCode="0.0%"/>
  </numFmts>
  <fonts count="40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8"/>
      <name val="Corbel"/>
      <family val="2"/>
    </font>
    <font>
      <u/>
      <sz val="10"/>
      <color indexed="12"/>
      <name val="Corbel"/>
      <family val="2"/>
    </font>
    <font>
      <sz val="10"/>
      <name val="Corbel"/>
      <family val="2"/>
    </font>
    <font>
      <b/>
      <sz val="10"/>
      <name val="Corbel"/>
      <family val="2"/>
    </font>
    <font>
      <b/>
      <sz val="16"/>
      <name val="Arial"/>
      <family val="2"/>
    </font>
    <font>
      <sz val="10"/>
      <name val="Wingdings"/>
      <charset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10"/>
      <color indexed="53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color indexed="9"/>
      <name val="Arial"/>
      <family val="2"/>
    </font>
    <font>
      <sz val="14"/>
      <color indexed="54"/>
      <name val="Arial"/>
      <family val="2"/>
    </font>
    <font>
      <sz val="14"/>
      <color indexed="9"/>
      <name val="Arial"/>
      <family val="2"/>
    </font>
    <font>
      <b/>
      <sz val="16"/>
      <color indexed="9"/>
      <name val="Arial"/>
      <family val="2"/>
    </font>
    <font>
      <sz val="16"/>
      <name val="Arial"/>
      <family val="2"/>
    </font>
    <font>
      <b/>
      <sz val="14"/>
      <color theme="0"/>
      <name val="Calibri"/>
      <family val="2"/>
      <scheme val="minor"/>
    </font>
    <font>
      <sz val="10"/>
      <name val="Comic Sans MS"/>
      <family val="4"/>
    </font>
    <font>
      <sz val="10"/>
      <name val="Calibri"/>
      <family val="2"/>
      <scheme val="minor"/>
    </font>
    <font>
      <b/>
      <sz val="10"/>
      <color indexed="18"/>
      <name val="Arial"/>
      <family val="2"/>
    </font>
    <font>
      <i/>
      <sz val="10"/>
      <color indexed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ck">
        <color auto="1"/>
      </right>
      <top/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5" fillId="0" borderId="0" applyFont="0" applyFill="0" applyBorder="0" applyAlignment="0" applyProtection="0"/>
    <xf numFmtId="0" fontId="4" fillId="6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44" fontId="34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5" fillId="0" borderId="0"/>
    <xf numFmtId="0" fontId="36" fillId="22" borderId="40"/>
    <xf numFmtId="41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2" borderId="0" applyNumberFormat="0" applyBorder="0" applyAlignment="0" applyProtection="0"/>
    <xf numFmtId="0" fontId="6" fillId="0" borderId="0"/>
    <xf numFmtId="0" fontId="3" fillId="0" borderId="41"/>
    <xf numFmtId="0" fontId="6" fillId="0" borderId="42"/>
    <xf numFmtId="171" fontId="36" fillId="22" borderId="43">
      <alignment horizontal="center"/>
    </xf>
    <xf numFmtId="0" fontId="38" fillId="23" borderId="44">
      <alignment horizontal="center"/>
    </xf>
    <xf numFmtId="0" fontId="9" fillId="21" borderId="0"/>
    <xf numFmtId="0" fontId="39" fillId="0" borderId="0">
      <alignment horizont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45"/>
  </cellStyleXfs>
  <cellXfs count="173">
    <xf numFmtId="0" fontId="0" fillId="0" borderId="0" xfId="0"/>
    <xf numFmtId="0" fontId="6" fillId="0" borderId="0" xfId="0" applyFont="1"/>
    <xf numFmtId="14" fontId="0" fillId="0" borderId="0" xfId="0" applyNumberFormat="1"/>
    <xf numFmtId="0" fontId="0" fillId="8" borderId="0" xfId="0" applyFill="1"/>
    <xf numFmtId="0" fontId="8" fillId="0" borderId="0" xfId="0" applyFont="1"/>
    <xf numFmtId="0" fontId="6" fillId="10" borderId="0" xfId="4" applyFill="1"/>
    <xf numFmtId="0" fontId="8" fillId="10" borderId="1" xfId="4" applyFont="1" applyFill="1" applyBorder="1" applyAlignment="1">
      <alignment horizontal="center" vertical="center"/>
    </xf>
    <xf numFmtId="0" fontId="8" fillId="10" borderId="0" xfId="4" applyFont="1" applyFill="1" applyAlignment="1">
      <alignment horizontal="center" vertical="center"/>
    </xf>
    <xf numFmtId="0" fontId="6" fillId="10" borderId="1" xfId="4" applyFill="1" applyBorder="1"/>
    <xf numFmtId="0" fontId="6" fillId="9" borderId="1" xfId="4" applyFill="1" applyBorder="1"/>
    <xf numFmtId="0" fontId="12" fillId="11" borderId="0" xfId="0" applyFont="1" applyFill="1"/>
    <xf numFmtId="0" fontId="12" fillId="11" borderId="1" xfId="0" applyFont="1" applyFill="1" applyBorder="1"/>
    <xf numFmtId="0" fontId="12" fillId="0" borderId="1" xfId="0" applyFont="1" applyFill="1" applyBorder="1"/>
    <xf numFmtId="14" fontId="12" fillId="11" borderId="0" xfId="0" applyNumberFormat="1" applyFont="1" applyFill="1"/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14" fontId="12" fillId="11" borderId="1" xfId="0" applyNumberFormat="1" applyFont="1" applyFill="1" applyBorder="1"/>
    <xf numFmtId="0" fontId="13" fillId="11" borderId="0" xfId="0" quotePrefix="1" applyFont="1" applyFill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5" fillId="0" borderId="0" xfId="0" applyFont="1" applyAlignment="1">
      <alignment horizontal="right"/>
    </xf>
    <xf numFmtId="0" fontId="6" fillId="0" borderId="1" xfId="0" applyFont="1" applyBorder="1" applyAlignment="1">
      <alignment wrapText="1"/>
    </xf>
    <xf numFmtId="0" fontId="0" fillId="0" borderId="1" xfId="0" applyBorder="1"/>
    <xf numFmtId="0" fontId="6" fillId="0" borderId="1" xfId="0" applyFont="1" applyBorder="1"/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/>
    </xf>
    <xf numFmtId="43" fontId="0" fillId="0" borderId="6" xfId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43" fontId="0" fillId="0" borderId="9" xfId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43" fontId="0" fillId="0" borderId="12" xfId="1" applyFont="1" applyBorder="1"/>
    <xf numFmtId="0" fontId="0" fillId="0" borderId="12" xfId="0" applyBorder="1"/>
    <xf numFmtId="0" fontId="0" fillId="0" borderId="13" xfId="0" applyBorder="1"/>
    <xf numFmtId="0" fontId="7" fillId="0" borderId="0" xfId="3" applyFill="1" applyAlignment="1" applyProtection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4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4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4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4" fontId="0" fillId="15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12" borderId="1" xfId="0" applyFont="1" applyFill="1" applyBorder="1"/>
    <xf numFmtId="0" fontId="0" fillId="12" borderId="1" xfId="0" applyFill="1" applyBorder="1"/>
    <xf numFmtId="0" fontId="17" fillId="0" borderId="0" xfId="0" applyFont="1" applyFill="1" applyBorder="1"/>
    <xf numFmtId="0" fontId="8" fillId="14" borderId="1" xfId="0" applyFont="1" applyFill="1" applyBorder="1"/>
    <xf numFmtId="0" fontId="0" fillId="14" borderId="1" xfId="0" applyFill="1" applyBorder="1"/>
    <xf numFmtId="0" fontId="8" fillId="15" borderId="1" xfId="0" applyFont="1" applyFill="1" applyBorder="1"/>
    <xf numFmtId="0" fontId="0" fillId="15" borderId="1" xfId="0" applyFill="1" applyBorder="1"/>
    <xf numFmtId="0" fontId="8" fillId="13" borderId="1" xfId="0" applyFont="1" applyFill="1" applyBorder="1"/>
    <xf numFmtId="0" fontId="0" fillId="13" borderId="1" xfId="0" applyFill="1" applyBorder="1"/>
    <xf numFmtId="0" fontId="6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8" fillId="0" borderId="0" xfId="0" quotePrefix="1" applyFont="1" applyAlignment="1">
      <alignment horizontal="left"/>
    </xf>
    <xf numFmtId="0" fontId="19" fillId="0" borderId="0" xfId="0" applyFont="1"/>
    <xf numFmtId="0" fontId="18" fillId="0" borderId="0" xfId="0" applyFont="1" applyAlignment="1">
      <alignment horizontal="center"/>
    </xf>
    <xf numFmtId="0" fontId="20" fillId="16" borderId="0" xfId="0" applyFont="1" applyFill="1" applyBorder="1" applyProtection="1">
      <protection locked="0"/>
    </xf>
    <xf numFmtId="0" fontId="20" fillId="16" borderId="0" xfId="0" applyFont="1" applyFill="1" applyProtection="1">
      <protection locked="0"/>
    </xf>
    <xf numFmtId="0" fontId="16" fillId="17" borderId="1" xfId="0" applyFont="1" applyFill="1" applyBorder="1" applyAlignment="1" applyProtection="1">
      <alignment horizontal="center"/>
      <protection locked="0"/>
    </xf>
    <xf numFmtId="0" fontId="21" fillId="17" borderId="1" xfId="0" applyFont="1" applyFill="1" applyBorder="1" applyProtection="1">
      <protection locked="0"/>
    </xf>
    <xf numFmtId="0" fontId="21" fillId="17" borderId="1" xfId="0" quotePrefix="1" applyFont="1" applyFill="1" applyBorder="1" applyProtection="1">
      <protection locked="0"/>
    </xf>
    <xf numFmtId="0" fontId="20" fillId="18" borderId="0" xfId="0" applyFont="1" applyFill="1" applyBorder="1" applyProtection="1">
      <protection locked="0"/>
    </xf>
    <xf numFmtId="0" fontId="20" fillId="18" borderId="0" xfId="0" applyFont="1" applyFill="1" applyProtection="1">
      <protection locked="0"/>
    </xf>
    <xf numFmtId="0" fontId="20" fillId="19" borderId="0" xfId="0" applyFont="1" applyFill="1" applyBorder="1" applyProtection="1">
      <protection locked="0"/>
    </xf>
    <xf numFmtId="0" fontId="20" fillId="19" borderId="0" xfId="0" applyFont="1" applyFill="1" applyProtection="1">
      <protection locked="0"/>
    </xf>
    <xf numFmtId="0" fontId="9" fillId="17" borderId="1" xfId="0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0" fontId="20" fillId="17" borderId="1" xfId="0" applyFont="1" applyFill="1" applyBorder="1" applyProtection="1">
      <protection locked="0"/>
    </xf>
    <xf numFmtId="0" fontId="20" fillId="0" borderId="1" xfId="0" applyFont="1" applyFill="1" applyBorder="1" applyProtection="1">
      <protection locked="0"/>
    </xf>
    <xf numFmtId="14" fontId="20" fillId="20" borderId="0" xfId="0" applyNumberFormat="1" applyFont="1" applyFill="1" applyAlignment="1">
      <alignment horizontal="center"/>
    </xf>
    <xf numFmtId="0" fontId="20" fillId="20" borderId="0" xfId="0" applyFont="1" applyFill="1"/>
    <xf numFmtId="164" fontId="20" fillId="20" borderId="0" xfId="0" applyNumberFormat="1" applyFont="1" applyFill="1" applyAlignment="1">
      <alignment horizontal="center"/>
    </xf>
    <xf numFmtId="164" fontId="20" fillId="17" borderId="22" xfId="0" applyNumberFormat="1" applyFont="1" applyFill="1" applyBorder="1"/>
    <xf numFmtId="0" fontId="20" fillId="17" borderId="23" xfId="0" applyFont="1" applyFill="1" applyBorder="1" applyAlignment="1">
      <alignment horizontal="center"/>
    </xf>
    <xf numFmtId="0" fontId="20" fillId="17" borderId="24" xfId="0" applyFont="1" applyFill="1" applyBorder="1" applyAlignment="1">
      <alignment horizontal="center"/>
    </xf>
    <xf numFmtId="14" fontId="20" fillId="17" borderId="25" xfId="0" applyNumberFormat="1" applyFont="1" applyFill="1" applyBorder="1" applyAlignment="1">
      <alignment horizontal="center"/>
    </xf>
    <xf numFmtId="1" fontId="20" fillId="17" borderId="26" xfId="0" applyNumberFormat="1" applyFont="1" applyFill="1" applyBorder="1" applyAlignment="1">
      <alignment horizontal="center"/>
    </xf>
    <xf numFmtId="0" fontId="20" fillId="17" borderId="27" xfId="0" applyFont="1" applyFill="1" applyBorder="1" applyAlignment="1">
      <alignment horizontal="center"/>
    </xf>
    <xf numFmtId="14" fontId="20" fillId="17" borderId="28" xfId="0" applyNumberFormat="1" applyFont="1" applyFill="1" applyBorder="1" applyAlignment="1">
      <alignment horizontal="center"/>
    </xf>
    <xf numFmtId="0" fontId="20" fillId="17" borderId="29" xfId="0" applyFont="1" applyFill="1" applyBorder="1" applyAlignment="1">
      <alignment horizontal="center"/>
    </xf>
    <xf numFmtId="14" fontId="20" fillId="17" borderId="30" xfId="0" applyNumberFormat="1" applyFont="1" applyFill="1" applyBorder="1" applyAlignment="1">
      <alignment horizontal="center"/>
    </xf>
    <xf numFmtId="0" fontId="20" fillId="17" borderId="31" xfId="0" applyFont="1" applyFill="1" applyBorder="1" applyAlignment="1">
      <alignment horizontal="center"/>
    </xf>
    <xf numFmtId="14" fontId="20" fillId="17" borderId="32" xfId="0" applyNumberFormat="1" applyFont="1" applyFill="1" applyBorder="1" applyAlignment="1">
      <alignment horizontal="center"/>
    </xf>
    <xf numFmtId="0" fontId="20" fillId="17" borderId="0" xfId="0" applyFont="1" applyFill="1"/>
    <xf numFmtId="164" fontId="20" fillId="17" borderId="0" xfId="0" applyNumberFormat="1" applyFont="1" applyFill="1"/>
    <xf numFmtId="14" fontId="20" fillId="17" borderId="0" xfId="0" applyNumberFormat="1" applyFont="1" applyFill="1"/>
    <xf numFmtId="0" fontId="23" fillId="20" borderId="0" xfId="0" applyFont="1" applyFill="1"/>
    <xf numFmtId="14" fontId="20" fillId="20" borderId="0" xfId="0" applyNumberFormat="1" applyFont="1" applyFill="1"/>
    <xf numFmtId="0" fontId="20" fillId="18" borderId="0" xfId="0" applyFont="1" applyFill="1"/>
    <xf numFmtId="0" fontId="24" fillId="18" borderId="0" xfId="0" applyFont="1" applyFill="1" applyAlignment="1">
      <alignment horizontal="right"/>
    </xf>
    <xf numFmtId="0" fontId="20" fillId="17" borderId="0" xfId="0" applyFont="1" applyFill="1" applyAlignment="1">
      <alignment horizontal="right"/>
    </xf>
    <xf numFmtId="0" fontId="25" fillId="18" borderId="0" xfId="0" applyFont="1" applyFill="1" applyBorder="1"/>
    <xf numFmtId="0" fontId="26" fillId="18" borderId="0" xfId="0" applyFont="1" applyFill="1"/>
    <xf numFmtId="0" fontId="25" fillId="18" borderId="0" xfId="0" applyFont="1" applyFill="1" applyBorder="1" applyAlignment="1">
      <alignment horizontal="center"/>
    </xf>
    <xf numFmtId="0" fontId="26" fillId="13" borderId="0" xfId="0" applyFont="1" applyFill="1"/>
    <xf numFmtId="0" fontId="26" fillId="13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4" fillId="0" borderId="1" xfId="0" applyFont="1" applyFill="1" applyBorder="1" applyAlignment="1">
      <alignment horizontal="center"/>
    </xf>
    <xf numFmtId="166" fontId="26" fillId="0" borderId="1" xfId="0" applyNumberFormat="1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/>
    </xf>
    <xf numFmtId="0" fontId="26" fillId="18" borderId="0" xfId="0" applyFont="1" applyFill="1" applyAlignment="1">
      <alignment horizontal="center"/>
    </xf>
    <xf numFmtId="14" fontId="26" fillId="0" borderId="1" xfId="0" applyNumberFormat="1" applyFont="1" applyFill="1" applyBorder="1"/>
    <xf numFmtId="0" fontId="28" fillId="0" borderId="0" xfId="0" applyFont="1"/>
    <xf numFmtId="0" fontId="2" fillId="6" borderId="31" xfId="2" applyFont="1" applyBorder="1" applyAlignment="1">
      <alignment horizontal="center" vertical="center" wrapText="1"/>
    </xf>
    <xf numFmtId="0" fontId="2" fillId="6" borderId="20" xfId="2" applyFont="1" applyBorder="1" applyAlignment="1">
      <alignment horizontal="center" vertical="center" wrapText="1"/>
    </xf>
    <xf numFmtId="1" fontId="29" fillId="0" borderId="23" xfId="0" applyNumberFormat="1" applyFont="1" applyBorder="1" applyAlignment="1">
      <alignment horizontal="right"/>
    </xf>
    <xf numFmtId="0" fontId="29" fillId="0" borderId="23" xfId="0" applyFont="1" applyBorder="1" applyAlignment="1">
      <alignment horizontal="center"/>
    </xf>
    <xf numFmtId="14" fontId="29" fillId="0" borderId="23" xfId="0" applyNumberFormat="1" applyFont="1" applyBorder="1" applyAlignment="1">
      <alignment horizontal="center"/>
    </xf>
    <xf numFmtId="0" fontId="29" fillId="0" borderId="23" xfId="0" applyFont="1" applyBorder="1"/>
    <xf numFmtId="0" fontId="29" fillId="0" borderId="33" xfId="0" applyFont="1" applyBorder="1"/>
    <xf numFmtId="0" fontId="29" fillId="0" borderId="23" xfId="0" quotePrefix="1" applyFont="1" applyBorder="1"/>
    <xf numFmtId="167" fontId="29" fillId="0" borderId="23" xfId="5" applyNumberFormat="1" applyFont="1" applyBorder="1"/>
    <xf numFmtId="1" fontId="29" fillId="0" borderId="23" xfId="0" quotePrefix="1" applyNumberFormat="1" applyFont="1" applyBorder="1" applyAlignment="1">
      <alignment horizontal="center"/>
    </xf>
    <xf numFmtId="1" fontId="29" fillId="0" borderId="34" xfId="0" applyNumberFormat="1" applyFont="1" applyBorder="1" applyAlignment="1">
      <alignment horizontal="right"/>
    </xf>
    <xf numFmtId="0" fontId="29" fillId="0" borderId="34" xfId="0" applyFont="1" applyBorder="1" applyAlignment="1">
      <alignment horizontal="center"/>
    </xf>
    <xf numFmtId="14" fontId="29" fillId="0" borderId="34" xfId="0" applyNumberFormat="1" applyFont="1" applyBorder="1" applyAlignment="1">
      <alignment horizontal="center"/>
    </xf>
    <xf numFmtId="0" fontId="29" fillId="0" borderId="34" xfId="0" applyFont="1" applyBorder="1"/>
    <xf numFmtId="0" fontId="29" fillId="0" borderId="35" xfId="0" applyFont="1" applyBorder="1"/>
    <xf numFmtId="167" fontId="29" fillId="0" borderId="34" xfId="5" applyNumberFormat="1" applyFont="1" applyBorder="1"/>
    <xf numFmtId="1" fontId="29" fillId="0" borderId="34" xfId="0" applyNumberFormat="1" applyFont="1" applyBorder="1" applyAlignment="1">
      <alignment horizontal="center"/>
    </xf>
    <xf numFmtId="1" fontId="29" fillId="0" borderId="36" xfId="0" applyNumberFormat="1" applyFont="1" applyBorder="1" applyAlignment="1">
      <alignment horizontal="right"/>
    </xf>
    <xf numFmtId="0" fontId="29" fillId="0" borderId="36" xfId="0" applyFont="1" applyBorder="1" applyAlignment="1">
      <alignment horizontal="center"/>
    </xf>
    <xf numFmtId="14" fontId="29" fillId="0" borderId="36" xfId="0" applyNumberFormat="1" applyFont="1" applyBorder="1" applyAlignment="1">
      <alignment horizontal="center"/>
    </xf>
    <xf numFmtId="0" fontId="29" fillId="0" borderId="36" xfId="0" applyFont="1" applyBorder="1"/>
    <xf numFmtId="0" fontId="29" fillId="0" borderId="37" xfId="0" applyFont="1" applyBorder="1"/>
    <xf numFmtId="167" fontId="29" fillId="0" borderId="36" xfId="5" applyNumberFormat="1" applyFont="1" applyBorder="1"/>
    <xf numFmtId="1" fontId="29" fillId="0" borderId="36" xfId="0" applyNumberFormat="1" applyFont="1" applyBorder="1" applyAlignment="1">
      <alignment horizontal="center"/>
    </xf>
    <xf numFmtId="43" fontId="0" fillId="0" borderId="38" xfId="6" applyFont="1" applyFill="1" applyBorder="1" applyAlignment="1"/>
    <xf numFmtId="43" fontId="30" fillId="0" borderId="38" xfId="6" applyFont="1" applyFill="1" applyBorder="1" applyAlignment="1">
      <alignment horizontal="center"/>
    </xf>
    <xf numFmtId="43" fontId="0" fillId="0" borderId="0" xfId="6" applyFont="1"/>
    <xf numFmtId="43" fontId="0" fillId="0" borderId="39" xfId="6" applyFont="1" applyFill="1" applyBorder="1" applyAlignment="1"/>
    <xf numFmtId="43" fontId="31" fillId="21" borderId="38" xfId="6" applyFont="1" applyFill="1" applyBorder="1" applyAlignment="1">
      <alignment horizontal="left"/>
    </xf>
    <xf numFmtId="43" fontId="0" fillId="21" borderId="38" xfId="6" applyFont="1" applyFill="1" applyBorder="1" applyAlignment="1"/>
    <xf numFmtId="43" fontId="31" fillId="12" borderId="38" xfId="6" applyFont="1" applyFill="1" applyBorder="1" applyAlignment="1">
      <alignment horizontal="left"/>
    </xf>
    <xf numFmtId="43" fontId="0" fillId="12" borderId="38" xfId="6" applyFont="1" applyFill="1" applyBorder="1" applyAlignment="1"/>
    <xf numFmtId="0" fontId="7" fillId="7" borderId="0" xfId="3" applyFill="1" applyAlignment="1" applyProtection="1">
      <alignment horizontal="center"/>
    </xf>
    <xf numFmtId="0" fontId="9" fillId="9" borderId="0" xfId="4" applyFont="1" applyFill="1" applyAlignment="1">
      <alignment horizontal="center"/>
    </xf>
    <xf numFmtId="14" fontId="10" fillId="9" borderId="0" xfId="0" applyNumberFormat="1" applyFont="1" applyFill="1" applyAlignment="1">
      <alignment horizontal="center"/>
    </xf>
    <xf numFmtId="0" fontId="11" fillId="11" borderId="0" xfId="3" applyFont="1" applyFill="1" applyAlignment="1" applyProtection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7" fillId="7" borderId="0" xfId="3" applyFill="1" applyAlignment="1" applyProtection="1">
      <alignment horizontal="center" vertical="center"/>
    </xf>
    <xf numFmtId="0" fontId="16" fillId="17" borderId="1" xfId="0" applyFont="1" applyFill="1" applyBorder="1" applyAlignment="1" applyProtection="1">
      <alignment horizontal="center"/>
      <protection locked="0"/>
    </xf>
    <xf numFmtId="165" fontId="22" fillId="18" borderId="0" xfId="0" applyNumberFormat="1" applyFont="1" applyFill="1" applyAlignment="1">
      <alignment horizontal="right"/>
    </xf>
    <xf numFmtId="0" fontId="22" fillId="18" borderId="20" xfId="0" applyFont="1" applyFill="1" applyBorder="1" applyAlignment="1">
      <alignment horizontal="right"/>
    </xf>
    <xf numFmtId="0" fontId="22" fillId="18" borderId="21" xfId="0" applyFont="1" applyFill="1" applyBorder="1" applyAlignment="1">
      <alignment horizontal="right"/>
    </xf>
    <xf numFmtId="0" fontId="22" fillId="18" borderId="0" xfId="0" applyFont="1" applyFill="1" applyAlignment="1">
      <alignment horizontal="right"/>
    </xf>
    <xf numFmtId="0" fontId="27" fillId="6" borderId="20" xfId="2" applyFont="1" applyBorder="1" applyAlignment="1">
      <alignment horizontal="center" vertical="center"/>
    </xf>
    <xf numFmtId="0" fontId="27" fillId="6" borderId="21" xfId="2" applyFont="1" applyBorder="1" applyAlignment="1">
      <alignment horizontal="center" vertical="center"/>
    </xf>
    <xf numFmtId="0" fontId="27" fillId="6" borderId="22" xfId="2" applyFont="1" applyBorder="1" applyAlignment="1">
      <alignment horizontal="center" vertical="center"/>
    </xf>
  </cellXfs>
  <cellStyles count="43">
    <cellStyle name="20 % - Accent1 2" xfId="7"/>
    <cellStyle name="Accent1 2" xfId="8"/>
    <cellStyle name="Accent2 2" xfId="9"/>
    <cellStyle name="Accent3" xfId="2" builtinId="37"/>
    <cellStyle name="Accent3 2" xfId="10"/>
    <cellStyle name="Dezimal [0]" xfId="11"/>
    <cellStyle name="Dezimal_Tabelle1" xfId="12"/>
    <cellStyle name="Euro" xfId="13"/>
    <cellStyle name="Euro 2" xfId="14"/>
    <cellStyle name="Euro 3" xfId="5"/>
    <cellStyle name="Excel Built-in Normal" xfId="15"/>
    <cellStyle name="Lien hypertexte" xfId="3" builtinId="8"/>
    <cellStyle name="ligne" xfId="16"/>
    <cellStyle name="Milliers" xfId="1" builtinId="3"/>
    <cellStyle name="Milliers [0] 2" xfId="17"/>
    <cellStyle name="Milliers 2" xfId="18"/>
    <cellStyle name="Milliers 3" xfId="19"/>
    <cellStyle name="Milliers 4" xfId="6"/>
    <cellStyle name="Monétaire 2" xfId="20"/>
    <cellStyle name="Monétaire 2 2" xfId="21"/>
    <cellStyle name="Monétaire 3" xfId="22"/>
    <cellStyle name="Monétaire 4" xfId="23"/>
    <cellStyle name="Normal" xfId="0" builtinId="0"/>
    <cellStyle name="Normal 2" xfId="4"/>
    <cellStyle name="Normal 3" xfId="24"/>
    <cellStyle name="Normal 4" xfId="25"/>
    <cellStyle name="Normal 5" xfId="26"/>
    <cellStyle name="Normal 6" xfId="27"/>
    <cellStyle name="Normal 7" xfId="28"/>
    <cellStyle name="Pourcentage 2" xfId="29"/>
    <cellStyle name="Pourcentage 3" xfId="30"/>
    <cellStyle name="Pourcentage 4" xfId="31"/>
    <cellStyle name="Satisfaisant 2" xfId="32"/>
    <cellStyle name="Standard_Tabelle1" xfId="33"/>
    <cellStyle name="Style 1" xfId="34"/>
    <cellStyle name="Summen" xfId="35"/>
    <cellStyle name="table" xfId="36"/>
    <cellStyle name="TITCOL" xfId="37"/>
    <cellStyle name="Titel" xfId="38"/>
    <cellStyle name="Untertitel" xfId="39"/>
    <cellStyle name="Währung [0]" xfId="40"/>
    <cellStyle name="Währung_Tabelle1" xfId="41"/>
    <cellStyle name="Zwischensummen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657224</xdr:colOff>
      <xdr:row>11</xdr:row>
      <xdr:rowOff>57149</xdr:rowOff>
    </xdr:from>
    <xdr:to>
      <xdr:col>4</xdr:col>
      <xdr:colOff>704849</xdr:colOff>
      <xdr:row>15</xdr:row>
      <xdr:rowOff>0</xdr:rowOff>
    </xdr:to>
    <xdr:sp macro="" textlink="">
      <xdr:nvSpPr>
        <xdr:cNvPr id="2" name="ZoneTexte 1"/>
        <xdr:cNvSpPr txBox="1"/>
      </xdr:nvSpPr>
      <xdr:spPr>
        <a:xfrm>
          <a:off x="2514599" y="2447924"/>
          <a:ext cx="2295525" cy="590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fr-FR" sz="900"/>
            <a:t>Si</a:t>
          </a:r>
          <a:r>
            <a:rPr lang="fr-FR" sz="900" baseline="0"/>
            <a:t> le moyen de transport ="voiture" alors on donne une prime de 150 sinon 100 </a:t>
          </a:r>
          <a:endParaRPr lang="fr-FR" sz="900"/>
        </a:p>
      </xdr:txBody>
    </xdr:sp>
    <xdr:clientData/>
  </xdr:twoCellAnchor>
  <xdr:twoCellAnchor>
    <xdr:from>
      <xdr:col>5</xdr:col>
      <xdr:colOff>95249</xdr:colOff>
      <xdr:row>11</xdr:row>
      <xdr:rowOff>28574</xdr:rowOff>
    </xdr:from>
    <xdr:to>
      <xdr:col>7</xdr:col>
      <xdr:colOff>142874</xdr:colOff>
      <xdr:row>14</xdr:row>
      <xdr:rowOff>133350</xdr:rowOff>
    </xdr:to>
    <xdr:sp macro="" textlink="">
      <xdr:nvSpPr>
        <xdr:cNvPr id="3" name="ZoneTexte 2"/>
        <xdr:cNvSpPr txBox="1"/>
      </xdr:nvSpPr>
      <xdr:spPr>
        <a:xfrm>
          <a:off x="5324474" y="2419349"/>
          <a:ext cx="2295525" cy="590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fr-FR" sz="900"/>
            <a:t>Si</a:t>
          </a:r>
          <a:r>
            <a:rPr lang="fr-FR" sz="900" baseline="0"/>
            <a:t> l'ancienneté est &gt;= 10 ans et le salaire &gt;= 3000 € alors on donne une prime de 120 sinon 50</a:t>
          </a:r>
        </a:p>
      </xdr:txBody>
    </xdr:sp>
    <xdr:clientData/>
  </xdr:twoCellAnchor>
  <xdr:twoCellAnchor>
    <xdr:from>
      <xdr:col>5</xdr:col>
      <xdr:colOff>352424</xdr:colOff>
      <xdr:row>0</xdr:row>
      <xdr:rowOff>38099</xdr:rowOff>
    </xdr:from>
    <xdr:to>
      <xdr:col>7</xdr:col>
      <xdr:colOff>400049</xdr:colOff>
      <xdr:row>2</xdr:row>
      <xdr:rowOff>114300</xdr:rowOff>
    </xdr:to>
    <xdr:sp macro="" textlink="">
      <xdr:nvSpPr>
        <xdr:cNvPr id="4" name="ZoneTexte 3"/>
        <xdr:cNvSpPr txBox="1"/>
      </xdr:nvSpPr>
      <xdr:spPr>
        <a:xfrm>
          <a:off x="5581649" y="38099"/>
          <a:ext cx="2295525" cy="5429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fr-FR" sz="900"/>
            <a:t>Si le salaire  est &lt;=4000 € on calcule 10 % du salaire sinon 15% du salaire</a:t>
          </a:r>
          <a:endParaRPr lang="fr-FR" sz="900" baseline="0"/>
        </a:p>
      </xdr:txBody>
    </xdr:sp>
    <xdr:clientData/>
  </xdr:twoCellAnchor>
  <xdr:twoCellAnchor>
    <xdr:from>
      <xdr:col>10</xdr:col>
      <xdr:colOff>152400</xdr:colOff>
      <xdr:row>2</xdr:row>
      <xdr:rowOff>9525</xdr:rowOff>
    </xdr:from>
    <xdr:to>
      <xdr:col>11</xdr:col>
      <xdr:colOff>733425</xdr:colOff>
      <xdr:row>6</xdr:row>
      <xdr:rowOff>133350</xdr:rowOff>
    </xdr:to>
    <xdr:sp macro="" textlink="">
      <xdr:nvSpPr>
        <xdr:cNvPr id="5" name="ZoneTexte 4"/>
        <xdr:cNvSpPr txBox="1"/>
      </xdr:nvSpPr>
      <xdr:spPr>
        <a:xfrm>
          <a:off x="10639425" y="476250"/>
          <a:ext cx="1343025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900"/>
            <a:t>si le salaire est &gt;= 3800 € ou ancienneté</a:t>
          </a:r>
          <a:r>
            <a:rPr lang="fr-FR" sz="900" baseline="0"/>
            <a:t> &gt;= 15 ans on applique 10% du salaire sinon 15% du salaire</a:t>
          </a:r>
          <a:endParaRPr lang="fr-FR" sz="900"/>
        </a:p>
      </xdr:txBody>
    </xdr:sp>
    <xdr:clientData/>
  </xdr:twoCellAnchor>
  <xdr:twoCellAnchor>
    <xdr:from>
      <xdr:col>7</xdr:col>
      <xdr:colOff>523875</xdr:colOff>
      <xdr:row>3</xdr:row>
      <xdr:rowOff>314325</xdr:rowOff>
    </xdr:from>
    <xdr:to>
      <xdr:col>10</xdr:col>
      <xdr:colOff>152400</xdr:colOff>
      <xdr:row>4</xdr:row>
      <xdr:rowOff>0</xdr:rowOff>
    </xdr:to>
    <xdr:cxnSp macro="">
      <xdr:nvCxnSpPr>
        <xdr:cNvPr id="6" name="Connecteur droit avec flèche 5"/>
        <xdr:cNvCxnSpPr>
          <a:stCxn id="5" idx="1"/>
        </xdr:cNvCxnSpPr>
      </xdr:nvCxnSpPr>
      <xdr:spPr>
        <a:xfrm flipH="1">
          <a:off x="8001000" y="952500"/>
          <a:ext cx="2638425" cy="28575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681037</xdr:colOff>
      <xdr:row>4</xdr:row>
      <xdr:rowOff>28575</xdr:rowOff>
    </xdr:from>
    <xdr:to>
      <xdr:col>4</xdr:col>
      <xdr:colOff>419100</xdr:colOff>
      <xdr:row>11</xdr:row>
      <xdr:rowOff>57149</xdr:rowOff>
    </xdr:to>
    <xdr:cxnSp macro="">
      <xdr:nvCxnSpPr>
        <xdr:cNvPr id="7" name="Connecteur droit avec flèche 6"/>
        <xdr:cNvCxnSpPr>
          <a:stCxn id="2" idx="0"/>
        </xdr:cNvCxnSpPr>
      </xdr:nvCxnSpPr>
      <xdr:spPr>
        <a:xfrm flipV="1">
          <a:off x="3662362" y="1009650"/>
          <a:ext cx="862013" cy="1438274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4</xdr:row>
      <xdr:rowOff>9525</xdr:rowOff>
    </xdr:from>
    <xdr:to>
      <xdr:col>6</xdr:col>
      <xdr:colOff>119062</xdr:colOff>
      <xdr:row>11</xdr:row>
      <xdr:rowOff>28574</xdr:rowOff>
    </xdr:to>
    <xdr:cxnSp macro="">
      <xdr:nvCxnSpPr>
        <xdr:cNvPr id="8" name="Connecteur droit avec flèche 7"/>
        <xdr:cNvCxnSpPr>
          <a:stCxn id="3" idx="0"/>
        </xdr:cNvCxnSpPr>
      </xdr:nvCxnSpPr>
      <xdr:spPr>
        <a:xfrm flipH="1" flipV="1">
          <a:off x="5762625" y="990600"/>
          <a:ext cx="709612" cy="1428749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376237</xdr:colOff>
      <xdr:row>2</xdr:row>
      <xdr:rowOff>114300</xdr:rowOff>
    </xdr:from>
    <xdr:to>
      <xdr:col>6</xdr:col>
      <xdr:colOff>390525</xdr:colOff>
      <xdr:row>6</xdr:row>
      <xdr:rowOff>95250</xdr:rowOff>
    </xdr:to>
    <xdr:cxnSp macro="">
      <xdr:nvCxnSpPr>
        <xdr:cNvPr id="9" name="Connecteur droit avec flèche 8"/>
        <xdr:cNvCxnSpPr>
          <a:stCxn id="4" idx="2"/>
        </xdr:cNvCxnSpPr>
      </xdr:nvCxnSpPr>
      <xdr:spPr>
        <a:xfrm>
          <a:off x="6729412" y="581025"/>
          <a:ext cx="14288" cy="952500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8</xdr:row>
      <xdr:rowOff>123825</xdr:rowOff>
    </xdr:from>
    <xdr:to>
      <xdr:col>11</xdr:col>
      <xdr:colOff>628650</xdr:colOff>
      <xdr:row>14</xdr:row>
      <xdr:rowOff>85725</xdr:rowOff>
    </xdr:to>
    <xdr:sp macro="" textlink="">
      <xdr:nvSpPr>
        <xdr:cNvPr id="10" name="ZoneTexte 9"/>
        <xdr:cNvSpPr txBox="1"/>
      </xdr:nvSpPr>
      <xdr:spPr>
        <a:xfrm>
          <a:off x="10534650" y="2019300"/>
          <a:ext cx="134302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900"/>
            <a:t>Si le</a:t>
          </a:r>
          <a:r>
            <a:rPr lang="fr-FR" sz="900" baseline="0"/>
            <a:t> salaire est &lt;= 3300 alors on applique 5% du salaire ; si le salaire &lt;= 4300 alors on applique 10%  du salaire sinon on applique 15 %</a:t>
          </a:r>
          <a:endParaRPr lang="fr-FR" sz="900"/>
        </a:p>
      </xdr:txBody>
    </xdr:sp>
    <xdr:clientData/>
  </xdr:twoCellAnchor>
  <xdr:twoCellAnchor>
    <xdr:from>
      <xdr:col>8</xdr:col>
      <xdr:colOff>504825</xdr:colOff>
      <xdr:row>9</xdr:row>
      <xdr:rowOff>57150</xdr:rowOff>
    </xdr:from>
    <xdr:to>
      <xdr:col>10</xdr:col>
      <xdr:colOff>47625</xdr:colOff>
      <xdr:row>11</xdr:row>
      <xdr:rowOff>104775</xdr:rowOff>
    </xdr:to>
    <xdr:cxnSp macro="">
      <xdr:nvCxnSpPr>
        <xdr:cNvPr id="11" name="Connecteur droit avec flèche 10"/>
        <xdr:cNvCxnSpPr>
          <a:stCxn id="10" idx="1"/>
        </xdr:cNvCxnSpPr>
      </xdr:nvCxnSpPr>
      <xdr:spPr>
        <a:xfrm flipH="1" flipV="1">
          <a:off x="9105900" y="2124075"/>
          <a:ext cx="1428750" cy="371475"/>
        </a:xfrm>
        <a:prstGeom prst="straightConnector1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K13" sqref="K13"/>
    </sheetView>
  </sheetViews>
  <sheetFormatPr baseColWidth="10" defaultRowHeight="12.75"/>
  <cols>
    <col min="3" max="4" width="12.85546875" customWidth="1"/>
  </cols>
  <sheetData>
    <row r="1" spans="1:14">
      <c r="A1" s="1" t="s">
        <v>0</v>
      </c>
      <c r="J1" s="158" t="s">
        <v>1</v>
      </c>
      <c r="K1" s="158"/>
    </row>
    <row r="4" spans="1:1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4">
      <c r="A5" s="1" t="s">
        <v>14</v>
      </c>
      <c r="B5" s="1" t="s">
        <v>15</v>
      </c>
      <c r="C5" s="2">
        <v>27437</v>
      </c>
      <c r="D5" s="2"/>
      <c r="E5">
        <v>210000</v>
      </c>
    </row>
    <row r="6" spans="1:14">
      <c r="A6" s="1" t="s">
        <v>16</v>
      </c>
      <c r="B6" s="1" t="s">
        <v>17</v>
      </c>
      <c r="C6" s="2">
        <v>29357</v>
      </c>
      <c r="D6" s="2"/>
      <c r="E6">
        <v>156000</v>
      </c>
    </row>
    <row r="7" spans="1:14">
      <c r="A7" s="1" t="s">
        <v>18</v>
      </c>
      <c r="B7" s="1" t="s">
        <v>15</v>
      </c>
      <c r="C7" s="2">
        <v>22863</v>
      </c>
      <c r="D7" s="2"/>
      <c r="E7">
        <v>236000</v>
      </c>
      <c r="N7" s="1"/>
    </row>
    <row r="8" spans="1:14">
      <c r="A8" s="1" t="s">
        <v>19</v>
      </c>
      <c r="B8" s="1" t="s">
        <v>15</v>
      </c>
      <c r="C8" s="2">
        <v>21340</v>
      </c>
      <c r="D8" s="2"/>
      <c r="E8">
        <v>560000</v>
      </c>
    </row>
    <row r="9" spans="1:14">
      <c r="A9" s="1" t="s">
        <v>20</v>
      </c>
      <c r="B9" s="1" t="s">
        <v>17</v>
      </c>
      <c r="C9" s="2">
        <v>24870</v>
      </c>
      <c r="D9" s="2"/>
      <c r="E9">
        <v>450000</v>
      </c>
    </row>
    <row r="10" spans="1:14">
      <c r="A10" s="1" t="s">
        <v>21</v>
      </c>
      <c r="B10" s="1" t="s">
        <v>15</v>
      </c>
      <c r="C10" s="2">
        <v>19241</v>
      </c>
      <c r="D10" s="2"/>
      <c r="E10">
        <v>180000</v>
      </c>
    </row>
    <row r="11" spans="1:14">
      <c r="A11" s="1" t="s">
        <v>22</v>
      </c>
      <c r="B11" s="1" t="s">
        <v>17</v>
      </c>
      <c r="C11" s="2">
        <v>29955</v>
      </c>
      <c r="D11" s="2"/>
      <c r="E11">
        <v>289000</v>
      </c>
    </row>
    <row r="12" spans="1:14">
      <c r="A12" s="1" t="s">
        <v>23</v>
      </c>
      <c r="B12" s="1" t="s">
        <v>17</v>
      </c>
      <c r="C12" s="2">
        <v>19483</v>
      </c>
      <c r="D12" s="2"/>
      <c r="E12">
        <v>396000</v>
      </c>
    </row>
    <row r="13" spans="1:14">
      <c r="A13" s="1" t="s">
        <v>24</v>
      </c>
      <c r="B13" s="1" t="s">
        <v>15</v>
      </c>
      <c r="C13" s="2">
        <v>19150</v>
      </c>
      <c r="D13" s="2"/>
      <c r="E13">
        <v>248000</v>
      </c>
    </row>
    <row r="15" spans="1:14">
      <c r="A15" s="1" t="s">
        <v>25</v>
      </c>
      <c r="E15" s="3"/>
    </row>
    <row r="16" spans="1:14">
      <c r="A16" s="1" t="s">
        <v>26</v>
      </c>
      <c r="E16" s="3"/>
    </row>
    <row r="17" spans="1:9">
      <c r="A17" s="1" t="s">
        <v>27</v>
      </c>
      <c r="E17" s="3"/>
    </row>
    <row r="18" spans="1:9">
      <c r="A18" s="1" t="s">
        <v>28</v>
      </c>
      <c r="E18" s="3"/>
    </row>
    <row r="20" spans="1:9">
      <c r="A20" s="1" t="s">
        <v>29</v>
      </c>
      <c r="D20" s="3"/>
    </row>
    <row r="21" spans="1:9">
      <c r="A21" s="1" t="s">
        <v>30</v>
      </c>
      <c r="D21" s="3"/>
    </row>
    <row r="22" spans="1:9">
      <c r="A22" s="1" t="s">
        <v>31</v>
      </c>
      <c r="D22" s="3"/>
      <c r="I22" s="4" t="s">
        <v>32</v>
      </c>
    </row>
    <row r="23" spans="1:9">
      <c r="A23" s="1" t="s">
        <v>33</v>
      </c>
      <c r="D23" s="3"/>
      <c r="I23" s="1" t="s">
        <v>5</v>
      </c>
    </row>
    <row r="24" spans="1:9">
      <c r="A24" s="1" t="s">
        <v>34</v>
      </c>
      <c r="D24" s="3"/>
      <c r="I24" s="1" t="s">
        <v>35</v>
      </c>
    </row>
    <row r="25" spans="1:9">
      <c r="A25" s="1" t="s">
        <v>36</v>
      </c>
      <c r="D25" s="3"/>
      <c r="I25" s="1" t="s">
        <v>37</v>
      </c>
    </row>
    <row r="26" spans="1:9">
      <c r="I26" s="1" t="s">
        <v>38</v>
      </c>
    </row>
    <row r="27" spans="1:9">
      <c r="A27" s="1" t="s">
        <v>39</v>
      </c>
      <c r="D27" s="3"/>
      <c r="I27" s="1" t="s">
        <v>40</v>
      </c>
    </row>
    <row r="28" spans="1:9">
      <c r="A28" s="1" t="s">
        <v>41</v>
      </c>
      <c r="D28" s="3"/>
      <c r="I28" s="1" t="s">
        <v>42</v>
      </c>
    </row>
    <row r="29" spans="1:9">
      <c r="I29" s="1" t="s">
        <v>12</v>
      </c>
    </row>
  </sheetData>
  <mergeCells count="1">
    <mergeCell ref="J1:K1"/>
  </mergeCells>
  <hyperlinks>
    <hyperlink ref="J1:K1" location="MENU!A1" display="RETOUR MENU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1"/>
  <sheetViews>
    <sheetView workbookViewId="0">
      <selection activeCell="K13" sqref="K13"/>
    </sheetView>
  </sheetViews>
  <sheetFormatPr baseColWidth="10" defaultColWidth="25.7109375" defaultRowHeight="17.25" customHeight="1"/>
  <cols>
    <col min="1" max="16384" width="25.7109375" style="5"/>
  </cols>
  <sheetData>
    <row r="1" spans="1:6" ht="17.25" customHeight="1">
      <c r="A1" s="159" t="s">
        <v>43</v>
      </c>
      <c r="B1" s="159"/>
      <c r="C1" s="159"/>
      <c r="D1" s="159"/>
      <c r="E1" s="158" t="s">
        <v>1</v>
      </c>
      <c r="F1" s="158"/>
    </row>
    <row r="3" spans="1:6" s="7" customFormat="1" ht="17.25" customHeight="1">
      <c r="A3" s="6" t="s">
        <v>44</v>
      </c>
      <c r="B3" s="6" t="s">
        <v>45</v>
      </c>
      <c r="D3" s="6" t="s">
        <v>46</v>
      </c>
      <c r="E3" s="6" t="s">
        <v>47</v>
      </c>
      <c r="F3" s="6" t="s">
        <v>48</v>
      </c>
    </row>
    <row r="4" spans="1:6" ht="17.25" customHeight="1">
      <c r="A4" s="8" t="s">
        <v>49</v>
      </c>
      <c r="B4" s="9"/>
      <c r="D4" s="8" t="s">
        <v>50</v>
      </c>
      <c r="E4" s="9"/>
      <c r="F4" s="9"/>
    </row>
    <row r="5" spans="1:6" ht="17.25" customHeight="1">
      <c r="A5" s="8" t="s">
        <v>51</v>
      </c>
      <c r="B5" s="9"/>
      <c r="D5" s="8" t="s">
        <v>52</v>
      </c>
      <c r="E5" s="9"/>
      <c r="F5" s="9"/>
    </row>
    <row r="6" spans="1:6" ht="17.25" customHeight="1">
      <c r="A6" s="8" t="s">
        <v>53</v>
      </c>
      <c r="B6" s="9"/>
      <c r="D6" s="8" t="s">
        <v>54</v>
      </c>
      <c r="E6" s="9"/>
      <c r="F6" s="9"/>
    </row>
    <row r="7" spans="1:6" ht="17.25" customHeight="1">
      <c r="D7" s="8" t="s">
        <v>55</v>
      </c>
      <c r="E7" s="9"/>
      <c r="F7" s="9"/>
    </row>
    <row r="9" spans="1:6" s="7" customFormat="1" ht="17.25" customHeight="1">
      <c r="A9" s="6" t="s">
        <v>56</v>
      </c>
      <c r="B9" s="6" t="s">
        <v>57</v>
      </c>
      <c r="C9" s="6" t="s">
        <v>56</v>
      </c>
      <c r="D9" s="6" t="s">
        <v>58</v>
      </c>
      <c r="E9" s="6" t="s">
        <v>59</v>
      </c>
    </row>
    <row r="10" spans="1:6" ht="17.25" customHeight="1">
      <c r="A10" s="8" t="s">
        <v>60</v>
      </c>
      <c r="B10" s="9"/>
      <c r="C10" s="9"/>
      <c r="D10" s="9"/>
      <c r="E10" s="9"/>
    </row>
    <row r="11" spans="1:6" ht="17.25" customHeight="1">
      <c r="A11" s="8" t="s">
        <v>61</v>
      </c>
      <c r="B11" s="9"/>
      <c r="C11" s="9"/>
      <c r="D11" s="9"/>
      <c r="E11" s="9"/>
    </row>
    <row r="12" spans="1:6" ht="17.25" customHeight="1">
      <c r="A12" s="8" t="s">
        <v>62</v>
      </c>
      <c r="B12" s="9"/>
      <c r="C12" s="9"/>
      <c r="D12" s="9"/>
      <c r="E12" s="9"/>
    </row>
    <row r="13" spans="1:6" ht="17.25" customHeight="1">
      <c r="A13" s="8" t="s">
        <v>63</v>
      </c>
      <c r="B13" s="9"/>
      <c r="C13" s="9"/>
      <c r="D13" s="9"/>
      <c r="E13" s="9"/>
    </row>
    <row r="14" spans="1:6" ht="17.25" customHeight="1">
      <c r="A14" s="8" t="s">
        <v>64</v>
      </c>
      <c r="B14" s="9"/>
      <c r="C14" s="9"/>
      <c r="D14" s="9"/>
      <c r="E14" s="9"/>
    </row>
    <row r="17" spans="1:3" s="7" customFormat="1" ht="17.25" customHeight="1">
      <c r="A17" s="6" t="s">
        <v>2</v>
      </c>
      <c r="B17" s="6" t="s">
        <v>65</v>
      </c>
      <c r="C17" s="6" t="s">
        <v>66</v>
      </c>
    </row>
    <row r="18" spans="1:3" ht="17.25" customHeight="1">
      <c r="A18" s="8" t="s">
        <v>67</v>
      </c>
      <c r="B18" s="8" t="s">
        <v>68</v>
      </c>
      <c r="C18" s="9"/>
    </row>
    <row r="19" spans="1:3" ht="17.25" customHeight="1">
      <c r="A19" s="8" t="s">
        <v>69</v>
      </c>
      <c r="B19" s="8" t="s">
        <v>70</v>
      </c>
      <c r="C19" s="9"/>
    </row>
    <row r="20" spans="1:3" ht="17.25" customHeight="1">
      <c r="A20" s="8" t="s">
        <v>71</v>
      </c>
      <c r="B20" s="8" t="s">
        <v>72</v>
      </c>
      <c r="C20" s="9"/>
    </row>
    <row r="21" spans="1:3" ht="17.25" customHeight="1">
      <c r="A21" s="8" t="s">
        <v>73</v>
      </c>
      <c r="B21" s="8" t="s">
        <v>74</v>
      </c>
      <c r="C21" s="9"/>
    </row>
  </sheetData>
  <mergeCells count="2">
    <mergeCell ref="A1:D1"/>
    <mergeCell ref="E1:F1"/>
  </mergeCells>
  <hyperlinks>
    <hyperlink ref="E1:F1" location="MENU!A1" display="RETOUR MENU"/>
  </hyperlink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A1:J25"/>
  <sheetViews>
    <sheetView workbookViewId="0">
      <selection activeCell="A25" sqref="A25"/>
    </sheetView>
  </sheetViews>
  <sheetFormatPr baseColWidth="10" defaultRowHeight="12.75"/>
  <cols>
    <col min="1" max="1" width="22.140625" style="10" customWidth="1"/>
    <col min="2" max="6" width="15.5703125" style="10" customWidth="1"/>
    <col min="7" max="16384" width="11.42578125" style="10"/>
  </cols>
  <sheetData>
    <row r="1" spans="1:8" ht="23.25">
      <c r="A1" s="160" t="s">
        <v>75</v>
      </c>
      <c r="B1" s="160"/>
      <c r="C1" s="160"/>
      <c r="D1" s="160"/>
      <c r="E1" s="160"/>
      <c r="F1" s="160"/>
      <c r="G1" s="161" t="s">
        <v>1</v>
      </c>
      <c r="H1" s="161"/>
    </row>
    <row r="3" spans="1:8" ht="18.75" customHeight="1">
      <c r="A3" s="11" t="s">
        <v>76</v>
      </c>
      <c r="B3" s="11"/>
      <c r="C3" s="12"/>
    </row>
    <row r="4" spans="1:8">
      <c r="C4" s="13"/>
    </row>
    <row r="5" spans="1:8" ht="18.75" customHeight="1">
      <c r="A5" s="11" t="s">
        <v>77</v>
      </c>
      <c r="B5" s="11"/>
      <c r="C5" s="12"/>
    </row>
    <row r="8" spans="1:8" s="16" customFormat="1" ht="21.75" customHeight="1">
      <c r="A8" s="14" t="s">
        <v>78</v>
      </c>
      <c r="B8" s="14" t="s">
        <v>79</v>
      </c>
      <c r="C8" s="14" t="s">
        <v>80</v>
      </c>
      <c r="D8" s="15" t="s">
        <v>81</v>
      </c>
    </row>
    <row r="9" spans="1:8">
      <c r="A9" s="12">
        <v>2001</v>
      </c>
      <c r="B9" s="12">
        <v>6</v>
      </c>
      <c r="C9" s="12">
        <v>25</v>
      </c>
      <c r="D9" s="12"/>
    </row>
    <row r="10" spans="1:8">
      <c r="A10" s="12">
        <v>1989</v>
      </c>
      <c r="B10" s="12">
        <v>8</v>
      </c>
      <c r="C10" s="12">
        <v>16</v>
      </c>
      <c r="D10" s="12"/>
    </row>
    <row r="11" spans="1:8">
      <c r="A11" s="12">
        <v>1988</v>
      </c>
      <c r="B11" s="12">
        <v>7</v>
      </c>
      <c r="C11" s="12">
        <v>1</v>
      </c>
      <c r="D11" s="12"/>
    </row>
    <row r="12" spans="1:8">
      <c r="A12" s="12">
        <v>2008</v>
      </c>
      <c r="B12" s="12">
        <v>1</v>
      </c>
      <c r="C12" s="12">
        <v>31</v>
      </c>
      <c r="D12" s="12"/>
    </row>
    <row r="16" spans="1:8" s="16" customFormat="1" ht="18.75" customHeight="1">
      <c r="A16" s="14" t="s">
        <v>82</v>
      </c>
      <c r="B16" s="14" t="s">
        <v>78</v>
      </c>
      <c r="C16" s="14" t="s">
        <v>79</v>
      </c>
      <c r="D16" s="14" t="s">
        <v>80</v>
      </c>
      <c r="E16" s="14" t="s">
        <v>5</v>
      </c>
      <c r="F16" s="14" t="s">
        <v>83</v>
      </c>
    </row>
    <row r="17" spans="1:10">
      <c r="A17" s="17">
        <v>20770</v>
      </c>
      <c r="B17" s="12"/>
      <c r="C17" s="12"/>
      <c r="D17" s="12"/>
      <c r="E17" s="12"/>
      <c r="F17" s="12"/>
      <c r="I17" s="13"/>
      <c r="J17" s="13"/>
    </row>
    <row r="18" spans="1:10">
      <c r="A18" s="17">
        <v>32265</v>
      </c>
      <c r="B18" s="12"/>
      <c r="C18" s="12"/>
      <c r="D18" s="12"/>
      <c r="E18" s="12"/>
      <c r="F18" s="12"/>
    </row>
    <row r="19" spans="1:10">
      <c r="A19" s="17">
        <v>11145</v>
      </c>
      <c r="B19" s="12"/>
      <c r="C19" s="12"/>
      <c r="D19" s="12"/>
      <c r="E19" s="12"/>
      <c r="F19" s="12"/>
    </row>
    <row r="20" spans="1:10">
      <c r="A20" s="17">
        <v>36161</v>
      </c>
      <c r="B20" s="12"/>
      <c r="C20" s="12"/>
      <c r="D20" s="12"/>
      <c r="E20" s="12"/>
      <c r="F20" s="12"/>
    </row>
    <row r="25" spans="1:10">
      <c r="A25" s="18"/>
    </row>
  </sheetData>
  <mergeCells count="2">
    <mergeCell ref="A1:F1"/>
    <mergeCell ref="G1:H1"/>
  </mergeCells>
  <hyperlinks>
    <hyperlink ref="G1:H1" location="MENU!A1" display="RETOUR MENU"/>
  </hyperlinks>
  <pageMargins left="0.78740157499999996" right="0.78740157499999996" top="0.984251969" bottom="0.984251969" header="0.4921259845" footer="0.492125984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2"/>
  <sheetViews>
    <sheetView workbookViewId="0">
      <selection activeCell="K13" sqref="K13"/>
    </sheetView>
  </sheetViews>
  <sheetFormatPr baseColWidth="10" defaultRowHeight="12.75"/>
  <cols>
    <col min="1" max="1" width="15.7109375" customWidth="1"/>
  </cols>
  <sheetData>
    <row r="1" spans="1:12" ht="20.25">
      <c r="A1" s="162" t="s">
        <v>84</v>
      </c>
      <c r="B1" s="162"/>
      <c r="C1" s="162"/>
      <c r="D1" s="162"/>
      <c r="E1" s="162"/>
      <c r="F1" s="162"/>
      <c r="G1" s="162"/>
      <c r="H1" s="162"/>
      <c r="I1" s="162"/>
      <c r="J1" s="158" t="s">
        <v>1</v>
      </c>
      <c r="K1" s="158"/>
    </row>
    <row r="5" spans="1:12" s="21" customFormat="1" ht="25.5">
      <c r="A5" s="19" t="s">
        <v>85</v>
      </c>
      <c r="B5" s="20" t="s">
        <v>86</v>
      </c>
      <c r="C5" s="20" t="s">
        <v>87</v>
      </c>
      <c r="D5" s="19" t="s">
        <v>26</v>
      </c>
      <c r="E5" s="19" t="s">
        <v>13</v>
      </c>
      <c r="F5" s="20" t="s">
        <v>88</v>
      </c>
      <c r="G5" s="20" t="s">
        <v>89</v>
      </c>
      <c r="H5" s="20" t="s">
        <v>90</v>
      </c>
      <c r="I5" s="20" t="s">
        <v>91</v>
      </c>
      <c r="L5" s="22"/>
    </row>
    <row r="6" spans="1:12">
      <c r="A6" s="23" t="s">
        <v>92</v>
      </c>
      <c r="B6" s="24">
        <v>10</v>
      </c>
      <c r="C6" s="24">
        <v>16</v>
      </c>
      <c r="D6" s="24"/>
      <c r="E6" s="24"/>
      <c r="F6" s="24"/>
      <c r="G6" s="24"/>
      <c r="H6" s="24"/>
      <c r="I6" s="24"/>
    </row>
    <row r="7" spans="1:12">
      <c r="A7" s="23" t="s">
        <v>93</v>
      </c>
      <c r="B7" s="24">
        <v>15</v>
      </c>
      <c r="C7" s="24">
        <v>15</v>
      </c>
      <c r="D7" s="24"/>
      <c r="E7" s="24"/>
      <c r="F7" s="24"/>
      <c r="G7" s="24"/>
      <c r="H7" s="24"/>
      <c r="I7" s="24"/>
    </row>
    <row r="8" spans="1:12">
      <c r="A8" s="23" t="s">
        <v>94</v>
      </c>
      <c r="B8" s="24">
        <v>20</v>
      </c>
      <c r="C8" s="24">
        <v>18</v>
      </c>
      <c r="D8" s="24"/>
      <c r="E8" s="24"/>
      <c r="F8" s="24"/>
      <c r="G8" s="24"/>
      <c r="H8" s="24"/>
      <c r="I8" s="24"/>
    </row>
    <row r="9" spans="1:12">
      <c r="A9" s="23" t="s">
        <v>95</v>
      </c>
      <c r="B9" s="24">
        <v>3</v>
      </c>
      <c r="C9" s="24">
        <v>19</v>
      </c>
      <c r="D9" s="24"/>
      <c r="E9" s="24"/>
      <c r="F9" s="24"/>
      <c r="G9" s="24"/>
      <c r="H9" s="24"/>
      <c r="I9" s="24"/>
      <c r="J9" s="25" t="s">
        <v>96</v>
      </c>
      <c r="K9" s="22" t="s">
        <v>97</v>
      </c>
    </row>
    <row r="10" spans="1:12">
      <c r="A10" s="23" t="s">
        <v>98</v>
      </c>
      <c r="B10" s="24">
        <v>16</v>
      </c>
      <c r="C10" s="24">
        <v>12</v>
      </c>
      <c r="D10" s="24"/>
      <c r="E10" s="24"/>
      <c r="F10" s="24"/>
      <c r="G10" s="24"/>
      <c r="H10" s="24"/>
      <c r="I10" s="24"/>
      <c r="J10" s="25" t="s">
        <v>96</v>
      </c>
      <c r="K10" s="4" t="s">
        <v>99</v>
      </c>
    </row>
    <row r="11" spans="1:12">
      <c r="A11" s="23" t="s">
        <v>100</v>
      </c>
      <c r="B11" s="24">
        <v>12</v>
      </c>
      <c r="C11" s="24">
        <v>10</v>
      </c>
      <c r="D11" s="24"/>
      <c r="E11" s="24"/>
      <c r="F11" s="24"/>
      <c r="G11" s="24"/>
      <c r="H11" s="24"/>
      <c r="I11" s="24"/>
      <c r="J11" s="25" t="s">
        <v>96</v>
      </c>
      <c r="K11" s="4" t="s">
        <v>101</v>
      </c>
    </row>
    <row r="12" spans="1:12">
      <c r="A12" s="23" t="s">
        <v>102</v>
      </c>
      <c r="B12" s="24">
        <v>1</v>
      </c>
      <c r="C12" s="24">
        <v>15</v>
      </c>
      <c r="D12" s="24"/>
      <c r="E12" s="24"/>
      <c r="F12" s="24"/>
      <c r="G12" s="24"/>
      <c r="H12" s="24"/>
      <c r="I12" s="24"/>
      <c r="J12" s="25" t="s">
        <v>96</v>
      </c>
      <c r="K12" s="4" t="s">
        <v>103</v>
      </c>
    </row>
    <row r="13" spans="1:12">
      <c r="A13" s="23" t="s">
        <v>104</v>
      </c>
      <c r="B13" s="24">
        <v>15</v>
      </c>
      <c r="C13" s="24">
        <v>13</v>
      </c>
      <c r="D13" s="24"/>
      <c r="E13" s="24"/>
      <c r="F13" s="24"/>
      <c r="G13" s="24"/>
      <c r="H13" s="24"/>
      <c r="I13" s="24"/>
    </row>
    <row r="14" spans="1:12">
      <c r="A14" s="23" t="s">
        <v>105</v>
      </c>
      <c r="B14" s="24">
        <v>12</v>
      </c>
      <c r="C14" s="24">
        <v>14</v>
      </c>
      <c r="D14" s="24"/>
      <c r="E14" s="24"/>
      <c r="F14" s="24"/>
      <c r="G14" s="24"/>
      <c r="H14" s="24"/>
      <c r="I14" s="24"/>
    </row>
    <row r="15" spans="1:12">
      <c r="A15" s="23" t="s">
        <v>106</v>
      </c>
      <c r="B15" s="24">
        <v>6</v>
      </c>
      <c r="C15" s="24">
        <v>15</v>
      </c>
      <c r="D15" s="24"/>
      <c r="E15" s="24"/>
      <c r="F15" s="24"/>
      <c r="G15" s="24"/>
      <c r="H15" s="24"/>
      <c r="I15" s="24"/>
    </row>
    <row r="16" spans="1:12">
      <c r="A16" s="23" t="s">
        <v>107</v>
      </c>
      <c r="B16" s="24">
        <v>2</v>
      </c>
      <c r="C16" s="24">
        <v>12</v>
      </c>
      <c r="D16" s="24"/>
      <c r="E16" s="24"/>
      <c r="F16" s="24"/>
      <c r="G16" s="24"/>
      <c r="H16" s="24"/>
      <c r="I16" s="24"/>
    </row>
    <row r="17" spans="1:9">
      <c r="A17" s="23" t="s">
        <v>108</v>
      </c>
      <c r="B17" s="24">
        <v>5</v>
      </c>
      <c r="C17" s="24">
        <v>1</v>
      </c>
      <c r="D17" s="24"/>
      <c r="E17" s="24"/>
      <c r="F17" s="24"/>
      <c r="G17" s="24"/>
      <c r="H17" s="24"/>
      <c r="I17" s="24"/>
    </row>
    <row r="18" spans="1:9">
      <c r="A18" s="23" t="s">
        <v>109</v>
      </c>
      <c r="B18" s="24">
        <v>9</v>
      </c>
      <c r="C18" s="24">
        <v>15</v>
      </c>
      <c r="D18" s="24"/>
      <c r="E18" s="24"/>
      <c r="F18" s="24"/>
      <c r="G18" s="24"/>
      <c r="H18" s="24"/>
      <c r="I18" s="24"/>
    </row>
    <row r="19" spans="1:9">
      <c r="A19" s="23" t="s">
        <v>110</v>
      </c>
      <c r="B19" s="24">
        <v>1</v>
      </c>
      <c r="C19" s="24">
        <v>1</v>
      </c>
      <c r="D19" s="24"/>
      <c r="E19" s="24"/>
      <c r="F19" s="24"/>
      <c r="G19" s="24"/>
      <c r="H19" s="24"/>
      <c r="I19" s="24"/>
    </row>
    <row r="20" spans="1:9">
      <c r="A20" s="23" t="s">
        <v>111</v>
      </c>
      <c r="B20" s="24">
        <v>12</v>
      </c>
      <c r="C20" s="24">
        <v>16</v>
      </c>
      <c r="D20" s="24"/>
      <c r="E20" s="24"/>
      <c r="F20" s="24"/>
      <c r="G20" s="24"/>
      <c r="H20" s="24"/>
      <c r="I20" s="24"/>
    </row>
    <row r="21" spans="1:9">
      <c r="A21" s="23" t="s">
        <v>112</v>
      </c>
      <c r="B21" s="24">
        <v>0</v>
      </c>
      <c r="C21" s="24">
        <v>10</v>
      </c>
      <c r="D21" s="24"/>
      <c r="E21" s="24"/>
      <c r="F21" s="24"/>
      <c r="G21" s="24"/>
      <c r="H21" s="24"/>
      <c r="I21" s="24"/>
    </row>
    <row r="22" spans="1:9">
      <c r="A22" s="23" t="s">
        <v>113</v>
      </c>
      <c r="B22" s="24">
        <v>2</v>
      </c>
      <c r="C22" s="24">
        <v>12</v>
      </c>
      <c r="D22" s="24"/>
      <c r="E22" s="24"/>
      <c r="F22" s="24"/>
      <c r="G22" s="24"/>
      <c r="H22" s="24"/>
      <c r="I22" s="24"/>
    </row>
    <row r="23" spans="1:9">
      <c r="A23" s="23" t="s">
        <v>114</v>
      </c>
      <c r="B23" s="24">
        <v>6</v>
      </c>
      <c r="C23" s="24">
        <v>3</v>
      </c>
      <c r="D23" s="24"/>
      <c r="E23" s="24"/>
      <c r="F23" s="24"/>
      <c r="G23" s="24"/>
      <c r="H23" s="24"/>
      <c r="I23" s="24"/>
    </row>
    <row r="24" spans="1:9">
      <c r="A24" s="23" t="s">
        <v>115</v>
      </c>
      <c r="B24" s="24">
        <v>12</v>
      </c>
      <c r="C24" s="24">
        <v>11</v>
      </c>
      <c r="D24" s="24"/>
      <c r="E24" s="24"/>
      <c r="F24" s="24"/>
      <c r="G24" s="24"/>
      <c r="H24" s="24"/>
      <c r="I24" s="24"/>
    </row>
    <row r="25" spans="1:9">
      <c r="A25" s="23" t="s">
        <v>116</v>
      </c>
      <c r="B25" s="24">
        <v>11</v>
      </c>
      <c r="C25" s="24">
        <v>8</v>
      </c>
      <c r="D25" s="24"/>
      <c r="E25" s="24"/>
      <c r="F25" s="24"/>
      <c r="G25" s="24"/>
      <c r="H25" s="24"/>
      <c r="I25" s="24"/>
    </row>
    <row r="27" spans="1:9" ht="25.5">
      <c r="A27" s="26" t="s">
        <v>117</v>
      </c>
      <c r="B27" s="27"/>
    </row>
    <row r="28" spans="1:9">
      <c r="A28" s="28" t="s">
        <v>118</v>
      </c>
      <c r="B28" s="27"/>
    </row>
    <row r="29" spans="1:9">
      <c r="A29" s="28" t="s">
        <v>119</v>
      </c>
      <c r="B29" s="27"/>
    </row>
    <row r="30" spans="1:9">
      <c r="A30" s="28" t="s">
        <v>120</v>
      </c>
      <c r="B30" s="27"/>
    </row>
    <row r="31" spans="1:9">
      <c r="A31" s="28" t="s">
        <v>121</v>
      </c>
      <c r="B31" s="27"/>
    </row>
    <row r="32" spans="1:9">
      <c r="A32" s="28" t="s">
        <v>122</v>
      </c>
      <c r="B32" s="27"/>
    </row>
  </sheetData>
  <mergeCells count="2">
    <mergeCell ref="A1:I1"/>
    <mergeCell ref="J1:K1"/>
  </mergeCells>
  <hyperlinks>
    <hyperlink ref="J1:K1" location="MENU!A1" display="RETOUR MENU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"/>
  <sheetViews>
    <sheetView tabSelected="1" workbookViewId="0">
      <selection activeCell="K13" sqref="K13"/>
    </sheetView>
  </sheetViews>
  <sheetFormatPr baseColWidth="10" defaultRowHeight="12.75"/>
  <cols>
    <col min="1" max="1" width="16.85546875" customWidth="1"/>
    <col min="2" max="2" width="11" customWidth="1"/>
    <col min="3" max="9" width="16.85546875" customWidth="1"/>
  </cols>
  <sheetData>
    <row r="1" spans="1:12" ht="24" customHeight="1">
      <c r="A1" s="163" t="s">
        <v>123</v>
      </c>
      <c r="B1" s="163"/>
      <c r="C1" s="163"/>
      <c r="D1" s="163"/>
      <c r="E1" s="163"/>
      <c r="K1" s="158" t="s">
        <v>1</v>
      </c>
      <c r="L1" s="158"/>
    </row>
    <row r="3" spans="1:12" ht="13.5" thickBot="1"/>
    <row r="4" spans="1:12" s="33" customFormat="1" ht="27" thickTop="1" thickBot="1">
      <c r="A4" s="29" t="s">
        <v>124</v>
      </c>
      <c r="B4" s="30" t="s">
        <v>125</v>
      </c>
      <c r="C4" s="30" t="s">
        <v>126</v>
      </c>
      <c r="D4" s="31" t="s">
        <v>127</v>
      </c>
      <c r="E4" s="31" t="s">
        <v>128</v>
      </c>
      <c r="F4" s="31" t="s">
        <v>129</v>
      </c>
      <c r="G4" s="31" t="s">
        <v>130</v>
      </c>
      <c r="H4" s="31" t="s">
        <v>131</v>
      </c>
      <c r="I4" s="31" t="s">
        <v>132</v>
      </c>
      <c r="J4" s="32" t="s">
        <v>133</v>
      </c>
    </row>
    <row r="5" spans="1:12" ht="18" customHeight="1" thickTop="1">
      <c r="A5" s="34" t="s">
        <v>134</v>
      </c>
      <c r="B5" s="35">
        <v>5</v>
      </c>
      <c r="C5" s="36">
        <v>3811.2254309352597</v>
      </c>
      <c r="D5" s="37" t="s">
        <v>135</v>
      </c>
      <c r="E5" s="37"/>
      <c r="F5" s="37"/>
      <c r="G5" s="37"/>
      <c r="H5" s="37"/>
      <c r="I5" s="37"/>
      <c r="J5" s="38"/>
    </row>
    <row r="6" spans="1:12" ht="18" customHeight="1">
      <c r="A6" s="39" t="s">
        <v>136</v>
      </c>
      <c r="B6" s="40">
        <v>17</v>
      </c>
      <c r="C6" s="41">
        <v>2591.6332930359763</v>
      </c>
      <c r="D6" s="42" t="s">
        <v>137</v>
      </c>
      <c r="E6" s="42"/>
      <c r="F6" s="42"/>
      <c r="G6" s="42"/>
      <c r="H6" s="42"/>
      <c r="I6" s="42"/>
      <c r="J6" s="43"/>
    </row>
    <row r="7" spans="1:12" ht="18" customHeight="1">
      <c r="A7" s="39" t="s">
        <v>138</v>
      </c>
      <c r="B7" s="40">
        <v>13</v>
      </c>
      <c r="C7" s="41">
        <v>3201.429361985618</v>
      </c>
      <c r="D7" s="42" t="s">
        <v>137</v>
      </c>
      <c r="E7" s="42"/>
      <c r="F7" s="42"/>
      <c r="G7" s="42"/>
      <c r="H7" s="42"/>
      <c r="I7" s="42"/>
      <c r="J7" s="43"/>
    </row>
    <row r="8" spans="1:12" ht="18" customHeight="1" thickBot="1">
      <c r="A8" s="44" t="s">
        <v>139</v>
      </c>
      <c r="B8" s="45">
        <v>9</v>
      </c>
      <c r="C8" s="46">
        <v>4268.5724826474907</v>
      </c>
      <c r="D8" s="47" t="s">
        <v>135</v>
      </c>
      <c r="E8" s="47"/>
      <c r="F8" s="47"/>
      <c r="G8" s="47"/>
      <c r="H8" s="47"/>
      <c r="I8" s="47"/>
      <c r="J8" s="48"/>
    </row>
    <row r="9" spans="1:12" ht="13.5" thickTop="1"/>
  </sheetData>
  <mergeCells count="2">
    <mergeCell ref="A1:E1"/>
    <mergeCell ref="K1:L1"/>
  </mergeCells>
  <hyperlinks>
    <hyperlink ref="K1:L1" location="MENU!A1" display="RETOUR MENU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28"/>
  <sheetViews>
    <sheetView workbookViewId="0">
      <selection activeCell="K13" sqref="K13"/>
    </sheetView>
  </sheetViews>
  <sheetFormatPr baseColWidth="10" defaultRowHeight="12.75"/>
  <sheetData>
    <row r="1" spans="1:9">
      <c r="A1" t="s">
        <v>140</v>
      </c>
      <c r="G1" s="164" t="s">
        <v>1</v>
      </c>
      <c r="H1" s="164"/>
      <c r="I1" s="49"/>
    </row>
    <row r="4" spans="1:9" ht="27" customHeight="1">
      <c r="A4" s="50" t="s">
        <v>141</v>
      </c>
      <c r="B4" s="50" t="s">
        <v>142</v>
      </c>
      <c r="C4" s="51" t="s">
        <v>143</v>
      </c>
      <c r="D4" s="51" t="s">
        <v>144</v>
      </c>
      <c r="E4" s="50" t="s">
        <v>145</v>
      </c>
    </row>
    <row r="5" spans="1:9">
      <c r="A5" s="52">
        <v>37990</v>
      </c>
      <c r="B5" s="53" t="s">
        <v>146</v>
      </c>
      <c r="C5" s="53">
        <v>11450</v>
      </c>
      <c r="D5" s="53">
        <v>11665</v>
      </c>
      <c r="E5" s="53">
        <f>IF(D5="","",D5-C5)</f>
        <v>215</v>
      </c>
    </row>
    <row r="6" spans="1:9">
      <c r="A6" s="52">
        <v>37990</v>
      </c>
      <c r="B6" s="53" t="s">
        <v>146</v>
      </c>
      <c r="C6" s="53">
        <v>11665</v>
      </c>
      <c r="D6" s="53">
        <f>C6+658</f>
        <v>12323</v>
      </c>
      <c r="E6" s="53">
        <f t="shared" ref="E6:E22" si="0">IF(D6="","",D6-C6)</f>
        <v>658</v>
      </c>
    </row>
    <row r="7" spans="1:9">
      <c r="A7" s="54">
        <v>37990</v>
      </c>
      <c r="B7" s="55" t="s">
        <v>147</v>
      </c>
      <c r="C7" s="55">
        <v>12120</v>
      </c>
      <c r="D7" s="55">
        <f>C7+6354</f>
        <v>18474</v>
      </c>
      <c r="E7" s="55">
        <f t="shared" si="0"/>
        <v>6354</v>
      </c>
    </row>
    <row r="8" spans="1:9">
      <c r="A8" s="52">
        <v>37990</v>
      </c>
      <c r="B8" s="53" t="s">
        <v>146</v>
      </c>
      <c r="C8" s="53">
        <v>12335</v>
      </c>
      <c r="D8" s="53">
        <f>C8+5247</f>
        <v>17582</v>
      </c>
      <c r="E8" s="53">
        <f t="shared" si="0"/>
        <v>5247</v>
      </c>
    </row>
    <row r="9" spans="1:9">
      <c r="A9" s="54">
        <v>37991</v>
      </c>
      <c r="B9" s="55" t="s">
        <v>147</v>
      </c>
      <c r="C9" s="55">
        <v>13478</v>
      </c>
      <c r="D9" s="55">
        <f>C9+732</f>
        <v>14210</v>
      </c>
      <c r="E9" s="55">
        <f t="shared" si="0"/>
        <v>732</v>
      </c>
    </row>
    <row r="10" spans="1:9">
      <c r="A10" s="52">
        <v>37991</v>
      </c>
      <c r="B10" s="53" t="s">
        <v>146</v>
      </c>
      <c r="C10" s="53">
        <v>13654</v>
      </c>
      <c r="D10" s="53">
        <f>C10+5417</f>
        <v>19071</v>
      </c>
      <c r="E10" s="53">
        <f t="shared" si="0"/>
        <v>5417</v>
      </c>
    </row>
    <row r="11" spans="1:9">
      <c r="A11" s="52">
        <v>37991</v>
      </c>
      <c r="B11" s="53" t="s">
        <v>146</v>
      </c>
      <c r="C11" s="53">
        <v>14258</v>
      </c>
      <c r="D11" s="53">
        <f>C11+258</f>
        <v>14516</v>
      </c>
      <c r="E11" s="53">
        <f t="shared" si="0"/>
        <v>258</v>
      </c>
    </row>
    <row r="12" spans="1:9">
      <c r="A12" s="56">
        <v>37992</v>
      </c>
      <c r="B12" s="57" t="s">
        <v>148</v>
      </c>
      <c r="C12" s="57">
        <v>15645</v>
      </c>
      <c r="D12" s="57">
        <f>C12+789</f>
        <v>16434</v>
      </c>
      <c r="E12" s="57">
        <f t="shared" si="0"/>
        <v>789</v>
      </c>
    </row>
    <row r="13" spans="1:9">
      <c r="A13" s="58">
        <v>37993</v>
      </c>
      <c r="B13" s="59" t="s">
        <v>149</v>
      </c>
      <c r="C13" s="59">
        <v>45228</v>
      </c>
      <c r="D13" s="59">
        <f>C13+951</f>
        <v>46179</v>
      </c>
      <c r="E13" s="59">
        <f t="shared" si="0"/>
        <v>951</v>
      </c>
    </row>
    <row r="14" spans="1:9">
      <c r="A14" s="60"/>
      <c r="B14" s="60"/>
      <c r="C14" s="60"/>
      <c r="D14" s="60"/>
      <c r="E14" s="60" t="str">
        <f>IF(D14="","",D14-C14)</f>
        <v/>
      </c>
    </row>
    <row r="15" spans="1:9">
      <c r="A15" s="60"/>
      <c r="B15" s="60"/>
      <c r="C15" s="60"/>
      <c r="D15" s="60"/>
      <c r="E15" s="60" t="str">
        <f t="shared" si="0"/>
        <v/>
      </c>
    </row>
    <row r="16" spans="1:9">
      <c r="A16" s="60"/>
      <c r="B16" s="60"/>
      <c r="C16" s="60"/>
      <c r="D16" s="60"/>
      <c r="E16" s="60" t="str">
        <f t="shared" si="0"/>
        <v/>
      </c>
    </row>
    <row r="17" spans="1:7">
      <c r="A17" s="60"/>
      <c r="B17" s="60"/>
      <c r="C17" s="60"/>
      <c r="D17" s="60"/>
      <c r="E17" s="60" t="str">
        <f t="shared" si="0"/>
        <v/>
      </c>
    </row>
    <row r="18" spans="1:7">
      <c r="A18" s="60"/>
      <c r="B18" s="60"/>
      <c r="C18" s="60"/>
      <c r="D18" s="60"/>
      <c r="E18" s="60" t="str">
        <f t="shared" si="0"/>
        <v/>
      </c>
    </row>
    <row r="19" spans="1:7">
      <c r="A19" s="60"/>
      <c r="B19" s="60"/>
      <c r="C19" s="60"/>
      <c r="D19" s="60"/>
      <c r="E19" s="60" t="str">
        <f t="shared" si="0"/>
        <v/>
      </c>
    </row>
    <row r="20" spans="1:7">
      <c r="A20" s="60"/>
      <c r="B20" s="60"/>
      <c r="C20" s="60"/>
      <c r="D20" s="60"/>
      <c r="E20" s="60" t="str">
        <f t="shared" si="0"/>
        <v/>
      </c>
    </row>
    <row r="21" spans="1:7">
      <c r="A21" s="60"/>
      <c r="B21" s="60"/>
      <c r="C21" s="60"/>
      <c r="D21" s="60"/>
      <c r="E21" s="60" t="str">
        <f t="shared" si="0"/>
        <v/>
      </c>
    </row>
    <row r="22" spans="1:7">
      <c r="A22" s="60"/>
      <c r="B22" s="60"/>
      <c r="C22" s="60"/>
      <c r="D22" s="60"/>
      <c r="E22" s="60" t="str">
        <f t="shared" si="0"/>
        <v/>
      </c>
    </row>
    <row r="24" spans="1:7">
      <c r="B24" s="50" t="s">
        <v>150</v>
      </c>
    </row>
    <row r="25" spans="1:7">
      <c r="A25" s="61" t="s">
        <v>146</v>
      </c>
      <c r="B25" s="62"/>
      <c r="G25" s="63">
        <f>SUMIF($B$5:$B$22,A25,$E$5:$E$22)</f>
        <v>11795</v>
      </c>
    </row>
    <row r="26" spans="1:7">
      <c r="A26" s="64" t="s">
        <v>148</v>
      </c>
      <c r="B26" s="65"/>
      <c r="G26" s="63">
        <f>SUMIF($B$5:$B$22,A26,$E$5:$E$22)</f>
        <v>789</v>
      </c>
    </row>
    <row r="27" spans="1:7">
      <c r="A27" s="66" t="s">
        <v>149</v>
      </c>
      <c r="B27" s="67"/>
      <c r="G27" s="63">
        <f>SUMIF($B$5:$B$22,A27,$E$5:$E$22)</f>
        <v>951</v>
      </c>
    </row>
    <row r="28" spans="1:7">
      <c r="A28" s="68" t="s">
        <v>147</v>
      </c>
      <c r="B28" s="69"/>
      <c r="G28" s="63">
        <f>SUMIF($B$5:$B$22,A28,$E$5:$E$22)</f>
        <v>7086</v>
      </c>
    </row>
  </sheetData>
  <mergeCells count="1">
    <mergeCell ref="G1:H1"/>
  </mergeCells>
  <hyperlinks>
    <hyperlink ref="G1:H1" location="MENU!A1" display="RETOUR MENU"/>
  </hyperlinks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41"/>
  <sheetViews>
    <sheetView workbookViewId="0">
      <selection activeCell="K13" sqref="K13"/>
    </sheetView>
  </sheetViews>
  <sheetFormatPr baseColWidth="10" defaultRowHeight="12.75"/>
  <sheetData>
    <row r="1" spans="1:8">
      <c r="G1" s="164" t="s">
        <v>1</v>
      </c>
      <c r="H1" s="164"/>
    </row>
    <row r="2" spans="1:8" ht="13.5" thickBot="1"/>
    <row r="3" spans="1:8" ht="13.5" thickBot="1">
      <c r="A3" s="70" t="s">
        <v>151</v>
      </c>
      <c r="B3" s="71" t="s">
        <v>152</v>
      </c>
      <c r="C3" s="72" t="s">
        <v>153</v>
      </c>
    </row>
    <row r="4" spans="1:8">
      <c r="A4" s="73" t="s">
        <v>154</v>
      </c>
      <c r="B4" s="74" t="s">
        <v>155</v>
      </c>
      <c r="C4" s="75">
        <v>400</v>
      </c>
    </row>
    <row r="5" spans="1:8">
      <c r="A5" s="39" t="s">
        <v>154</v>
      </c>
      <c r="B5" s="42" t="s">
        <v>155</v>
      </c>
      <c r="C5" s="43">
        <v>200</v>
      </c>
    </row>
    <row r="6" spans="1:8">
      <c r="A6" s="39" t="s">
        <v>154</v>
      </c>
      <c r="B6" s="42" t="s">
        <v>155</v>
      </c>
      <c r="C6" s="43">
        <v>300</v>
      </c>
    </row>
    <row r="7" spans="1:8">
      <c r="A7" s="39" t="s">
        <v>156</v>
      </c>
      <c r="B7" s="42" t="s">
        <v>155</v>
      </c>
      <c r="C7" s="43">
        <v>520</v>
      </c>
    </row>
    <row r="8" spans="1:8">
      <c r="A8" s="39" t="s">
        <v>72</v>
      </c>
      <c r="B8" s="42" t="s">
        <v>157</v>
      </c>
      <c r="C8" s="43">
        <v>300</v>
      </c>
    </row>
    <row r="9" spans="1:8">
      <c r="A9" s="39" t="s">
        <v>156</v>
      </c>
      <c r="B9" s="42" t="s">
        <v>157</v>
      </c>
      <c r="C9" s="43">
        <v>125</v>
      </c>
    </row>
    <row r="10" spans="1:8">
      <c r="A10" s="39" t="s">
        <v>154</v>
      </c>
      <c r="B10" s="42" t="s">
        <v>157</v>
      </c>
      <c r="C10" s="43">
        <v>620</v>
      </c>
    </row>
    <row r="11" spans="1:8">
      <c r="A11" s="39" t="s">
        <v>72</v>
      </c>
      <c r="B11" s="42" t="s">
        <v>157</v>
      </c>
      <c r="C11" s="43">
        <v>650</v>
      </c>
    </row>
    <row r="12" spans="1:8">
      <c r="A12" s="39" t="s">
        <v>156</v>
      </c>
      <c r="B12" s="42" t="s">
        <v>157</v>
      </c>
      <c r="C12" s="43">
        <v>900</v>
      </c>
    </row>
    <row r="13" spans="1:8" ht="13.5" thickBot="1">
      <c r="A13" s="44" t="s">
        <v>156</v>
      </c>
      <c r="B13" s="47" t="s">
        <v>155</v>
      </c>
      <c r="C13" s="48">
        <v>100</v>
      </c>
    </row>
    <row r="14" spans="1:8" ht="13.5" thickTop="1"/>
    <row r="16" spans="1:8">
      <c r="A16" s="4" t="s">
        <v>158</v>
      </c>
    </row>
    <row r="18" spans="1:4">
      <c r="B18" t="s">
        <v>159</v>
      </c>
      <c r="D18" s="76"/>
    </row>
    <row r="20" spans="1:4">
      <c r="A20" s="4" t="s">
        <v>160</v>
      </c>
    </row>
    <row r="21" spans="1:4">
      <c r="A21" s="77" t="s">
        <v>161</v>
      </c>
    </row>
    <row r="23" spans="1:4">
      <c r="B23" t="s">
        <v>162</v>
      </c>
      <c r="D23" s="76"/>
    </row>
    <row r="25" spans="1:4">
      <c r="A25" s="4" t="s">
        <v>163</v>
      </c>
    </row>
    <row r="27" spans="1:4">
      <c r="B27" t="s">
        <v>162</v>
      </c>
      <c r="D27" s="76"/>
    </row>
    <row r="29" spans="1:4">
      <c r="A29" s="4" t="s">
        <v>164</v>
      </c>
    </row>
    <row r="30" spans="1:4">
      <c r="D30" s="78"/>
    </row>
    <row r="31" spans="1:4">
      <c r="B31" t="s">
        <v>162</v>
      </c>
      <c r="D31" s="76"/>
    </row>
    <row r="34" spans="1:4">
      <c r="A34" s="4" t="s">
        <v>165</v>
      </c>
    </row>
    <row r="36" spans="1:4">
      <c r="B36" t="s">
        <v>162</v>
      </c>
      <c r="D36" s="76">
        <f>SUMPRODUCT((A4:A13="pascal")*(B4:B13="février")*(C4:C13))</f>
        <v>1025</v>
      </c>
    </row>
    <row r="39" spans="1:4">
      <c r="A39" s="4" t="s">
        <v>166</v>
      </c>
    </row>
    <row r="41" spans="1:4">
      <c r="B41" t="s">
        <v>162</v>
      </c>
      <c r="D41" s="76">
        <f>SUMPRODUCT(((A4:A13="pierre")+(A4:A13="jean"))*C4:C13)</f>
        <v>2470</v>
      </c>
    </row>
  </sheetData>
  <mergeCells count="1">
    <mergeCell ref="G1:H1"/>
  </mergeCells>
  <hyperlinks>
    <hyperlink ref="G1:H1" location="MENU!A1" display="RETOUR MENU"/>
  </hyperlinks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>
    <oddHeader>&amp;RSOMMEPROD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G8"/>
  <sheetViews>
    <sheetView zoomScale="130" zoomScaleNormal="130" workbookViewId="0">
      <selection activeCell="K13" sqref="K13"/>
    </sheetView>
  </sheetViews>
  <sheetFormatPr baseColWidth="10" defaultColWidth="22" defaultRowHeight="18"/>
  <cols>
    <col min="1" max="1" width="11.42578125" style="80" bestFit="1" customWidth="1"/>
    <col min="2" max="2" width="12.140625" style="80" bestFit="1" customWidth="1"/>
    <col min="3" max="3" width="9" style="80" bestFit="1" customWidth="1"/>
    <col min="4" max="4" width="38.7109375" style="80" customWidth="1"/>
    <col min="5" max="5" width="6.7109375" style="80" bestFit="1" customWidth="1"/>
    <col min="6" max="7" width="16.5703125" style="80" customWidth="1"/>
    <col min="8" max="16384" width="22" style="80"/>
  </cols>
  <sheetData>
    <row r="1" spans="1:7">
      <c r="A1" s="79"/>
      <c r="F1" s="164" t="s">
        <v>1</v>
      </c>
      <c r="G1" s="164"/>
    </row>
    <row r="2" spans="1:7">
      <c r="A2" s="165" t="s">
        <v>167</v>
      </c>
      <c r="B2" s="165"/>
      <c r="C2" s="165"/>
      <c r="D2" s="165"/>
    </row>
    <row r="3" spans="1:7">
      <c r="A3" s="81" t="s">
        <v>168</v>
      </c>
      <c r="B3" s="81" t="s">
        <v>169</v>
      </c>
      <c r="C3" s="81" t="s">
        <v>170</v>
      </c>
      <c r="D3" s="81" t="s">
        <v>171</v>
      </c>
    </row>
    <row r="4" spans="1:7">
      <c r="A4" s="82" t="s">
        <v>172</v>
      </c>
      <c r="B4" s="82" t="s">
        <v>173</v>
      </c>
      <c r="C4" s="82" t="s">
        <v>174</v>
      </c>
      <c r="D4" s="83"/>
    </row>
    <row r="5" spans="1:7">
      <c r="A5" s="82" t="s">
        <v>175</v>
      </c>
      <c r="B5" s="82" t="s">
        <v>176</v>
      </c>
      <c r="C5" s="82" t="s">
        <v>177</v>
      </c>
      <c r="D5" s="83"/>
    </row>
    <row r="6" spans="1:7">
      <c r="A6" s="82" t="s">
        <v>178</v>
      </c>
      <c r="B6" s="82" t="s">
        <v>179</v>
      </c>
      <c r="C6" s="82" t="s">
        <v>180</v>
      </c>
      <c r="D6" s="83"/>
    </row>
    <row r="7" spans="1:7">
      <c r="A7" s="82" t="s">
        <v>172</v>
      </c>
      <c r="B7" s="82" t="s">
        <v>181</v>
      </c>
      <c r="C7" s="82" t="s">
        <v>182</v>
      </c>
      <c r="D7" s="83"/>
    </row>
    <row r="8" spans="1:7">
      <c r="A8" s="82" t="s">
        <v>178</v>
      </c>
      <c r="B8" s="82" t="s">
        <v>183</v>
      </c>
      <c r="C8" s="82" t="s">
        <v>184</v>
      </c>
      <c r="D8" s="83"/>
    </row>
  </sheetData>
  <mergeCells count="2">
    <mergeCell ref="F1:G1"/>
    <mergeCell ref="A2:D2"/>
  </mergeCells>
  <hyperlinks>
    <hyperlink ref="F1:G1" location="MENU!A1" display="RETOUR MENU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5"/>
  <sheetViews>
    <sheetView workbookViewId="0">
      <selection activeCell="K13" sqref="K13"/>
    </sheetView>
  </sheetViews>
  <sheetFormatPr baseColWidth="10" defaultColWidth="22" defaultRowHeight="18"/>
  <cols>
    <col min="1" max="1" width="25.7109375" style="80" customWidth="1"/>
    <col min="2" max="2" width="44.85546875" style="80" bestFit="1" customWidth="1"/>
    <col min="3" max="3" width="36.7109375" style="80" customWidth="1"/>
    <col min="4" max="5" width="30.5703125" style="80" customWidth="1"/>
    <col min="6" max="16384" width="22" style="80"/>
  </cols>
  <sheetData>
    <row r="1" spans="1:5" s="85" customFormat="1">
      <c r="A1" s="84"/>
    </row>
    <row r="2" spans="1:5" s="87" customFormat="1">
      <c r="A2" s="86" t="s">
        <v>185</v>
      </c>
    </row>
    <row r="3" spans="1:5">
      <c r="A3" s="79"/>
    </row>
    <row r="4" spans="1:5">
      <c r="A4" s="88" t="s">
        <v>171</v>
      </c>
      <c r="B4" s="81" t="s">
        <v>186</v>
      </c>
      <c r="C4" s="88" t="s">
        <v>187</v>
      </c>
      <c r="D4" s="88" t="s">
        <v>169</v>
      </c>
      <c r="E4" s="89" t="s">
        <v>170</v>
      </c>
    </row>
    <row r="5" spans="1:5">
      <c r="A5" s="90" t="s">
        <v>188</v>
      </c>
      <c r="B5" s="90"/>
      <c r="C5" s="90"/>
      <c r="D5" s="90"/>
      <c r="E5" s="91"/>
    </row>
    <row r="6" spans="1:5">
      <c r="A6" s="90" t="s">
        <v>189</v>
      </c>
      <c r="B6" s="90"/>
      <c r="C6" s="90"/>
      <c r="D6" s="90"/>
      <c r="E6" s="91"/>
    </row>
    <row r="7" spans="1:5">
      <c r="A7" s="90" t="s">
        <v>190</v>
      </c>
      <c r="B7" s="90"/>
      <c r="C7" s="90"/>
      <c r="D7" s="90"/>
      <c r="E7" s="91"/>
    </row>
    <row r="8" spans="1:5">
      <c r="A8" s="90" t="s">
        <v>191</v>
      </c>
      <c r="B8" s="90"/>
      <c r="C8" s="90"/>
      <c r="D8" s="90"/>
      <c r="E8" s="91"/>
    </row>
    <row r="9" spans="1:5">
      <c r="A9" s="90" t="s">
        <v>192</v>
      </c>
      <c r="B9" s="90"/>
      <c r="C9" s="90"/>
      <c r="D9" s="90"/>
      <c r="E9" s="91"/>
    </row>
    <row r="10" spans="1:5">
      <c r="A10" s="90" t="s">
        <v>193</v>
      </c>
      <c r="B10" s="90"/>
      <c r="C10" s="90"/>
      <c r="D10" s="90"/>
      <c r="E10" s="91"/>
    </row>
    <row r="11" spans="1:5">
      <c r="A11" s="79"/>
    </row>
    <row r="12" spans="1:5" s="85" customFormat="1">
      <c r="A12" s="84"/>
    </row>
    <row r="15" spans="1:5">
      <c r="C15" s="164" t="s">
        <v>1</v>
      </c>
      <c r="D15" s="164"/>
    </row>
  </sheetData>
  <mergeCells count="1">
    <mergeCell ref="C15:D15"/>
  </mergeCells>
  <hyperlinks>
    <hyperlink ref="C15:D15" location="MENU!A1" display="RETOUR MENU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A1:E36"/>
  <sheetViews>
    <sheetView workbookViewId="0">
      <selection activeCell="K13" sqref="K13"/>
    </sheetView>
  </sheetViews>
  <sheetFormatPr baseColWidth="10" defaultColWidth="62.42578125" defaultRowHeight="18"/>
  <cols>
    <col min="1" max="1" width="38.140625" style="93" customWidth="1"/>
    <col min="2" max="2" width="32.28515625" style="93" customWidth="1"/>
    <col min="3" max="3" width="64" style="93" customWidth="1"/>
    <col min="4" max="5" width="17" style="93" customWidth="1"/>
    <col min="6" max="16384" width="62.42578125" style="93"/>
  </cols>
  <sheetData>
    <row r="1" spans="1:5">
      <c r="A1" s="92"/>
      <c r="B1" s="92"/>
      <c r="D1" s="164" t="s">
        <v>1</v>
      </c>
      <c r="E1" s="164"/>
    </row>
    <row r="2" spans="1:5" ht="18.75" thickBot="1">
      <c r="C2" s="94">
        <f ca="1">TODAY()</f>
        <v>41474</v>
      </c>
    </row>
    <row r="3" spans="1:5" ht="18.75" thickBot="1">
      <c r="A3" s="167" t="s">
        <v>194</v>
      </c>
      <c r="B3" s="168"/>
      <c r="C3" s="95"/>
    </row>
    <row r="4" spans="1:5" ht="18.75" thickBot="1"/>
    <row r="5" spans="1:5" ht="18.75" thickBot="1">
      <c r="A5" s="96" t="s">
        <v>195</v>
      </c>
      <c r="B5" s="96" t="s">
        <v>196</v>
      </c>
      <c r="C5" s="96" t="s">
        <v>197</v>
      </c>
    </row>
    <row r="6" spans="1:5" ht="18.75" thickBot="1">
      <c r="A6" s="97" t="s">
        <v>192</v>
      </c>
      <c r="B6" s="98">
        <f ca="1">B7-500</f>
        <v>29474</v>
      </c>
      <c r="C6" s="99"/>
    </row>
    <row r="7" spans="1:5" ht="18.75" thickBot="1">
      <c r="A7" s="100" t="s">
        <v>193</v>
      </c>
      <c r="B7" s="101">
        <f ca="1">B8-500</f>
        <v>29974</v>
      </c>
      <c r="C7" s="99"/>
    </row>
    <row r="8" spans="1:5" ht="18.75" thickBot="1">
      <c r="A8" s="100" t="s">
        <v>198</v>
      </c>
      <c r="B8" s="101">
        <f ca="1">B9-500</f>
        <v>30474</v>
      </c>
      <c r="C8" s="99"/>
    </row>
    <row r="9" spans="1:5" ht="18.75" thickBot="1">
      <c r="A9" s="102" t="s">
        <v>199</v>
      </c>
      <c r="B9" s="103">
        <f ca="1">B12-500</f>
        <v>30974</v>
      </c>
      <c r="C9" s="99"/>
    </row>
    <row r="11" spans="1:5" ht="18.75" thickBot="1">
      <c r="A11" s="93" t="s">
        <v>200</v>
      </c>
    </row>
    <row r="12" spans="1:5" ht="18.75" thickBot="1">
      <c r="A12" s="104" t="s">
        <v>201</v>
      </c>
      <c r="B12" s="105">
        <f ca="1">TODAY()-10000</f>
        <v>31474</v>
      </c>
      <c r="C12" s="99"/>
    </row>
    <row r="15" spans="1:5">
      <c r="A15" s="169" t="s">
        <v>202</v>
      </c>
      <c r="B15" s="169"/>
      <c r="C15" s="106"/>
    </row>
    <row r="17" spans="1:3">
      <c r="A17" s="169" t="s">
        <v>203</v>
      </c>
      <c r="B17" s="169"/>
      <c r="C17" s="106"/>
    </row>
    <row r="19" spans="1:3">
      <c r="A19" s="169" t="s">
        <v>204</v>
      </c>
      <c r="B19" s="169"/>
      <c r="C19" s="106"/>
    </row>
    <row r="20" spans="1:3" ht="34.9" customHeight="1"/>
    <row r="21" spans="1:3">
      <c r="A21" s="169" t="s">
        <v>205</v>
      </c>
      <c r="B21" s="169"/>
      <c r="C21" s="107">
        <f ca="1">DATE(YEAR(TODAY()),C2212,25)</f>
        <v>41268</v>
      </c>
    </row>
    <row r="22" spans="1:3" ht="34.9" customHeight="1"/>
    <row r="23" spans="1:3">
      <c r="A23" s="169" t="s">
        <v>206</v>
      </c>
      <c r="B23" s="169"/>
      <c r="C23" s="108">
        <f ca="1">DATE(YEAR(TODAY()),MONTH(TODAY())+1,1)</f>
        <v>41487</v>
      </c>
    </row>
    <row r="24" spans="1:3" ht="34.9" customHeight="1"/>
    <row r="25" spans="1:3">
      <c r="A25" s="169" t="s">
        <v>207</v>
      </c>
      <c r="B25" s="169"/>
      <c r="C25" s="108"/>
    </row>
    <row r="26" spans="1:3" ht="8.4499999999999993" customHeight="1"/>
    <row r="27" spans="1:3">
      <c r="A27" s="169" t="s">
        <v>207</v>
      </c>
      <c r="B27" s="169"/>
      <c r="C27" s="108"/>
    </row>
    <row r="28" spans="1:3" ht="8.4499999999999993" customHeight="1"/>
    <row r="29" spans="1:3">
      <c r="A29" s="169" t="s">
        <v>207</v>
      </c>
      <c r="B29" s="169"/>
      <c r="C29" s="108"/>
    </row>
    <row r="30" spans="1:3" ht="34.9" customHeight="1">
      <c r="A30" s="109"/>
    </row>
    <row r="31" spans="1:3">
      <c r="A31" s="169" t="s">
        <v>208</v>
      </c>
      <c r="B31" s="169"/>
      <c r="C31" s="108"/>
    </row>
    <row r="32" spans="1:3">
      <c r="B32" s="110"/>
    </row>
    <row r="33" spans="1:3">
      <c r="A33" s="166">
        <f ca="1">TODAY()-DATE(YEAR(TODAY()),1,0)</f>
        <v>200</v>
      </c>
      <c r="B33" s="166"/>
      <c r="C33" s="106"/>
    </row>
    <row r="36" spans="1:3">
      <c r="A36" s="111"/>
      <c r="B36" s="112" t="s">
        <v>209</v>
      </c>
      <c r="C36" s="113"/>
    </row>
  </sheetData>
  <mergeCells count="12">
    <mergeCell ref="A33:B33"/>
    <mergeCell ref="D1:E1"/>
    <mergeCell ref="A3:B3"/>
    <mergeCell ref="A15:B15"/>
    <mergeCell ref="A17:B17"/>
    <mergeCell ref="A19:B19"/>
    <mergeCell ref="A21:B21"/>
    <mergeCell ref="A23:B23"/>
    <mergeCell ref="A25:B25"/>
    <mergeCell ref="A27:B27"/>
    <mergeCell ref="A29:B29"/>
    <mergeCell ref="A31:B31"/>
  </mergeCells>
  <hyperlinks>
    <hyperlink ref="D1:E1" location="MENU!A1" display="RETOUR MENU"/>
  </hyperlink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H17"/>
  <sheetViews>
    <sheetView zoomScale="80" workbookViewId="0">
      <pane ySplit="1" topLeftCell="A2" activePane="bottomLeft" state="frozen"/>
      <selection activeCell="K13" sqref="K13"/>
      <selection pane="bottomLeft" activeCell="K13" sqref="K13"/>
    </sheetView>
  </sheetViews>
  <sheetFormatPr baseColWidth="10" defaultRowHeight="12.75"/>
  <cols>
    <col min="1" max="1" width="3.28515625" customWidth="1"/>
    <col min="2" max="2" width="68.7109375" customWidth="1"/>
    <col min="3" max="5" width="13" customWidth="1"/>
    <col min="6" max="6" width="35.5703125" customWidth="1"/>
    <col min="7" max="8" width="16.5703125" customWidth="1"/>
  </cols>
  <sheetData>
    <row r="1" spans="1:8" s="117" customFormat="1" ht="30" customHeight="1">
      <c r="A1" s="114" t="s">
        <v>210</v>
      </c>
      <c r="B1" s="115"/>
      <c r="C1" s="116"/>
      <c r="D1" s="116"/>
      <c r="E1" s="116"/>
      <c r="G1" s="164" t="s">
        <v>1</v>
      </c>
      <c r="H1" s="164"/>
    </row>
    <row r="2" spans="1:8" s="117" customFormat="1" ht="20.25">
      <c r="C2" s="118"/>
      <c r="D2" s="118"/>
      <c r="E2" s="118"/>
    </row>
    <row r="3" spans="1:8" s="119" customFormat="1" ht="20.25">
      <c r="B3" s="120" t="s">
        <v>141</v>
      </c>
      <c r="C3" s="120" t="s">
        <v>211</v>
      </c>
      <c r="D3" s="120" t="s">
        <v>152</v>
      </c>
      <c r="E3" s="120" t="s">
        <v>212</v>
      </c>
    </row>
    <row r="4" spans="1:8" s="117" customFormat="1" ht="20.25">
      <c r="B4" s="121">
        <f ca="1">B5-500</f>
        <v>39974.399875925927</v>
      </c>
      <c r="C4" s="122"/>
      <c r="D4" s="122"/>
      <c r="E4" s="122"/>
    </row>
    <row r="5" spans="1:8" s="117" customFormat="1" ht="20.25">
      <c r="B5" s="121">
        <f ca="1">B6-500</f>
        <v>40474.399875925927</v>
      </c>
      <c r="C5" s="122"/>
      <c r="D5" s="122"/>
      <c r="E5" s="122"/>
    </row>
    <row r="6" spans="1:8" s="117" customFormat="1" ht="20.25">
      <c r="B6" s="121">
        <f ca="1">B7-500</f>
        <v>40974.399875925927</v>
      </c>
      <c r="C6" s="122"/>
      <c r="D6" s="122"/>
      <c r="E6" s="122"/>
    </row>
    <row r="7" spans="1:8" s="117" customFormat="1" ht="20.25">
      <c r="B7" s="121">
        <f ca="1">NOW()</f>
        <v>41474.399875925927</v>
      </c>
      <c r="C7" s="122"/>
      <c r="D7" s="122"/>
      <c r="E7" s="122"/>
    </row>
    <row r="8" spans="1:8" s="117" customFormat="1" ht="20.25">
      <c r="C8" s="118"/>
      <c r="D8" s="118"/>
      <c r="E8" s="118"/>
    </row>
    <row r="9" spans="1:8" s="117" customFormat="1" ht="20.25">
      <c r="A9" s="114" t="s">
        <v>213</v>
      </c>
      <c r="B9" s="115"/>
      <c r="C9" s="123"/>
      <c r="D9" s="123"/>
      <c r="E9" s="123"/>
    </row>
    <row r="10" spans="1:8" s="117" customFormat="1" ht="20.25"/>
    <row r="11" spans="1:8" s="117" customFormat="1" ht="20.25">
      <c r="B11" s="120" t="s">
        <v>214</v>
      </c>
      <c r="C11" s="120" t="s">
        <v>211</v>
      </c>
      <c r="D11" s="120" t="s">
        <v>152</v>
      </c>
      <c r="E11" s="120" t="s">
        <v>212</v>
      </c>
    </row>
    <row r="12" spans="1:8" s="117" customFormat="1" ht="20.25">
      <c r="B12" s="124"/>
      <c r="C12" s="122">
        <v>12</v>
      </c>
      <c r="D12" s="122">
        <v>8</v>
      </c>
      <c r="E12" s="122">
        <v>1972</v>
      </c>
    </row>
    <row r="13" spans="1:8" s="117" customFormat="1" ht="20.25">
      <c r="B13" s="124"/>
      <c r="C13" s="122">
        <v>16</v>
      </c>
      <c r="D13" s="122">
        <v>1</v>
      </c>
      <c r="E13" s="122">
        <v>1980</v>
      </c>
    </row>
    <row r="14" spans="1:8" s="117" customFormat="1" ht="20.25">
      <c r="B14" s="124"/>
      <c r="C14" s="122">
        <v>6</v>
      </c>
      <c r="D14" s="122">
        <v>5</v>
      </c>
      <c r="E14" s="122">
        <v>1958</v>
      </c>
    </row>
    <row r="15" spans="1:8" s="117" customFormat="1" ht="20.25">
      <c r="B15" s="124"/>
      <c r="C15" s="122">
        <v>25</v>
      </c>
      <c r="D15" s="122">
        <v>2</v>
      </c>
      <c r="E15" s="122">
        <v>2012</v>
      </c>
    </row>
    <row r="17" ht="26.25" customHeight="1"/>
  </sheetData>
  <mergeCells count="1">
    <mergeCell ref="G1:H1"/>
  </mergeCells>
  <hyperlinks>
    <hyperlink ref="G1:H1" location="MENU!A1" display="RETOUR MENU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K13" sqref="K13"/>
    </sheetView>
  </sheetViews>
  <sheetFormatPr baseColWidth="10" defaultRowHeight="15"/>
  <cols>
    <col min="1" max="1" width="12.85546875" style="125" customWidth="1"/>
    <col min="2" max="2" width="11.85546875" style="125" customWidth="1"/>
    <col min="3" max="3" width="12" style="125" customWidth="1"/>
    <col min="4" max="4" width="11.85546875" style="125" customWidth="1"/>
    <col min="5" max="5" width="12.5703125" style="125" customWidth="1"/>
    <col min="6" max="6" width="9" style="125" customWidth="1"/>
    <col min="7" max="7" width="10.28515625" style="125" customWidth="1"/>
    <col min="8" max="8" width="9.140625" style="125" customWidth="1"/>
    <col min="9" max="9" width="18" style="125" customWidth="1"/>
    <col min="10" max="10" width="12.5703125" style="125" customWidth="1"/>
    <col min="11" max="11" width="9.85546875" style="125" bestFit="1" customWidth="1"/>
    <col min="12" max="12" width="12.140625" style="125" bestFit="1" customWidth="1"/>
    <col min="13" max="256" width="11.42578125" style="125"/>
    <col min="257" max="257" width="12.85546875" style="125" customWidth="1"/>
    <col min="258" max="258" width="11.85546875" style="125" customWidth="1"/>
    <col min="259" max="259" width="12" style="125" customWidth="1"/>
    <col min="260" max="260" width="11.85546875" style="125" customWidth="1"/>
    <col min="261" max="261" width="12.5703125" style="125" customWidth="1"/>
    <col min="262" max="262" width="9" style="125" customWidth="1"/>
    <col min="263" max="263" width="10.28515625" style="125" customWidth="1"/>
    <col min="264" max="264" width="9.140625" style="125" customWidth="1"/>
    <col min="265" max="265" width="18" style="125" customWidth="1"/>
    <col min="266" max="266" width="12.5703125" style="125" customWidth="1"/>
    <col min="267" max="267" width="9.85546875" style="125" bestFit="1" customWidth="1"/>
    <col min="268" max="268" width="12.140625" style="125" bestFit="1" customWidth="1"/>
    <col min="269" max="512" width="11.42578125" style="125"/>
    <col min="513" max="513" width="12.85546875" style="125" customWidth="1"/>
    <col min="514" max="514" width="11.85546875" style="125" customWidth="1"/>
    <col min="515" max="515" width="12" style="125" customWidth="1"/>
    <col min="516" max="516" width="11.85546875" style="125" customWidth="1"/>
    <col min="517" max="517" width="12.5703125" style="125" customWidth="1"/>
    <col min="518" max="518" width="9" style="125" customWidth="1"/>
    <col min="519" max="519" width="10.28515625" style="125" customWidth="1"/>
    <col min="520" max="520" width="9.140625" style="125" customWidth="1"/>
    <col min="521" max="521" width="18" style="125" customWidth="1"/>
    <col min="522" max="522" width="12.5703125" style="125" customWidth="1"/>
    <col min="523" max="523" width="9.85546875" style="125" bestFit="1" customWidth="1"/>
    <col min="524" max="524" width="12.140625" style="125" bestFit="1" customWidth="1"/>
    <col min="525" max="768" width="11.42578125" style="125"/>
    <col min="769" max="769" width="12.85546875" style="125" customWidth="1"/>
    <col min="770" max="770" width="11.85546875" style="125" customWidth="1"/>
    <col min="771" max="771" width="12" style="125" customWidth="1"/>
    <col min="772" max="772" width="11.85546875" style="125" customWidth="1"/>
    <col min="773" max="773" width="12.5703125" style="125" customWidth="1"/>
    <col min="774" max="774" width="9" style="125" customWidth="1"/>
    <col min="775" max="775" width="10.28515625" style="125" customWidth="1"/>
    <col min="776" max="776" width="9.140625" style="125" customWidth="1"/>
    <col min="777" max="777" width="18" style="125" customWidth="1"/>
    <col min="778" max="778" width="12.5703125" style="125" customWidth="1"/>
    <col min="779" max="779" width="9.85546875" style="125" bestFit="1" customWidth="1"/>
    <col min="780" max="780" width="12.140625" style="125" bestFit="1" customWidth="1"/>
    <col min="781" max="1024" width="11.42578125" style="125"/>
    <col min="1025" max="1025" width="12.85546875" style="125" customWidth="1"/>
    <col min="1026" max="1026" width="11.85546875" style="125" customWidth="1"/>
    <col min="1027" max="1027" width="12" style="125" customWidth="1"/>
    <col min="1028" max="1028" width="11.85546875" style="125" customWidth="1"/>
    <col min="1029" max="1029" width="12.5703125" style="125" customWidth="1"/>
    <col min="1030" max="1030" width="9" style="125" customWidth="1"/>
    <col min="1031" max="1031" width="10.28515625" style="125" customWidth="1"/>
    <col min="1032" max="1032" width="9.140625" style="125" customWidth="1"/>
    <col min="1033" max="1033" width="18" style="125" customWidth="1"/>
    <col min="1034" max="1034" width="12.5703125" style="125" customWidth="1"/>
    <col min="1035" max="1035" width="9.85546875" style="125" bestFit="1" customWidth="1"/>
    <col min="1036" max="1036" width="12.140625" style="125" bestFit="1" customWidth="1"/>
    <col min="1037" max="1280" width="11.42578125" style="125"/>
    <col min="1281" max="1281" width="12.85546875" style="125" customWidth="1"/>
    <col min="1282" max="1282" width="11.85546875" style="125" customWidth="1"/>
    <col min="1283" max="1283" width="12" style="125" customWidth="1"/>
    <col min="1284" max="1284" width="11.85546875" style="125" customWidth="1"/>
    <col min="1285" max="1285" width="12.5703125" style="125" customWidth="1"/>
    <col min="1286" max="1286" width="9" style="125" customWidth="1"/>
    <col min="1287" max="1287" width="10.28515625" style="125" customWidth="1"/>
    <col min="1288" max="1288" width="9.140625" style="125" customWidth="1"/>
    <col min="1289" max="1289" width="18" style="125" customWidth="1"/>
    <col min="1290" max="1290" width="12.5703125" style="125" customWidth="1"/>
    <col min="1291" max="1291" width="9.85546875" style="125" bestFit="1" customWidth="1"/>
    <col min="1292" max="1292" width="12.140625" style="125" bestFit="1" customWidth="1"/>
    <col min="1293" max="1536" width="11.42578125" style="125"/>
    <col min="1537" max="1537" width="12.85546875" style="125" customWidth="1"/>
    <col min="1538" max="1538" width="11.85546875" style="125" customWidth="1"/>
    <col min="1539" max="1539" width="12" style="125" customWidth="1"/>
    <col min="1540" max="1540" width="11.85546875" style="125" customWidth="1"/>
    <col min="1541" max="1541" width="12.5703125" style="125" customWidth="1"/>
    <col min="1542" max="1542" width="9" style="125" customWidth="1"/>
    <col min="1543" max="1543" width="10.28515625" style="125" customWidth="1"/>
    <col min="1544" max="1544" width="9.140625" style="125" customWidth="1"/>
    <col min="1545" max="1545" width="18" style="125" customWidth="1"/>
    <col min="1546" max="1546" width="12.5703125" style="125" customWidth="1"/>
    <col min="1547" max="1547" width="9.85546875" style="125" bestFit="1" customWidth="1"/>
    <col min="1548" max="1548" width="12.140625" style="125" bestFit="1" customWidth="1"/>
    <col min="1549" max="1792" width="11.42578125" style="125"/>
    <col min="1793" max="1793" width="12.85546875" style="125" customWidth="1"/>
    <col min="1794" max="1794" width="11.85546875" style="125" customWidth="1"/>
    <col min="1795" max="1795" width="12" style="125" customWidth="1"/>
    <col min="1796" max="1796" width="11.85546875" style="125" customWidth="1"/>
    <col min="1797" max="1797" width="12.5703125" style="125" customWidth="1"/>
    <col min="1798" max="1798" width="9" style="125" customWidth="1"/>
    <col min="1799" max="1799" width="10.28515625" style="125" customWidth="1"/>
    <col min="1800" max="1800" width="9.140625" style="125" customWidth="1"/>
    <col min="1801" max="1801" width="18" style="125" customWidth="1"/>
    <col min="1802" max="1802" width="12.5703125" style="125" customWidth="1"/>
    <col min="1803" max="1803" width="9.85546875" style="125" bestFit="1" customWidth="1"/>
    <col min="1804" max="1804" width="12.140625" style="125" bestFit="1" customWidth="1"/>
    <col min="1805" max="2048" width="11.42578125" style="125"/>
    <col min="2049" max="2049" width="12.85546875" style="125" customWidth="1"/>
    <col min="2050" max="2050" width="11.85546875" style="125" customWidth="1"/>
    <col min="2051" max="2051" width="12" style="125" customWidth="1"/>
    <col min="2052" max="2052" width="11.85546875" style="125" customWidth="1"/>
    <col min="2053" max="2053" width="12.5703125" style="125" customWidth="1"/>
    <col min="2054" max="2054" width="9" style="125" customWidth="1"/>
    <col min="2055" max="2055" width="10.28515625" style="125" customWidth="1"/>
    <col min="2056" max="2056" width="9.140625" style="125" customWidth="1"/>
    <col min="2057" max="2057" width="18" style="125" customWidth="1"/>
    <col min="2058" max="2058" width="12.5703125" style="125" customWidth="1"/>
    <col min="2059" max="2059" width="9.85546875" style="125" bestFit="1" customWidth="1"/>
    <col min="2060" max="2060" width="12.140625" style="125" bestFit="1" customWidth="1"/>
    <col min="2061" max="2304" width="11.42578125" style="125"/>
    <col min="2305" max="2305" width="12.85546875" style="125" customWidth="1"/>
    <col min="2306" max="2306" width="11.85546875" style="125" customWidth="1"/>
    <col min="2307" max="2307" width="12" style="125" customWidth="1"/>
    <col min="2308" max="2308" width="11.85546875" style="125" customWidth="1"/>
    <col min="2309" max="2309" width="12.5703125" style="125" customWidth="1"/>
    <col min="2310" max="2310" width="9" style="125" customWidth="1"/>
    <col min="2311" max="2311" width="10.28515625" style="125" customWidth="1"/>
    <col min="2312" max="2312" width="9.140625" style="125" customWidth="1"/>
    <col min="2313" max="2313" width="18" style="125" customWidth="1"/>
    <col min="2314" max="2314" width="12.5703125" style="125" customWidth="1"/>
    <col min="2315" max="2315" width="9.85546875" style="125" bestFit="1" customWidth="1"/>
    <col min="2316" max="2316" width="12.140625" style="125" bestFit="1" customWidth="1"/>
    <col min="2317" max="2560" width="11.42578125" style="125"/>
    <col min="2561" max="2561" width="12.85546875" style="125" customWidth="1"/>
    <col min="2562" max="2562" width="11.85546875" style="125" customWidth="1"/>
    <col min="2563" max="2563" width="12" style="125" customWidth="1"/>
    <col min="2564" max="2564" width="11.85546875" style="125" customWidth="1"/>
    <col min="2565" max="2565" width="12.5703125" style="125" customWidth="1"/>
    <col min="2566" max="2566" width="9" style="125" customWidth="1"/>
    <col min="2567" max="2567" width="10.28515625" style="125" customWidth="1"/>
    <col min="2568" max="2568" width="9.140625" style="125" customWidth="1"/>
    <col min="2569" max="2569" width="18" style="125" customWidth="1"/>
    <col min="2570" max="2570" width="12.5703125" style="125" customWidth="1"/>
    <col min="2571" max="2571" width="9.85546875" style="125" bestFit="1" customWidth="1"/>
    <col min="2572" max="2572" width="12.140625" style="125" bestFit="1" customWidth="1"/>
    <col min="2573" max="2816" width="11.42578125" style="125"/>
    <col min="2817" max="2817" width="12.85546875" style="125" customWidth="1"/>
    <col min="2818" max="2818" width="11.85546875" style="125" customWidth="1"/>
    <col min="2819" max="2819" width="12" style="125" customWidth="1"/>
    <col min="2820" max="2820" width="11.85546875" style="125" customWidth="1"/>
    <col min="2821" max="2821" width="12.5703125" style="125" customWidth="1"/>
    <col min="2822" max="2822" width="9" style="125" customWidth="1"/>
    <col min="2823" max="2823" width="10.28515625" style="125" customWidth="1"/>
    <col min="2824" max="2824" width="9.140625" style="125" customWidth="1"/>
    <col min="2825" max="2825" width="18" style="125" customWidth="1"/>
    <col min="2826" max="2826" width="12.5703125" style="125" customWidth="1"/>
    <col min="2827" max="2827" width="9.85546875" style="125" bestFit="1" customWidth="1"/>
    <col min="2828" max="2828" width="12.140625" style="125" bestFit="1" customWidth="1"/>
    <col min="2829" max="3072" width="11.42578125" style="125"/>
    <col min="3073" max="3073" width="12.85546875" style="125" customWidth="1"/>
    <col min="3074" max="3074" width="11.85546875" style="125" customWidth="1"/>
    <col min="3075" max="3075" width="12" style="125" customWidth="1"/>
    <col min="3076" max="3076" width="11.85546875" style="125" customWidth="1"/>
    <col min="3077" max="3077" width="12.5703125" style="125" customWidth="1"/>
    <col min="3078" max="3078" width="9" style="125" customWidth="1"/>
    <col min="3079" max="3079" width="10.28515625" style="125" customWidth="1"/>
    <col min="3080" max="3080" width="9.140625" style="125" customWidth="1"/>
    <col min="3081" max="3081" width="18" style="125" customWidth="1"/>
    <col min="3082" max="3082" width="12.5703125" style="125" customWidth="1"/>
    <col min="3083" max="3083" width="9.85546875" style="125" bestFit="1" customWidth="1"/>
    <col min="3084" max="3084" width="12.140625" style="125" bestFit="1" customWidth="1"/>
    <col min="3085" max="3328" width="11.42578125" style="125"/>
    <col min="3329" max="3329" width="12.85546875" style="125" customWidth="1"/>
    <col min="3330" max="3330" width="11.85546875" style="125" customWidth="1"/>
    <col min="3331" max="3331" width="12" style="125" customWidth="1"/>
    <col min="3332" max="3332" width="11.85546875" style="125" customWidth="1"/>
    <col min="3333" max="3333" width="12.5703125" style="125" customWidth="1"/>
    <col min="3334" max="3334" width="9" style="125" customWidth="1"/>
    <col min="3335" max="3335" width="10.28515625" style="125" customWidth="1"/>
    <col min="3336" max="3336" width="9.140625" style="125" customWidth="1"/>
    <col min="3337" max="3337" width="18" style="125" customWidth="1"/>
    <col min="3338" max="3338" width="12.5703125" style="125" customWidth="1"/>
    <col min="3339" max="3339" width="9.85546875" style="125" bestFit="1" customWidth="1"/>
    <col min="3340" max="3340" width="12.140625" style="125" bestFit="1" customWidth="1"/>
    <col min="3341" max="3584" width="11.42578125" style="125"/>
    <col min="3585" max="3585" width="12.85546875" style="125" customWidth="1"/>
    <col min="3586" max="3586" width="11.85546875" style="125" customWidth="1"/>
    <col min="3587" max="3587" width="12" style="125" customWidth="1"/>
    <col min="3588" max="3588" width="11.85546875" style="125" customWidth="1"/>
    <col min="3589" max="3589" width="12.5703125" style="125" customWidth="1"/>
    <col min="3590" max="3590" width="9" style="125" customWidth="1"/>
    <col min="3591" max="3591" width="10.28515625" style="125" customWidth="1"/>
    <col min="3592" max="3592" width="9.140625" style="125" customWidth="1"/>
    <col min="3593" max="3593" width="18" style="125" customWidth="1"/>
    <col min="3594" max="3594" width="12.5703125" style="125" customWidth="1"/>
    <col min="3595" max="3595" width="9.85546875" style="125" bestFit="1" customWidth="1"/>
    <col min="3596" max="3596" width="12.140625" style="125" bestFit="1" customWidth="1"/>
    <col min="3597" max="3840" width="11.42578125" style="125"/>
    <col min="3841" max="3841" width="12.85546875" style="125" customWidth="1"/>
    <col min="3842" max="3842" width="11.85546875" style="125" customWidth="1"/>
    <col min="3843" max="3843" width="12" style="125" customWidth="1"/>
    <col min="3844" max="3844" width="11.85546875" style="125" customWidth="1"/>
    <col min="3845" max="3845" width="12.5703125" style="125" customWidth="1"/>
    <col min="3846" max="3846" width="9" style="125" customWidth="1"/>
    <col min="3847" max="3847" width="10.28515625" style="125" customWidth="1"/>
    <col min="3848" max="3848" width="9.140625" style="125" customWidth="1"/>
    <col min="3849" max="3849" width="18" style="125" customWidth="1"/>
    <col min="3850" max="3850" width="12.5703125" style="125" customWidth="1"/>
    <col min="3851" max="3851" width="9.85546875" style="125" bestFit="1" customWidth="1"/>
    <col min="3852" max="3852" width="12.140625" style="125" bestFit="1" customWidth="1"/>
    <col min="3853" max="4096" width="11.42578125" style="125"/>
    <col min="4097" max="4097" width="12.85546875" style="125" customWidth="1"/>
    <col min="4098" max="4098" width="11.85546875" style="125" customWidth="1"/>
    <col min="4099" max="4099" width="12" style="125" customWidth="1"/>
    <col min="4100" max="4100" width="11.85546875" style="125" customWidth="1"/>
    <col min="4101" max="4101" width="12.5703125" style="125" customWidth="1"/>
    <col min="4102" max="4102" width="9" style="125" customWidth="1"/>
    <col min="4103" max="4103" width="10.28515625" style="125" customWidth="1"/>
    <col min="4104" max="4104" width="9.140625" style="125" customWidth="1"/>
    <col min="4105" max="4105" width="18" style="125" customWidth="1"/>
    <col min="4106" max="4106" width="12.5703125" style="125" customWidth="1"/>
    <col min="4107" max="4107" width="9.85546875" style="125" bestFit="1" customWidth="1"/>
    <col min="4108" max="4108" width="12.140625" style="125" bestFit="1" customWidth="1"/>
    <col min="4109" max="4352" width="11.42578125" style="125"/>
    <col min="4353" max="4353" width="12.85546875" style="125" customWidth="1"/>
    <col min="4354" max="4354" width="11.85546875" style="125" customWidth="1"/>
    <col min="4355" max="4355" width="12" style="125" customWidth="1"/>
    <col min="4356" max="4356" width="11.85546875" style="125" customWidth="1"/>
    <col min="4357" max="4357" width="12.5703125" style="125" customWidth="1"/>
    <col min="4358" max="4358" width="9" style="125" customWidth="1"/>
    <col min="4359" max="4359" width="10.28515625" style="125" customWidth="1"/>
    <col min="4360" max="4360" width="9.140625" style="125" customWidth="1"/>
    <col min="4361" max="4361" width="18" style="125" customWidth="1"/>
    <col min="4362" max="4362" width="12.5703125" style="125" customWidth="1"/>
    <col min="4363" max="4363" width="9.85546875" style="125" bestFit="1" customWidth="1"/>
    <col min="4364" max="4364" width="12.140625" style="125" bestFit="1" customWidth="1"/>
    <col min="4365" max="4608" width="11.42578125" style="125"/>
    <col min="4609" max="4609" width="12.85546875" style="125" customWidth="1"/>
    <col min="4610" max="4610" width="11.85546875" style="125" customWidth="1"/>
    <col min="4611" max="4611" width="12" style="125" customWidth="1"/>
    <col min="4612" max="4612" width="11.85546875" style="125" customWidth="1"/>
    <col min="4613" max="4613" width="12.5703125" style="125" customWidth="1"/>
    <col min="4614" max="4614" width="9" style="125" customWidth="1"/>
    <col min="4615" max="4615" width="10.28515625" style="125" customWidth="1"/>
    <col min="4616" max="4616" width="9.140625" style="125" customWidth="1"/>
    <col min="4617" max="4617" width="18" style="125" customWidth="1"/>
    <col min="4618" max="4618" width="12.5703125" style="125" customWidth="1"/>
    <col min="4619" max="4619" width="9.85546875" style="125" bestFit="1" customWidth="1"/>
    <col min="4620" max="4620" width="12.140625" style="125" bestFit="1" customWidth="1"/>
    <col min="4621" max="4864" width="11.42578125" style="125"/>
    <col min="4865" max="4865" width="12.85546875" style="125" customWidth="1"/>
    <col min="4866" max="4866" width="11.85546875" style="125" customWidth="1"/>
    <col min="4867" max="4867" width="12" style="125" customWidth="1"/>
    <col min="4868" max="4868" width="11.85546875" style="125" customWidth="1"/>
    <col min="4869" max="4869" width="12.5703125" style="125" customWidth="1"/>
    <col min="4870" max="4870" width="9" style="125" customWidth="1"/>
    <col min="4871" max="4871" width="10.28515625" style="125" customWidth="1"/>
    <col min="4872" max="4872" width="9.140625" style="125" customWidth="1"/>
    <col min="4873" max="4873" width="18" style="125" customWidth="1"/>
    <col min="4874" max="4874" width="12.5703125" style="125" customWidth="1"/>
    <col min="4875" max="4875" width="9.85546875" style="125" bestFit="1" customWidth="1"/>
    <col min="4876" max="4876" width="12.140625" style="125" bestFit="1" customWidth="1"/>
    <col min="4877" max="5120" width="11.42578125" style="125"/>
    <col min="5121" max="5121" width="12.85546875" style="125" customWidth="1"/>
    <col min="5122" max="5122" width="11.85546875" style="125" customWidth="1"/>
    <col min="5123" max="5123" width="12" style="125" customWidth="1"/>
    <col min="5124" max="5124" width="11.85546875" style="125" customWidth="1"/>
    <col min="5125" max="5125" width="12.5703125" style="125" customWidth="1"/>
    <col min="5126" max="5126" width="9" style="125" customWidth="1"/>
    <col min="5127" max="5127" width="10.28515625" style="125" customWidth="1"/>
    <col min="5128" max="5128" width="9.140625" style="125" customWidth="1"/>
    <col min="5129" max="5129" width="18" style="125" customWidth="1"/>
    <col min="5130" max="5130" width="12.5703125" style="125" customWidth="1"/>
    <col min="5131" max="5131" width="9.85546875" style="125" bestFit="1" customWidth="1"/>
    <col min="5132" max="5132" width="12.140625" style="125" bestFit="1" customWidth="1"/>
    <col min="5133" max="5376" width="11.42578125" style="125"/>
    <col min="5377" max="5377" width="12.85546875" style="125" customWidth="1"/>
    <col min="5378" max="5378" width="11.85546875" style="125" customWidth="1"/>
    <col min="5379" max="5379" width="12" style="125" customWidth="1"/>
    <col min="5380" max="5380" width="11.85546875" style="125" customWidth="1"/>
    <col min="5381" max="5381" width="12.5703125" style="125" customWidth="1"/>
    <col min="5382" max="5382" width="9" style="125" customWidth="1"/>
    <col min="5383" max="5383" width="10.28515625" style="125" customWidth="1"/>
    <col min="5384" max="5384" width="9.140625" style="125" customWidth="1"/>
    <col min="5385" max="5385" width="18" style="125" customWidth="1"/>
    <col min="5386" max="5386" width="12.5703125" style="125" customWidth="1"/>
    <col min="5387" max="5387" width="9.85546875" style="125" bestFit="1" customWidth="1"/>
    <col min="5388" max="5388" width="12.140625" style="125" bestFit="1" customWidth="1"/>
    <col min="5389" max="5632" width="11.42578125" style="125"/>
    <col min="5633" max="5633" width="12.85546875" style="125" customWidth="1"/>
    <col min="5634" max="5634" width="11.85546875" style="125" customWidth="1"/>
    <col min="5635" max="5635" width="12" style="125" customWidth="1"/>
    <col min="5636" max="5636" width="11.85546875" style="125" customWidth="1"/>
    <col min="5637" max="5637" width="12.5703125" style="125" customWidth="1"/>
    <col min="5638" max="5638" width="9" style="125" customWidth="1"/>
    <col min="5639" max="5639" width="10.28515625" style="125" customWidth="1"/>
    <col min="5640" max="5640" width="9.140625" style="125" customWidth="1"/>
    <col min="5641" max="5641" width="18" style="125" customWidth="1"/>
    <col min="5642" max="5642" width="12.5703125" style="125" customWidth="1"/>
    <col min="5643" max="5643" width="9.85546875" style="125" bestFit="1" customWidth="1"/>
    <col min="5644" max="5644" width="12.140625" style="125" bestFit="1" customWidth="1"/>
    <col min="5645" max="5888" width="11.42578125" style="125"/>
    <col min="5889" max="5889" width="12.85546875" style="125" customWidth="1"/>
    <col min="5890" max="5890" width="11.85546875" style="125" customWidth="1"/>
    <col min="5891" max="5891" width="12" style="125" customWidth="1"/>
    <col min="5892" max="5892" width="11.85546875" style="125" customWidth="1"/>
    <col min="5893" max="5893" width="12.5703125" style="125" customWidth="1"/>
    <col min="5894" max="5894" width="9" style="125" customWidth="1"/>
    <col min="5895" max="5895" width="10.28515625" style="125" customWidth="1"/>
    <col min="5896" max="5896" width="9.140625" style="125" customWidth="1"/>
    <col min="5897" max="5897" width="18" style="125" customWidth="1"/>
    <col min="5898" max="5898" width="12.5703125" style="125" customWidth="1"/>
    <col min="5899" max="5899" width="9.85546875" style="125" bestFit="1" customWidth="1"/>
    <col min="5900" max="5900" width="12.140625" style="125" bestFit="1" customWidth="1"/>
    <col min="5901" max="6144" width="11.42578125" style="125"/>
    <col min="6145" max="6145" width="12.85546875" style="125" customWidth="1"/>
    <col min="6146" max="6146" width="11.85546875" style="125" customWidth="1"/>
    <col min="6147" max="6147" width="12" style="125" customWidth="1"/>
    <col min="6148" max="6148" width="11.85546875" style="125" customWidth="1"/>
    <col min="6149" max="6149" width="12.5703125" style="125" customWidth="1"/>
    <col min="6150" max="6150" width="9" style="125" customWidth="1"/>
    <col min="6151" max="6151" width="10.28515625" style="125" customWidth="1"/>
    <col min="6152" max="6152" width="9.140625" style="125" customWidth="1"/>
    <col min="6153" max="6153" width="18" style="125" customWidth="1"/>
    <col min="6154" max="6154" width="12.5703125" style="125" customWidth="1"/>
    <col min="6155" max="6155" width="9.85546875" style="125" bestFit="1" customWidth="1"/>
    <col min="6156" max="6156" width="12.140625" style="125" bestFit="1" customWidth="1"/>
    <col min="6157" max="6400" width="11.42578125" style="125"/>
    <col min="6401" max="6401" width="12.85546875" style="125" customWidth="1"/>
    <col min="6402" max="6402" width="11.85546875" style="125" customWidth="1"/>
    <col min="6403" max="6403" width="12" style="125" customWidth="1"/>
    <col min="6404" max="6404" width="11.85546875" style="125" customWidth="1"/>
    <col min="6405" max="6405" width="12.5703125" style="125" customWidth="1"/>
    <col min="6406" max="6406" width="9" style="125" customWidth="1"/>
    <col min="6407" max="6407" width="10.28515625" style="125" customWidth="1"/>
    <col min="6408" max="6408" width="9.140625" style="125" customWidth="1"/>
    <col min="6409" max="6409" width="18" style="125" customWidth="1"/>
    <col min="6410" max="6410" width="12.5703125" style="125" customWidth="1"/>
    <col min="6411" max="6411" width="9.85546875" style="125" bestFit="1" customWidth="1"/>
    <col min="6412" max="6412" width="12.140625" style="125" bestFit="1" customWidth="1"/>
    <col min="6413" max="6656" width="11.42578125" style="125"/>
    <col min="6657" max="6657" width="12.85546875" style="125" customWidth="1"/>
    <col min="6658" max="6658" width="11.85546875" style="125" customWidth="1"/>
    <col min="6659" max="6659" width="12" style="125" customWidth="1"/>
    <col min="6660" max="6660" width="11.85546875" style="125" customWidth="1"/>
    <col min="6661" max="6661" width="12.5703125" style="125" customWidth="1"/>
    <col min="6662" max="6662" width="9" style="125" customWidth="1"/>
    <col min="6663" max="6663" width="10.28515625" style="125" customWidth="1"/>
    <col min="6664" max="6664" width="9.140625" style="125" customWidth="1"/>
    <col min="6665" max="6665" width="18" style="125" customWidth="1"/>
    <col min="6666" max="6666" width="12.5703125" style="125" customWidth="1"/>
    <col min="6667" max="6667" width="9.85546875" style="125" bestFit="1" customWidth="1"/>
    <col min="6668" max="6668" width="12.140625" style="125" bestFit="1" customWidth="1"/>
    <col min="6669" max="6912" width="11.42578125" style="125"/>
    <col min="6913" max="6913" width="12.85546875" style="125" customWidth="1"/>
    <col min="6914" max="6914" width="11.85546875" style="125" customWidth="1"/>
    <col min="6915" max="6915" width="12" style="125" customWidth="1"/>
    <col min="6916" max="6916" width="11.85546875" style="125" customWidth="1"/>
    <col min="6917" max="6917" width="12.5703125" style="125" customWidth="1"/>
    <col min="6918" max="6918" width="9" style="125" customWidth="1"/>
    <col min="6919" max="6919" width="10.28515625" style="125" customWidth="1"/>
    <col min="6920" max="6920" width="9.140625" style="125" customWidth="1"/>
    <col min="6921" max="6921" width="18" style="125" customWidth="1"/>
    <col min="6922" max="6922" width="12.5703125" style="125" customWidth="1"/>
    <col min="6923" max="6923" width="9.85546875" style="125" bestFit="1" customWidth="1"/>
    <col min="6924" max="6924" width="12.140625" style="125" bestFit="1" customWidth="1"/>
    <col min="6925" max="7168" width="11.42578125" style="125"/>
    <col min="7169" max="7169" width="12.85546875" style="125" customWidth="1"/>
    <col min="7170" max="7170" width="11.85546875" style="125" customWidth="1"/>
    <col min="7171" max="7171" width="12" style="125" customWidth="1"/>
    <col min="7172" max="7172" width="11.85546875" style="125" customWidth="1"/>
    <col min="7173" max="7173" width="12.5703125" style="125" customWidth="1"/>
    <col min="7174" max="7174" width="9" style="125" customWidth="1"/>
    <col min="7175" max="7175" width="10.28515625" style="125" customWidth="1"/>
    <col min="7176" max="7176" width="9.140625" style="125" customWidth="1"/>
    <col min="7177" max="7177" width="18" style="125" customWidth="1"/>
    <col min="7178" max="7178" width="12.5703125" style="125" customWidth="1"/>
    <col min="7179" max="7179" width="9.85546875" style="125" bestFit="1" customWidth="1"/>
    <col min="7180" max="7180" width="12.140625" style="125" bestFit="1" customWidth="1"/>
    <col min="7181" max="7424" width="11.42578125" style="125"/>
    <col min="7425" max="7425" width="12.85546875" style="125" customWidth="1"/>
    <col min="7426" max="7426" width="11.85546875" style="125" customWidth="1"/>
    <col min="7427" max="7427" width="12" style="125" customWidth="1"/>
    <col min="7428" max="7428" width="11.85546875" style="125" customWidth="1"/>
    <col min="7429" max="7429" width="12.5703125" style="125" customWidth="1"/>
    <col min="7430" max="7430" width="9" style="125" customWidth="1"/>
    <col min="7431" max="7431" width="10.28515625" style="125" customWidth="1"/>
    <col min="7432" max="7432" width="9.140625" style="125" customWidth="1"/>
    <col min="7433" max="7433" width="18" style="125" customWidth="1"/>
    <col min="7434" max="7434" width="12.5703125" style="125" customWidth="1"/>
    <col min="7435" max="7435" width="9.85546875" style="125" bestFit="1" customWidth="1"/>
    <col min="7436" max="7436" width="12.140625" style="125" bestFit="1" customWidth="1"/>
    <col min="7437" max="7680" width="11.42578125" style="125"/>
    <col min="7681" max="7681" width="12.85546875" style="125" customWidth="1"/>
    <col min="7682" max="7682" width="11.85546875" style="125" customWidth="1"/>
    <col min="7683" max="7683" width="12" style="125" customWidth="1"/>
    <col min="7684" max="7684" width="11.85546875" style="125" customWidth="1"/>
    <col min="7685" max="7685" width="12.5703125" style="125" customWidth="1"/>
    <col min="7686" max="7686" width="9" style="125" customWidth="1"/>
    <col min="7687" max="7687" width="10.28515625" style="125" customWidth="1"/>
    <col min="7688" max="7688" width="9.140625" style="125" customWidth="1"/>
    <col min="7689" max="7689" width="18" style="125" customWidth="1"/>
    <col min="7690" max="7690" width="12.5703125" style="125" customWidth="1"/>
    <col min="7691" max="7691" width="9.85546875" style="125" bestFit="1" customWidth="1"/>
    <col min="7692" max="7692" width="12.140625" style="125" bestFit="1" customWidth="1"/>
    <col min="7693" max="7936" width="11.42578125" style="125"/>
    <col min="7937" max="7937" width="12.85546875" style="125" customWidth="1"/>
    <col min="7938" max="7938" width="11.85546875" style="125" customWidth="1"/>
    <col min="7939" max="7939" width="12" style="125" customWidth="1"/>
    <col min="7940" max="7940" width="11.85546875" style="125" customWidth="1"/>
    <col min="7941" max="7941" width="12.5703125" style="125" customWidth="1"/>
    <col min="7942" max="7942" width="9" style="125" customWidth="1"/>
    <col min="7943" max="7943" width="10.28515625" style="125" customWidth="1"/>
    <col min="7944" max="7944" width="9.140625" style="125" customWidth="1"/>
    <col min="7945" max="7945" width="18" style="125" customWidth="1"/>
    <col min="7946" max="7946" width="12.5703125" style="125" customWidth="1"/>
    <col min="7947" max="7947" width="9.85546875" style="125" bestFit="1" customWidth="1"/>
    <col min="7948" max="7948" width="12.140625" style="125" bestFit="1" customWidth="1"/>
    <col min="7949" max="8192" width="11.42578125" style="125"/>
    <col min="8193" max="8193" width="12.85546875" style="125" customWidth="1"/>
    <col min="8194" max="8194" width="11.85546875" style="125" customWidth="1"/>
    <col min="8195" max="8195" width="12" style="125" customWidth="1"/>
    <col min="8196" max="8196" width="11.85546875" style="125" customWidth="1"/>
    <col min="8197" max="8197" width="12.5703125" style="125" customWidth="1"/>
    <col min="8198" max="8198" width="9" style="125" customWidth="1"/>
    <col min="8199" max="8199" width="10.28515625" style="125" customWidth="1"/>
    <col min="8200" max="8200" width="9.140625" style="125" customWidth="1"/>
    <col min="8201" max="8201" width="18" style="125" customWidth="1"/>
    <col min="8202" max="8202" width="12.5703125" style="125" customWidth="1"/>
    <col min="8203" max="8203" width="9.85546875" style="125" bestFit="1" customWidth="1"/>
    <col min="8204" max="8204" width="12.140625" style="125" bestFit="1" customWidth="1"/>
    <col min="8205" max="8448" width="11.42578125" style="125"/>
    <col min="8449" max="8449" width="12.85546875" style="125" customWidth="1"/>
    <col min="8450" max="8450" width="11.85546875" style="125" customWidth="1"/>
    <col min="8451" max="8451" width="12" style="125" customWidth="1"/>
    <col min="8452" max="8452" width="11.85546875" style="125" customWidth="1"/>
    <col min="8453" max="8453" width="12.5703125" style="125" customWidth="1"/>
    <col min="8454" max="8454" width="9" style="125" customWidth="1"/>
    <col min="8455" max="8455" width="10.28515625" style="125" customWidth="1"/>
    <col min="8456" max="8456" width="9.140625" style="125" customWidth="1"/>
    <col min="8457" max="8457" width="18" style="125" customWidth="1"/>
    <col min="8458" max="8458" width="12.5703125" style="125" customWidth="1"/>
    <col min="8459" max="8459" width="9.85546875" style="125" bestFit="1" customWidth="1"/>
    <col min="8460" max="8460" width="12.140625" style="125" bestFit="1" customWidth="1"/>
    <col min="8461" max="8704" width="11.42578125" style="125"/>
    <col min="8705" max="8705" width="12.85546875" style="125" customWidth="1"/>
    <col min="8706" max="8706" width="11.85546875" style="125" customWidth="1"/>
    <col min="8707" max="8707" width="12" style="125" customWidth="1"/>
    <col min="8708" max="8708" width="11.85546875" style="125" customWidth="1"/>
    <col min="8709" max="8709" width="12.5703125" style="125" customWidth="1"/>
    <col min="8710" max="8710" width="9" style="125" customWidth="1"/>
    <col min="8711" max="8711" width="10.28515625" style="125" customWidth="1"/>
    <col min="8712" max="8712" width="9.140625" style="125" customWidth="1"/>
    <col min="8713" max="8713" width="18" style="125" customWidth="1"/>
    <col min="8714" max="8714" width="12.5703125" style="125" customWidth="1"/>
    <col min="8715" max="8715" width="9.85546875" style="125" bestFit="1" customWidth="1"/>
    <col min="8716" max="8716" width="12.140625" style="125" bestFit="1" customWidth="1"/>
    <col min="8717" max="8960" width="11.42578125" style="125"/>
    <col min="8961" max="8961" width="12.85546875" style="125" customWidth="1"/>
    <col min="8962" max="8962" width="11.85546875" style="125" customWidth="1"/>
    <col min="8963" max="8963" width="12" style="125" customWidth="1"/>
    <col min="8964" max="8964" width="11.85546875" style="125" customWidth="1"/>
    <col min="8965" max="8965" width="12.5703125" style="125" customWidth="1"/>
    <col min="8966" max="8966" width="9" style="125" customWidth="1"/>
    <col min="8967" max="8967" width="10.28515625" style="125" customWidth="1"/>
    <col min="8968" max="8968" width="9.140625" style="125" customWidth="1"/>
    <col min="8969" max="8969" width="18" style="125" customWidth="1"/>
    <col min="8970" max="8970" width="12.5703125" style="125" customWidth="1"/>
    <col min="8971" max="8971" width="9.85546875" style="125" bestFit="1" customWidth="1"/>
    <col min="8972" max="8972" width="12.140625" style="125" bestFit="1" customWidth="1"/>
    <col min="8973" max="9216" width="11.42578125" style="125"/>
    <col min="9217" max="9217" width="12.85546875" style="125" customWidth="1"/>
    <col min="9218" max="9218" width="11.85546875" style="125" customWidth="1"/>
    <col min="9219" max="9219" width="12" style="125" customWidth="1"/>
    <col min="9220" max="9220" width="11.85546875" style="125" customWidth="1"/>
    <col min="9221" max="9221" width="12.5703125" style="125" customWidth="1"/>
    <col min="9222" max="9222" width="9" style="125" customWidth="1"/>
    <col min="9223" max="9223" width="10.28515625" style="125" customWidth="1"/>
    <col min="9224" max="9224" width="9.140625" style="125" customWidth="1"/>
    <col min="9225" max="9225" width="18" style="125" customWidth="1"/>
    <col min="9226" max="9226" width="12.5703125" style="125" customWidth="1"/>
    <col min="9227" max="9227" width="9.85546875" style="125" bestFit="1" customWidth="1"/>
    <col min="9228" max="9228" width="12.140625" style="125" bestFit="1" customWidth="1"/>
    <col min="9229" max="9472" width="11.42578125" style="125"/>
    <col min="9473" max="9473" width="12.85546875" style="125" customWidth="1"/>
    <col min="9474" max="9474" width="11.85546875" style="125" customWidth="1"/>
    <col min="9475" max="9475" width="12" style="125" customWidth="1"/>
    <col min="9476" max="9476" width="11.85546875" style="125" customWidth="1"/>
    <col min="9477" max="9477" width="12.5703125" style="125" customWidth="1"/>
    <col min="9478" max="9478" width="9" style="125" customWidth="1"/>
    <col min="9479" max="9479" width="10.28515625" style="125" customWidth="1"/>
    <col min="9480" max="9480" width="9.140625" style="125" customWidth="1"/>
    <col min="9481" max="9481" width="18" style="125" customWidth="1"/>
    <col min="9482" max="9482" width="12.5703125" style="125" customWidth="1"/>
    <col min="9483" max="9483" width="9.85546875" style="125" bestFit="1" customWidth="1"/>
    <col min="9484" max="9484" width="12.140625" style="125" bestFit="1" customWidth="1"/>
    <col min="9485" max="9728" width="11.42578125" style="125"/>
    <col min="9729" max="9729" width="12.85546875" style="125" customWidth="1"/>
    <col min="9730" max="9730" width="11.85546875" style="125" customWidth="1"/>
    <col min="9731" max="9731" width="12" style="125" customWidth="1"/>
    <col min="9732" max="9732" width="11.85546875" style="125" customWidth="1"/>
    <col min="9733" max="9733" width="12.5703125" style="125" customWidth="1"/>
    <col min="9734" max="9734" width="9" style="125" customWidth="1"/>
    <col min="9735" max="9735" width="10.28515625" style="125" customWidth="1"/>
    <col min="9736" max="9736" width="9.140625" style="125" customWidth="1"/>
    <col min="9737" max="9737" width="18" style="125" customWidth="1"/>
    <col min="9738" max="9738" width="12.5703125" style="125" customWidth="1"/>
    <col min="9739" max="9739" width="9.85546875" style="125" bestFit="1" customWidth="1"/>
    <col min="9740" max="9740" width="12.140625" style="125" bestFit="1" customWidth="1"/>
    <col min="9741" max="9984" width="11.42578125" style="125"/>
    <col min="9985" max="9985" width="12.85546875" style="125" customWidth="1"/>
    <col min="9986" max="9986" width="11.85546875" style="125" customWidth="1"/>
    <col min="9987" max="9987" width="12" style="125" customWidth="1"/>
    <col min="9988" max="9988" width="11.85546875" style="125" customWidth="1"/>
    <col min="9989" max="9989" width="12.5703125" style="125" customWidth="1"/>
    <col min="9990" max="9990" width="9" style="125" customWidth="1"/>
    <col min="9991" max="9991" width="10.28515625" style="125" customWidth="1"/>
    <col min="9992" max="9992" width="9.140625" style="125" customWidth="1"/>
    <col min="9993" max="9993" width="18" style="125" customWidth="1"/>
    <col min="9994" max="9994" width="12.5703125" style="125" customWidth="1"/>
    <col min="9995" max="9995" width="9.85546875" style="125" bestFit="1" customWidth="1"/>
    <col min="9996" max="9996" width="12.140625" style="125" bestFit="1" customWidth="1"/>
    <col min="9997" max="10240" width="11.42578125" style="125"/>
    <col min="10241" max="10241" width="12.85546875" style="125" customWidth="1"/>
    <col min="10242" max="10242" width="11.85546875" style="125" customWidth="1"/>
    <col min="10243" max="10243" width="12" style="125" customWidth="1"/>
    <col min="10244" max="10244" width="11.85546875" style="125" customWidth="1"/>
    <col min="10245" max="10245" width="12.5703125" style="125" customWidth="1"/>
    <col min="10246" max="10246" width="9" style="125" customWidth="1"/>
    <col min="10247" max="10247" width="10.28515625" style="125" customWidth="1"/>
    <col min="10248" max="10248" width="9.140625" style="125" customWidth="1"/>
    <col min="10249" max="10249" width="18" style="125" customWidth="1"/>
    <col min="10250" max="10250" width="12.5703125" style="125" customWidth="1"/>
    <col min="10251" max="10251" width="9.85546875" style="125" bestFit="1" customWidth="1"/>
    <col min="10252" max="10252" width="12.140625" style="125" bestFit="1" customWidth="1"/>
    <col min="10253" max="10496" width="11.42578125" style="125"/>
    <col min="10497" max="10497" width="12.85546875" style="125" customWidth="1"/>
    <col min="10498" max="10498" width="11.85546875" style="125" customWidth="1"/>
    <col min="10499" max="10499" width="12" style="125" customWidth="1"/>
    <col min="10500" max="10500" width="11.85546875" style="125" customWidth="1"/>
    <col min="10501" max="10501" width="12.5703125" style="125" customWidth="1"/>
    <col min="10502" max="10502" width="9" style="125" customWidth="1"/>
    <col min="10503" max="10503" width="10.28515625" style="125" customWidth="1"/>
    <col min="10504" max="10504" width="9.140625" style="125" customWidth="1"/>
    <col min="10505" max="10505" width="18" style="125" customWidth="1"/>
    <col min="10506" max="10506" width="12.5703125" style="125" customWidth="1"/>
    <col min="10507" max="10507" width="9.85546875" style="125" bestFit="1" customWidth="1"/>
    <col min="10508" max="10508" width="12.140625" style="125" bestFit="1" customWidth="1"/>
    <col min="10509" max="10752" width="11.42578125" style="125"/>
    <col min="10753" max="10753" width="12.85546875" style="125" customWidth="1"/>
    <col min="10754" max="10754" width="11.85546875" style="125" customWidth="1"/>
    <col min="10755" max="10755" width="12" style="125" customWidth="1"/>
    <col min="10756" max="10756" width="11.85546875" style="125" customWidth="1"/>
    <col min="10757" max="10757" width="12.5703125" style="125" customWidth="1"/>
    <col min="10758" max="10758" width="9" style="125" customWidth="1"/>
    <col min="10759" max="10759" width="10.28515625" style="125" customWidth="1"/>
    <col min="10760" max="10760" width="9.140625" style="125" customWidth="1"/>
    <col min="10761" max="10761" width="18" style="125" customWidth="1"/>
    <col min="10762" max="10762" width="12.5703125" style="125" customWidth="1"/>
    <col min="10763" max="10763" width="9.85546875" style="125" bestFit="1" customWidth="1"/>
    <col min="10764" max="10764" width="12.140625" style="125" bestFit="1" customWidth="1"/>
    <col min="10765" max="11008" width="11.42578125" style="125"/>
    <col min="11009" max="11009" width="12.85546875" style="125" customWidth="1"/>
    <col min="11010" max="11010" width="11.85546875" style="125" customWidth="1"/>
    <col min="11011" max="11011" width="12" style="125" customWidth="1"/>
    <col min="11012" max="11012" width="11.85546875" style="125" customWidth="1"/>
    <col min="11013" max="11013" width="12.5703125" style="125" customWidth="1"/>
    <col min="11014" max="11014" width="9" style="125" customWidth="1"/>
    <col min="11015" max="11015" width="10.28515625" style="125" customWidth="1"/>
    <col min="11016" max="11016" width="9.140625" style="125" customWidth="1"/>
    <col min="11017" max="11017" width="18" style="125" customWidth="1"/>
    <col min="11018" max="11018" width="12.5703125" style="125" customWidth="1"/>
    <col min="11019" max="11019" width="9.85546875" style="125" bestFit="1" customWidth="1"/>
    <col min="11020" max="11020" width="12.140625" style="125" bestFit="1" customWidth="1"/>
    <col min="11021" max="11264" width="11.42578125" style="125"/>
    <col min="11265" max="11265" width="12.85546875" style="125" customWidth="1"/>
    <col min="11266" max="11266" width="11.85546875" style="125" customWidth="1"/>
    <col min="11267" max="11267" width="12" style="125" customWidth="1"/>
    <col min="11268" max="11268" width="11.85546875" style="125" customWidth="1"/>
    <col min="11269" max="11269" width="12.5703125" style="125" customWidth="1"/>
    <col min="11270" max="11270" width="9" style="125" customWidth="1"/>
    <col min="11271" max="11271" width="10.28515625" style="125" customWidth="1"/>
    <col min="11272" max="11272" width="9.140625" style="125" customWidth="1"/>
    <col min="11273" max="11273" width="18" style="125" customWidth="1"/>
    <col min="11274" max="11274" width="12.5703125" style="125" customWidth="1"/>
    <col min="11275" max="11275" width="9.85546875" style="125" bestFit="1" customWidth="1"/>
    <col min="11276" max="11276" width="12.140625" style="125" bestFit="1" customWidth="1"/>
    <col min="11277" max="11520" width="11.42578125" style="125"/>
    <col min="11521" max="11521" width="12.85546875" style="125" customWidth="1"/>
    <col min="11522" max="11522" width="11.85546875" style="125" customWidth="1"/>
    <col min="11523" max="11523" width="12" style="125" customWidth="1"/>
    <col min="11524" max="11524" width="11.85546875" style="125" customWidth="1"/>
    <col min="11525" max="11525" width="12.5703125" style="125" customWidth="1"/>
    <col min="11526" max="11526" width="9" style="125" customWidth="1"/>
    <col min="11527" max="11527" width="10.28515625" style="125" customWidth="1"/>
    <col min="11528" max="11528" width="9.140625" style="125" customWidth="1"/>
    <col min="11529" max="11529" width="18" style="125" customWidth="1"/>
    <col min="11530" max="11530" width="12.5703125" style="125" customWidth="1"/>
    <col min="11531" max="11531" width="9.85546875" style="125" bestFit="1" customWidth="1"/>
    <col min="11532" max="11532" width="12.140625" style="125" bestFit="1" customWidth="1"/>
    <col min="11533" max="11776" width="11.42578125" style="125"/>
    <col min="11777" max="11777" width="12.85546875" style="125" customWidth="1"/>
    <col min="11778" max="11778" width="11.85546875" style="125" customWidth="1"/>
    <col min="11779" max="11779" width="12" style="125" customWidth="1"/>
    <col min="11780" max="11780" width="11.85546875" style="125" customWidth="1"/>
    <col min="11781" max="11781" width="12.5703125" style="125" customWidth="1"/>
    <col min="11782" max="11782" width="9" style="125" customWidth="1"/>
    <col min="11783" max="11783" width="10.28515625" style="125" customWidth="1"/>
    <col min="11784" max="11784" width="9.140625" style="125" customWidth="1"/>
    <col min="11785" max="11785" width="18" style="125" customWidth="1"/>
    <col min="11786" max="11786" width="12.5703125" style="125" customWidth="1"/>
    <col min="11787" max="11787" width="9.85546875" style="125" bestFit="1" customWidth="1"/>
    <col min="11788" max="11788" width="12.140625" style="125" bestFit="1" customWidth="1"/>
    <col min="11789" max="12032" width="11.42578125" style="125"/>
    <col min="12033" max="12033" width="12.85546875" style="125" customWidth="1"/>
    <col min="12034" max="12034" width="11.85546875" style="125" customWidth="1"/>
    <col min="12035" max="12035" width="12" style="125" customWidth="1"/>
    <col min="12036" max="12036" width="11.85546875" style="125" customWidth="1"/>
    <col min="12037" max="12037" width="12.5703125" style="125" customWidth="1"/>
    <col min="12038" max="12038" width="9" style="125" customWidth="1"/>
    <col min="12039" max="12039" width="10.28515625" style="125" customWidth="1"/>
    <col min="12040" max="12040" width="9.140625" style="125" customWidth="1"/>
    <col min="12041" max="12041" width="18" style="125" customWidth="1"/>
    <col min="12042" max="12042" width="12.5703125" style="125" customWidth="1"/>
    <col min="12043" max="12043" width="9.85546875" style="125" bestFit="1" customWidth="1"/>
    <col min="12044" max="12044" width="12.140625" style="125" bestFit="1" customWidth="1"/>
    <col min="12045" max="12288" width="11.42578125" style="125"/>
    <col min="12289" max="12289" width="12.85546875" style="125" customWidth="1"/>
    <col min="12290" max="12290" width="11.85546875" style="125" customWidth="1"/>
    <col min="12291" max="12291" width="12" style="125" customWidth="1"/>
    <col min="12292" max="12292" width="11.85546875" style="125" customWidth="1"/>
    <col min="12293" max="12293" width="12.5703125" style="125" customWidth="1"/>
    <col min="12294" max="12294" width="9" style="125" customWidth="1"/>
    <col min="12295" max="12295" width="10.28515625" style="125" customWidth="1"/>
    <col min="12296" max="12296" width="9.140625" style="125" customWidth="1"/>
    <col min="12297" max="12297" width="18" style="125" customWidth="1"/>
    <col min="12298" max="12298" width="12.5703125" style="125" customWidth="1"/>
    <col min="12299" max="12299" width="9.85546875" style="125" bestFit="1" customWidth="1"/>
    <col min="12300" max="12300" width="12.140625" style="125" bestFit="1" customWidth="1"/>
    <col min="12301" max="12544" width="11.42578125" style="125"/>
    <col min="12545" max="12545" width="12.85546875" style="125" customWidth="1"/>
    <col min="12546" max="12546" width="11.85546875" style="125" customWidth="1"/>
    <col min="12547" max="12547" width="12" style="125" customWidth="1"/>
    <col min="12548" max="12548" width="11.85546875" style="125" customWidth="1"/>
    <col min="12549" max="12549" width="12.5703125" style="125" customWidth="1"/>
    <col min="12550" max="12550" width="9" style="125" customWidth="1"/>
    <col min="12551" max="12551" width="10.28515625" style="125" customWidth="1"/>
    <col min="12552" max="12552" width="9.140625" style="125" customWidth="1"/>
    <col min="12553" max="12553" width="18" style="125" customWidth="1"/>
    <col min="12554" max="12554" width="12.5703125" style="125" customWidth="1"/>
    <col min="12555" max="12555" width="9.85546875" style="125" bestFit="1" customWidth="1"/>
    <col min="12556" max="12556" width="12.140625" style="125" bestFit="1" customWidth="1"/>
    <col min="12557" max="12800" width="11.42578125" style="125"/>
    <col min="12801" max="12801" width="12.85546875" style="125" customWidth="1"/>
    <col min="12802" max="12802" width="11.85546875" style="125" customWidth="1"/>
    <col min="12803" max="12803" width="12" style="125" customWidth="1"/>
    <col min="12804" max="12804" width="11.85546875" style="125" customWidth="1"/>
    <col min="12805" max="12805" width="12.5703125" style="125" customWidth="1"/>
    <col min="12806" max="12806" width="9" style="125" customWidth="1"/>
    <col min="12807" max="12807" width="10.28515625" style="125" customWidth="1"/>
    <col min="12808" max="12808" width="9.140625" style="125" customWidth="1"/>
    <col min="12809" max="12809" width="18" style="125" customWidth="1"/>
    <col min="12810" max="12810" width="12.5703125" style="125" customWidth="1"/>
    <col min="12811" max="12811" width="9.85546875" style="125" bestFit="1" customWidth="1"/>
    <col min="12812" max="12812" width="12.140625" style="125" bestFit="1" customWidth="1"/>
    <col min="12813" max="13056" width="11.42578125" style="125"/>
    <col min="13057" max="13057" width="12.85546875" style="125" customWidth="1"/>
    <col min="13058" max="13058" width="11.85546875" style="125" customWidth="1"/>
    <col min="13059" max="13059" width="12" style="125" customWidth="1"/>
    <col min="13060" max="13060" width="11.85546875" style="125" customWidth="1"/>
    <col min="13061" max="13061" width="12.5703125" style="125" customWidth="1"/>
    <col min="13062" max="13062" width="9" style="125" customWidth="1"/>
    <col min="13063" max="13063" width="10.28515625" style="125" customWidth="1"/>
    <col min="13064" max="13064" width="9.140625" style="125" customWidth="1"/>
    <col min="13065" max="13065" width="18" style="125" customWidth="1"/>
    <col min="13066" max="13066" width="12.5703125" style="125" customWidth="1"/>
    <col min="13067" max="13067" width="9.85546875" style="125" bestFit="1" customWidth="1"/>
    <col min="13068" max="13068" width="12.140625" style="125" bestFit="1" customWidth="1"/>
    <col min="13069" max="13312" width="11.42578125" style="125"/>
    <col min="13313" max="13313" width="12.85546875" style="125" customWidth="1"/>
    <col min="13314" max="13314" width="11.85546875" style="125" customWidth="1"/>
    <col min="13315" max="13315" width="12" style="125" customWidth="1"/>
    <col min="13316" max="13316" width="11.85546875" style="125" customWidth="1"/>
    <col min="13317" max="13317" width="12.5703125" style="125" customWidth="1"/>
    <col min="13318" max="13318" width="9" style="125" customWidth="1"/>
    <col min="13319" max="13319" width="10.28515625" style="125" customWidth="1"/>
    <col min="13320" max="13320" width="9.140625" style="125" customWidth="1"/>
    <col min="13321" max="13321" width="18" style="125" customWidth="1"/>
    <col min="13322" max="13322" width="12.5703125" style="125" customWidth="1"/>
    <col min="13323" max="13323" width="9.85546875" style="125" bestFit="1" customWidth="1"/>
    <col min="13324" max="13324" width="12.140625" style="125" bestFit="1" customWidth="1"/>
    <col min="13325" max="13568" width="11.42578125" style="125"/>
    <col min="13569" max="13569" width="12.85546875" style="125" customWidth="1"/>
    <col min="13570" max="13570" width="11.85546875" style="125" customWidth="1"/>
    <col min="13571" max="13571" width="12" style="125" customWidth="1"/>
    <col min="13572" max="13572" width="11.85546875" style="125" customWidth="1"/>
    <col min="13573" max="13573" width="12.5703125" style="125" customWidth="1"/>
    <col min="13574" max="13574" width="9" style="125" customWidth="1"/>
    <col min="13575" max="13575" width="10.28515625" style="125" customWidth="1"/>
    <col min="13576" max="13576" width="9.140625" style="125" customWidth="1"/>
    <col min="13577" max="13577" width="18" style="125" customWidth="1"/>
    <col min="13578" max="13578" width="12.5703125" style="125" customWidth="1"/>
    <col min="13579" max="13579" width="9.85546875" style="125" bestFit="1" customWidth="1"/>
    <col min="13580" max="13580" width="12.140625" style="125" bestFit="1" customWidth="1"/>
    <col min="13581" max="13824" width="11.42578125" style="125"/>
    <col min="13825" max="13825" width="12.85546875" style="125" customWidth="1"/>
    <col min="13826" max="13826" width="11.85546875" style="125" customWidth="1"/>
    <col min="13827" max="13827" width="12" style="125" customWidth="1"/>
    <col min="13828" max="13828" width="11.85546875" style="125" customWidth="1"/>
    <col min="13829" max="13829" width="12.5703125" style="125" customWidth="1"/>
    <col min="13830" max="13830" width="9" style="125" customWidth="1"/>
    <col min="13831" max="13831" width="10.28515625" style="125" customWidth="1"/>
    <col min="13832" max="13832" width="9.140625" style="125" customWidth="1"/>
    <col min="13833" max="13833" width="18" style="125" customWidth="1"/>
    <col min="13834" max="13834" width="12.5703125" style="125" customWidth="1"/>
    <col min="13835" max="13835" width="9.85546875" style="125" bestFit="1" customWidth="1"/>
    <col min="13836" max="13836" width="12.140625" style="125" bestFit="1" customWidth="1"/>
    <col min="13837" max="14080" width="11.42578125" style="125"/>
    <col min="14081" max="14081" width="12.85546875" style="125" customWidth="1"/>
    <col min="14082" max="14082" width="11.85546875" style="125" customWidth="1"/>
    <col min="14083" max="14083" width="12" style="125" customWidth="1"/>
    <col min="14084" max="14084" width="11.85546875" style="125" customWidth="1"/>
    <col min="14085" max="14085" width="12.5703125" style="125" customWidth="1"/>
    <col min="14086" max="14086" width="9" style="125" customWidth="1"/>
    <col min="14087" max="14087" width="10.28515625" style="125" customWidth="1"/>
    <col min="14088" max="14088" width="9.140625" style="125" customWidth="1"/>
    <col min="14089" max="14089" width="18" style="125" customWidth="1"/>
    <col min="14090" max="14090" width="12.5703125" style="125" customWidth="1"/>
    <col min="14091" max="14091" width="9.85546875" style="125" bestFit="1" customWidth="1"/>
    <col min="14092" max="14092" width="12.140625" style="125" bestFit="1" customWidth="1"/>
    <col min="14093" max="14336" width="11.42578125" style="125"/>
    <col min="14337" max="14337" width="12.85546875" style="125" customWidth="1"/>
    <col min="14338" max="14338" width="11.85546875" style="125" customWidth="1"/>
    <col min="14339" max="14339" width="12" style="125" customWidth="1"/>
    <col min="14340" max="14340" width="11.85546875" style="125" customWidth="1"/>
    <col min="14341" max="14341" width="12.5703125" style="125" customWidth="1"/>
    <col min="14342" max="14342" width="9" style="125" customWidth="1"/>
    <col min="14343" max="14343" width="10.28515625" style="125" customWidth="1"/>
    <col min="14344" max="14344" width="9.140625" style="125" customWidth="1"/>
    <col min="14345" max="14345" width="18" style="125" customWidth="1"/>
    <col min="14346" max="14346" width="12.5703125" style="125" customWidth="1"/>
    <col min="14347" max="14347" width="9.85546875" style="125" bestFit="1" customWidth="1"/>
    <col min="14348" max="14348" width="12.140625" style="125" bestFit="1" customWidth="1"/>
    <col min="14349" max="14592" width="11.42578125" style="125"/>
    <col min="14593" max="14593" width="12.85546875" style="125" customWidth="1"/>
    <col min="14594" max="14594" width="11.85546875" style="125" customWidth="1"/>
    <col min="14595" max="14595" width="12" style="125" customWidth="1"/>
    <col min="14596" max="14596" width="11.85546875" style="125" customWidth="1"/>
    <col min="14597" max="14597" width="12.5703125" style="125" customWidth="1"/>
    <col min="14598" max="14598" width="9" style="125" customWidth="1"/>
    <col min="14599" max="14599" width="10.28515625" style="125" customWidth="1"/>
    <col min="14600" max="14600" width="9.140625" style="125" customWidth="1"/>
    <col min="14601" max="14601" width="18" style="125" customWidth="1"/>
    <col min="14602" max="14602" width="12.5703125" style="125" customWidth="1"/>
    <col min="14603" max="14603" width="9.85546875" style="125" bestFit="1" customWidth="1"/>
    <col min="14604" max="14604" width="12.140625" style="125" bestFit="1" customWidth="1"/>
    <col min="14605" max="14848" width="11.42578125" style="125"/>
    <col min="14849" max="14849" width="12.85546875" style="125" customWidth="1"/>
    <col min="14850" max="14850" width="11.85546875" style="125" customWidth="1"/>
    <col min="14851" max="14851" width="12" style="125" customWidth="1"/>
    <col min="14852" max="14852" width="11.85546875" style="125" customWidth="1"/>
    <col min="14853" max="14853" width="12.5703125" style="125" customWidth="1"/>
    <col min="14854" max="14854" width="9" style="125" customWidth="1"/>
    <col min="14855" max="14855" width="10.28515625" style="125" customWidth="1"/>
    <col min="14856" max="14856" width="9.140625" style="125" customWidth="1"/>
    <col min="14857" max="14857" width="18" style="125" customWidth="1"/>
    <col min="14858" max="14858" width="12.5703125" style="125" customWidth="1"/>
    <col min="14859" max="14859" width="9.85546875" style="125" bestFit="1" customWidth="1"/>
    <col min="14860" max="14860" width="12.140625" style="125" bestFit="1" customWidth="1"/>
    <col min="14861" max="15104" width="11.42578125" style="125"/>
    <col min="15105" max="15105" width="12.85546875" style="125" customWidth="1"/>
    <col min="15106" max="15106" width="11.85546875" style="125" customWidth="1"/>
    <col min="15107" max="15107" width="12" style="125" customWidth="1"/>
    <col min="15108" max="15108" width="11.85546875" style="125" customWidth="1"/>
    <col min="15109" max="15109" width="12.5703125" style="125" customWidth="1"/>
    <col min="15110" max="15110" width="9" style="125" customWidth="1"/>
    <col min="15111" max="15111" width="10.28515625" style="125" customWidth="1"/>
    <col min="15112" max="15112" width="9.140625" style="125" customWidth="1"/>
    <col min="15113" max="15113" width="18" style="125" customWidth="1"/>
    <col min="15114" max="15114" width="12.5703125" style="125" customWidth="1"/>
    <col min="15115" max="15115" width="9.85546875" style="125" bestFit="1" customWidth="1"/>
    <col min="15116" max="15116" width="12.140625" style="125" bestFit="1" customWidth="1"/>
    <col min="15117" max="15360" width="11.42578125" style="125"/>
    <col min="15361" max="15361" width="12.85546875" style="125" customWidth="1"/>
    <col min="15362" max="15362" width="11.85546875" style="125" customWidth="1"/>
    <col min="15363" max="15363" width="12" style="125" customWidth="1"/>
    <col min="15364" max="15364" width="11.85546875" style="125" customWidth="1"/>
    <col min="15365" max="15365" width="12.5703125" style="125" customWidth="1"/>
    <col min="15366" max="15366" width="9" style="125" customWidth="1"/>
    <col min="15367" max="15367" width="10.28515625" style="125" customWidth="1"/>
    <col min="15368" max="15368" width="9.140625" style="125" customWidth="1"/>
    <col min="15369" max="15369" width="18" style="125" customWidth="1"/>
    <col min="15370" max="15370" width="12.5703125" style="125" customWidth="1"/>
    <col min="15371" max="15371" width="9.85546875" style="125" bestFit="1" customWidth="1"/>
    <col min="15372" max="15372" width="12.140625" style="125" bestFit="1" customWidth="1"/>
    <col min="15373" max="15616" width="11.42578125" style="125"/>
    <col min="15617" max="15617" width="12.85546875" style="125" customWidth="1"/>
    <col min="15618" max="15618" width="11.85546875" style="125" customWidth="1"/>
    <col min="15619" max="15619" width="12" style="125" customWidth="1"/>
    <col min="15620" max="15620" width="11.85546875" style="125" customWidth="1"/>
    <col min="15621" max="15621" width="12.5703125" style="125" customWidth="1"/>
    <col min="15622" max="15622" width="9" style="125" customWidth="1"/>
    <col min="15623" max="15623" width="10.28515625" style="125" customWidth="1"/>
    <col min="15624" max="15624" width="9.140625" style="125" customWidth="1"/>
    <col min="15625" max="15625" width="18" style="125" customWidth="1"/>
    <col min="15626" max="15626" width="12.5703125" style="125" customWidth="1"/>
    <col min="15627" max="15627" width="9.85546875" style="125" bestFit="1" customWidth="1"/>
    <col min="15628" max="15628" width="12.140625" style="125" bestFit="1" customWidth="1"/>
    <col min="15629" max="15872" width="11.42578125" style="125"/>
    <col min="15873" max="15873" width="12.85546875" style="125" customWidth="1"/>
    <col min="15874" max="15874" width="11.85546875" style="125" customWidth="1"/>
    <col min="15875" max="15875" width="12" style="125" customWidth="1"/>
    <col min="15876" max="15876" width="11.85546875" style="125" customWidth="1"/>
    <col min="15877" max="15877" width="12.5703125" style="125" customWidth="1"/>
    <col min="15878" max="15878" width="9" style="125" customWidth="1"/>
    <col min="15879" max="15879" width="10.28515625" style="125" customWidth="1"/>
    <col min="15880" max="15880" width="9.140625" style="125" customWidth="1"/>
    <col min="15881" max="15881" width="18" style="125" customWidth="1"/>
    <col min="15882" max="15882" width="12.5703125" style="125" customWidth="1"/>
    <col min="15883" max="15883" width="9.85546875" style="125" bestFit="1" customWidth="1"/>
    <col min="15884" max="15884" width="12.140625" style="125" bestFit="1" customWidth="1"/>
    <col min="15885" max="16128" width="11.42578125" style="125"/>
    <col min="16129" max="16129" width="12.85546875" style="125" customWidth="1"/>
    <col min="16130" max="16130" width="11.85546875" style="125" customWidth="1"/>
    <col min="16131" max="16131" width="12" style="125" customWidth="1"/>
    <col min="16132" max="16132" width="11.85546875" style="125" customWidth="1"/>
    <col min="16133" max="16133" width="12.5703125" style="125" customWidth="1"/>
    <col min="16134" max="16134" width="9" style="125" customWidth="1"/>
    <col min="16135" max="16135" width="10.28515625" style="125" customWidth="1"/>
    <col min="16136" max="16136" width="9.140625" style="125" customWidth="1"/>
    <col min="16137" max="16137" width="18" style="125" customWidth="1"/>
    <col min="16138" max="16138" width="12.5703125" style="125" customWidth="1"/>
    <col min="16139" max="16139" width="9.85546875" style="125" bestFit="1" customWidth="1"/>
    <col min="16140" max="16140" width="12.140625" style="125" bestFit="1" customWidth="1"/>
    <col min="16141" max="16384" width="11.42578125" style="125"/>
  </cols>
  <sheetData>
    <row r="1" spans="1:15" ht="36.75" customHeight="1" thickBot="1">
      <c r="A1" s="170" t="s">
        <v>215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2"/>
      <c r="N1" s="164" t="s">
        <v>1</v>
      </c>
      <c r="O1" s="164"/>
    </row>
    <row r="2" spans="1:15" ht="29.25" customHeight="1" thickBot="1"/>
    <row r="3" spans="1:15" ht="45.75" thickBot="1">
      <c r="A3" s="126" t="s">
        <v>216</v>
      </c>
      <c r="B3" s="126" t="s">
        <v>217</v>
      </c>
      <c r="C3" s="126" t="s">
        <v>218</v>
      </c>
      <c r="D3" s="126" t="s">
        <v>219</v>
      </c>
      <c r="E3" s="126" t="s">
        <v>220</v>
      </c>
      <c r="F3" s="126" t="s">
        <v>221</v>
      </c>
      <c r="G3" s="126" t="s">
        <v>222</v>
      </c>
      <c r="H3" s="127" t="s">
        <v>223</v>
      </c>
      <c r="I3" s="126" t="s">
        <v>224</v>
      </c>
      <c r="J3" s="126" t="s">
        <v>225</v>
      </c>
      <c r="K3" s="126" t="s">
        <v>226</v>
      </c>
      <c r="L3" s="126" t="s">
        <v>227</v>
      </c>
    </row>
    <row r="4" spans="1:15">
      <c r="A4" s="128">
        <v>23415062012</v>
      </c>
      <c r="B4" s="129"/>
      <c r="C4" s="129"/>
      <c r="D4" s="129"/>
      <c r="E4" s="130"/>
      <c r="F4" s="129" t="str">
        <f>LEFT(A4,3)</f>
        <v>234</v>
      </c>
      <c r="G4" s="131" t="s">
        <v>154</v>
      </c>
      <c r="H4" s="132" t="s">
        <v>228</v>
      </c>
      <c r="I4" s="133"/>
      <c r="J4" s="134">
        <v>7623</v>
      </c>
      <c r="K4" s="135"/>
      <c r="L4" s="134"/>
    </row>
    <row r="5" spans="1:15">
      <c r="A5" s="136">
        <v>63825122012</v>
      </c>
      <c r="B5" s="137"/>
      <c r="C5" s="137"/>
      <c r="D5" s="137"/>
      <c r="E5" s="138"/>
      <c r="F5" s="137" t="str">
        <f t="shared" ref="F5:F13" si="0">LEFT(A5,3)</f>
        <v>638</v>
      </c>
      <c r="G5" s="139" t="s">
        <v>72</v>
      </c>
      <c r="H5" s="140" t="s">
        <v>229</v>
      </c>
      <c r="I5" s="139"/>
      <c r="J5" s="141">
        <v>4979</v>
      </c>
      <c r="K5" s="142"/>
      <c r="L5" s="141"/>
    </row>
    <row r="6" spans="1:15">
      <c r="A6" s="136">
        <v>5890202013</v>
      </c>
      <c r="B6" s="137"/>
      <c r="C6" s="137"/>
      <c r="D6" s="137"/>
      <c r="E6" s="138"/>
      <c r="F6" s="137" t="str">
        <f t="shared" si="0"/>
        <v>589</v>
      </c>
      <c r="G6" s="139" t="s">
        <v>230</v>
      </c>
      <c r="H6" s="140" t="s">
        <v>231</v>
      </c>
      <c r="I6" s="139"/>
      <c r="J6" s="141">
        <v>8941</v>
      </c>
      <c r="K6" s="142"/>
      <c r="L6" s="141"/>
    </row>
    <row r="7" spans="1:15">
      <c r="A7" s="136">
        <v>23805042013</v>
      </c>
      <c r="B7" s="137"/>
      <c r="C7" s="137"/>
      <c r="D7" s="137"/>
      <c r="E7" s="138"/>
      <c r="F7" s="137" t="str">
        <f t="shared" si="0"/>
        <v>238</v>
      </c>
      <c r="G7" s="139" t="s">
        <v>232</v>
      </c>
      <c r="H7" s="140" t="s">
        <v>233</v>
      </c>
      <c r="I7" s="139"/>
      <c r="J7" s="141">
        <v>1830</v>
      </c>
      <c r="K7" s="142"/>
      <c r="L7" s="141"/>
    </row>
    <row r="8" spans="1:15">
      <c r="A8" s="136">
        <v>28915122012</v>
      </c>
      <c r="B8" s="137"/>
      <c r="C8" s="137"/>
      <c r="D8" s="137"/>
      <c r="E8" s="138"/>
      <c r="F8" s="137" t="str">
        <f t="shared" si="0"/>
        <v>289</v>
      </c>
      <c r="G8" s="139" t="s">
        <v>234</v>
      </c>
      <c r="H8" s="140" t="s">
        <v>235</v>
      </c>
      <c r="I8" s="139"/>
      <c r="J8" s="141">
        <v>2733</v>
      </c>
      <c r="K8" s="142"/>
      <c r="L8" s="141"/>
    </row>
    <row r="9" spans="1:15">
      <c r="A9" s="136">
        <v>59730072012</v>
      </c>
      <c r="B9" s="137"/>
      <c r="C9" s="137"/>
      <c r="D9" s="137"/>
      <c r="E9" s="138"/>
      <c r="F9" s="137" t="str">
        <f t="shared" si="0"/>
        <v>597</v>
      </c>
      <c r="G9" s="139" t="s">
        <v>236</v>
      </c>
      <c r="H9" s="140" t="s">
        <v>237</v>
      </c>
      <c r="I9" s="139"/>
      <c r="J9" s="141">
        <v>7093</v>
      </c>
      <c r="K9" s="142"/>
      <c r="L9" s="141"/>
    </row>
    <row r="10" spans="1:15">
      <c r="A10" s="136">
        <v>37415072012</v>
      </c>
      <c r="B10" s="137"/>
      <c r="C10" s="137"/>
      <c r="D10" s="137"/>
      <c r="E10" s="138"/>
      <c r="F10" s="137" t="str">
        <f t="shared" si="0"/>
        <v>374</v>
      </c>
      <c r="G10" s="139" t="s">
        <v>238</v>
      </c>
      <c r="H10" s="140" t="s">
        <v>239</v>
      </c>
      <c r="I10" s="139"/>
      <c r="J10" s="141">
        <v>9871</v>
      </c>
      <c r="K10" s="142"/>
      <c r="L10" s="141"/>
    </row>
    <row r="11" spans="1:15">
      <c r="A11" s="136">
        <v>78630062011</v>
      </c>
      <c r="B11" s="137"/>
      <c r="C11" s="137"/>
      <c r="D11" s="137"/>
      <c r="E11" s="138"/>
      <c r="F11" s="137" t="str">
        <f t="shared" si="0"/>
        <v>786</v>
      </c>
      <c r="G11" s="139" t="s">
        <v>70</v>
      </c>
      <c r="H11" s="140" t="s">
        <v>240</v>
      </c>
      <c r="I11" s="139"/>
      <c r="J11" s="141">
        <v>2439</v>
      </c>
      <c r="K11" s="142"/>
      <c r="L11" s="141"/>
    </row>
    <row r="12" spans="1:15">
      <c r="A12" s="136">
        <v>48612122012</v>
      </c>
      <c r="B12" s="137"/>
      <c r="C12" s="137"/>
      <c r="D12" s="137"/>
      <c r="E12" s="138"/>
      <c r="F12" s="137" t="str">
        <f t="shared" si="0"/>
        <v>486</v>
      </c>
      <c r="G12" s="139" t="s">
        <v>241</v>
      </c>
      <c r="H12" s="140" t="s">
        <v>242</v>
      </c>
      <c r="I12" s="139"/>
      <c r="J12" s="141">
        <v>13110</v>
      </c>
      <c r="K12" s="142"/>
      <c r="L12" s="141"/>
    </row>
    <row r="13" spans="1:15" ht="15.75" thickBot="1">
      <c r="A13" s="143">
        <v>53120072012</v>
      </c>
      <c r="B13" s="144"/>
      <c r="C13" s="144"/>
      <c r="D13" s="144"/>
      <c r="E13" s="145"/>
      <c r="F13" s="144" t="str">
        <f t="shared" si="0"/>
        <v>531</v>
      </c>
      <c r="G13" s="146" t="s">
        <v>74</v>
      </c>
      <c r="H13" s="147" t="s">
        <v>243</v>
      </c>
      <c r="I13" s="146"/>
      <c r="J13" s="148">
        <v>5763</v>
      </c>
      <c r="K13" s="149"/>
      <c r="L13" s="148"/>
    </row>
  </sheetData>
  <mergeCells count="2">
    <mergeCell ref="A1:L1"/>
    <mergeCell ref="N1:O1"/>
  </mergeCells>
  <hyperlinks>
    <hyperlink ref="N1:O1" location="MENU!A1" display="RETOUR MENU"/>
  </hyperlinks>
  <printOptions horizontalCentered="1" verticalCentered="1"/>
  <pageMargins left="0.11811023622047245" right="0.11811023622047245" top="0.98425196850393704" bottom="0.98425196850393704" header="0.51181102362204722" footer="0.51181102362204722"/>
  <pageSetup paperSize="9" scale="90" orientation="landscape" r:id="rId1"/>
  <headerFooter alignWithMargins="0">
    <oddHeader>&amp;L&amp;"Calibri,Gras"&amp;9&amp;F - &amp;A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3"/>
  <sheetViews>
    <sheetView zoomScale="85" zoomScaleNormal="85" workbookViewId="0">
      <selection activeCell="K13" sqref="K13"/>
    </sheetView>
  </sheetViews>
  <sheetFormatPr baseColWidth="10" defaultColWidth="11.42578125" defaultRowHeight="28.5" customHeight="1"/>
  <cols>
    <col min="1" max="1" width="23" style="152" bestFit="1" customWidth="1"/>
    <col min="2" max="4" width="10.85546875" style="152" customWidth="1"/>
    <col min="5" max="5" width="11.85546875" style="152" customWidth="1"/>
    <col min="6" max="6" width="12.85546875" style="152" customWidth="1"/>
    <col min="7" max="9" width="10.85546875" style="152" customWidth="1"/>
    <col min="10" max="10" width="11.85546875" style="152" customWidth="1"/>
    <col min="11" max="11" width="12.85546875" style="152" customWidth="1"/>
    <col min="12" max="14" width="10.85546875" style="152" customWidth="1"/>
    <col min="15" max="16" width="12.85546875" style="152" customWidth="1"/>
    <col min="17" max="17" width="12.85546875" style="152" bestFit="1" customWidth="1"/>
    <col min="18" max="256" width="11.42578125" style="152"/>
    <col min="257" max="257" width="23" style="152" bestFit="1" customWidth="1"/>
    <col min="258" max="260" width="10.85546875" style="152" customWidth="1"/>
    <col min="261" max="261" width="11.85546875" style="152" customWidth="1"/>
    <col min="262" max="262" width="12.85546875" style="152" customWidth="1"/>
    <col min="263" max="265" width="10.85546875" style="152" customWidth="1"/>
    <col min="266" max="266" width="11.85546875" style="152" customWidth="1"/>
    <col min="267" max="267" width="12.85546875" style="152" customWidth="1"/>
    <col min="268" max="270" width="10.85546875" style="152" customWidth="1"/>
    <col min="271" max="272" width="12.85546875" style="152" customWidth="1"/>
    <col min="273" max="273" width="12.85546875" style="152" bestFit="1" customWidth="1"/>
    <col min="274" max="512" width="11.42578125" style="152"/>
    <col min="513" max="513" width="23" style="152" bestFit="1" customWidth="1"/>
    <col min="514" max="516" width="10.85546875" style="152" customWidth="1"/>
    <col min="517" max="517" width="11.85546875" style="152" customWidth="1"/>
    <col min="518" max="518" width="12.85546875" style="152" customWidth="1"/>
    <col min="519" max="521" width="10.85546875" style="152" customWidth="1"/>
    <col min="522" max="522" width="11.85546875" style="152" customWidth="1"/>
    <col min="523" max="523" width="12.85546875" style="152" customWidth="1"/>
    <col min="524" max="526" width="10.85546875" style="152" customWidth="1"/>
    <col min="527" max="528" width="12.85546875" style="152" customWidth="1"/>
    <col min="529" max="529" width="12.85546875" style="152" bestFit="1" customWidth="1"/>
    <col min="530" max="768" width="11.42578125" style="152"/>
    <col min="769" max="769" width="23" style="152" bestFit="1" customWidth="1"/>
    <col min="770" max="772" width="10.85546875" style="152" customWidth="1"/>
    <col min="773" max="773" width="11.85546875" style="152" customWidth="1"/>
    <col min="774" max="774" width="12.85546875" style="152" customWidth="1"/>
    <col min="775" max="777" width="10.85546875" style="152" customWidth="1"/>
    <col min="778" max="778" width="11.85546875" style="152" customWidth="1"/>
    <col min="779" max="779" width="12.85546875" style="152" customWidth="1"/>
    <col min="780" max="782" width="10.85546875" style="152" customWidth="1"/>
    <col min="783" max="784" width="12.85546875" style="152" customWidth="1"/>
    <col min="785" max="785" width="12.85546875" style="152" bestFit="1" customWidth="1"/>
    <col min="786" max="1024" width="11.42578125" style="152"/>
    <col min="1025" max="1025" width="23" style="152" bestFit="1" customWidth="1"/>
    <col min="1026" max="1028" width="10.85546875" style="152" customWidth="1"/>
    <col min="1029" max="1029" width="11.85546875" style="152" customWidth="1"/>
    <col min="1030" max="1030" width="12.85546875" style="152" customWidth="1"/>
    <col min="1031" max="1033" width="10.85546875" style="152" customWidth="1"/>
    <col min="1034" max="1034" width="11.85546875" style="152" customWidth="1"/>
    <col min="1035" max="1035" width="12.85546875" style="152" customWidth="1"/>
    <col min="1036" max="1038" width="10.85546875" style="152" customWidth="1"/>
    <col min="1039" max="1040" width="12.85546875" style="152" customWidth="1"/>
    <col min="1041" max="1041" width="12.85546875" style="152" bestFit="1" customWidth="1"/>
    <col min="1042" max="1280" width="11.42578125" style="152"/>
    <col min="1281" max="1281" width="23" style="152" bestFit="1" customWidth="1"/>
    <col min="1282" max="1284" width="10.85546875" style="152" customWidth="1"/>
    <col min="1285" max="1285" width="11.85546875" style="152" customWidth="1"/>
    <col min="1286" max="1286" width="12.85546875" style="152" customWidth="1"/>
    <col min="1287" max="1289" width="10.85546875" style="152" customWidth="1"/>
    <col min="1290" max="1290" width="11.85546875" style="152" customWidth="1"/>
    <col min="1291" max="1291" width="12.85546875" style="152" customWidth="1"/>
    <col min="1292" max="1294" width="10.85546875" style="152" customWidth="1"/>
    <col min="1295" max="1296" width="12.85546875" style="152" customWidth="1"/>
    <col min="1297" max="1297" width="12.85546875" style="152" bestFit="1" customWidth="1"/>
    <col min="1298" max="1536" width="11.42578125" style="152"/>
    <col min="1537" max="1537" width="23" style="152" bestFit="1" customWidth="1"/>
    <col min="1538" max="1540" width="10.85546875" style="152" customWidth="1"/>
    <col min="1541" max="1541" width="11.85546875" style="152" customWidth="1"/>
    <col min="1542" max="1542" width="12.85546875" style="152" customWidth="1"/>
    <col min="1543" max="1545" width="10.85546875" style="152" customWidth="1"/>
    <col min="1546" max="1546" width="11.85546875" style="152" customWidth="1"/>
    <col min="1547" max="1547" width="12.85546875" style="152" customWidth="1"/>
    <col min="1548" max="1550" width="10.85546875" style="152" customWidth="1"/>
    <col min="1551" max="1552" width="12.85546875" style="152" customWidth="1"/>
    <col min="1553" max="1553" width="12.85546875" style="152" bestFit="1" customWidth="1"/>
    <col min="1554" max="1792" width="11.42578125" style="152"/>
    <col min="1793" max="1793" width="23" style="152" bestFit="1" customWidth="1"/>
    <col min="1794" max="1796" width="10.85546875" style="152" customWidth="1"/>
    <col min="1797" max="1797" width="11.85546875" style="152" customWidth="1"/>
    <col min="1798" max="1798" width="12.85546875" style="152" customWidth="1"/>
    <col min="1799" max="1801" width="10.85546875" style="152" customWidth="1"/>
    <col min="1802" max="1802" width="11.85546875" style="152" customWidth="1"/>
    <col min="1803" max="1803" width="12.85546875" style="152" customWidth="1"/>
    <col min="1804" max="1806" width="10.85546875" style="152" customWidth="1"/>
    <col min="1807" max="1808" width="12.85546875" style="152" customWidth="1"/>
    <col min="1809" max="1809" width="12.85546875" style="152" bestFit="1" customWidth="1"/>
    <col min="1810" max="2048" width="11.42578125" style="152"/>
    <col min="2049" max="2049" width="23" style="152" bestFit="1" customWidth="1"/>
    <col min="2050" max="2052" width="10.85546875" style="152" customWidth="1"/>
    <col min="2053" max="2053" width="11.85546875" style="152" customWidth="1"/>
    <col min="2054" max="2054" width="12.85546875" style="152" customWidth="1"/>
    <col min="2055" max="2057" width="10.85546875" style="152" customWidth="1"/>
    <col min="2058" max="2058" width="11.85546875" style="152" customWidth="1"/>
    <col min="2059" max="2059" width="12.85546875" style="152" customWidth="1"/>
    <col min="2060" max="2062" width="10.85546875" style="152" customWidth="1"/>
    <col min="2063" max="2064" width="12.85546875" style="152" customWidth="1"/>
    <col min="2065" max="2065" width="12.85546875" style="152" bestFit="1" customWidth="1"/>
    <col min="2066" max="2304" width="11.42578125" style="152"/>
    <col min="2305" max="2305" width="23" style="152" bestFit="1" customWidth="1"/>
    <col min="2306" max="2308" width="10.85546875" style="152" customWidth="1"/>
    <col min="2309" max="2309" width="11.85546875" style="152" customWidth="1"/>
    <col min="2310" max="2310" width="12.85546875" style="152" customWidth="1"/>
    <col min="2311" max="2313" width="10.85546875" style="152" customWidth="1"/>
    <col min="2314" max="2314" width="11.85546875" style="152" customWidth="1"/>
    <col min="2315" max="2315" width="12.85546875" style="152" customWidth="1"/>
    <col min="2316" max="2318" width="10.85546875" style="152" customWidth="1"/>
    <col min="2319" max="2320" width="12.85546875" style="152" customWidth="1"/>
    <col min="2321" max="2321" width="12.85546875" style="152" bestFit="1" customWidth="1"/>
    <col min="2322" max="2560" width="11.42578125" style="152"/>
    <col min="2561" max="2561" width="23" style="152" bestFit="1" customWidth="1"/>
    <col min="2562" max="2564" width="10.85546875" style="152" customWidth="1"/>
    <col min="2565" max="2565" width="11.85546875" style="152" customWidth="1"/>
    <col min="2566" max="2566" width="12.85546875" style="152" customWidth="1"/>
    <col min="2567" max="2569" width="10.85546875" style="152" customWidth="1"/>
    <col min="2570" max="2570" width="11.85546875" style="152" customWidth="1"/>
    <col min="2571" max="2571" width="12.85546875" style="152" customWidth="1"/>
    <col min="2572" max="2574" width="10.85546875" style="152" customWidth="1"/>
    <col min="2575" max="2576" width="12.85546875" style="152" customWidth="1"/>
    <col min="2577" max="2577" width="12.85546875" style="152" bestFit="1" customWidth="1"/>
    <col min="2578" max="2816" width="11.42578125" style="152"/>
    <col min="2817" max="2817" width="23" style="152" bestFit="1" customWidth="1"/>
    <col min="2818" max="2820" width="10.85546875" style="152" customWidth="1"/>
    <col min="2821" max="2821" width="11.85546875" style="152" customWidth="1"/>
    <col min="2822" max="2822" width="12.85546875" style="152" customWidth="1"/>
    <col min="2823" max="2825" width="10.85546875" style="152" customWidth="1"/>
    <col min="2826" max="2826" width="11.85546875" style="152" customWidth="1"/>
    <col min="2827" max="2827" width="12.85546875" style="152" customWidth="1"/>
    <col min="2828" max="2830" width="10.85546875" style="152" customWidth="1"/>
    <col min="2831" max="2832" width="12.85546875" style="152" customWidth="1"/>
    <col min="2833" max="2833" width="12.85546875" style="152" bestFit="1" customWidth="1"/>
    <col min="2834" max="3072" width="11.42578125" style="152"/>
    <col min="3073" max="3073" width="23" style="152" bestFit="1" customWidth="1"/>
    <col min="3074" max="3076" width="10.85546875" style="152" customWidth="1"/>
    <col min="3077" max="3077" width="11.85546875" style="152" customWidth="1"/>
    <col min="3078" max="3078" width="12.85546875" style="152" customWidth="1"/>
    <col min="3079" max="3081" width="10.85546875" style="152" customWidth="1"/>
    <col min="3082" max="3082" width="11.85546875" style="152" customWidth="1"/>
    <col min="3083" max="3083" width="12.85546875" style="152" customWidth="1"/>
    <col min="3084" max="3086" width="10.85546875" style="152" customWidth="1"/>
    <col min="3087" max="3088" width="12.85546875" style="152" customWidth="1"/>
    <col min="3089" max="3089" width="12.85546875" style="152" bestFit="1" customWidth="1"/>
    <col min="3090" max="3328" width="11.42578125" style="152"/>
    <col min="3329" max="3329" width="23" style="152" bestFit="1" customWidth="1"/>
    <col min="3330" max="3332" width="10.85546875" style="152" customWidth="1"/>
    <col min="3333" max="3333" width="11.85546875" style="152" customWidth="1"/>
    <col min="3334" max="3334" width="12.85546875" style="152" customWidth="1"/>
    <col min="3335" max="3337" width="10.85546875" style="152" customWidth="1"/>
    <col min="3338" max="3338" width="11.85546875" style="152" customWidth="1"/>
    <col min="3339" max="3339" width="12.85546875" style="152" customWidth="1"/>
    <col min="3340" max="3342" width="10.85546875" style="152" customWidth="1"/>
    <col min="3343" max="3344" width="12.85546875" style="152" customWidth="1"/>
    <col min="3345" max="3345" width="12.85546875" style="152" bestFit="1" customWidth="1"/>
    <col min="3346" max="3584" width="11.42578125" style="152"/>
    <col min="3585" max="3585" width="23" style="152" bestFit="1" customWidth="1"/>
    <col min="3586" max="3588" width="10.85546875" style="152" customWidth="1"/>
    <col min="3589" max="3589" width="11.85546875" style="152" customWidth="1"/>
    <col min="3590" max="3590" width="12.85546875" style="152" customWidth="1"/>
    <col min="3591" max="3593" width="10.85546875" style="152" customWidth="1"/>
    <col min="3594" max="3594" width="11.85546875" style="152" customWidth="1"/>
    <col min="3595" max="3595" width="12.85546875" style="152" customWidth="1"/>
    <col min="3596" max="3598" width="10.85546875" style="152" customWidth="1"/>
    <col min="3599" max="3600" width="12.85546875" style="152" customWidth="1"/>
    <col min="3601" max="3601" width="12.85546875" style="152" bestFit="1" customWidth="1"/>
    <col min="3602" max="3840" width="11.42578125" style="152"/>
    <col min="3841" max="3841" width="23" style="152" bestFit="1" customWidth="1"/>
    <col min="3842" max="3844" width="10.85546875" style="152" customWidth="1"/>
    <col min="3845" max="3845" width="11.85546875" style="152" customWidth="1"/>
    <col min="3846" max="3846" width="12.85546875" style="152" customWidth="1"/>
    <col min="3847" max="3849" width="10.85546875" style="152" customWidth="1"/>
    <col min="3850" max="3850" width="11.85546875" style="152" customWidth="1"/>
    <col min="3851" max="3851" width="12.85546875" style="152" customWidth="1"/>
    <col min="3852" max="3854" width="10.85546875" style="152" customWidth="1"/>
    <col min="3855" max="3856" width="12.85546875" style="152" customWidth="1"/>
    <col min="3857" max="3857" width="12.85546875" style="152" bestFit="1" customWidth="1"/>
    <col min="3858" max="4096" width="11.42578125" style="152"/>
    <col min="4097" max="4097" width="23" style="152" bestFit="1" customWidth="1"/>
    <col min="4098" max="4100" width="10.85546875" style="152" customWidth="1"/>
    <col min="4101" max="4101" width="11.85546875" style="152" customWidth="1"/>
    <col min="4102" max="4102" width="12.85546875" style="152" customWidth="1"/>
    <col min="4103" max="4105" width="10.85546875" style="152" customWidth="1"/>
    <col min="4106" max="4106" width="11.85546875" style="152" customWidth="1"/>
    <col min="4107" max="4107" width="12.85546875" style="152" customWidth="1"/>
    <col min="4108" max="4110" width="10.85546875" style="152" customWidth="1"/>
    <col min="4111" max="4112" width="12.85546875" style="152" customWidth="1"/>
    <col min="4113" max="4113" width="12.85546875" style="152" bestFit="1" customWidth="1"/>
    <col min="4114" max="4352" width="11.42578125" style="152"/>
    <col min="4353" max="4353" width="23" style="152" bestFit="1" customWidth="1"/>
    <col min="4354" max="4356" width="10.85546875" style="152" customWidth="1"/>
    <col min="4357" max="4357" width="11.85546875" style="152" customWidth="1"/>
    <col min="4358" max="4358" width="12.85546875" style="152" customWidth="1"/>
    <col min="4359" max="4361" width="10.85546875" style="152" customWidth="1"/>
    <col min="4362" max="4362" width="11.85546875" style="152" customWidth="1"/>
    <col min="4363" max="4363" width="12.85546875" style="152" customWidth="1"/>
    <col min="4364" max="4366" width="10.85546875" style="152" customWidth="1"/>
    <col min="4367" max="4368" width="12.85546875" style="152" customWidth="1"/>
    <col min="4369" max="4369" width="12.85546875" style="152" bestFit="1" customWidth="1"/>
    <col min="4370" max="4608" width="11.42578125" style="152"/>
    <col min="4609" max="4609" width="23" style="152" bestFit="1" customWidth="1"/>
    <col min="4610" max="4612" width="10.85546875" style="152" customWidth="1"/>
    <col min="4613" max="4613" width="11.85546875" style="152" customWidth="1"/>
    <col min="4614" max="4614" width="12.85546875" style="152" customWidth="1"/>
    <col min="4615" max="4617" width="10.85546875" style="152" customWidth="1"/>
    <col min="4618" max="4618" width="11.85546875" style="152" customWidth="1"/>
    <col min="4619" max="4619" width="12.85546875" style="152" customWidth="1"/>
    <col min="4620" max="4622" width="10.85546875" style="152" customWidth="1"/>
    <col min="4623" max="4624" width="12.85546875" style="152" customWidth="1"/>
    <col min="4625" max="4625" width="12.85546875" style="152" bestFit="1" customWidth="1"/>
    <col min="4626" max="4864" width="11.42578125" style="152"/>
    <col min="4865" max="4865" width="23" style="152" bestFit="1" customWidth="1"/>
    <col min="4866" max="4868" width="10.85546875" style="152" customWidth="1"/>
    <col min="4869" max="4869" width="11.85546875" style="152" customWidth="1"/>
    <col min="4870" max="4870" width="12.85546875" style="152" customWidth="1"/>
    <col min="4871" max="4873" width="10.85546875" style="152" customWidth="1"/>
    <col min="4874" max="4874" width="11.85546875" style="152" customWidth="1"/>
    <col min="4875" max="4875" width="12.85546875" style="152" customWidth="1"/>
    <col min="4876" max="4878" width="10.85546875" style="152" customWidth="1"/>
    <col min="4879" max="4880" width="12.85546875" style="152" customWidth="1"/>
    <col min="4881" max="4881" width="12.85546875" style="152" bestFit="1" customWidth="1"/>
    <col min="4882" max="5120" width="11.42578125" style="152"/>
    <col min="5121" max="5121" width="23" style="152" bestFit="1" customWidth="1"/>
    <col min="5122" max="5124" width="10.85546875" style="152" customWidth="1"/>
    <col min="5125" max="5125" width="11.85546875" style="152" customWidth="1"/>
    <col min="5126" max="5126" width="12.85546875" style="152" customWidth="1"/>
    <col min="5127" max="5129" width="10.85546875" style="152" customWidth="1"/>
    <col min="5130" max="5130" width="11.85546875" style="152" customWidth="1"/>
    <col min="5131" max="5131" width="12.85546875" style="152" customWidth="1"/>
    <col min="5132" max="5134" width="10.85546875" style="152" customWidth="1"/>
    <col min="5135" max="5136" width="12.85546875" style="152" customWidth="1"/>
    <col min="5137" max="5137" width="12.85546875" style="152" bestFit="1" customWidth="1"/>
    <col min="5138" max="5376" width="11.42578125" style="152"/>
    <col min="5377" max="5377" width="23" style="152" bestFit="1" customWidth="1"/>
    <col min="5378" max="5380" width="10.85546875" style="152" customWidth="1"/>
    <col min="5381" max="5381" width="11.85546875" style="152" customWidth="1"/>
    <col min="5382" max="5382" width="12.85546875" style="152" customWidth="1"/>
    <col min="5383" max="5385" width="10.85546875" style="152" customWidth="1"/>
    <col min="5386" max="5386" width="11.85546875" style="152" customWidth="1"/>
    <col min="5387" max="5387" width="12.85546875" style="152" customWidth="1"/>
    <col min="5388" max="5390" width="10.85546875" style="152" customWidth="1"/>
    <col min="5391" max="5392" width="12.85546875" style="152" customWidth="1"/>
    <col min="5393" max="5393" width="12.85546875" style="152" bestFit="1" customWidth="1"/>
    <col min="5394" max="5632" width="11.42578125" style="152"/>
    <col min="5633" max="5633" width="23" style="152" bestFit="1" customWidth="1"/>
    <col min="5634" max="5636" width="10.85546875" style="152" customWidth="1"/>
    <col min="5637" max="5637" width="11.85546875" style="152" customWidth="1"/>
    <col min="5638" max="5638" width="12.85546875" style="152" customWidth="1"/>
    <col min="5639" max="5641" width="10.85546875" style="152" customWidth="1"/>
    <col min="5642" max="5642" width="11.85546875" style="152" customWidth="1"/>
    <col min="5643" max="5643" width="12.85546875" style="152" customWidth="1"/>
    <col min="5644" max="5646" width="10.85546875" style="152" customWidth="1"/>
    <col min="5647" max="5648" width="12.85546875" style="152" customWidth="1"/>
    <col min="5649" max="5649" width="12.85546875" style="152" bestFit="1" customWidth="1"/>
    <col min="5650" max="5888" width="11.42578125" style="152"/>
    <col min="5889" max="5889" width="23" style="152" bestFit="1" customWidth="1"/>
    <col min="5890" max="5892" width="10.85546875" style="152" customWidth="1"/>
    <col min="5893" max="5893" width="11.85546875" style="152" customWidth="1"/>
    <col min="5894" max="5894" width="12.85546875" style="152" customWidth="1"/>
    <col min="5895" max="5897" width="10.85546875" style="152" customWidth="1"/>
    <col min="5898" max="5898" width="11.85546875" style="152" customWidth="1"/>
    <col min="5899" max="5899" width="12.85546875" style="152" customWidth="1"/>
    <col min="5900" max="5902" width="10.85546875" style="152" customWidth="1"/>
    <col min="5903" max="5904" width="12.85546875" style="152" customWidth="1"/>
    <col min="5905" max="5905" width="12.85546875" style="152" bestFit="1" customWidth="1"/>
    <col min="5906" max="6144" width="11.42578125" style="152"/>
    <col min="6145" max="6145" width="23" style="152" bestFit="1" customWidth="1"/>
    <col min="6146" max="6148" width="10.85546875" style="152" customWidth="1"/>
    <col min="6149" max="6149" width="11.85546875" style="152" customWidth="1"/>
    <col min="6150" max="6150" width="12.85546875" style="152" customWidth="1"/>
    <col min="6151" max="6153" width="10.85546875" style="152" customWidth="1"/>
    <col min="6154" max="6154" width="11.85546875" style="152" customWidth="1"/>
    <col min="6155" max="6155" width="12.85546875" style="152" customWidth="1"/>
    <col min="6156" max="6158" width="10.85546875" style="152" customWidth="1"/>
    <col min="6159" max="6160" width="12.85546875" style="152" customWidth="1"/>
    <col min="6161" max="6161" width="12.85546875" style="152" bestFit="1" customWidth="1"/>
    <col min="6162" max="6400" width="11.42578125" style="152"/>
    <col min="6401" max="6401" width="23" style="152" bestFit="1" customWidth="1"/>
    <col min="6402" max="6404" width="10.85546875" style="152" customWidth="1"/>
    <col min="6405" max="6405" width="11.85546875" style="152" customWidth="1"/>
    <col min="6406" max="6406" width="12.85546875" style="152" customWidth="1"/>
    <col min="6407" max="6409" width="10.85546875" style="152" customWidth="1"/>
    <col min="6410" max="6410" width="11.85546875" style="152" customWidth="1"/>
    <col min="6411" max="6411" width="12.85546875" style="152" customWidth="1"/>
    <col min="6412" max="6414" width="10.85546875" style="152" customWidth="1"/>
    <col min="6415" max="6416" width="12.85546875" style="152" customWidth="1"/>
    <col min="6417" max="6417" width="12.85546875" style="152" bestFit="1" customWidth="1"/>
    <col min="6418" max="6656" width="11.42578125" style="152"/>
    <col min="6657" max="6657" width="23" style="152" bestFit="1" customWidth="1"/>
    <col min="6658" max="6660" width="10.85546875" style="152" customWidth="1"/>
    <col min="6661" max="6661" width="11.85546875" style="152" customWidth="1"/>
    <col min="6662" max="6662" width="12.85546875" style="152" customWidth="1"/>
    <col min="6663" max="6665" width="10.85546875" style="152" customWidth="1"/>
    <col min="6666" max="6666" width="11.85546875" style="152" customWidth="1"/>
    <col min="6667" max="6667" width="12.85546875" style="152" customWidth="1"/>
    <col min="6668" max="6670" width="10.85546875" style="152" customWidth="1"/>
    <col min="6671" max="6672" width="12.85546875" style="152" customWidth="1"/>
    <col min="6673" max="6673" width="12.85546875" style="152" bestFit="1" customWidth="1"/>
    <col min="6674" max="6912" width="11.42578125" style="152"/>
    <col min="6913" max="6913" width="23" style="152" bestFit="1" customWidth="1"/>
    <col min="6914" max="6916" width="10.85546875" style="152" customWidth="1"/>
    <col min="6917" max="6917" width="11.85546875" style="152" customWidth="1"/>
    <col min="6918" max="6918" width="12.85546875" style="152" customWidth="1"/>
    <col min="6919" max="6921" width="10.85546875" style="152" customWidth="1"/>
    <col min="6922" max="6922" width="11.85546875" style="152" customWidth="1"/>
    <col min="6923" max="6923" width="12.85546875" style="152" customWidth="1"/>
    <col min="6924" max="6926" width="10.85546875" style="152" customWidth="1"/>
    <col min="6927" max="6928" width="12.85546875" style="152" customWidth="1"/>
    <col min="6929" max="6929" width="12.85546875" style="152" bestFit="1" customWidth="1"/>
    <col min="6930" max="7168" width="11.42578125" style="152"/>
    <col min="7169" max="7169" width="23" style="152" bestFit="1" customWidth="1"/>
    <col min="7170" max="7172" width="10.85546875" style="152" customWidth="1"/>
    <col min="7173" max="7173" width="11.85546875" style="152" customWidth="1"/>
    <col min="7174" max="7174" width="12.85546875" style="152" customWidth="1"/>
    <col min="7175" max="7177" width="10.85546875" style="152" customWidth="1"/>
    <col min="7178" max="7178" width="11.85546875" style="152" customWidth="1"/>
    <col min="7179" max="7179" width="12.85546875" style="152" customWidth="1"/>
    <col min="7180" max="7182" width="10.85546875" style="152" customWidth="1"/>
    <col min="7183" max="7184" width="12.85546875" style="152" customWidth="1"/>
    <col min="7185" max="7185" width="12.85546875" style="152" bestFit="1" customWidth="1"/>
    <col min="7186" max="7424" width="11.42578125" style="152"/>
    <col min="7425" max="7425" width="23" style="152" bestFit="1" customWidth="1"/>
    <col min="7426" max="7428" width="10.85546875" style="152" customWidth="1"/>
    <col min="7429" max="7429" width="11.85546875" style="152" customWidth="1"/>
    <col min="7430" max="7430" width="12.85546875" style="152" customWidth="1"/>
    <col min="7431" max="7433" width="10.85546875" style="152" customWidth="1"/>
    <col min="7434" max="7434" width="11.85546875" style="152" customWidth="1"/>
    <col min="7435" max="7435" width="12.85546875" style="152" customWidth="1"/>
    <col min="7436" max="7438" width="10.85546875" style="152" customWidth="1"/>
    <col min="7439" max="7440" width="12.85546875" style="152" customWidth="1"/>
    <col min="7441" max="7441" width="12.85546875" style="152" bestFit="1" customWidth="1"/>
    <col min="7442" max="7680" width="11.42578125" style="152"/>
    <col min="7681" max="7681" width="23" style="152" bestFit="1" customWidth="1"/>
    <col min="7682" max="7684" width="10.85546875" style="152" customWidth="1"/>
    <col min="7685" max="7685" width="11.85546875" style="152" customWidth="1"/>
    <col min="7686" max="7686" width="12.85546875" style="152" customWidth="1"/>
    <col min="7687" max="7689" width="10.85546875" style="152" customWidth="1"/>
    <col min="7690" max="7690" width="11.85546875" style="152" customWidth="1"/>
    <col min="7691" max="7691" width="12.85546875" style="152" customWidth="1"/>
    <col min="7692" max="7694" width="10.85546875" style="152" customWidth="1"/>
    <col min="7695" max="7696" width="12.85546875" style="152" customWidth="1"/>
    <col min="7697" max="7697" width="12.85546875" style="152" bestFit="1" customWidth="1"/>
    <col min="7698" max="7936" width="11.42578125" style="152"/>
    <col min="7937" max="7937" width="23" style="152" bestFit="1" customWidth="1"/>
    <col min="7938" max="7940" width="10.85546875" style="152" customWidth="1"/>
    <col min="7941" max="7941" width="11.85546875" style="152" customWidth="1"/>
    <col min="7942" max="7942" width="12.85546875" style="152" customWidth="1"/>
    <col min="7943" max="7945" width="10.85546875" style="152" customWidth="1"/>
    <col min="7946" max="7946" width="11.85546875" style="152" customWidth="1"/>
    <col min="7947" max="7947" width="12.85546875" style="152" customWidth="1"/>
    <col min="7948" max="7950" width="10.85546875" style="152" customWidth="1"/>
    <col min="7951" max="7952" width="12.85546875" style="152" customWidth="1"/>
    <col min="7953" max="7953" width="12.85546875" style="152" bestFit="1" customWidth="1"/>
    <col min="7954" max="8192" width="11.42578125" style="152"/>
    <col min="8193" max="8193" width="23" style="152" bestFit="1" customWidth="1"/>
    <col min="8194" max="8196" width="10.85546875" style="152" customWidth="1"/>
    <col min="8197" max="8197" width="11.85546875" style="152" customWidth="1"/>
    <col min="8198" max="8198" width="12.85546875" style="152" customWidth="1"/>
    <col min="8199" max="8201" width="10.85546875" style="152" customWidth="1"/>
    <col min="8202" max="8202" width="11.85546875" style="152" customWidth="1"/>
    <col min="8203" max="8203" width="12.85546875" style="152" customWidth="1"/>
    <col min="8204" max="8206" width="10.85546875" style="152" customWidth="1"/>
    <col min="8207" max="8208" width="12.85546875" style="152" customWidth="1"/>
    <col min="8209" max="8209" width="12.85546875" style="152" bestFit="1" customWidth="1"/>
    <col min="8210" max="8448" width="11.42578125" style="152"/>
    <col min="8449" max="8449" width="23" style="152" bestFit="1" customWidth="1"/>
    <col min="8450" max="8452" width="10.85546875" style="152" customWidth="1"/>
    <col min="8453" max="8453" width="11.85546875" style="152" customWidth="1"/>
    <col min="8454" max="8454" width="12.85546875" style="152" customWidth="1"/>
    <col min="8455" max="8457" width="10.85546875" style="152" customWidth="1"/>
    <col min="8458" max="8458" width="11.85546875" style="152" customWidth="1"/>
    <col min="8459" max="8459" width="12.85546875" style="152" customWidth="1"/>
    <col min="8460" max="8462" width="10.85546875" style="152" customWidth="1"/>
    <col min="8463" max="8464" width="12.85546875" style="152" customWidth="1"/>
    <col min="8465" max="8465" width="12.85546875" style="152" bestFit="1" customWidth="1"/>
    <col min="8466" max="8704" width="11.42578125" style="152"/>
    <col min="8705" max="8705" width="23" style="152" bestFit="1" customWidth="1"/>
    <col min="8706" max="8708" width="10.85546875" style="152" customWidth="1"/>
    <col min="8709" max="8709" width="11.85546875" style="152" customWidth="1"/>
    <col min="8710" max="8710" width="12.85546875" style="152" customWidth="1"/>
    <col min="8711" max="8713" width="10.85546875" style="152" customWidth="1"/>
    <col min="8714" max="8714" width="11.85546875" style="152" customWidth="1"/>
    <col min="8715" max="8715" width="12.85546875" style="152" customWidth="1"/>
    <col min="8716" max="8718" width="10.85546875" style="152" customWidth="1"/>
    <col min="8719" max="8720" width="12.85546875" style="152" customWidth="1"/>
    <col min="8721" max="8721" width="12.85546875" style="152" bestFit="1" customWidth="1"/>
    <col min="8722" max="8960" width="11.42578125" style="152"/>
    <col min="8961" max="8961" width="23" style="152" bestFit="1" customWidth="1"/>
    <col min="8962" max="8964" width="10.85546875" style="152" customWidth="1"/>
    <col min="8965" max="8965" width="11.85546875" style="152" customWidth="1"/>
    <col min="8966" max="8966" width="12.85546875" style="152" customWidth="1"/>
    <col min="8967" max="8969" width="10.85546875" style="152" customWidth="1"/>
    <col min="8970" max="8970" width="11.85546875" style="152" customWidth="1"/>
    <col min="8971" max="8971" width="12.85546875" style="152" customWidth="1"/>
    <col min="8972" max="8974" width="10.85546875" style="152" customWidth="1"/>
    <col min="8975" max="8976" width="12.85546875" style="152" customWidth="1"/>
    <col min="8977" max="8977" width="12.85546875" style="152" bestFit="1" customWidth="1"/>
    <col min="8978" max="9216" width="11.42578125" style="152"/>
    <col min="9217" max="9217" width="23" style="152" bestFit="1" customWidth="1"/>
    <col min="9218" max="9220" width="10.85546875" style="152" customWidth="1"/>
    <col min="9221" max="9221" width="11.85546875" style="152" customWidth="1"/>
    <col min="9222" max="9222" width="12.85546875" style="152" customWidth="1"/>
    <col min="9223" max="9225" width="10.85546875" style="152" customWidth="1"/>
    <col min="9226" max="9226" width="11.85546875" style="152" customWidth="1"/>
    <col min="9227" max="9227" width="12.85546875" style="152" customWidth="1"/>
    <col min="9228" max="9230" width="10.85546875" style="152" customWidth="1"/>
    <col min="9231" max="9232" width="12.85546875" style="152" customWidth="1"/>
    <col min="9233" max="9233" width="12.85546875" style="152" bestFit="1" customWidth="1"/>
    <col min="9234" max="9472" width="11.42578125" style="152"/>
    <col min="9473" max="9473" width="23" style="152" bestFit="1" customWidth="1"/>
    <col min="9474" max="9476" width="10.85546875" style="152" customWidth="1"/>
    <col min="9477" max="9477" width="11.85546875" style="152" customWidth="1"/>
    <col min="9478" max="9478" width="12.85546875" style="152" customWidth="1"/>
    <col min="9479" max="9481" width="10.85546875" style="152" customWidth="1"/>
    <col min="9482" max="9482" width="11.85546875" style="152" customWidth="1"/>
    <col min="9483" max="9483" width="12.85546875" style="152" customWidth="1"/>
    <col min="9484" max="9486" width="10.85546875" style="152" customWidth="1"/>
    <col min="9487" max="9488" width="12.85546875" style="152" customWidth="1"/>
    <col min="9489" max="9489" width="12.85546875" style="152" bestFit="1" customWidth="1"/>
    <col min="9490" max="9728" width="11.42578125" style="152"/>
    <col min="9729" max="9729" width="23" style="152" bestFit="1" customWidth="1"/>
    <col min="9730" max="9732" width="10.85546875" style="152" customWidth="1"/>
    <col min="9733" max="9733" width="11.85546875" style="152" customWidth="1"/>
    <col min="9734" max="9734" width="12.85546875" style="152" customWidth="1"/>
    <col min="9735" max="9737" width="10.85546875" style="152" customWidth="1"/>
    <col min="9738" max="9738" width="11.85546875" style="152" customWidth="1"/>
    <col min="9739" max="9739" width="12.85546875" style="152" customWidth="1"/>
    <col min="9740" max="9742" width="10.85546875" style="152" customWidth="1"/>
    <col min="9743" max="9744" width="12.85546875" style="152" customWidth="1"/>
    <col min="9745" max="9745" width="12.85546875" style="152" bestFit="1" customWidth="1"/>
    <col min="9746" max="9984" width="11.42578125" style="152"/>
    <col min="9985" max="9985" width="23" style="152" bestFit="1" customWidth="1"/>
    <col min="9986" max="9988" width="10.85546875" style="152" customWidth="1"/>
    <col min="9989" max="9989" width="11.85546875" style="152" customWidth="1"/>
    <col min="9990" max="9990" width="12.85546875" style="152" customWidth="1"/>
    <col min="9991" max="9993" width="10.85546875" style="152" customWidth="1"/>
    <col min="9994" max="9994" width="11.85546875" style="152" customWidth="1"/>
    <col min="9995" max="9995" width="12.85546875" style="152" customWidth="1"/>
    <col min="9996" max="9998" width="10.85546875" style="152" customWidth="1"/>
    <col min="9999" max="10000" width="12.85546875" style="152" customWidth="1"/>
    <col min="10001" max="10001" width="12.85546875" style="152" bestFit="1" customWidth="1"/>
    <col min="10002" max="10240" width="11.42578125" style="152"/>
    <col min="10241" max="10241" width="23" style="152" bestFit="1" customWidth="1"/>
    <col min="10242" max="10244" width="10.85546875" style="152" customWidth="1"/>
    <col min="10245" max="10245" width="11.85546875" style="152" customWidth="1"/>
    <col min="10246" max="10246" width="12.85546875" style="152" customWidth="1"/>
    <col min="10247" max="10249" width="10.85546875" style="152" customWidth="1"/>
    <col min="10250" max="10250" width="11.85546875" style="152" customWidth="1"/>
    <col min="10251" max="10251" width="12.85546875" style="152" customWidth="1"/>
    <col min="10252" max="10254" width="10.85546875" style="152" customWidth="1"/>
    <col min="10255" max="10256" width="12.85546875" style="152" customWidth="1"/>
    <col min="10257" max="10257" width="12.85546875" style="152" bestFit="1" customWidth="1"/>
    <col min="10258" max="10496" width="11.42578125" style="152"/>
    <col min="10497" max="10497" width="23" style="152" bestFit="1" customWidth="1"/>
    <col min="10498" max="10500" width="10.85546875" style="152" customWidth="1"/>
    <col min="10501" max="10501" width="11.85546875" style="152" customWidth="1"/>
    <col min="10502" max="10502" width="12.85546875" style="152" customWidth="1"/>
    <col min="10503" max="10505" width="10.85546875" style="152" customWidth="1"/>
    <col min="10506" max="10506" width="11.85546875" style="152" customWidth="1"/>
    <col min="10507" max="10507" width="12.85546875" style="152" customWidth="1"/>
    <col min="10508" max="10510" width="10.85546875" style="152" customWidth="1"/>
    <col min="10511" max="10512" width="12.85546875" style="152" customWidth="1"/>
    <col min="10513" max="10513" width="12.85546875" style="152" bestFit="1" customWidth="1"/>
    <col min="10514" max="10752" width="11.42578125" style="152"/>
    <col min="10753" max="10753" width="23" style="152" bestFit="1" customWidth="1"/>
    <col min="10754" max="10756" width="10.85546875" style="152" customWidth="1"/>
    <col min="10757" max="10757" width="11.85546875" style="152" customWidth="1"/>
    <col min="10758" max="10758" width="12.85546875" style="152" customWidth="1"/>
    <col min="10759" max="10761" width="10.85546875" style="152" customWidth="1"/>
    <col min="10762" max="10762" width="11.85546875" style="152" customWidth="1"/>
    <col min="10763" max="10763" width="12.85546875" style="152" customWidth="1"/>
    <col min="10764" max="10766" width="10.85546875" style="152" customWidth="1"/>
    <col min="10767" max="10768" width="12.85546875" style="152" customWidth="1"/>
    <col min="10769" max="10769" width="12.85546875" style="152" bestFit="1" customWidth="1"/>
    <col min="10770" max="11008" width="11.42578125" style="152"/>
    <col min="11009" max="11009" width="23" style="152" bestFit="1" customWidth="1"/>
    <col min="11010" max="11012" width="10.85546875" style="152" customWidth="1"/>
    <col min="11013" max="11013" width="11.85546875" style="152" customWidth="1"/>
    <col min="11014" max="11014" width="12.85546875" style="152" customWidth="1"/>
    <col min="11015" max="11017" width="10.85546875" style="152" customWidth="1"/>
    <col min="11018" max="11018" width="11.85546875" style="152" customWidth="1"/>
    <col min="11019" max="11019" width="12.85546875" style="152" customWidth="1"/>
    <col min="11020" max="11022" width="10.85546875" style="152" customWidth="1"/>
    <col min="11023" max="11024" width="12.85546875" style="152" customWidth="1"/>
    <col min="11025" max="11025" width="12.85546875" style="152" bestFit="1" customWidth="1"/>
    <col min="11026" max="11264" width="11.42578125" style="152"/>
    <col min="11265" max="11265" width="23" style="152" bestFit="1" customWidth="1"/>
    <col min="11266" max="11268" width="10.85546875" style="152" customWidth="1"/>
    <col min="11269" max="11269" width="11.85546875" style="152" customWidth="1"/>
    <col min="11270" max="11270" width="12.85546875" style="152" customWidth="1"/>
    <col min="11271" max="11273" width="10.85546875" style="152" customWidth="1"/>
    <col min="11274" max="11274" width="11.85546875" style="152" customWidth="1"/>
    <col min="11275" max="11275" width="12.85546875" style="152" customWidth="1"/>
    <col min="11276" max="11278" width="10.85546875" style="152" customWidth="1"/>
    <col min="11279" max="11280" width="12.85546875" style="152" customWidth="1"/>
    <col min="11281" max="11281" width="12.85546875" style="152" bestFit="1" customWidth="1"/>
    <col min="11282" max="11520" width="11.42578125" style="152"/>
    <col min="11521" max="11521" width="23" style="152" bestFit="1" customWidth="1"/>
    <col min="11522" max="11524" width="10.85546875" style="152" customWidth="1"/>
    <col min="11525" max="11525" width="11.85546875" style="152" customWidth="1"/>
    <col min="11526" max="11526" width="12.85546875" style="152" customWidth="1"/>
    <col min="11527" max="11529" width="10.85546875" style="152" customWidth="1"/>
    <col min="11530" max="11530" width="11.85546875" style="152" customWidth="1"/>
    <col min="11531" max="11531" width="12.85546875" style="152" customWidth="1"/>
    <col min="11532" max="11534" width="10.85546875" style="152" customWidth="1"/>
    <col min="11535" max="11536" width="12.85546875" style="152" customWidth="1"/>
    <col min="11537" max="11537" width="12.85546875" style="152" bestFit="1" customWidth="1"/>
    <col min="11538" max="11776" width="11.42578125" style="152"/>
    <col min="11777" max="11777" width="23" style="152" bestFit="1" customWidth="1"/>
    <col min="11778" max="11780" width="10.85546875" style="152" customWidth="1"/>
    <col min="11781" max="11781" width="11.85546875" style="152" customWidth="1"/>
    <col min="11782" max="11782" width="12.85546875" style="152" customWidth="1"/>
    <col min="11783" max="11785" width="10.85546875" style="152" customWidth="1"/>
    <col min="11786" max="11786" width="11.85546875" style="152" customWidth="1"/>
    <col min="11787" max="11787" width="12.85546875" style="152" customWidth="1"/>
    <col min="11788" max="11790" width="10.85546875" style="152" customWidth="1"/>
    <col min="11791" max="11792" width="12.85546875" style="152" customWidth="1"/>
    <col min="11793" max="11793" width="12.85546875" style="152" bestFit="1" customWidth="1"/>
    <col min="11794" max="12032" width="11.42578125" style="152"/>
    <col min="12033" max="12033" width="23" style="152" bestFit="1" customWidth="1"/>
    <col min="12034" max="12036" width="10.85546875" style="152" customWidth="1"/>
    <col min="12037" max="12037" width="11.85546875" style="152" customWidth="1"/>
    <col min="12038" max="12038" width="12.85546875" style="152" customWidth="1"/>
    <col min="12039" max="12041" width="10.85546875" style="152" customWidth="1"/>
    <col min="12042" max="12042" width="11.85546875" style="152" customWidth="1"/>
    <col min="12043" max="12043" width="12.85546875" style="152" customWidth="1"/>
    <col min="12044" max="12046" width="10.85546875" style="152" customWidth="1"/>
    <col min="12047" max="12048" width="12.85546875" style="152" customWidth="1"/>
    <col min="12049" max="12049" width="12.85546875" style="152" bestFit="1" customWidth="1"/>
    <col min="12050" max="12288" width="11.42578125" style="152"/>
    <col min="12289" max="12289" width="23" style="152" bestFit="1" customWidth="1"/>
    <col min="12290" max="12292" width="10.85546875" style="152" customWidth="1"/>
    <col min="12293" max="12293" width="11.85546875" style="152" customWidth="1"/>
    <col min="12294" max="12294" width="12.85546875" style="152" customWidth="1"/>
    <col min="12295" max="12297" width="10.85546875" style="152" customWidth="1"/>
    <col min="12298" max="12298" width="11.85546875" style="152" customWidth="1"/>
    <col min="12299" max="12299" width="12.85546875" style="152" customWidth="1"/>
    <col min="12300" max="12302" width="10.85546875" style="152" customWidth="1"/>
    <col min="12303" max="12304" width="12.85546875" style="152" customWidth="1"/>
    <col min="12305" max="12305" width="12.85546875" style="152" bestFit="1" customWidth="1"/>
    <col min="12306" max="12544" width="11.42578125" style="152"/>
    <col min="12545" max="12545" width="23" style="152" bestFit="1" customWidth="1"/>
    <col min="12546" max="12548" width="10.85546875" style="152" customWidth="1"/>
    <col min="12549" max="12549" width="11.85546875" style="152" customWidth="1"/>
    <col min="12550" max="12550" width="12.85546875" style="152" customWidth="1"/>
    <col min="12551" max="12553" width="10.85546875" style="152" customWidth="1"/>
    <col min="12554" max="12554" width="11.85546875" style="152" customWidth="1"/>
    <col min="12555" max="12555" width="12.85546875" style="152" customWidth="1"/>
    <col min="12556" max="12558" width="10.85546875" style="152" customWidth="1"/>
    <col min="12559" max="12560" width="12.85546875" style="152" customWidth="1"/>
    <col min="12561" max="12561" width="12.85546875" style="152" bestFit="1" customWidth="1"/>
    <col min="12562" max="12800" width="11.42578125" style="152"/>
    <col min="12801" max="12801" width="23" style="152" bestFit="1" customWidth="1"/>
    <col min="12802" max="12804" width="10.85546875" style="152" customWidth="1"/>
    <col min="12805" max="12805" width="11.85546875" style="152" customWidth="1"/>
    <col min="12806" max="12806" width="12.85546875" style="152" customWidth="1"/>
    <col min="12807" max="12809" width="10.85546875" style="152" customWidth="1"/>
    <col min="12810" max="12810" width="11.85546875" style="152" customWidth="1"/>
    <col min="12811" max="12811" width="12.85546875" style="152" customWidth="1"/>
    <col min="12812" max="12814" width="10.85546875" style="152" customWidth="1"/>
    <col min="12815" max="12816" width="12.85546875" style="152" customWidth="1"/>
    <col min="12817" max="12817" width="12.85546875" style="152" bestFit="1" customWidth="1"/>
    <col min="12818" max="13056" width="11.42578125" style="152"/>
    <col min="13057" max="13057" width="23" style="152" bestFit="1" customWidth="1"/>
    <col min="13058" max="13060" width="10.85546875" style="152" customWidth="1"/>
    <col min="13061" max="13061" width="11.85546875" style="152" customWidth="1"/>
    <col min="13062" max="13062" width="12.85546875" style="152" customWidth="1"/>
    <col min="13063" max="13065" width="10.85546875" style="152" customWidth="1"/>
    <col min="13066" max="13066" width="11.85546875" style="152" customWidth="1"/>
    <col min="13067" max="13067" width="12.85546875" style="152" customWidth="1"/>
    <col min="13068" max="13070" width="10.85546875" style="152" customWidth="1"/>
    <col min="13071" max="13072" width="12.85546875" style="152" customWidth="1"/>
    <col min="13073" max="13073" width="12.85546875" style="152" bestFit="1" customWidth="1"/>
    <col min="13074" max="13312" width="11.42578125" style="152"/>
    <col min="13313" max="13313" width="23" style="152" bestFit="1" customWidth="1"/>
    <col min="13314" max="13316" width="10.85546875" style="152" customWidth="1"/>
    <col min="13317" max="13317" width="11.85546875" style="152" customWidth="1"/>
    <col min="13318" max="13318" width="12.85546875" style="152" customWidth="1"/>
    <col min="13319" max="13321" width="10.85546875" style="152" customWidth="1"/>
    <col min="13322" max="13322" width="11.85546875" style="152" customWidth="1"/>
    <col min="13323" max="13323" width="12.85546875" style="152" customWidth="1"/>
    <col min="13324" max="13326" width="10.85546875" style="152" customWidth="1"/>
    <col min="13327" max="13328" width="12.85546875" style="152" customWidth="1"/>
    <col min="13329" max="13329" width="12.85546875" style="152" bestFit="1" customWidth="1"/>
    <col min="13330" max="13568" width="11.42578125" style="152"/>
    <col min="13569" max="13569" width="23" style="152" bestFit="1" customWidth="1"/>
    <col min="13570" max="13572" width="10.85546875" style="152" customWidth="1"/>
    <col min="13573" max="13573" width="11.85546875" style="152" customWidth="1"/>
    <col min="13574" max="13574" width="12.85546875" style="152" customWidth="1"/>
    <col min="13575" max="13577" width="10.85546875" style="152" customWidth="1"/>
    <col min="13578" max="13578" width="11.85546875" style="152" customWidth="1"/>
    <col min="13579" max="13579" width="12.85546875" style="152" customWidth="1"/>
    <col min="13580" max="13582" width="10.85546875" style="152" customWidth="1"/>
    <col min="13583" max="13584" width="12.85546875" style="152" customWidth="1"/>
    <col min="13585" max="13585" width="12.85546875" style="152" bestFit="1" customWidth="1"/>
    <col min="13586" max="13824" width="11.42578125" style="152"/>
    <col min="13825" max="13825" width="23" style="152" bestFit="1" customWidth="1"/>
    <col min="13826" max="13828" width="10.85546875" style="152" customWidth="1"/>
    <col min="13829" max="13829" width="11.85546875" style="152" customWidth="1"/>
    <col min="13830" max="13830" width="12.85546875" style="152" customWidth="1"/>
    <col min="13831" max="13833" width="10.85546875" style="152" customWidth="1"/>
    <col min="13834" max="13834" width="11.85546875" style="152" customWidth="1"/>
    <col min="13835" max="13835" width="12.85546875" style="152" customWidth="1"/>
    <col min="13836" max="13838" width="10.85546875" style="152" customWidth="1"/>
    <col min="13839" max="13840" width="12.85546875" style="152" customWidth="1"/>
    <col min="13841" max="13841" width="12.85546875" style="152" bestFit="1" customWidth="1"/>
    <col min="13842" max="14080" width="11.42578125" style="152"/>
    <col min="14081" max="14081" width="23" style="152" bestFit="1" customWidth="1"/>
    <col min="14082" max="14084" width="10.85546875" style="152" customWidth="1"/>
    <col min="14085" max="14085" width="11.85546875" style="152" customWidth="1"/>
    <col min="14086" max="14086" width="12.85546875" style="152" customWidth="1"/>
    <col min="14087" max="14089" width="10.85546875" style="152" customWidth="1"/>
    <col min="14090" max="14090" width="11.85546875" style="152" customWidth="1"/>
    <col min="14091" max="14091" width="12.85546875" style="152" customWidth="1"/>
    <col min="14092" max="14094" width="10.85546875" style="152" customWidth="1"/>
    <col min="14095" max="14096" width="12.85546875" style="152" customWidth="1"/>
    <col min="14097" max="14097" width="12.85546875" style="152" bestFit="1" customWidth="1"/>
    <col min="14098" max="14336" width="11.42578125" style="152"/>
    <col min="14337" max="14337" width="23" style="152" bestFit="1" customWidth="1"/>
    <col min="14338" max="14340" width="10.85546875" style="152" customWidth="1"/>
    <col min="14341" max="14341" width="11.85546875" style="152" customWidth="1"/>
    <col min="14342" max="14342" width="12.85546875" style="152" customWidth="1"/>
    <col min="14343" max="14345" width="10.85546875" style="152" customWidth="1"/>
    <col min="14346" max="14346" width="11.85546875" style="152" customWidth="1"/>
    <col min="14347" max="14347" width="12.85546875" style="152" customWidth="1"/>
    <col min="14348" max="14350" width="10.85546875" style="152" customWidth="1"/>
    <col min="14351" max="14352" width="12.85546875" style="152" customWidth="1"/>
    <col min="14353" max="14353" width="12.85546875" style="152" bestFit="1" customWidth="1"/>
    <col min="14354" max="14592" width="11.42578125" style="152"/>
    <col min="14593" max="14593" width="23" style="152" bestFit="1" customWidth="1"/>
    <col min="14594" max="14596" width="10.85546875" style="152" customWidth="1"/>
    <col min="14597" max="14597" width="11.85546875" style="152" customWidth="1"/>
    <col min="14598" max="14598" width="12.85546875" style="152" customWidth="1"/>
    <col min="14599" max="14601" width="10.85546875" style="152" customWidth="1"/>
    <col min="14602" max="14602" width="11.85546875" style="152" customWidth="1"/>
    <col min="14603" max="14603" width="12.85546875" style="152" customWidth="1"/>
    <col min="14604" max="14606" width="10.85546875" style="152" customWidth="1"/>
    <col min="14607" max="14608" width="12.85546875" style="152" customWidth="1"/>
    <col min="14609" max="14609" width="12.85546875" style="152" bestFit="1" customWidth="1"/>
    <col min="14610" max="14848" width="11.42578125" style="152"/>
    <col min="14849" max="14849" width="23" style="152" bestFit="1" customWidth="1"/>
    <col min="14850" max="14852" width="10.85546875" style="152" customWidth="1"/>
    <col min="14853" max="14853" width="11.85546875" style="152" customWidth="1"/>
    <col min="14854" max="14854" width="12.85546875" style="152" customWidth="1"/>
    <col min="14855" max="14857" width="10.85546875" style="152" customWidth="1"/>
    <col min="14858" max="14858" width="11.85546875" style="152" customWidth="1"/>
    <col min="14859" max="14859" width="12.85546875" style="152" customWidth="1"/>
    <col min="14860" max="14862" width="10.85546875" style="152" customWidth="1"/>
    <col min="14863" max="14864" width="12.85546875" style="152" customWidth="1"/>
    <col min="14865" max="14865" width="12.85546875" style="152" bestFit="1" customWidth="1"/>
    <col min="14866" max="15104" width="11.42578125" style="152"/>
    <col min="15105" max="15105" width="23" style="152" bestFit="1" customWidth="1"/>
    <col min="15106" max="15108" width="10.85546875" style="152" customWidth="1"/>
    <col min="15109" max="15109" width="11.85546875" style="152" customWidth="1"/>
    <col min="15110" max="15110" width="12.85546875" style="152" customWidth="1"/>
    <col min="15111" max="15113" width="10.85546875" style="152" customWidth="1"/>
    <col min="15114" max="15114" width="11.85546875" style="152" customWidth="1"/>
    <col min="15115" max="15115" width="12.85546875" style="152" customWidth="1"/>
    <col min="15116" max="15118" width="10.85546875" style="152" customWidth="1"/>
    <col min="15119" max="15120" width="12.85546875" style="152" customWidth="1"/>
    <col min="15121" max="15121" width="12.85546875" style="152" bestFit="1" customWidth="1"/>
    <col min="15122" max="15360" width="11.42578125" style="152"/>
    <col min="15361" max="15361" width="23" style="152" bestFit="1" customWidth="1"/>
    <col min="15362" max="15364" width="10.85546875" style="152" customWidth="1"/>
    <col min="15365" max="15365" width="11.85546875" style="152" customWidth="1"/>
    <col min="15366" max="15366" width="12.85546875" style="152" customWidth="1"/>
    <col min="15367" max="15369" width="10.85546875" style="152" customWidth="1"/>
    <col min="15370" max="15370" width="11.85546875" style="152" customWidth="1"/>
    <col min="15371" max="15371" width="12.85546875" style="152" customWidth="1"/>
    <col min="15372" max="15374" width="10.85546875" style="152" customWidth="1"/>
    <col min="15375" max="15376" width="12.85546875" style="152" customWidth="1"/>
    <col min="15377" max="15377" width="12.85546875" style="152" bestFit="1" customWidth="1"/>
    <col min="15378" max="15616" width="11.42578125" style="152"/>
    <col min="15617" max="15617" width="23" style="152" bestFit="1" customWidth="1"/>
    <col min="15618" max="15620" width="10.85546875" style="152" customWidth="1"/>
    <col min="15621" max="15621" width="11.85546875" style="152" customWidth="1"/>
    <col min="15622" max="15622" width="12.85546875" style="152" customWidth="1"/>
    <col min="15623" max="15625" width="10.85546875" style="152" customWidth="1"/>
    <col min="15626" max="15626" width="11.85546875" style="152" customWidth="1"/>
    <col min="15627" max="15627" width="12.85546875" style="152" customWidth="1"/>
    <col min="15628" max="15630" width="10.85546875" style="152" customWidth="1"/>
    <col min="15631" max="15632" width="12.85546875" style="152" customWidth="1"/>
    <col min="15633" max="15633" width="12.85546875" style="152" bestFit="1" customWidth="1"/>
    <col min="15634" max="15872" width="11.42578125" style="152"/>
    <col min="15873" max="15873" width="23" style="152" bestFit="1" customWidth="1"/>
    <col min="15874" max="15876" width="10.85546875" style="152" customWidth="1"/>
    <col min="15877" max="15877" width="11.85546875" style="152" customWidth="1"/>
    <col min="15878" max="15878" width="12.85546875" style="152" customWidth="1"/>
    <col min="15879" max="15881" width="10.85546875" style="152" customWidth="1"/>
    <col min="15882" max="15882" width="11.85546875" style="152" customWidth="1"/>
    <col min="15883" max="15883" width="12.85546875" style="152" customWidth="1"/>
    <col min="15884" max="15886" width="10.85546875" style="152" customWidth="1"/>
    <col min="15887" max="15888" width="12.85546875" style="152" customWidth="1"/>
    <col min="15889" max="15889" width="12.85546875" style="152" bestFit="1" customWidth="1"/>
    <col min="15890" max="16128" width="11.42578125" style="152"/>
    <col min="16129" max="16129" width="23" style="152" bestFit="1" customWidth="1"/>
    <col min="16130" max="16132" width="10.85546875" style="152" customWidth="1"/>
    <col min="16133" max="16133" width="11.85546875" style="152" customWidth="1"/>
    <col min="16134" max="16134" width="12.85546875" style="152" customWidth="1"/>
    <col min="16135" max="16137" width="10.85546875" style="152" customWidth="1"/>
    <col min="16138" max="16138" width="11.85546875" style="152" customWidth="1"/>
    <col min="16139" max="16139" width="12.85546875" style="152" customWidth="1"/>
    <col min="16140" max="16142" width="10.85546875" style="152" customWidth="1"/>
    <col min="16143" max="16144" width="12.85546875" style="152" customWidth="1"/>
    <col min="16145" max="16145" width="12.85546875" style="152" bestFit="1" customWidth="1"/>
    <col min="16146" max="16384" width="11.42578125" style="152"/>
  </cols>
  <sheetData>
    <row r="1" spans="1:17" ht="28.5" customHeight="1" thickBot="1">
      <c r="A1" s="150"/>
      <c r="B1" s="151" t="s">
        <v>244</v>
      </c>
      <c r="C1" s="151" t="s">
        <v>245</v>
      </c>
      <c r="D1" s="151" t="s">
        <v>246</v>
      </c>
      <c r="E1" s="151" t="s">
        <v>247</v>
      </c>
      <c r="F1" s="151" t="s">
        <v>248</v>
      </c>
      <c r="G1" s="151" t="s">
        <v>249</v>
      </c>
      <c r="H1" s="151" t="s">
        <v>250</v>
      </c>
      <c r="I1" s="151" t="s">
        <v>251</v>
      </c>
      <c r="J1" s="151" t="s">
        <v>252</v>
      </c>
      <c r="K1" s="151" t="s">
        <v>253</v>
      </c>
      <c r="L1" s="151" t="s">
        <v>254</v>
      </c>
      <c r="M1" s="151" t="s">
        <v>255</v>
      </c>
      <c r="N1" s="151" t="s">
        <v>256</v>
      </c>
      <c r="O1" s="151" t="s">
        <v>257</v>
      </c>
      <c r="P1" s="151" t="s">
        <v>258</v>
      </c>
      <c r="Q1" s="151" t="s">
        <v>259</v>
      </c>
    </row>
    <row r="2" spans="1:17" ht="28.5" customHeight="1">
      <c r="A2" s="153" t="s">
        <v>260</v>
      </c>
      <c r="B2" s="153"/>
      <c r="C2" s="153"/>
      <c r="D2" s="153"/>
      <c r="E2" s="153">
        <v>16000</v>
      </c>
      <c r="F2" s="153">
        <f>SUM(B2:E2)</f>
        <v>16000</v>
      </c>
      <c r="G2" s="153"/>
      <c r="H2" s="153"/>
      <c r="I2" s="153"/>
      <c r="J2" s="153">
        <v>81000</v>
      </c>
      <c r="K2" s="153">
        <f>SUM(G2:J2)</f>
        <v>81000</v>
      </c>
      <c r="L2" s="153"/>
      <c r="M2" s="153"/>
      <c r="N2" s="153"/>
      <c r="O2" s="153">
        <v>89000</v>
      </c>
      <c r="P2" s="153">
        <f>SUM(L2:O2)</f>
        <v>89000</v>
      </c>
      <c r="Q2" s="153">
        <f>SUM(P2,K2,F2)</f>
        <v>186000</v>
      </c>
    </row>
    <row r="3" spans="1:17" ht="28.5" customHeight="1">
      <c r="A3" s="153" t="s">
        <v>261</v>
      </c>
      <c r="B3" s="153">
        <v>2500</v>
      </c>
      <c r="C3" s="153">
        <v>2500</v>
      </c>
      <c r="D3" s="153">
        <v>2500</v>
      </c>
      <c r="E3" s="153">
        <v>2500</v>
      </c>
      <c r="F3" s="153">
        <f t="shared" ref="F3:F10" si="0">SUM(B3:E3)</f>
        <v>10000</v>
      </c>
      <c r="G3" s="153">
        <v>2500</v>
      </c>
      <c r="H3" s="153">
        <v>2500</v>
      </c>
      <c r="I3" s="153">
        <v>2500</v>
      </c>
      <c r="J3" s="153">
        <v>2500</v>
      </c>
      <c r="K3" s="153">
        <f t="shared" ref="K3:K10" si="1">SUM(G3:J3)</f>
        <v>10000</v>
      </c>
      <c r="L3" s="153">
        <v>2500</v>
      </c>
      <c r="M3" s="153">
        <v>2500</v>
      </c>
      <c r="N3" s="153">
        <v>2500</v>
      </c>
      <c r="O3" s="153">
        <v>2500</v>
      </c>
      <c r="P3" s="153">
        <f t="shared" ref="P3:P10" si="2">SUM(L3:O3)</f>
        <v>10000</v>
      </c>
      <c r="Q3" s="153">
        <f t="shared" ref="Q3:Q10" si="3">SUM(P3,K3,F3)</f>
        <v>30000</v>
      </c>
    </row>
    <row r="4" spans="1:17" ht="28.5" customHeight="1">
      <c r="A4" s="153" t="s">
        <v>262</v>
      </c>
      <c r="B4" s="153"/>
      <c r="C4" s="153"/>
      <c r="D4" s="153"/>
      <c r="E4" s="153"/>
      <c r="F4" s="153">
        <f t="shared" si="0"/>
        <v>0</v>
      </c>
      <c r="G4" s="153"/>
      <c r="H4" s="153"/>
      <c r="I4" s="153"/>
      <c r="J4" s="153"/>
      <c r="K4" s="153">
        <f t="shared" si="1"/>
        <v>0</v>
      </c>
      <c r="L4" s="153"/>
      <c r="M4" s="153"/>
      <c r="N4" s="153"/>
      <c r="O4" s="153">
        <v>7000</v>
      </c>
      <c r="P4" s="153">
        <f t="shared" si="2"/>
        <v>7000</v>
      </c>
      <c r="Q4" s="153">
        <f t="shared" si="3"/>
        <v>7000</v>
      </c>
    </row>
    <row r="5" spans="1:17" ht="28.5" customHeight="1" thickBot="1">
      <c r="A5" s="153" t="s">
        <v>263</v>
      </c>
      <c r="B5" s="153"/>
      <c r="C5" s="153"/>
      <c r="D5" s="153"/>
      <c r="E5" s="153">
        <v>5000</v>
      </c>
      <c r="F5" s="153">
        <f t="shared" si="0"/>
        <v>5000</v>
      </c>
      <c r="G5" s="153"/>
      <c r="H5" s="153"/>
      <c r="I5" s="153"/>
      <c r="J5" s="153"/>
      <c r="K5" s="153">
        <f t="shared" si="1"/>
        <v>0</v>
      </c>
      <c r="L5" s="153"/>
      <c r="M5" s="153"/>
      <c r="N5" s="153"/>
      <c r="O5" s="153">
        <v>4800</v>
      </c>
      <c r="P5" s="153">
        <f t="shared" si="2"/>
        <v>4800</v>
      </c>
      <c r="Q5" s="153">
        <f t="shared" si="3"/>
        <v>9800</v>
      </c>
    </row>
    <row r="6" spans="1:17" ht="28.5" customHeight="1" thickBot="1">
      <c r="A6" s="154" t="s">
        <v>264</v>
      </c>
      <c r="B6" s="155">
        <f>SUM(B2:B5)</f>
        <v>2500</v>
      </c>
      <c r="C6" s="155">
        <f t="shared" ref="C6:O6" si="4">SUM(C2:C5)</f>
        <v>2500</v>
      </c>
      <c r="D6" s="155">
        <f t="shared" si="4"/>
        <v>2500</v>
      </c>
      <c r="E6" s="155">
        <f t="shared" si="4"/>
        <v>23500</v>
      </c>
      <c r="F6" s="155">
        <f t="shared" si="0"/>
        <v>31000</v>
      </c>
      <c r="G6" s="155">
        <f t="shared" si="4"/>
        <v>2500</v>
      </c>
      <c r="H6" s="155">
        <f t="shared" si="4"/>
        <v>2500</v>
      </c>
      <c r="I6" s="155">
        <f t="shared" si="4"/>
        <v>2500</v>
      </c>
      <c r="J6" s="155">
        <f t="shared" si="4"/>
        <v>83500</v>
      </c>
      <c r="K6" s="155">
        <f t="shared" si="1"/>
        <v>91000</v>
      </c>
      <c r="L6" s="155">
        <f t="shared" si="4"/>
        <v>2500</v>
      </c>
      <c r="M6" s="155">
        <f t="shared" si="4"/>
        <v>2500</v>
      </c>
      <c r="N6" s="155">
        <f t="shared" si="4"/>
        <v>2500</v>
      </c>
      <c r="O6" s="155">
        <f t="shared" si="4"/>
        <v>103300</v>
      </c>
      <c r="P6" s="155">
        <f t="shared" si="2"/>
        <v>110800</v>
      </c>
      <c r="Q6" s="155">
        <f t="shared" si="3"/>
        <v>232800</v>
      </c>
    </row>
    <row r="7" spans="1:17" ht="28.5" customHeight="1">
      <c r="A7" s="153" t="s">
        <v>265</v>
      </c>
      <c r="B7" s="153"/>
      <c r="C7" s="153"/>
      <c r="D7" s="153"/>
      <c r="E7" s="153">
        <v>12000</v>
      </c>
      <c r="F7" s="153">
        <f t="shared" si="0"/>
        <v>12000</v>
      </c>
      <c r="G7" s="153"/>
      <c r="H7" s="153"/>
      <c r="I7" s="153"/>
      <c r="J7" s="153">
        <v>12000</v>
      </c>
      <c r="K7" s="153">
        <f t="shared" si="1"/>
        <v>12000</v>
      </c>
      <c r="L7" s="153"/>
      <c r="M7" s="153"/>
      <c r="N7" s="153"/>
      <c r="O7" s="153">
        <v>12000</v>
      </c>
      <c r="P7" s="153">
        <f t="shared" si="2"/>
        <v>12000</v>
      </c>
      <c r="Q7" s="153">
        <f t="shared" si="3"/>
        <v>36000</v>
      </c>
    </row>
    <row r="8" spans="1:17" ht="28.5" customHeight="1" thickBot="1">
      <c r="A8" s="153" t="s">
        <v>266</v>
      </c>
      <c r="B8" s="153"/>
      <c r="C8" s="153"/>
      <c r="D8" s="153"/>
      <c r="E8" s="153">
        <v>350</v>
      </c>
      <c r="F8" s="153">
        <f t="shared" si="0"/>
        <v>350</v>
      </c>
      <c r="G8" s="153"/>
      <c r="H8" s="153"/>
      <c r="I8" s="153"/>
      <c r="J8" s="153">
        <v>350</v>
      </c>
      <c r="K8" s="153">
        <f t="shared" si="1"/>
        <v>350</v>
      </c>
      <c r="L8" s="153"/>
      <c r="M8" s="153"/>
      <c r="N8" s="153"/>
      <c r="O8" s="153">
        <v>350</v>
      </c>
      <c r="P8" s="153">
        <f t="shared" si="2"/>
        <v>350</v>
      </c>
      <c r="Q8" s="153">
        <f t="shared" si="3"/>
        <v>1050</v>
      </c>
    </row>
    <row r="9" spans="1:17" ht="28.5" customHeight="1" thickBot="1">
      <c r="A9" s="154" t="s">
        <v>267</v>
      </c>
      <c r="B9" s="155">
        <f>SUM(B7:B8)</f>
        <v>0</v>
      </c>
      <c r="C9" s="155">
        <f t="shared" ref="C9:O9" si="5">SUM(C7:C8)</f>
        <v>0</v>
      </c>
      <c r="D9" s="155">
        <f t="shared" si="5"/>
        <v>0</v>
      </c>
      <c r="E9" s="155">
        <f t="shared" si="5"/>
        <v>12350</v>
      </c>
      <c r="F9" s="155">
        <f t="shared" si="0"/>
        <v>12350</v>
      </c>
      <c r="G9" s="155">
        <f t="shared" si="5"/>
        <v>0</v>
      </c>
      <c r="H9" s="155">
        <f t="shared" si="5"/>
        <v>0</v>
      </c>
      <c r="I9" s="155">
        <f t="shared" si="5"/>
        <v>0</v>
      </c>
      <c r="J9" s="155">
        <f t="shared" si="5"/>
        <v>12350</v>
      </c>
      <c r="K9" s="155">
        <f t="shared" si="1"/>
        <v>12350</v>
      </c>
      <c r="L9" s="155">
        <f t="shared" si="5"/>
        <v>0</v>
      </c>
      <c r="M9" s="155">
        <f t="shared" si="5"/>
        <v>0</v>
      </c>
      <c r="N9" s="155">
        <f t="shared" si="5"/>
        <v>0</v>
      </c>
      <c r="O9" s="155">
        <f t="shared" si="5"/>
        <v>12350</v>
      </c>
      <c r="P9" s="155">
        <f t="shared" si="2"/>
        <v>12350</v>
      </c>
      <c r="Q9" s="155">
        <f t="shared" si="3"/>
        <v>37050</v>
      </c>
    </row>
    <row r="10" spans="1:17" ht="28.5" customHeight="1" thickBot="1">
      <c r="A10" s="156" t="s">
        <v>268</v>
      </c>
      <c r="B10" s="157">
        <f>SUM(B9,B6)</f>
        <v>2500</v>
      </c>
      <c r="C10" s="157">
        <f t="shared" ref="C10:O10" si="6">SUM(C9,C6)</f>
        <v>2500</v>
      </c>
      <c r="D10" s="157">
        <f t="shared" si="6"/>
        <v>2500</v>
      </c>
      <c r="E10" s="157">
        <f t="shared" si="6"/>
        <v>35850</v>
      </c>
      <c r="F10" s="157">
        <f t="shared" si="0"/>
        <v>43350</v>
      </c>
      <c r="G10" s="157">
        <f t="shared" si="6"/>
        <v>2500</v>
      </c>
      <c r="H10" s="157">
        <f t="shared" si="6"/>
        <v>2500</v>
      </c>
      <c r="I10" s="157">
        <f t="shared" si="6"/>
        <v>2500</v>
      </c>
      <c r="J10" s="157">
        <f t="shared" si="6"/>
        <v>95850</v>
      </c>
      <c r="K10" s="157">
        <f t="shared" si="1"/>
        <v>103350</v>
      </c>
      <c r="L10" s="157">
        <f t="shared" si="6"/>
        <v>2500</v>
      </c>
      <c r="M10" s="157">
        <f t="shared" si="6"/>
        <v>2500</v>
      </c>
      <c r="N10" s="157">
        <f t="shared" si="6"/>
        <v>2500</v>
      </c>
      <c r="O10" s="157">
        <f t="shared" si="6"/>
        <v>115650</v>
      </c>
      <c r="P10" s="157">
        <f t="shared" si="2"/>
        <v>123150</v>
      </c>
      <c r="Q10" s="157">
        <f t="shared" si="3"/>
        <v>269850</v>
      </c>
    </row>
    <row r="13" spans="1:17" ht="28.5" customHeight="1">
      <c r="F13" s="164" t="s">
        <v>1</v>
      </c>
      <c r="G13" s="164"/>
    </row>
  </sheetData>
  <mergeCells count="1">
    <mergeCell ref="F13:G13"/>
  </mergeCells>
  <hyperlinks>
    <hyperlink ref="F13:G13" location="MENU!A1" display="RETOUR MENU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</vt:i4>
      </vt:variant>
    </vt:vector>
  </HeadingPairs>
  <TitlesOfParts>
    <vt:vector size="14" baseType="lpstr">
      <vt:lpstr>EXO1 CALCUL DIVERS</vt:lpstr>
      <vt:lpstr>TEXTE</vt:lpstr>
      <vt:lpstr>DATE</vt:lpstr>
      <vt:lpstr>EXOS SI</vt:lpstr>
      <vt:lpstr>EXO SI</vt:lpstr>
      <vt:lpstr>SommeSI</vt:lpstr>
      <vt:lpstr>NB.SI NB.SI.ENS</vt:lpstr>
      <vt:lpstr>Texte 2</vt:lpstr>
      <vt:lpstr>Texte 3</vt:lpstr>
      <vt:lpstr>Date 1</vt:lpstr>
      <vt:lpstr>Date 2</vt:lpstr>
      <vt:lpstr>Enoncé</vt:lpstr>
      <vt:lpstr>Plan et vue</vt:lpstr>
      <vt:lpstr>Enoncé!Impression_des_titres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sandrine</cp:lastModifiedBy>
  <dcterms:created xsi:type="dcterms:W3CDTF">2013-06-20T13:19:48Z</dcterms:created>
  <dcterms:modified xsi:type="dcterms:W3CDTF">2013-07-19T07:36:10Z</dcterms:modified>
</cp:coreProperties>
</file>