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80" windowHeight="8835"/>
  </bookViews>
  <sheets>
    <sheet name="Collage spécial - Opération" sheetId="2" r:id="rId1"/>
    <sheet name="Collage spécial - Transposition" sheetId="1" r:id="rId2"/>
  </sheets>
  <definedNames>
    <definedName name="_Fill" localSheetId="0" hidden="1">'Collage spécial - Opération'!$A$30:$A$46</definedName>
    <definedName name="_Key1" localSheetId="0" hidden="1">'Collage spécial - Opération'!$C$1:$AE$2</definedName>
    <definedName name="_Order1" localSheetId="0" hidden="1">0</definedName>
  </definedNames>
  <calcPr calcId="144525"/>
</workbook>
</file>

<file path=xl/calcChain.xml><?xml version="1.0" encoding="utf-8"?>
<calcChain xmlns="http://schemas.openxmlformats.org/spreadsheetml/2006/main">
  <c r="E2" i="1" l="1"/>
  <c r="E6" i="1" s="1"/>
  <c r="I2" i="1"/>
  <c r="M2" i="1"/>
  <c r="Q2" i="1"/>
  <c r="E3" i="1"/>
  <c r="I3" i="1"/>
  <c r="M3" i="1"/>
  <c r="Q3" i="1"/>
  <c r="E4" i="1"/>
  <c r="I4" i="1"/>
  <c r="M4" i="1"/>
  <c r="Q4" i="1"/>
  <c r="R4" i="1"/>
  <c r="E5" i="1"/>
  <c r="I5" i="1"/>
  <c r="M5" i="1"/>
  <c r="Q5" i="1"/>
  <c r="Q6" i="1" s="1"/>
  <c r="M6" i="1"/>
  <c r="P6" i="1"/>
  <c r="O6" i="1"/>
  <c r="N6" i="1"/>
  <c r="L6" i="1"/>
  <c r="K6" i="1"/>
  <c r="J6" i="1"/>
  <c r="H6" i="1"/>
  <c r="G6" i="1"/>
  <c r="F6" i="1"/>
  <c r="D6" i="1"/>
  <c r="C6" i="1"/>
  <c r="B6" i="1"/>
  <c r="R5" i="1" l="1"/>
  <c r="R3" i="1"/>
  <c r="R2" i="1"/>
  <c r="I6" i="1"/>
  <c r="R6" i="1" s="1"/>
</calcChain>
</file>

<file path=xl/sharedStrings.xml><?xml version="1.0" encoding="utf-8"?>
<sst xmlns="http://schemas.openxmlformats.org/spreadsheetml/2006/main" count="598" uniqueCount="164">
  <si>
    <t>MOIS</t>
  </si>
  <si>
    <t>JANVIER</t>
  </si>
  <si>
    <t>FEVRIER</t>
  </si>
  <si>
    <t>MARS</t>
  </si>
  <si>
    <t>PERIODE 1</t>
  </si>
  <si>
    <t>AVRIL</t>
  </si>
  <si>
    <t>MAI</t>
  </si>
  <si>
    <t>JUIN</t>
  </si>
  <si>
    <t>PERIODE 2</t>
  </si>
  <si>
    <t>JUILLET</t>
  </si>
  <si>
    <t>AOUT</t>
  </si>
  <si>
    <t>SEPTEMBRE</t>
  </si>
  <si>
    <t>PERIODE 3</t>
  </si>
  <si>
    <t>OCTOBRE</t>
  </si>
  <si>
    <t>NOVEMBRE</t>
  </si>
  <si>
    <t>DECEMBRE</t>
  </si>
  <si>
    <t>PERIODE 4</t>
  </si>
  <si>
    <t>TOTAL DE L'ANNEE</t>
  </si>
  <si>
    <t>WAVE</t>
  </si>
  <si>
    <t>SLALOM 1</t>
  </si>
  <si>
    <t>MAGNUM</t>
  </si>
  <si>
    <t>SLALOM 2</t>
  </si>
  <si>
    <t>TOTAL/PLANCHES</t>
  </si>
  <si>
    <t>NOM</t>
  </si>
  <si>
    <t>FONCTION</t>
  </si>
  <si>
    <t>AGENCE</t>
  </si>
  <si>
    <t>ACTUEL</t>
  </si>
  <si>
    <t>DEBUT</t>
  </si>
  <si>
    <t>DIPLOME</t>
  </si>
  <si>
    <t>ANC</t>
  </si>
  <si>
    <t>AGE</t>
  </si>
  <si>
    <t>SEX</t>
  </si>
  <si>
    <t>FAMILLE</t>
  </si>
  <si>
    <t>ENF</t>
  </si>
  <si>
    <t>ADOLPHE</t>
  </si>
  <si>
    <t>VENDEUR</t>
  </si>
  <si>
    <t>NICE</t>
  </si>
  <si>
    <t>BAC</t>
  </si>
  <si>
    <t>M</t>
  </si>
  <si>
    <t>C</t>
  </si>
  <si>
    <t>ALAIN</t>
  </si>
  <si>
    <t>MONTEUR</t>
  </si>
  <si>
    <t>USINE</t>
  </si>
  <si>
    <t>BEP</t>
  </si>
  <si>
    <t>ANDRE</t>
  </si>
  <si>
    <t>ALBERT</t>
  </si>
  <si>
    <t>ALBERTINE</t>
  </si>
  <si>
    <t>SECRETAIRE</t>
  </si>
  <si>
    <t>PARIS</t>
  </si>
  <si>
    <t>DUT</t>
  </si>
  <si>
    <t>F</t>
  </si>
  <si>
    <t>ALDO</t>
  </si>
  <si>
    <t>DIR AGENCE</t>
  </si>
  <si>
    <t>LILLE</t>
  </si>
  <si>
    <t>SANS</t>
  </si>
  <si>
    <t>ALEX</t>
  </si>
  <si>
    <t>DIR VENTES</t>
  </si>
  <si>
    <t>ESSEC</t>
  </si>
  <si>
    <t>ALEXANDRA</t>
  </si>
  <si>
    <t>ALICE</t>
  </si>
  <si>
    <t>ESC</t>
  </si>
  <si>
    <t>ANABELLA</t>
  </si>
  <si>
    <t>LYON</t>
  </si>
  <si>
    <t>ANGE-GUY</t>
  </si>
  <si>
    <t>SOUS DIR</t>
  </si>
  <si>
    <t>ANITA</t>
  </si>
  <si>
    <t>ANTONY</t>
  </si>
  <si>
    <t>MANUTENT</t>
  </si>
  <si>
    <t>ARIELLE</t>
  </si>
  <si>
    <t>MAITRIS</t>
  </si>
  <si>
    <t>ARNAULT</t>
  </si>
  <si>
    <t>LICENCE</t>
  </si>
  <si>
    <t>BERTRAND</t>
  </si>
  <si>
    <t>BORIS</t>
  </si>
  <si>
    <t>BRUNO</t>
  </si>
  <si>
    <t>CAMEL</t>
  </si>
  <si>
    <t>COMPTABLE</t>
  </si>
  <si>
    <t>CARL</t>
  </si>
  <si>
    <t>TECHNICIEN</t>
  </si>
  <si>
    <t>CARLA</t>
  </si>
  <si>
    <t>CH-HENRY</t>
  </si>
  <si>
    <t>DIR COMM</t>
  </si>
  <si>
    <t>CHANTAL</t>
  </si>
  <si>
    <t>CHARLES</t>
  </si>
  <si>
    <t>RENNES</t>
  </si>
  <si>
    <t>CHARLIE</t>
  </si>
  <si>
    <t>INGENIEUR</t>
  </si>
  <si>
    <t>CHRISTOPHE</t>
  </si>
  <si>
    <t>CLAUDE</t>
  </si>
  <si>
    <t>CYRILLE</t>
  </si>
  <si>
    <t>DAVID</t>
  </si>
  <si>
    <t>DIR PRODUC</t>
  </si>
  <si>
    <t>DIDIER</t>
  </si>
  <si>
    <t>ELISABETTE</t>
  </si>
  <si>
    <t>RESP RP</t>
  </si>
  <si>
    <t>EMMANUEL</t>
  </si>
  <si>
    <t>DIR TECH</t>
  </si>
  <si>
    <t>ERIC</t>
  </si>
  <si>
    <t>FRANCESCA</t>
  </si>
  <si>
    <t>FRANCOIS</t>
  </si>
  <si>
    <t>TOULOUSE</t>
  </si>
  <si>
    <t>FRANCOISE</t>
  </si>
  <si>
    <t>D</t>
  </si>
  <si>
    <t>FRANK</t>
  </si>
  <si>
    <t>FREDERIC</t>
  </si>
  <si>
    <t>GERARD</t>
  </si>
  <si>
    <t>GILLES</t>
  </si>
  <si>
    <t>GUSTAVE</t>
  </si>
  <si>
    <t>J-CLAUDE</t>
  </si>
  <si>
    <t>J-JACQUES</t>
  </si>
  <si>
    <t>J-NICOLAS</t>
  </si>
  <si>
    <t>JACQUES</t>
  </si>
  <si>
    <t>PDG</t>
  </si>
  <si>
    <t>JEAN</t>
  </si>
  <si>
    <t>JEAN-PAUL</t>
  </si>
  <si>
    <t>JOHN</t>
  </si>
  <si>
    <t>JULIEN</t>
  </si>
  <si>
    <t>KARIM</t>
  </si>
  <si>
    <t>LEON</t>
  </si>
  <si>
    <t>LUC</t>
  </si>
  <si>
    <t>LUCIEN</t>
  </si>
  <si>
    <t>LUDOVIC</t>
  </si>
  <si>
    <t>V</t>
  </si>
  <si>
    <t>MALIKA</t>
  </si>
  <si>
    <t>MANUEL</t>
  </si>
  <si>
    <t>DIR MARKET</t>
  </si>
  <si>
    <t>MARC</t>
  </si>
  <si>
    <t>MARCEL</t>
  </si>
  <si>
    <t>CHAUFFEUR</t>
  </si>
  <si>
    <t>PEINTRE</t>
  </si>
  <si>
    <t>MARTIN</t>
  </si>
  <si>
    <t>MAX</t>
  </si>
  <si>
    <t>MICHEL</t>
  </si>
  <si>
    <t>MONIQUE</t>
  </si>
  <si>
    <t>PATRICK</t>
  </si>
  <si>
    <t>DG</t>
  </si>
  <si>
    <t>HEC</t>
  </si>
  <si>
    <t>PAUL</t>
  </si>
  <si>
    <t>PH-HENRI</t>
  </si>
  <si>
    <t>PHILIPPE</t>
  </si>
  <si>
    <t>DIR FINANC</t>
  </si>
  <si>
    <t>MBA</t>
  </si>
  <si>
    <t>RACHEL</t>
  </si>
  <si>
    <t>RAYMOND</t>
  </si>
  <si>
    <t>RICHARD</t>
  </si>
  <si>
    <t>ROBERT</t>
  </si>
  <si>
    <t>CHEF MONT</t>
  </si>
  <si>
    <t>RODOLPHE</t>
  </si>
  <si>
    <t>SAMANTA</t>
  </si>
  <si>
    <t>SERGE</t>
  </si>
  <si>
    <t>SIMONE</t>
  </si>
  <si>
    <t>SOPHIA</t>
  </si>
  <si>
    <t>SOPHIE</t>
  </si>
  <si>
    <t>STEPHANE</t>
  </si>
  <si>
    <t>STEVE</t>
  </si>
  <si>
    <t>DIR PERSO</t>
  </si>
  <si>
    <t>NAVALE</t>
  </si>
  <si>
    <t>SYLVAIN</t>
  </si>
  <si>
    <t>SYVIE</t>
  </si>
  <si>
    <t>DEA</t>
  </si>
  <si>
    <t>THIERRY</t>
  </si>
  <si>
    <t>VANESSA</t>
  </si>
  <si>
    <t>YANN</t>
  </si>
  <si>
    <t>ZOE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</si>
</sst>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6">
    <font>
      <sz val="10"/>
      <name val="Arial"/>
    </font>
    <font>
      <sz val="10"/>
      <name val="Arial"/>
      <family val="2"/>
    </font>
    <font>
      <b/>
      <sz val="10"/>
      <name val="Arial MT"/>
    </font>
    <font>
      <sz val="10"/>
      <name val="Arial MT"/>
    </font>
    <font>
      <b/>
      <sz val="10"/>
      <name val="Arial"/>
      <family val="2"/>
    </font>
    <font>
      <sz val="10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4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horizontal="center"/>
    </xf>
    <xf numFmtId="0" fontId="2" fillId="3" borderId="1" xfId="0" quotePrefix="1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right"/>
    </xf>
    <xf numFmtId="0" fontId="4" fillId="2" borderId="1" xfId="0" applyNumberFormat="1" applyFont="1" applyFill="1" applyBorder="1"/>
    <xf numFmtId="0" fontId="4" fillId="4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  <xf numFmtId="0" fontId="1" fillId="0" borderId="1" xfId="0" applyNumberFormat="1" applyFont="1" applyFill="1" applyBorder="1"/>
    <xf numFmtId="0" fontId="1" fillId="2" borderId="1" xfId="0" applyNumberFormat="1" applyFont="1" applyFill="1" applyBorder="1"/>
    <xf numFmtId="0" fontId="1" fillId="4" borderId="1" xfId="0" applyNumberFormat="1" applyFont="1" applyFill="1" applyBorder="1"/>
    <xf numFmtId="0" fontId="4" fillId="5" borderId="1" xfId="2" applyFont="1" applyFill="1" applyBorder="1" applyAlignment="1">
      <alignment horizontal="center"/>
    </xf>
    <xf numFmtId="0" fontId="4" fillId="5" borderId="2" xfId="2" applyFont="1" applyFill="1" applyBorder="1" applyAlignment="1" applyProtection="1">
      <alignment horizontal="center"/>
    </xf>
    <xf numFmtId="0" fontId="5" fillId="0" borderId="0" xfId="2" applyFont="1"/>
    <xf numFmtId="0" fontId="1" fillId="0" borderId="3" xfId="2" applyFont="1" applyBorder="1" applyAlignment="1" applyProtection="1">
      <alignment horizontal="left"/>
    </xf>
    <xf numFmtId="0" fontId="1" fillId="0" borderId="4" xfId="2" applyFont="1" applyBorder="1" applyAlignment="1" applyProtection="1">
      <alignment horizontal="left"/>
    </xf>
    <xf numFmtId="0" fontId="1" fillId="0" borderId="4" xfId="2" applyFont="1" applyBorder="1" applyProtection="1"/>
    <xf numFmtId="43" fontId="4" fillId="5" borderId="2" xfId="1" applyFont="1" applyFill="1" applyBorder="1" applyAlignment="1" applyProtection="1">
      <alignment horizontal="center"/>
    </xf>
    <xf numFmtId="43" fontId="1" fillId="0" borderId="4" xfId="1" applyFont="1" applyBorder="1" applyProtection="1"/>
    <xf numFmtId="43" fontId="5" fillId="0" borderId="0" xfId="1" applyFont="1" applyProtection="1"/>
    <xf numFmtId="43" fontId="5" fillId="0" borderId="0" xfId="1" applyFont="1"/>
  </cellXfs>
  <cellStyles count="3">
    <cellStyle name="Milliers" xfId="1" builtinId="3"/>
    <cellStyle name="Normal" xfId="0" builtinId="0"/>
    <cellStyle name="Normal_EMPLOYE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33"/>
    <pageSetUpPr fitToPage="1"/>
  </sheetPr>
  <dimension ref="A1:K96"/>
  <sheetViews>
    <sheetView tabSelected="1" topLeftCell="A7" workbookViewId="0">
      <selection activeCell="M4" sqref="M4"/>
    </sheetView>
  </sheetViews>
  <sheetFormatPr baseColWidth="10" defaultColWidth="10.28515625" defaultRowHeight="12"/>
  <cols>
    <col min="1" max="1" width="13.28515625" style="14" customWidth="1"/>
    <col min="2" max="2" width="14.42578125" style="14" customWidth="1"/>
    <col min="3" max="3" width="10.28515625" style="14" customWidth="1"/>
    <col min="4" max="5" width="13.5703125" style="21" customWidth="1"/>
    <col min="6" max="6" width="9.42578125" style="14" customWidth="1"/>
    <col min="7" max="8" width="4.85546875" style="14" customWidth="1"/>
    <col min="9" max="9" width="4.7109375" style="14" customWidth="1"/>
    <col min="10" max="10" width="9" style="14" customWidth="1"/>
    <col min="11" max="11" width="4.5703125" style="14" customWidth="1"/>
    <col min="12" max="16384" width="10.28515625" style="14"/>
  </cols>
  <sheetData>
    <row r="1" spans="1:11" ht="12.75">
      <c r="A1" s="12" t="s">
        <v>23</v>
      </c>
      <c r="B1" s="13" t="s">
        <v>24</v>
      </c>
      <c r="C1" s="13" t="s">
        <v>25</v>
      </c>
      <c r="D1" s="18" t="s">
        <v>26</v>
      </c>
      <c r="E1" s="18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</row>
    <row r="2" spans="1:11" ht="12.75">
      <c r="A2" s="15" t="s">
        <v>34</v>
      </c>
      <c r="B2" s="16" t="s">
        <v>35</v>
      </c>
      <c r="C2" s="16" t="s">
        <v>36</v>
      </c>
      <c r="D2" s="19">
        <v>100000</v>
      </c>
      <c r="E2" s="19">
        <v>60000</v>
      </c>
      <c r="F2" s="16" t="s">
        <v>37</v>
      </c>
      <c r="G2" s="17">
        <v>2</v>
      </c>
      <c r="H2" s="17">
        <v>29</v>
      </c>
      <c r="I2" s="16" t="s">
        <v>38</v>
      </c>
      <c r="J2" s="16" t="s">
        <v>39</v>
      </c>
      <c r="K2" s="17">
        <v>2</v>
      </c>
    </row>
    <row r="3" spans="1:11" ht="12.75">
      <c r="A3" s="15" t="s">
        <v>40</v>
      </c>
      <c r="B3" s="16" t="s">
        <v>41</v>
      </c>
      <c r="C3" s="16" t="s">
        <v>42</v>
      </c>
      <c r="D3" s="19">
        <v>60000</v>
      </c>
      <c r="E3" s="19">
        <v>60000</v>
      </c>
      <c r="F3" s="16" t="s">
        <v>43</v>
      </c>
      <c r="G3" s="17">
        <v>2</v>
      </c>
      <c r="H3" s="17">
        <v>26</v>
      </c>
      <c r="I3" s="16" t="s">
        <v>38</v>
      </c>
      <c r="J3" s="16" t="s">
        <v>39</v>
      </c>
      <c r="K3" s="17">
        <v>0</v>
      </c>
    </row>
    <row r="4" spans="1:11" ht="12.75">
      <c r="A4" s="15" t="s">
        <v>44</v>
      </c>
      <c r="B4" s="16" t="s">
        <v>41</v>
      </c>
      <c r="C4" s="16" t="s">
        <v>42</v>
      </c>
      <c r="D4" s="19">
        <v>60000</v>
      </c>
      <c r="E4" s="19">
        <v>60000</v>
      </c>
      <c r="F4" s="16" t="s">
        <v>43</v>
      </c>
      <c r="G4" s="17">
        <v>1</v>
      </c>
      <c r="H4" s="17">
        <v>19</v>
      </c>
      <c r="I4" s="16" t="s">
        <v>38</v>
      </c>
      <c r="J4" s="16" t="s">
        <v>38</v>
      </c>
      <c r="K4" s="17">
        <v>0</v>
      </c>
    </row>
    <row r="5" spans="1:11" ht="12.75">
      <c r="A5" s="15" t="s">
        <v>45</v>
      </c>
      <c r="B5" s="16" t="s">
        <v>41</v>
      </c>
      <c r="C5" s="16" t="s">
        <v>42</v>
      </c>
      <c r="D5" s="19">
        <v>65000</v>
      </c>
      <c r="E5" s="19">
        <v>62500</v>
      </c>
      <c r="F5" s="16" t="s">
        <v>43</v>
      </c>
      <c r="G5" s="17">
        <v>3</v>
      </c>
      <c r="H5" s="17">
        <v>24</v>
      </c>
      <c r="I5" s="16" t="s">
        <v>38</v>
      </c>
      <c r="J5" s="16" t="s">
        <v>38</v>
      </c>
      <c r="K5" s="17">
        <v>0</v>
      </c>
    </row>
    <row r="6" spans="1:11" ht="12.75">
      <c r="A6" s="15" t="s">
        <v>46</v>
      </c>
      <c r="B6" s="16" t="s">
        <v>47</v>
      </c>
      <c r="C6" s="16" t="s">
        <v>48</v>
      </c>
      <c r="D6" s="19">
        <v>70000</v>
      </c>
      <c r="E6" s="19">
        <v>65000</v>
      </c>
      <c r="F6" s="16" t="s">
        <v>49</v>
      </c>
      <c r="G6" s="17">
        <v>3</v>
      </c>
      <c r="H6" s="17">
        <v>25</v>
      </c>
      <c r="I6" s="16" t="s">
        <v>50</v>
      </c>
      <c r="J6" s="16" t="s">
        <v>38</v>
      </c>
      <c r="K6" s="17">
        <v>2</v>
      </c>
    </row>
    <row r="7" spans="1:11" ht="12.75">
      <c r="A7" s="15" t="s">
        <v>51</v>
      </c>
      <c r="B7" s="16" t="s">
        <v>52</v>
      </c>
      <c r="C7" s="16" t="s">
        <v>53</v>
      </c>
      <c r="D7" s="19">
        <v>190000</v>
      </c>
      <c r="E7" s="19">
        <v>151000</v>
      </c>
      <c r="F7" s="16" t="s">
        <v>54</v>
      </c>
      <c r="G7" s="17">
        <v>1</v>
      </c>
      <c r="H7" s="17">
        <v>34</v>
      </c>
      <c r="I7" s="16" t="s">
        <v>38</v>
      </c>
      <c r="J7" s="16" t="s">
        <v>38</v>
      </c>
      <c r="K7" s="17">
        <v>0</v>
      </c>
    </row>
    <row r="8" spans="1:11" ht="12.75">
      <c r="A8" s="15" t="s">
        <v>55</v>
      </c>
      <c r="B8" s="16" t="s">
        <v>56</v>
      </c>
      <c r="C8" s="16" t="s">
        <v>48</v>
      </c>
      <c r="D8" s="19">
        <v>380000</v>
      </c>
      <c r="E8" s="19">
        <v>220000</v>
      </c>
      <c r="F8" s="16" t="s">
        <v>57</v>
      </c>
      <c r="G8" s="17">
        <v>3</v>
      </c>
      <c r="H8" s="17">
        <v>41</v>
      </c>
      <c r="I8" s="16" t="s">
        <v>38</v>
      </c>
      <c r="J8" s="16" t="s">
        <v>38</v>
      </c>
      <c r="K8" s="17">
        <v>4</v>
      </c>
    </row>
    <row r="9" spans="1:11" ht="12.75">
      <c r="A9" s="15" t="s">
        <v>58</v>
      </c>
      <c r="B9" s="16" t="s">
        <v>47</v>
      </c>
      <c r="C9" s="16" t="s">
        <v>48</v>
      </c>
      <c r="D9" s="19">
        <v>120000</v>
      </c>
      <c r="E9" s="19">
        <v>108000</v>
      </c>
      <c r="F9" s="16" t="s">
        <v>49</v>
      </c>
      <c r="G9" s="17">
        <v>0</v>
      </c>
      <c r="H9" s="17">
        <v>28</v>
      </c>
      <c r="I9" s="16" t="s">
        <v>50</v>
      </c>
      <c r="J9" s="16" t="s">
        <v>38</v>
      </c>
      <c r="K9" s="17">
        <v>0</v>
      </c>
    </row>
    <row r="10" spans="1:11" ht="12.75">
      <c r="A10" s="15" t="s">
        <v>59</v>
      </c>
      <c r="B10" s="16" t="s">
        <v>52</v>
      </c>
      <c r="C10" s="16" t="s">
        <v>36</v>
      </c>
      <c r="D10" s="19">
        <v>210000</v>
      </c>
      <c r="E10" s="19">
        <v>165000</v>
      </c>
      <c r="F10" s="16" t="s">
        <v>60</v>
      </c>
      <c r="G10" s="17">
        <v>1</v>
      </c>
      <c r="H10" s="17">
        <v>33</v>
      </c>
      <c r="I10" s="16" t="s">
        <v>50</v>
      </c>
      <c r="J10" s="16" t="s">
        <v>38</v>
      </c>
      <c r="K10" s="17">
        <v>3</v>
      </c>
    </row>
    <row r="11" spans="1:11" ht="12.75">
      <c r="A11" s="15" t="s">
        <v>61</v>
      </c>
      <c r="B11" s="16" t="s">
        <v>47</v>
      </c>
      <c r="C11" s="16" t="s">
        <v>62</v>
      </c>
      <c r="D11" s="19">
        <v>70000</v>
      </c>
      <c r="E11" s="19">
        <v>67000</v>
      </c>
      <c r="F11" s="16" t="s">
        <v>37</v>
      </c>
      <c r="G11" s="17">
        <v>1</v>
      </c>
      <c r="H11" s="17">
        <v>20</v>
      </c>
      <c r="I11" s="16" t="s">
        <v>50</v>
      </c>
      <c r="J11" s="16" t="s">
        <v>38</v>
      </c>
      <c r="K11" s="17">
        <v>0</v>
      </c>
    </row>
    <row r="12" spans="1:11" ht="12.75">
      <c r="A12" s="15" t="s">
        <v>63</v>
      </c>
      <c r="B12" s="16" t="s">
        <v>64</v>
      </c>
      <c r="C12" s="16" t="s">
        <v>62</v>
      </c>
      <c r="D12" s="19">
        <v>140000</v>
      </c>
      <c r="E12" s="19">
        <v>108000</v>
      </c>
      <c r="F12" s="16" t="s">
        <v>54</v>
      </c>
      <c r="G12" s="17">
        <v>2</v>
      </c>
      <c r="H12" s="17">
        <v>31</v>
      </c>
      <c r="I12" s="16" t="s">
        <v>38</v>
      </c>
      <c r="J12" s="16" t="s">
        <v>39</v>
      </c>
      <c r="K12" s="17">
        <v>2</v>
      </c>
    </row>
    <row r="13" spans="1:11" ht="12.75">
      <c r="A13" s="15" t="s">
        <v>65</v>
      </c>
      <c r="B13" s="16" t="s">
        <v>35</v>
      </c>
      <c r="C13" s="16" t="s">
        <v>36</v>
      </c>
      <c r="D13" s="19">
        <v>100000</v>
      </c>
      <c r="E13" s="19">
        <v>60000</v>
      </c>
      <c r="F13" s="16" t="s">
        <v>37</v>
      </c>
      <c r="G13" s="17">
        <v>2</v>
      </c>
      <c r="H13" s="17">
        <v>25</v>
      </c>
      <c r="I13" s="16" t="s">
        <v>50</v>
      </c>
      <c r="J13" s="16" t="s">
        <v>39</v>
      </c>
      <c r="K13" s="17">
        <v>2</v>
      </c>
    </row>
    <row r="14" spans="1:11" ht="12.75">
      <c r="A14" s="15" t="s">
        <v>66</v>
      </c>
      <c r="B14" s="16" t="s">
        <v>67</v>
      </c>
      <c r="C14" s="16" t="s">
        <v>42</v>
      </c>
      <c r="D14" s="19">
        <v>60000</v>
      </c>
      <c r="E14" s="19">
        <v>60000</v>
      </c>
      <c r="F14" s="16" t="s">
        <v>54</v>
      </c>
      <c r="G14" s="17">
        <v>2</v>
      </c>
      <c r="H14" s="17">
        <v>39</v>
      </c>
      <c r="I14" s="16" t="s">
        <v>38</v>
      </c>
      <c r="J14" s="16" t="s">
        <v>38</v>
      </c>
      <c r="K14" s="17">
        <v>2</v>
      </c>
    </row>
    <row r="15" spans="1:11" ht="12.75">
      <c r="A15" s="15" t="s">
        <v>68</v>
      </c>
      <c r="B15" s="16" t="s">
        <v>35</v>
      </c>
      <c r="C15" s="16" t="s">
        <v>48</v>
      </c>
      <c r="D15" s="19">
        <v>60000</v>
      </c>
      <c r="E15" s="19">
        <v>60000</v>
      </c>
      <c r="F15" s="16" t="s">
        <v>69</v>
      </c>
      <c r="G15" s="17">
        <v>1</v>
      </c>
      <c r="H15" s="17">
        <v>24</v>
      </c>
      <c r="I15" s="16" t="s">
        <v>50</v>
      </c>
      <c r="J15" s="16" t="s">
        <v>38</v>
      </c>
      <c r="K15" s="17">
        <v>2</v>
      </c>
    </row>
    <row r="16" spans="1:11" ht="12.75">
      <c r="A16" s="15" t="s">
        <v>70</v>
      </c>
      <c r="B16" s="16" t="s">
        <v>35</v>
      </c>
      <c r="C16" s="16" t="s">
        <v>48</v>
      </c>
      <c r="D16" s="19">
        <v>220000</v>
      </c>
      <c r="E16" s="19">
        <v>60000</v>
      </c>
      <c r="F16" s="16" t="s">
        <v>71</v>
      </c>
      <c r="G16" s="17">
        <v>2</v>
      </c>
      <c r="H16" s="17">
        <v>30</v>
      </c>
      <c r="I16" s="16" t="s">
        <v>38</v>
      </c>
      <c r="J16" s="16" t="s">
        <v>38</v>
      </c>
      <c r="K16" s="17">
        <v>2</v>
      </c>
    </row>
    <row r="17" spans="1:11" ht="12.75">
      <c r="A17" s="15" t="s">
        <v>72</v>
      </c>
      <c r="B17" s="16" t="s">
        <v>35</v>
      </c>
      <c r="C17" s="16" t="s">
        <v>53</v>
      </c>
      <c r="D17" s="19">
        <v>110000</v>
      </c>
      <c r="E17" s="19">
        <v>60000</v>
      </c>
      <c r="F17" s="16" t="s">
        <v>71</v>
      </c>
      <c r="G17" s="17">
        <v>1</v>
      </c>
      <c r="H17" s="17">
        <v>39</v>
      </c>
      <c r="I17" s="16" t="s">
        <v>38</v>
      </c>
      <c r="J17" s="16" t="s">
        <v>39</v>
      </c>
      <c r="K17" s="17">
        <v>5</v>
      </c>
    </row>
    <row r="18" spans="1:11" ht="12.75">
      <c r="A18" s="15" t="s">
        <v>73</v>
      </c>
      <c r="B18" s="16" t="s">
        <v>35</v>
      </c>
      <c r="C18" s="16" t="s">
        <v>36</v>
      </c>
      <c r="D18" s="19">
        <v>80000</v>
      </c>
      <c r="E18" s="19">
        <v>60000</v>
      </c>
      <c r="F18" s="16" t="s">
        <v>71</v>
      </c>
      <c r="G18" s="17">
        <v>0</v>
      </c>
      <c r="H18" s="17">
        <v>19</v>
      </c>
      <c r="I18" s="16" t="s">
        <v>38</v>
      </c>
      <c r="J18" s="16" t="s">
        <v>38</v>
      </c>
      <c r="K18" s="17">
        <v>0</v>
      </c>
    </row>
    <row r="19" spans="1:11" ht="12.75">
      <c r="A19" s="15" t="s">
        <v>74</v>
      </c>
      <c r="B19" s="16" t="s">
        <v>41</v>
      </c>
      <c r="C19" s="16" t="s">
        <v>42</v>
      </c>
      <c r="D19" s="19">
        <v>60000</v>
      </c>
      <c r="E19" s="19">
        <v>60000</v>
      </c>
      <c r="F19" s="16" t="s">
        <v>71</v>
      </c>
      <c r="G19" s="17">
        <v>3</v>
      </c>
      <c r="H19" s="17">
        <v>30</v>
      </c>
      <c r="I19" s="16" t="s">
        <v>38</v>
      </c>
      <c r="J19" s="16" t="s">
        <v>38</v>
      </c>
      <c r="K19" s="17">
        <v>2</v>
      </c>
    </row>
    <row r="20" spans="1:11" ht="12.75">
      <c r="A20" s="15" t="s">
        <v>75</v>
      </c>
      <c r="B20" s="16" t="s">
        <v>76</v>
      </c>
      <c r="C20" s="16" t="s">
        <v>48</v>
      </c>
      <c r="D20" s="19">
        <v>170000</v>
      </c>
      <c r="E20" s="19">
        <v>137000</v>
      </c>
      <c r="F20" s="16" t="s">
        <v>71</v>
      </c>
      <c r="G20" s="17">
        <v>1</v>
      </c>
      <c r="H20" s="17">
        <v>36</v>
      </c>
      <c r="I20" s="16" t="s">
        <v>38</v>
      </c>
      <c r="J20" s="16" t="s">
        <v>38</v>
      </c>
      <c r="K20" s="17">
        <v>2</v>
      </c>
    </row>
    <row r="21" spans="1:11" ht="12.75">
      <c r="A21" s="15" t="s">
        <v>77</v>
      </c>
      <c r="B21" s="16" t="s">
        <v>78</v>
      </c>
      <c r="C21" s="16" t="s">
        <v>48</v>
      </c>
      <c r="D21" s="19">
        <v>140000</v>
      </c>
      <c r="E21" s="19">
        <v>82500</v>
      </c>
      <c r="F21" s="16" t="s">
        <v>71</v>
      </c>
      <c r="G21" s="17">
        <v>3</v>
      </c>
      <c r="H21" s="17">
        <v>30</v>
      </c>
      <c r="I21" s="16" t="s">
        <v>38</v>
      </c>
      <c r="J21" s="16" t="s">
        <v>39</v>
      </c>
      <c r="K21" s="17">
        <v>3</v>
      </c>
    </row>
    <row r="22" spans="1:11" ht="12.75">
      <c r="A22" s="15" t="s">
        <v>79</v>
      </c>
      <c r="B22" s="16" t="s">
        <v>47</v>
      </c>
      <c r="C22" s="16" t="s">
        <v>36</v>
      </c>
      <c r="D22" s="19">
        <v>70000</v>
      </c>
      <c r="E22" s="19">
        <v>68000</v>
      </c>
      <c r="F22" s="16" t="s">
        <v>71</v>
      </c>
      <c r="G22" s="17">
        <v>0</v>
      </c>
      <c r="H22" s="17">
        <v>26</v>
      </c>
      <c r="I22" s="16" t="s">
        <v>50</v>
      </c>
      <c r="J22" s="16" t="s">
        <v>38</v>
      </c>
      <c r="K22" s="17">
        <v>1</v>
      </c>
    </row>
    <row r="23" spans="1:11" ht="12.75">
      <c r="A23" s="15" t="s">
        <v>80</v>
      </c>
      <c r="B23" s="16" t="s">
        <v>81</v>
      </c>
      <c r="C23" s="16" t="s">
        <v>48</v>
      </c>
      <c r="D23" s="19">
        <v>600000</v>
      </c>
      <c r="E23" s="19">
        <v>222000</v>
      </c>
      <c r="F23" s="16" t="s">
        <v>71</v>
      </c>
      <c r="G23" s="17">
        <v>5</v>
      </c>
      <c r="H23" s="17">
        <v>44</v>
      </c>
      <c r="I23" s="16" t="s">
        <v>38</v>
      </c>
      <c r="J23" s="16" t="s">
        <v>38</v>
      </c>
      <c r="K23" s="17">
        <v>2</v>
      </c>
    </row>
    <row r="24" spans="1:11" ht="12.75">
      <c r="A24" s="15" t="s">
        <v>82</v>
      </c>
      <c r="B24" s="16" t="s">
        <v>35</v>
      </c>
      <c r="C24" s="16" t="s">
        <v>48</v>
      </c>
      <c r="D24" s="19">
        <v>130000</v>
      </c>
      <c r="E24" s="19">
        <v>60000</v>
      </c>
      <c r="F24" s="16" t="s">
        <v>71</v>
      </c>
      <c r="G24" s="17">
        <v>1</v>
      </c>
      <c r="H24" s="17">
        <v>39</v>
      </c>
      <c r="I24" s="16" t="s">
        <v>50</v>
      </c>
      <c r="J24" s="16" t="s">
        <v>38</v>
      </c>
      <c r="K24" s="17">
        <v>1</v>
      </c>
    </row>
    <row r="25" spans="1:11" ht="12.75">
      <c r="A25" s="15" t="s">
        <v>83</v>
      </c>
      <c r="B25" s="16" t="s">
        <v>35</v>
      </c>
      <c r="C25" s="16" t="s">
        <v>84</v>
      </c>
      <c r="D25" s="19">
        <v>180000</v>
      </c>
      <c r="E25" s="19">
        <v>60000</v>
      </c>
      <c r="F25" s="16" t="s">
        <v>71</v>
      </c>
      <c r="G25" s="17">
        <v>3</v>
      </c>
      <c r="H25" s="17">
        <v>29</v>
      </c>
      <c r="I25" s="16" t="s">
        <v>38</v>
      </c>
      <c r="J25" s="16" t="s">
        <v>39</v>
      </c>
      <c r="K25" s="17">
        <v>1</v>
      </c>
    </row>
    <row r="26" spans="1:11" ht="12.75">
      <c r="A26" s="15" t="s">
        <v>85</v>
      </c>
      <c r="B26" s="16" t="s">
        <v>86</v>
      </c>
      <c r="C26" s="16" t="s">
        <v>42</v>
      </c>
      <c r="D26" s="19">
        <v>220000</v>
      </c>
      <c r="E26" s="19">
        <v>124000</v>
      </c>
      <c r="F26" s="16" t="s">
        <v>71</v>
      </c>
      <c r="G26" s="17">
        <v>4</v>
      </c>
      <c r="H26" s="17">
        <v>39</v>
      </c>
      <c r="I26" s="16" t="s">
        <v>38</v>
      </c>
      <c r="J26" s="16" t="s">
        <v>38</v>
      </c>
      <c r="K26" s="17">
        <v>2</v>
      </c>
    </row>
    <row r="27" spans="1:11" ht="12.75">
      <c r="A27" s="15" t="s">
        <v>87</v>
      </c>
      <c r="B27" s="16" t="s">
        <v>64</v>
      </c>
      <c r="C27" s="16" t="s">
        <v>84</v>
      </c>
      <c r="D27" s="19">
        <v>140000</v>
      </c>
      <c r="E27" s="19">
        <v>100000</v>
      </c>
      <c r="F27" s="16" t="s">
        <v>71</v>
      </c>
      <c r="G27" s="17">
        <v>3</v>
      </c>
      <c r="H27" s="17">
        <v>28</v>
      </c>
      <c r="I27" s="16" t="s">
        <v>38</v>
      </c>
      <c r="J27" s="16" t="s">
        <v>38</v>
      </c>
      <c r="K27" s="17">
        <v>2</v>
      </c>
    </row>
    <row r="28" spans="1:11" ht="12.75">
      <c r="A28" s="15" t="s">
        <v>88</v>
      </c>
      <c r="B28" s="16" t="s">
        <v>78</v>
      </c>
      <c r="C28" s="16" t="s">
        <v>48</v>
      </c>
      <c r="D28" s="19">
        <v>130000</v>
      </c>
      <c r="E28" s="19">
        <v>93000</v>
      </c>
      <c r="F28" s="16" t="s">
        <v>71</v>
      </c>
      <c r="G28" s="17">
        <v>3</v>
      </c>
      <c r="H28" s="17">
        <v>27</v>
      </c>
      <c r="I28" s="16" t="s">
        <v>38</v>
      </c>
      <c r="J28" s="16" t="s">
        <v>39</v>
      </c>
      <c r="K28" s="17">
        <v>1</v>
      </c>
    </row>
    <row r="29" spans="1:11" ht="12.75">
      <c r="A29" s="15" t="s">
        <v>89</v>
      </c>
      <c r="B29" s="16" t="s">
        <v>78</v>
      </c>
      <c r="C29" s="16" t="s">
        <v>48</v>
      </c>
      <c r="D29" s="19">
        <v>130000</v>
      </c>
      <c r="E29" s="19">
        <v>88000</v>
      </c>
      <c r="F29" s="16" t="s">
        <v>71</v>
      </c>
      <c r="G29" s="17">
        <v>4</v>
      </c>
      <c r="H29" s="17">
        <v>27</v>
      </c>
      <c r="I29" s="16" t="s">
        <v>38</v>
      </c>
      <c r="J29" s="16" t="s">
        <v>38</v>
      </c>
      <c r="K29" s="17">
        <v>0</v>
      </c>
    </row>
    <row r="30" spans="1:11" ht="12.75">
      <c r="A30" s="15" t="s">
        <v>90</v>
      </c>
      <c r="B30" s="16" t="s">
        <v>91</v>
      </c>
      <c r="C30" s="16" t="s">
        <v>48</v>
      </c>
      <c r="D30" s="19">
        <v>250000</v>
      </c>
      <c r="E30" s="19">
        <v>155000</v>
      </c>
      <c r="F30" s="16" t="s">
        <v>71</v>
      </c>
      <c r="G30" s="17">
        <v>3</v>
      </c>
      <c r="H30" s="17">
        <v>36</v>
      </c>
      <c r="I30" s="16" t="s">
        <v>38</v>
      </c>
      <c r="J30" s="16" t="s">
        <v>38</v>
      </c>
      <c r="K30" s="17">
        <v>0</v>
      </c>
    </row>
    <row r="31" spans="1:11" ht="12.75">
      <c r="A31" s="15" t="s">
        <v>92</v>
      </c>
      <c r="B31" s="16" t="s">
        <v>35</v>
      </c>
      <c r="C31" s="16" t="s">
        <v>62</v>
      </c>
      <c r="D31" s="19">
        <v>140000</v>
      </c>
      <c r="E31" s="19">
        <v>60000</v>
      </c>
      <c r="F31" s="16" t="s">
        <v>71</v>
      </c>
      <c r="G31" s="17">
        <v>2</v>
      </c>
      <c r="H31" s="17">
        <v>33</v>
      </c>
      <c r="I31" s="16" t="s">
        <v>38</v>
      </c>
      <c r="J31" s="16" t="s">
        <v>38</v>
      </c>
      <c r="K31" s="17">
        <v>1</v>
      </c>
    </row>
    <row r="32" spans="1:11" ht="12.75">
      <c r="A32" s="15" t="s">
        <v>93</v>
      </c>
      <c r="B32" s="16" t="s">
        <v>94</v>
      </c>
      <c r="C32" s="16" t="s">
        <v>42</v>
      </c>
      <c r="D32" s="19">
        <v>230000</v>
      </c>
      <c r="E32" s="19">
        <v>145000</v>
      </c>
      <c r="F32" s="16" t="s">
        <v>71</v>
      </c>
      <c r="G32" s="17">
        <v>3</v>
      </c>
      <c r="H32" s="17">
        <v>25</v>
      </c>
      <c r="I32" s="16" t="s">
        <v>50</v>
      </c>
      <c r="J32" s="16" t="s">
        <v>38</v>
      </c>
      <c r="K32" s="17">
        <v>0</v>
      </c>
    </row>
    <row r="33" spans="1:11" ht="12.75">
      <c r="A33" s="15" t="s">
        <v>95</v>
      </c>
      <c r="B33" s="16" t="s">
        <v>96</v>
      </c>
      <c r="C33" s="16" t="s">
        <v>42</v>
      </c>
      <c r="D33" s="19">
        <v>270000</v>
      </c>
      <c r="E33" s="19">
        <v>165000</v>
      </c>
      <c r="F33" s="16" t="s">
        <v>71</v>
      </c>
      <c r="G33" s="17">
        <v>3</v>
      </c>
      <c r="H33" s="17">
        <v>28</v>
      </c>
      <c r="I33" s="16" t="s">
        <v>38</v>
      </c>
      <c r="J33" s="16" t="s">
        <v>38</v>
      </c>
      <c r="K33" s="17">
        <v>0</v>
      </c>
    </row>
    <row r="34" spans="1:11" ht="12.75">
      <c r="A34" s="15" t="s">
        <v>97</v>
      </c>
      <c r="B34" s="16" t="s">
        <v>35</v>
      </c>
      <c r="C34" s="16" t="s">
        <v>84</v>
      </c>
      <c r="D34" s="19">
        <v>70000</v>
      </c>
      <c r="E34" s="19">
        <v>60000</v>
      </c>
      <c r="F34" s="16" t="s">
        <v>71</v>
      </c>
      <c r="G34" s="17">
        <v>0</v>
      </c>
      <c r="H34" s="17">
        <v>24</v>
      </c>
      <c r="I34" s="16" t="s">
        <v>38</v>
      </c>
      <c r="J34" s="16" t="s">
        <v>38</v>
      </c>
      <c r="K34" s="17">
        <v>1</v>
      </c>
    </row>
    <row r="35" spans="1:11" ht="12.75">
      <c r="A35" s="15" t="s">
        <v>98</v>
      </c>
      <c r="B35" s="16" t="s">
        <v>47</v>
      </c>
      <c r="C35" s="16" t="s">
        <v>53</v>
      </c>
      <c r="D35" s="19">
        <v>80000</v>
      </c>
      <c r="E35" s="19">
        <v>68000</v>
      </c>
      <c r="F35" s="16" t="s">
        <v>71</v>
      </c>
      <c r="G35" s="17">
        <v>4</v>
      </c>
      <c r="H35" s="17">
        <v>27</v>
      </c>
      <c r="I35" s="16" t="s">
        <v>50</v>
      </c>
      <c r="J35" s="16" t="s">
        <v>38</v>
      </c>
      <c r="K35" s="17">
        <v>0</v>
      </c>
    </row>
    <row r="36" spans="1:11" ht="12.75">
      <c r="A36" s="15" t="s">
        <v>99</v>
      </c>
      <c r="B36" s="16" t="s">
        <v>35</v>
      </c>
      <c r="C36" s="16" t="s">
        <v>100</v>
      </c>
      <c r="D36" s="19">
        <v>120000</v>
      </c>
      <c r="E36" s="19">
        <v>60000</v>
      </c>
      <c r="F36" s="16" t="s">
        <v>71</v>
      </c>
      <c r="G36" s="17">
        <v>1</v>
      </c>
      <c r="H36" s="17">
        <v>23</v>
      </c>
      <c r="I36" s="16" t="s">
        <v>38</v>
      </c>
      <c r="J36" s="16" t="s">
        <v>39</v>
      </c>
      <c r="K36" s="17">
        <v>0</v>
      </c>
    </row>
    <row r="37" spans="1:11" ht="12.75">
      <c r="A37" s="15" t="s">
        <v>99</v>
      </c>
      <c r="B37" s="16" t="s">
        <v>35</v>
      </c>
      <c r="C37" s="16" t="s">
        <v>100</v>
      </c>
      <c r="D37" s="19">
        <v>180000</v>
      </c>
      <c r="E37" s="19">
        <v>60000</v>
      </c>
      <c r="F37" s="16" t="s">
        <v>71</v>
      </c>
      <c r="G37" s="17">
        <v>1</v>
      </c>
      <c r="H37" s="17">
        <v>30</v>
      </c>
      <c r="I37" s="16" t="s">
        <v>38</v>
      </c>
      <c r="J37" s="16" t="s">
        <v>39</v>
      </c>
      <c r="K37" s="17">
        <v>2</v>
      </c>
    </row>
    <row r="38" spans="1:11" ht="12.75">
      <c r="A38" s="15" t="s">
        <v>101</v>
      </c>
      <c r="B38" s="16" t="s">
        <v>35</v>
      </c>
      <c r="C38" s="16" t="s">
        <v>36</v>
      </c>
      <c r="D38" s="19">
        <v>240000</v>
      </c>
      <c r="E38" s="19">
        <v>60000</v>
      </c>
      <c r="F38" s="16" t="s">
        <v>71</v>
      </c>
      <c r="G38" s="17">
        <v>4</v>
      </c>
      <c r="H38" s="17">
        <v>39</v>
      </c>
      <c r="I38" s="16" t="s">
        <v>50</v>
      </c>
      <c r="J38" s="16" t="s">
        <v>102</v>
      </c>
      <c r="K38" s="17">
        <v>2</v>
      </c>
    </row>
    <row r="39" spans="1:11" ht="12.75">
      <c r="A39" s="15" t="s">
        <v>103</v>
      </c>
      <c r="B39" s="16" t="s">
        <v>86</v>
      </c>
      <c r="C39" s="16" t="s">
        <v>42</v>
      </c>
      <c r="D39" s="19">
        <v>160000</v>
      </c>
      <c r="E39" s="19">
        <v>100000</v>
      </c>
      <c r="F39" s="16" t="s">
        <v>71</v>
      </c>
      <c r="G39" s="17">
        <v>4</v>
      </c>
      <c r="H39" s="17">
        <v>37</v>
      </c>
      <c r="I39" s="16" t="s">
        <v>38</v>
      </c>
      <c r="J39" s="16" t="s">
        <v>38</v>
      </c>
      <c r="K39" s="17">
        <v>1</v>
      </c>
    </row>
    <row r="40" spans="1:11" ht="12.75">
      <c r="A40" s="15" t="s">
        <v>104</v>
      </c>
      <c r="B40" s="16" t="s">
        <v>78</v>
      </c>
      <c r="C40" s="16" t="s">
        <v>48</v>
      </c>
      <c r="D40" s="19">
        <v>120000</v>
      </c>
      <c r="E40" s="19">
        <v>116000</v>
      </c>
      <c r="F40" s="16" t="s">
        <v>71</v>
      </c>
      <c r="G40" s="17">
        <v>0</v>
      </c>
      <c r="H40" s="17">
        <v>25</v>
      </c>
      <c r="I40" s="16" t="s">
        <v>38</v>
      </c>
      <c r="J40" s="16" t="s">
        <v>38</v>
      </c>
      <c r="K40" s="17">
        <v>1</v>
      </c>
    </row>
    <row r="41" spans="1:11" ht="12.75">
      <c r="A41" s="15" t="s">
        <v>105</v>
      </c>
      <c r="B41" s="16" t="s">
        <v>35</v>
      </c>
      <c r="C41" s="16" t="s">
        <v>100</v>
      </c>
      <c r="D41" s="19">
        <v>60000</v>
      </c>
      <c r="E41" s="19">
        <v>60000</v>
      </c>
      <c r="F41" s="16" t="s">
        <v>71</v>
      </c>
      <c r="G41" s="17">
        <v>0</v>
      </c>
      <c r="H41" s="17">
        <v>33</v>
      </c>
      <c r="I41" s="16" t="s">
        <v>38</v>
      </c>
      <c r="J41" s="16" t="s">
        <v>38</v>
      </c>
      <c r="K41" s="17">
        <v>1</v>
      </c>
    </row>
    <row r="42" spans="1:11" ht="12.75">
      <c r="A42" s="15" t="s">
        <v>106</v>
      </c>
      <c r="B42" s="16" t="s">
        <v>41</v>
      </c>
      <c r="C42" s="16" t="s">
        <v>42</v>
      </c>
      <c r="D42" s="19">
        <v>65000</v>
      </c>
      <c r="E42" s="19">
        <v>64000</v>
      </c>
      <c r="F42" s="16" t="s">
        <v>71</v>
      </c>
      <c r="G42" s="17">
        <v>0</v>
      </c>
      <c r="H42" s="17">
        <v>36</v>
      </c>
      <c r="I42" s="16" t="s">
        <v>38</v>
      </c>
      <c r="J42" s="16" t="s">
        <v>39</v>
      </c>
      <c r="K42" s="17">
        <v>0</v>
      </c>
    </row>
    <row r="43" spans="1:11" ht="12.75">
      <c r="A43" s="15" t="s">
        <v>107</v>
      </c>
      <c r="B43" s="16" t="s">
        <v>78</v>
      </c>
      <c r="C43" s="16" t="s">
        <v>48</v>
      </c>
      <c r="D43" s="19">
        <v>100000</v>
      </c>
      <c r="E43" s="19">
        <v>84000</v>
      </c>
      <c r="F43" s="16" t="s">
        <v>71</v>
      </c>
      <c r="G43" s="17">
        <v>2</v>
      </c>
      <c r="H43" s="17">
        <v>41</v>
      </c>
      <c r="I43" s="16" t="s">
        <v>38</v>
      </c>
      <c r="J43" s="16" t="s">
        <v>38</v>
      </c>
      <c r="K43" s="17">
        <v>3</v>
      </c>
    </row>
    <row r="44" spans="1:11" ht="12.75">
      <c r="A44" s="15" t="s">
        <v>108</v>
      </c>
      <c r="B44" s="16" t="s">
        <v>78</v>
      </c>
      <c r="C44" s="16" t="s">
        <v>48</v>
      </c>
      <c r="D44" s="19">
        <v>140000</v>
      </c>
      <c r="E44" s="19">
        <v>97600</v>
      </c>
      <c r="F44" s="16" t="s">
        <v>71</v>
      </c>
      <c r="G44" s="17">
        <v>4</v>
      </c>
      <c r="H44" s="17">
        <v>31</v>
      </c>
      <c r="I44" s="16" t="s">
        <v>38</v>
      </c>
      <c r="J44" s="16" t="s">
        <v>38</v>
      </c>
      <c r="K44" s="17">
        <v>2</v>
      </c>
    </row>
    <row r="45" spans="1:11" ht="12.75">
      <c r="A45" s="15" t="s">
        <v>109</v>
      </c>
      <c r="B45" s="16" t="s">
        <v>78</v>
      </c>
      <c r="C45" s="16" t="s">
        <v>84</v>
      </c>
      <c r="D45" s="19">
        <v>105000</v>
      </c>
      <c r="E45" s="19">
        <v>96400</v>
      </c>
      <c r="F45" s="16" t="s">
        <v>71</v>
      </c>
      <c r="G45" s="17">
        <v>1</v>
      </c>
      <c r="H45" s="17">
        <v>27</v>
      </c>
      <c r="I45" s="16" t="s">
        <v>38</v>
      </c>
      <c r="J45" s="16" t="s">
        <v>39</v>
      </c>
      <c r="K45" s="17">
        <v>0</v>
      </c>
    </row>
    <row r="46" spans="1:11" ht="12.75">
      <c r="A46" s="15" t="s">
        <v>110</v>
      </c>
      <c r="B46" s="16" t="s">
        <v>35</v>
      </c>
      <c r="C46" s="16" t="s">
        <v>53</v>
      </c>
      <c r="D46" s="19">
        <v>130000</v>
      </c>
      <c r="E46" s="19">
        <v>60000</v>
      </c>
      <c r="F46" s="16" t="s">
        <v>71</v>
      </c>
      <c r="G46" s="17">
        <v>2</v>
      </c>
      <c r="H46" s="17">
        <v>24</v>
      </c>
      <c r="I46" s="16" t="s">
        <v>38</v>
      </c>
      <c r="J46" s="16" t="s">
        <v>38</v>
      </c>
      <c r="K46" s="17">
        <v>0</v>
      </c>
    </row>
    <row r="47" spans="1:11" ht="12.75">
      <c r="A47" s="15" t="s">
        <v>111</v>
      </c>
      <c r="B47" s="16" t="s">
        <v>112</v>
      </c>
      <c r="C47" s="16" t="s">
        <v>48</v>
      </c>
      <c r="D47" s="19">
        <v>1700000</v>
      </c>
      <c r="E47" s="19">
        <v>250000</v>
      </c>
      <c r="F47" s="16" t="s">
        <v>71</v>
      </c>
      <c r="G47" s="17">
        <v>5</v>
      </c>
      <c r="H47" s="17">
        <v>36</v>
      </c>
      <c r="I47" s="16" t="s">
        <v>38</v>
      </c>
      <c r="J47" s="16" t="s">
        <v>38</v>
      </c>
      <c r="K47" s="17">
        <v>3</v>
      </c>
    </row>
    <row r="48" spans="1:11" ht="12.75">
      <c r="A48" s="15" t="s">
        <v>113</v>
      </c>
      <c r="B48" s="16" t="s">
        <v>35</v>
      </c>
      <c r="C48" s="16" t="s">
        <v>53</v>
      </c>
      <c r="D48" s="19">
        <v>200000</v>
      </c>
      <c r="E48" s="19">
        <v>60000</v>
      </c>
      <c r="F48" s="16" t="s">
        <v>71</v>
      </c>
      <c r="G48" s="17">
        <v>3</v>
      </c>
      <c r="H48" s="17">
        <v>41</v>
      </c>
      <c r="I48" s="16" t="s">
        <v>38</v>
      </c>
      <c r="J48" s="16" t="s">
        <v>38</v>
      </c>
      <c r="K48" s="17">
        <v>5</v>
      </c>
    </row>
    <row r="49" spans="1:11" ht="12.75">
      <c r="A49" s="15" t="s">
        <v>114</v>
      </c>
      <c r="B49" s="16" t="s">
        <v>52</v>
      </c>
      <c r="C49" s="16" t="s">
        <v>62</v>
      </c>
      <c r="D49" s="19">
        <v>200000</v>
      </c>
      <c r="E49" s="19">
        <v>200000</v>
      </c>
      <c r="F49" s="16" t="s">
        <v>71</v>
      </c>
      <c r="G49" s="17">
        <v>0</v>
      </c>
      <c r="H49" s="17">
        <v>30</v>
      </c>
      <c r="I49" s="16" t="s">
        <v>38</v>
      </c>
      <c r="J49" s="16" t="s">
        <v>38</v>
      </c>
      <c r="K49" s="17">
        <v>3</v>
      </c>
    </row>
    <row r="50" spans="1:11" ht="12.75">
      <c r="A50" s="15" t="s">
        <v>115</v>
      </c>
      <c r="B50" s="16" t="s">
        <v>78</v>
      </c>
      <c r="C50" s="16" t="s">
        <v>48</v>
      </c>
      <c r="D50" s="19">
        <v>120000</v>
      </c>
      <c r="E50" s="19">
        <v>120000</v>
      </c>
      <c r="F50" s="16" t="s">
        <v>71</v>
      </c>
      <c r="G50" s="17">
        <v>0</v>
      </c>
      <c r="H50" s="17">
        <v>27</v>
      </c>
      <c r="I50" s="16" t="s">
        <v>38</v>
      </c>
      <c r="J50" s="16" t="s">
        <v>38</v>
      </c>
      <c r="K50" s="17">
        <v>2</v>
      </c>
    </row>
    <row r="51" spans="1:11" ht="12.75">
      <c r="A51" s="15" t="s">
        <v>116</v>
      </c>
      <c r="B51" s="16" t="s">
        <v>78</v>
      </c>
      <c r="C51" s="16" t="s">
        <v>48</v>
      </c>
      <c r="D51" s="19">
        <v>110000</v>
      </c>
      <c r="E51" s="19">
        <v>100000</v>
      </c>
      <c r="F51" s="16" t="s">
        <v>71</v>
      </c>
      <c r="G51" s="17">
        <v>0</v>
      </c>
      <c r="H51" s="17">
        <v>35</v>
      </c>
      <c r="I51" s="16" t="s">
        <v>38</v>
      </c>
      <c r="J51" s="16" t="s">
        <v>38</v>
      </c>
      <c r="K51" s="17">
        <v>0</v>
      </c>
    </row>
    <row r="52" spans="1:11" ht="12.75">
      <c r="A52" s="15" t="s">
        <v>117</v>
      </c>
      <c r="B52" s="16" t="s">
        <v>78</v>
      </c>
      <c r="C52" s="16" t="s">
        <v>48</v>
      </c>
      <c r="D52" s="19">
        <v>100000</v>
      </c>
      <c r="E52" s="19">
        <v>100000</v>
      </c>
      <c r="F52" s="16" t="s">
        <v>71</v>
      </c>
      <c r="G52" s="17">
        <v>0</v>
      </c>
      <c r="H52" s="17">
        <v>23</v>
      </c>
      <c r="I52" s="16" t="s">
        <v>38</v>
      </c>
      <c r="J52" s="16" t="s">
        <v>38</v>
      </c>
      <c r="K52" s="17">
        <v>0</v>
      </c>
    </row>
    <row r="53" spans="1:11" ht="12.75">
      <c r="A53" s="15" t="s">
        <v>118</v>
      </c>
      <c r="B53" s="16" t="s">
        <v>35</v>
      </c>
      <c r="C53" s="16" t="s">
        <v>48</v>
      </c>
      <c r="D53" s="19">
        <v>240000</v>
      </c>
      <c r="E53" s="19">
        <v>60000</v>
      </c>
      <c r="F53" s="16" t="s">
        <v>71</v>
      </c>
      <c r="G53" s="17">
        <v>2</v>
      </c>
      <c r="H53" s="17">
        <v>27</v>
      </c>
      <c r="I53" s="16" t="s">
        <v>38</v>
      </c>
      <c r="J53" s="16" t="s">
        <v>38</v>
      </c>
      <c r="K53" s="17">
        <v>2</v>
      </c>
    </row>
    <row r="54" spans="1:11" ht="12.75">
      <c r="A54" s="15" t="s">
        <v>119</v>
      </c>
      <c r="B54" s="16" t="s">
        <v>67</v>
      </c>
      <c r="C54" s="16" t="s">
        <v>42</v>
      </c>
      <c r="D54" s="19">
        <v>60000</v>
      </c>
      <c r="E54" s="19">
        <v>60000</v>
      </c>
      <c r="F54" s="16" t="s">
        <v>71</v>
      </c>
      <c r="G54" s="17">
        <v>2</v>
      </c>
      <c r="H54" s="17">
        <v>36</v>
      </c>
      <c r="I54" s="16" t="s">
        <v>38</v>
      </c>
      <c r="J54" s="16" t="s">
        <v>38</v>
      </c>
      <c r="K54" s="17">
        <v>1</v>
      </c>
    </row>
    <row r="55" spans="1:11" ht="12.75">
      <c r="A55" s="15" t="s">
        <v>120</v>
      </c>
      <c r="B55" s="16" t="s">
        <v>35</v>
      </c>
      <c r="C55" s="16" t="s">
        <v>100</v>
      </c>
      <c r="D55" s="19">
        <v>120000</v>
      </c>
      <c r="E55" s="19">
        <v>60000</v>
      </c>
      <c r="F55" s="16" t="s">
        <v>71</v>
      </c>
      <c r="G55" s="17">
        <v>2</v>
      </c>
      <c r="H55" s="17">
        <v>30</v>
      </c>
      <c r="I55" s="16" t="s">
        <v>38</v>
      </c>
      <c r="J55" s="16" t="s">
        <v>38</v>
      </c>
      <c r="K55" s="17">
        <v>2</v>
      </c>
    </row>
    <row r="56" spans="1:11" ht="12.75">
      <c r="A56" s="15" t="s">
        <v>121</v>
      </c>
      <c r="B56" s="16" t="s">
        <v>86</v>
      </c>
      <c r="C56" s="16" t="s">
        <v>42</v>
      </c>
      <c r="D56" s="19">
        <v>180000</v>
      </c>
      <c r="E56" s="19">
        <v>132000</v>
      </c>
      <c r="F56" s="16" t="s">
        <v>71</v>
      </c>
      <c r="G56" s="17">
        <v>2</v>
      </c>
      <c r="H56" s="17">
        <v>28</v>
      </c>
      <c r="I56" s="16" t="s">
        <v>38</v>
      </c>
      <c r="J56" s="16" t="s">
        <v>122</v>
      </c>
      <c r="K56" s="17">
        <v>0</v>
      </c>
    </row>
    <row r="57" spans="1:11" ht="12.75">
      <c r="A57" s="15" t="s">
        <v>123</v>
      </c>
      <c r="B57" s="16" t="s">
        <v>47</v>
      </c>
      <c r="C57" s="16" t="s">
        <v>48</v>
      </c>
      <c r="D57" s="19">
        <v>100000</v>
      </c>
      <c r="E57" s="19">
        <v>80000</v>
      </c>
      <c r="F57" s="16" t="s">
        <v>71</v>
      </c>
      <c r="G57" s="17">
        <v>2</v>
      </c>
      <c r="H57" s="17">
        <v>22</v>
      </c>
      <c r="I57" s="16" t="s">
        <v>50</v>
      </c>
      <c r="J57" s="16" t="s">
        <v>38</v>
      </c>
      <c r="K57" s="17">
        <v>0</v>
      </c>
    </row>
    <row r="58" spans="1:11" ht="12.75">
      <c r="A58" s="15" t="s">
        <v>124</v>
      </c>
      <c r="B58" s="16" t="s">
        <v>125</v>
      </c>
      <c r="C58" s="16" t="s">
        <v>48</v>
      </c>
      <c r="D58" s="19">
        <v>300000</v>
      </c>
      <c r="E58" s="19">
        <v>180000</v>
      </c>
      <c r="F58" s="16" t="s">
        <v>71</v>
      </c>
      <c r="G58" s="17">
        <v>3</v>
      </c>
      <c r="H58" s="17">
        <v>36</v>
      </c>
      <c r="I58" s="16" t="s">
        <v>38</v>
      </c>
      <c r="J58" s="16" t="s">
        <v>38</v>
      </c>
      <c r="K58" s="17">
        <v>2</v>
      </c>
    </row>
    <row r="59" spans="1:11" ht="12.75">
      <c r="A59" s="15" t="s">
        <v>126</v>
      </c>
      <c r="B59" s="16" t="s">
        <v>67</v>
      </c>
      <c r="C59" s="16" t="s">
        <v>42</v>
      </c>
      <c r="D59" s="19">
        <v>60000</v>
      </c>
      <c r="E59" s="19">
        <v>60000</v>
      </c>
      <c r="F59" s="16" t="s">
        <v>71</v>
      </c>
      <c r="G59" s="17">
        <v>1</v>
      </c>
      <c r="H59" s="17">
        <v>40</v>
      </c>
      <c r="I59" s="16" t="s">
        <v>38</v>
      </c>
      <c r="J59" s="16" t="s">
        <v>39</v>
      </c>
      <c r="K59" s="17">
        <v>0</v>
      </c>
    </row>
    <row r="60" spans="1:11" ht="12.75">
      <c r="A60" s="15" t="s">
        <v>126</v>
      </c>
      <c r="B60" s="16" t="s">
        <v>35</v>
      </c>
      <c r="C60" s="16" t="s">
        <v>62</v>
      </c>
      <c r="D60" s="19">
        <v>220000</v>
      </c>
      <c r="E60" s="19">
        <v>60000</v>
      </c>
      <c r="F60" s="16" t="s">
        <v>71</v>
      </c>
      <c r="G60" s="17">
        <v>4</v>
      </c>
      <c r="H60" s="17">
        <v>31</v>
      </c>
      <c r="I60" s="16" t="s">
        <v>38</v>
      </c>
      <c r="J60" s="16" t="s">
        <v>39</v>
      </c>
      <c r="K60" s="17">
        <v>1</v>
      </c>
    </row>
    <row r="61" spans="1:11" ht="12.75">
      <c r="A61" s="15" t="s">
        <v>126</v>
      </c>
      <c r="B61" s="16" t="s">
        <v>35</v>
      </c>
      <c r="C61" s="16" t="s">
        <v>48</v>
      </c>
      <c r="D61" s="19">
        <v>80000</v>
      </c>
      <c r="E61" s="19">
        <v>60000</v>
      </c>
      <c r="F61" s="16" t="s">
        <v>37</v>
      </c>
      <c r="G61" s="17">
        <v>1</v>
      </c>
      <c r="H61" s="17">
        <v>30</v>
      </c>
      <c r="I61" s="16" t="s">
        <v>38</v>
      </c>
      <c r="J61" s="16" t="s">
        <v>38</v>
      </c>
      <c r="K61" s="17">
        <v>1</v>
      </c>
    </row>
    <row r="62" spans="1:11" ht="12.75">
      <c r="A62" s="15" t="s">
        <v>127</v>
      </c>
      <c r="B62" s="16" t="s">
        <v>128</v>
      </c>
      <c r="C62" s="16" t="s">
        <v>36</v>
      </c>
      <c r="D62" s="19">
        <v>75000</v>
      </c>
      <c r="E62" s="19">
        <v>67500</v>
      </c>
      <c r="F62" s="16" t="s">
        <v>54</v>
      </c>
      <c r="G62" s="17">
        <v>3</v>
      </c>
      <c r="H62" s="17">
        <v>28</v>
      </c>
      <c r="I62" s="16" t="s">
        <v>38</v>
      </c>
      <c r="J62" s="16" t="s">
        <v>38</v>
      </c>
      <c r="K62" s="17">
        <v>1</v>
      </c>
    </row>
    <row r="63" spans="1:11" ht="12.75">
      <c r="A63" s="15" t="s">
        <v>127</v>
      </c>
      <c r="B63" s="16" t="s">
        <v>129</v>
      </c>
      <c r="C63" s="16" t="s">
        <v>42</v>
      </c>
      <c r="D63" s="19">
        <v>70000</v>
      </c>
      <c r="E63" s="19">
        <v>67000</v>
      </c>
      <c r="F63" s="16" t="s">
        <v>54</v>
      </c>
      <c r="G63" s="17">
        <v>1</v>
      </c>
      <c r="H63" s="17">
        <v>39</v>
      </c>
      <c r="I63" s="16" t="s">
        <v>38</v>
      </c>
      <c r="J63" s="16" t="s">
        <v>38</v>
      </c>
      <c r="K63" s="17">
        <v>5</v>
      </c>
    </row>
    <row r="64" spans="1:11" ht="12.75">
      <c r="A64" s="15" t="s">
        <v>130</v>
      </c>
      <c r="B64" s="16" t="s">
        <v>41</v>
      </c>
      <c r="C64" s="16" t="s">
        <v>42</v>
      </c>
      <c r="D64" s="19">
        <v>80000</v>
      </c>
      <c r="E64" s="19">
        <v>72000</v>
      </c>
      <c r="F64" s="16" t="s">
        <v>43</v>
      </c>
      <c r="G64" s="17">
        <v>2</v>
      </c>
      <c r="H64" s="17">
        <v>35</v>
      </c>
      <c r="I64" s="16" t="s">
        <v>38</v>
      </c>
      <c r="J64" s="16" t="s">
        <v>39</v>
      </c>
      <c r="K64" s="17">
        <v>3</v>
      </c>
    </row>
    <row r="65" spans="1:11" ht="12.75">
      <c r="A65" s="15" t="s">
        <v>131</v>
      </c>
      <c r="B65" s="16" t="s">
        <v>129</v>
      </c>
      <c r="C65" s="16" t="s">
        <v>42</v>
      </c>
      <c r="D65" s="19">
        <v>65000</v>
      </c>
      <c r="E65" s="19">
        <v>63500</v>
      </c>
      <c r="F65" s="16" t="s">
        <v>54</v>
      </c>
      <c r="G65" s="17">
        <v>1</v>
      </c>
      <c r="H65" s="17">
        <v>38</v>
      </c>
      <c r="I65" s="16" t="s">
        <v>38</v>
      </c>
      <c r="J65" s="16" t="s">
        <v>38</v>
      </c>
      <c r="K65" s="17">
        <v>0</v>
      </c>
    </row>
    <row r="66" spans="1:11" ht="12.75">
      <c r="A66" s="15" t="s">
        <v>132</v>
      </c>
      <c r="B66" s="16" t="s">
        <v>35</v>
      </c>
      <c r="C66" s="16" t="s">
        <v>84</v>
      </c>
      <c r="D66" s="19">
        <v>60000</v>
      </c>
      <c r="E66" s="19">
        <v>60000</v>
      </c>
      <c r="F66" s="16" t="s">
        <v>54</v>
      </c>
      <c r="G66" s="17">
        <v>0</v>
      </c>
      <c r="H66" s="17">
        <v>34</v>
      </c>
      <c r="I66" s="16" t="s">
        <v>38</v>
      </c>
      <c r="J66" s="16" t="s">
        <v>102</v>
      </c>
      <c r="K66" s="17">
        <v>1</v>
      </c>
    </row>
    <row r="67" spans="1:11" ht="12.75">
      <c r="A67" s="15" t="s">
        <v>133</v>
      </c>
      <c r="B67" s="16" t="s">
        <v>47</v>
      </c>
      <c r="C67" s="16" t="s">
        <v>100</v>
      </c>
      <c r="D67" s="19">
        <v>75000</v>
      </c>
      <c r="E67" s="19">
        <v>67500</v>
      </c>
      <c r="F67" s="16" t="s">
        <v>37</v>
      </c>
      <c r="G67" s="17">
        <v>3</v>
      </c>
      <c r="H67" s="17">
        <v>28</v>
      </c>
      <c r="I67" s="16" t="s">
        <v>50</v>
      </c>
      <c r="J67" s="16" t="s">
        <v>38</v>
      </c>
      <c r="K67" s="17">
        <v>0</v>
      </c>
    </row>
    <row r="68" spans="1:11" ht="12.75">
      <c r="A68" s="15" t="s">
        <v>134</v>
      </c>
      <c r="B68" s="16" t="s">
        <v>128</v>
      </c>
      <c r="C68" s="16" t="s">
        <v>62</v>
      </c>
      <c r="D68" s="19">
        <v>70000</v>
      </c>
      <c r="E68" s="19">
        <v>67000</v>
      </c>
      <c r="F68" s="16" t="s">
        <v>54</v>
      </c>
      <c r="G68" s="17">
        <v>1</v>
      </c>
      <c r="H68" s="17">
        <v>27</v>
      </c>
      <c r="I68" s="16" t="s">
        <v>38</v>
      </c>
      <c r="J68" s="16" t="s">
        <v>39</v>
      </c>
      <c r="K68" s="17">
        <v>0</v>
      </c>
    </row>
    <row r="69" spans="1:11" ht="12.75">
      <c r="A69" s="15" t="s">
        <v>134</v>
      </c>
      <c r="B69" s="16" t="s">
        <v>135</v>
      </c>
      <c r="C69" s="16" t="s">
        <v>48</v>
      </c>
      <c r="D69" s="19">
        <v>1500000</v>
      </c>
      <c r="E69" s="19">
        <v>200000</v>
      </c>
      <c r="F69" s="16" t="s">
        <v>136</v>
      </c>
      <c r="G69" s="17">
        <v>5</v>
      </c>
      <c r="H69" s="17">
        <v>33</v>
      </c>
      <c r="I69" s="16" t="s">
        <v>38</v>
      </c>
      <c r="J69" s="16" t="s">
        <v>38</v>
      </c>
      <c r="K69" s="17">
        <v>3</v>
      </c>
    </row>
    <row r="70" spans="1:11" ht="12.75">
      <c r="A70" s="15" t="s">
        <v>137</v>
      </c>
      <c r="B70" s="16" t="s">
        <v>129</v>
      </c>
      <c r="C70" s="16" t="s">
        <v>42</v>
      </c>
      <c r="D70" s="19">
        <v>60000</v>
      </c>
      <c r="E70" s="19">
        <v>60000</v>
      </c>
      <c r="F70" s="16" t="s">
        <v>54</v>
      </c>
      <c r="G70" s="17">
        <v>0</v>
      </c>
      <c r="H70" s="17">
        <v>40</v>
      </c>
      <c r="I70" s="16" t="s">
        <v>38</v>
      </c>
      <c r="J70" s="16" t="s">
        <v>38</v>
      </c>
      <c r="K70" s="17">
        <v>4</v>
      </c>
    </row>
    <row r="71" spans="1:11" ht="12.75">
      <c r="A71" s="15" t="s">
        <v>137</v>
      </c>
      <c r="B71" s="16" t="s">
        <v>35</v>
      </c>
      <c r="C71" s="16" t="s">
        <v>48</v>
      </c>
      <c r="D71" s="19">
        <v>150000</v>
      </c>
      <c r="E71" s="19">
        <v>60000</v>
      </c>
      <c r="F71" s="16" t="s">
        <v>37</v>
      </c>
      <c r="G71" s="17">
        <v>2</v>
      </c>
      <c r="H71" s="17">
        <v>22</v>
      </c>
      <c r="I71" s="16" t="s">
        <v>38</v>
      </c>
      <c r="J71" s="16" t="s">
        <v>38</v>
      </c>
      <c r="K71" s="17">
        <v>0</v>
      </c>
    </row>
    <row r="72" spans="1:11" ht="12.75">
      <c r="A72" s="15" t="s">
        <v>138</v>
      </c>
      <c r="B72" s="16" t="s">
        <v>41</v>
      </c>
      <c r="C72" s="16" t="s">
        <v>42</v>
      </c>
      <c r="D72" s="19">
        <v>60000</v>
      </c>
      <c r="E72" s="19">
        <v>60000</v>
      </c>
      <c r="F72" s="16" t="s">
        <v>54</v>
      </c>
      <c r="G72" s="17">
        <v>1</v>
      </c>
      <c r="H72" s="17">
        <v>20</v>
      </c>
      <c r="I72" s="16" t="s">
        <v>38</v>
      </c>
      <c r="J72" s="16" t="s">
        <v>38</v>
      </c>
      <c r="K72" s="17">
        <v>0</v>
      </c>
    </row>
    <row r="73" spans="1:11" ht="12.75">
      <c r="A73" s="15" t="s">
        <v>139</v>
      </c>
      <c r="B73" s="16" t="s">
        <v>140</v>
      </c>
      <c r="C73" s="16" t="s">
        <v>48</v>
      </c>
      <c r="D73" s="19">
        <v>350000</v>
      </c>
      <c r="E73" s="19">
        <v>350000</v>
      </c>
      <c r="F73" s="16" t="s">
        <v>136</v>
      </c>
      <c r="G73" s="17">
        <v>0</v>
      </c>
      <c r="H73" s="17">
        <v>35</v>
      </c>
      <c r="I73" s="16" t="s">
        <v>38</v>
      </c>
      <c r="J73" s="16" t="s">
        <v>38</v>
      </c>
      <c r="K73" s="17">
        <v>0</v>
      </c>
    </row>
    <row r="74" spans="1:11" ht="12.75">
      <c r="A74" s="15" t="s">
        <v>139</v>
      </c>
      <c r="B74" s="16" t="s">
        <v>86</v>
      </c>
      <c r="C74" s="16" t="s">
        <v>42</v>
      </c>
      <c r="D74" s="19">
        <v>200000</v>
      </c>
      <c r="E74" s="19">
        <v>158000</v>
      </c>
      <c r="F74" s="16" t="s">
        <v>141</v>
      </c>
      <c r="G74" s="17">
        <v>1</v>
      </c>
      <c r="H74" s="17">
        <v>28</v>
      </c>
      <c r="I74" s="16" t="s">
        <v>38</v>
      </c>
      <c r="J74" s="16" t="s">
        <v>38</v>
      </c>
      <c r="K74" s="17">
        <v>1</v>
      </c>
    </row>
    <row r="75" spans="1:11" ht="12.75">
      <c r="A75" s="15" t="s">
        <v>139</v>
      </c>
      <c r="B75" s="16" t="s">
        <v>64</v>
      </c>
      <c r="C75" s="16" t="s">
        <v>48</v>
      </c>
      <c r="D75" s="19">
        <v>133000</v>
      </c>
      <c r="E75" s="19">
        <v>110000</v>
      </c>
      <c r="F75" s="16" t="s">
        <v>60</v>
      </c>
      <c r="G75" s="17">
        <v>1</v>
      </c>
      <c r="H75" s="17">
        <v>29</v>
      </c>
      <c r="I75" s="16" t="s">
        <v>38</v>
      </c>
      <c r="J75" s="16" t="s">
        <v>102</v>
      </c>
      <c r="K75" s="17">
        <v>2</v>
      </c>
    </row>
    <row r="76" spans="1:11" ht="12.75">
      <c r="A76" s="15" t="s">
        <v>142</v>
      </c>
      <c r="B76" s="16" t="s">
        <v>47</v>
      </c>
      <c r="C76" s="16" t="s">
        <v>42</v>
      </c>
      <c r="D76" s="19">
        <v>80000</v>
      </c>
      <c r="E76" s="19">
        <v>68000</v>
      </c>
      <c r="F76" s="16" t="s">
        <v>49</v>
      </c>
      <c r="G76" s="17">
        <v>4</v>
      </c>
      <c r="H76" s="17">
        <v>28</v>
      </c>
      <c r="I76" s="16" t="s">
        <v>50</v>
      </c>
      <c r="J76" s="16" t="s">
        <v>39</v>
      </c>
      <c r="K76" s="17">
        <v>1</v>
      </c>
    </row>
    <row r="77" spans="1:11" ht="12.75">
      <c r="A77" s="15" t="s">
        <v>143</v>
      </c>
      <c r="B77" s="16" t="s">
        <v>128</v>
      </c>
      <c r="C77" s="16" t="s">
        <v>48</v>
      </c>
      <c r="D77" s="19">
        <v>70000</v>
      </c>
      <c r="E77" s="19">
        <v>64000</v>
      </c>
      <c r="F77" s="16" t="s">
        <v>54</v>
      </c>
      <c r="G77" s="17">
        <v>4</v>
      </c>
      <c r="H77" s="17">
        <v>39</v>
      </c>
      <c r="I77" s="16" t="s">
        <v>38</v>
      </c>
      <c r="J77" s="16" t="s">
        <v>38</v>
      </c>
      <c r="K77" s="17">
        <v>2</v>
      </c>
    </row>
    <row r="78" spans="1:11" ht="12.75">
      <c r="A78" s="15" t="s">
        <v>144</v>
      </c>
      <c r="B78" s="16" t="s">
        <v>35</v>
      </c>
      <c r="C78" s="16" t="s">
        <v>84</v>
      </c>
      <c r="D78" s="19">
        <v>60000</v>
      </c>
      <c r="E78" s="19">
        <v>60000</v>
      </c>
      <c r="F78" s="16" t="s">
        <v>54</v>
      </c>
      <c r="G78" s="17">
        <v>0</v>
      </c>
      <c r="H78" s="17">
        <v>31</v>
      </c>
      <c r="I78" s="16" t="s">
        <v>38</v>
      </c>
      <c r="J78" s="16" t="s">
        <v>38</v>
      </c>
      <c r="K78" s="17">
        <v>3</v>
      </c>
    </row>
    <row r="79" spans="1:11" ht="12.75">
      <c r="A79" s="15" t="s">
        <v>145</v>
      </c>
      <c r="B79" s="16" t="s">
        <v>146</v>
      </c>
      <c r="C79" s="16" t="s">
        <v>42</v>
      </c>
      <c r="D79" s="19">
        <v>100000</v>
      </c>
      <c r="E79" s="19">
        <v>76000</v>
      </c>
      <c r="F79" s="16" t="s">
        <v>54</v>
      </c>
      <c r="G79" s="17">
        <v>4</v>
      </c>
      <c r="H79" s="17">
        <v>35</v>
      </c>
      <c r="I79" s="16" t="s">
        <v>38</v>
      </c>
      <c r="J79" s="16" t="s">
        <v>39</v>
      </c>
      <c r="K79" s="17">
        <v>0</v>
      </c>
    </row>
    <row r="80" spans="1:11" ht="12.75">
      <c r="A80" s="15" t="s">
        <v>145</v>
      </c>
      <c r="B80" s="16" t="s">
        <v>41</v>
      </c>
      <c r="C80" s="16" t="s">
        <v>42</v>
      </c>
      <c r="D80" s="19">
        <v>75000</v>
      </c>
      <c r="E80" s="19">
        <v>67500</v>
      </c>
      <c r="F80" s="16" t="s">
        <v>43</v>
      </c>
      <c r="G80" s="17">
        <v>3</v>
      </c>
      <c r="H80" s="17">
        <v>40</v>
      </c>
      <c r="I80" s="16" t="s">
        <v>38</v>
      </c>
      <c r="J80" s="16" t="s">
        <v>38</v>
      </c>
      <c r="K80" s="17">
        <v>2</v>
      </c>
    </row>
    <row r="81" spans="1:11" ht="12.75">
      <c r="A81" s="15" t="s">
        <v>147</v>
      </c>
      <c r="B81" s="16" t="s">
        <v>64</v>
      </c>
      <c r="C81" s="16" t="s">
        <v>100</v>
      </c>
      <c r="D81" s="19">
        <v>147000</v>
      </c>
      <c r="E81" s="19">
        <v>147000</v>
      </c>
      <c r="F81" s="16" t="s">
        <v>71</v>
      </c>
      <c r="G81" s="17">
        <v>0</v>
      </c>
      <c r="H81" s="17">
        <v>29</v>
      </c>
      <c r="I81" s="16" t="s">
        <v>38</v>
      </c>
      <c r="J81" s="16" t="s">
        <v>39</v>
      </c>
      <c r="K81" s="17">
        <v>2</v>
      </c>
    </row>
    <row r="82" spans="1:11" ht="12.75">
      <c r="A82" s="15" t="s">
        <v>148</v>
      </c>
      <c r="B82" s="16" t="s">
        <v>47</v>
      </c>
      <c r="C82" s="16" t="s">
        <v>48</v>
      </c>
      <c r="D82" s="19">
        <v>70000</v>
      </c>
      <c r="E82" s="19">
        <v>64000</v>
      </c>
      <c r="F82" s="16" t="s">
        <v>37</v>
      </c>
      <c r="G82" s="17">
        <v>4</v>
      </c>
      <c r="H82" s="17">
        <v>26</v>
      </c>
      <c r="I82" s="16" t="s">
        <v>50</v>
      </c>
      <c r="J82" s="16" t="s">
        <v>38</v>
      </c>
      <c r="K82" s="17">
        <v>1</v>
      </c>
    </row>
    <row r="83" spans="1:11" ht="12.75">
      <c r="A83" s="15" t="s">
        <v>149</v>
      </c>
      <c r="B83" s="16" t="s">
        <v>35</v>
      </c>
      <c r="C83" s="16" t="s">
        <v>36</v>
      </c>
      <c r="D83" s="19">
        <v>160000</v>
      </c>
      <c r="E83" s="19">
        <v>60000</v>
      </c>
      <c r="F83" s="16" t="s">
        <v>37</v>
      </c>
      <c r="G83" s="17">
        <v>2</v>
      </c>
      <c r="H83" s="17">
        <v>31</v>
      </c>
      <c r="I83" s="16" t="s">
        <v>38</v>
      </c>
      <c r="J83" s="16" t="s">
        <v>39</v>
      </c>
      <c r="K83" s="17">
        <v>1</v>
      </c>
    </row>
    <row r="84" spans="1:11" ht="12.75">
      <c r="A84" s="15" t="s">
        <v>150</v>
      </c>
      <c r="B84" s="16" t="s">
        <v>35</v>
      </c>
      <c r="C84" s="16" t="s">
        <v>62</v>
      </c>
      <c r="D84" s="19">
        <v>90000</v>
      </c>
      <c r="E84" s="19">
        <v>60000</v>
      </c>
      <c r="F84" s="16" t="s">
        <v>71</v>
      </c>
      <c r="G84" s="17">
        <v>2</v>
      </c>
      <c r="H84" s="17">
        <v>25</v>
      </c>
      <c r="I84" s="16" t="s">
        <v>50</v>
      </c>
      <c r="J84" s="16" t="s">
        <v>38</v>
      </c>
      <c r="K84" s="17">
        <v>2</v>
      </c>
    </row>
    <row r="85" spans="1:11" ht="12.75">
      <c r="A85" s="15" t="s">
        <v>151</v>
      </c>
      <c r="B85" s="16" t="s">
        <v>47</v>
      </c>
      <c r="C85" s="16" t="s">
        <v>48</v>
      </c>
      <c r="D85" s="19">
        <v>90000</v>
      </c>
      <c r="E85" s="19">
        <v>72000</v>
      </c>
      <c r="F85" s="16" t="s">
        <v>49</v>
      </c>
      <c r="G85" s="17">
        <v>4</v>
      </c>
      <c r="H85" s="17">
        <v>27</v>
      </c>
      <c r="I85" s="16" t="s">
        <v>50</v>
      </c>
      <c r="J85" s="16" t="s">
        <v>38</v>
      </c>
      <c r="K85" s="17">
        <v>2</v>
      </c>
    </row>
    <row r="86" spans="1:11" ht="12.75">
      <c r="A86" s="15" t="s">
        <v>152</v>
      </c>
      <c r="B86" s="16" t="s">
        <v>64</v>
      </c>
      <c r="C86" s="16" t="s">
        <v>36</v>
      </c>
      <c r="D86" s="19">
        <v>161000</v>
      </c>
      <c r="E86" s="19">
        <v>161000</v>
      </c>
      <c r="F86" s="16" t="s">
        <v>69</v>
      </c>
      <c r="G86" s="17">
        <v>0</v>
      </c>
      <c r="H86" s="17">
        <v>28</v>
      </c>
      <c r="I86" s="16" t="s">
        <v>50</v>
      </c>
      <c r="J86" s="16" t="s">
        <v>38</v>
      </c>
      <c r="K86" s="17">
        <v>2</v>
      </c>
    </row>
    <row r="87" spans="1:11" ht="12.75">
      <c r="A87" s="15" t="s">
        <v>153</v>
      </c>
      <c r="B87" s="16" t="s">
        <v>78</v>
      </c>
      <c r="C87" s="16" t="s">
        <v>48</v>
      </c>
      <c r="D87" s="19">
        <v>110000</v>
      </c>
      <c r="E87" s="19">
        <v>90000</v>
      </c>
      <c r="F87" s="16" t="s">
        <v>37</v>
      </c>
      <c r="G87" s="17">
        <v>2</v>
      </c>
      <c r="H87" s="17">
        <v>33</v>
      </c>
      <c r="I87" s="16" t="s">
        <v>38</v>
      </c>
      <c r="J87" s="16" t="s">
        <v>38</v>
      </c>
      <c r="K87" s="17">
        <v>1</v>
      </c>
    </row>
    <row r="88" spans="1:11" ht="12.75">
      <c r="A88" s="15" t="s">
        <v>154</v>
      </c>
      <c r="B88" s="16" t="s">
        <v>155</v>
      </c>
      <c r="C88" s="16" t="s">
        <v>48</v>
      </c>
      <c r="D88" s="19">
        <v>250000</v>
      </c>
      <c r="E88" s="19">
        <v>174000</v>
      </c>
      <c r="F88" s="16" t="s">
        <v>156</v>
      </c>
      <c r="G88" s="17">
        <v>2</v>
      </c>
      <c r="H88" s="17">
        <v>35</v>
      </c>
      <c r="I88" s="16" t="s">
        <v>38</v>
      </c>
      <c r="J88" s="16" t="s">
        <v>39</v>
      </c>
      <c r="K88" s="17">
        <v>0</v>
      </c>
    </row>
    <row r="89" spans="1:11" ht="12.75">
      <c r="A89" s="15" t="s">
        <v>157</v>
      </c>
      <c r="B89" s="16" t="s">
        <v>52</v>
      </c>
      <c r="C89" s="16" t="s">
        <v>100</v>
      </c>
      <c r="D89" s="19">
        <v>200000</v>
      </c>
      <c r="E89" s="19">
        <v>130000</v>
      </c>
      <c r="F89" s="16" t="s">
        <v>54</v>
      </c>
      <c r="G89" s="17">
        <v>3</v>
      </c>
      <c r="H89" s="17">
        <v>29</v>
      </c>
      <c r="I89" s="16" t="s">
        <v>38</v>
      </c>
      <c r="J89" s="16" t="s">
        <v>38</v>
      </c>
      <c r="K89" s="17">
        <v>0</v>
      </c>
    </row>
    <row r="90" spans="1:11" ht="12.75">
      <c r="A90" s="15" t="s">
        <v>158</v>
      </c>
      <c r="B90" s="16" t="s">
        <v>86</v>
      </c>
      <c r="C90" s="16" t="s">
        <v>48</v>
      </c>
      <c r="D90" s="19">
        <v>150000</v>
      </c>
      <c r="E90" s="19">
        <v>114000</v>
      </c>
      <c r="F90" s="16" t="s">
        <v>159</v>
      </c>
      <c r="G90" s="17">
        <v>2</v>
      </c>
      <c r="H90" s="17">
        <v>26</v>
      </c>
      <c r="I90" s="16" t="s">
        <v>50</v>
      </c>
      <c r="J90" s="16" t="s">
        <v>38</v>
      </c>
      <c r="K90" s="17">
        <v>0</v>
      </c>
    </row>
    <row r="91" spans="1:11" ht="12.75">
      <c r="A91" s="15" t="s">
        <v>160</v>
      </c>
      <c r="B91" s="16" t="s">
        <v>52</v>
      </c>
      <c r="C91" s="16" t="s">
        <v>84</v>
      </c>
      <c r="D91" s="19">
        <v>200000</v>
      </c>
      <c r="E91" s="19">
        <v>116000</v>
      </c>
      <c r="F91" s="16" t="s">
        <v>37</v>
      </c>
      <c r="G91" s="17">
        <v>4</v>
      </c>
      <c r="H91" s="17">
        <v>36</v>
      </c>
      <c r="I91" s="16" t="s">
        <v>38</v>
      </c>
      <c r="J91" s="16" t="s">
        <v>39</v>
      </c>
      <c r="K91" s="17">
        <v>2</v>
      </c>
    </row>
    <row r="92" spans="1:11" ht="12.75">
      <c r="A92" s="15" t="s">
        <v>160</v>
      </c>
      <c r="B92" s="16" t="s">
        <v>35</v>
      </c>
      <c r="C92" s="16" t="s">
        <v>53</v>
      </c>
      <c r="D92" s="19">
        <v>60000</v>
      </c>
      <c r="E92" s="19">
        <v>60000</v>
      </c>
      <c r="F92" s="16" t="s">
        <v>49</v>
      </c>
      <c r="G92" s="17">
        <v>0</v>
      </c>
      <c r="H92" s="17">
        <v>24</v>
      </c>
      <c r="I92" s="16" t="s">
        <v>38</v>
      </c>
      <c r="J92" s="16" t="s">
        <v>38</v>
      </c>
      <c r="K92" s="17">
        <v>2</v>
      </c>
    </row>
    <row r="93" spans="1:11" ht="12.75">
      <c r="A93" s="15" t="s">
        <v>161</v>
      </c>
      <c r="B93" s="16" t="s">
        <v>52</v>
      </c>
      <c r="C93" s="16" t="s">
        <v>48</v>
      </c>
      <c r="D93" s="19">
        <v>230000</v>
      </c>
      <c r="E93" s="19">
        <v>162000</v>
      </c>
      <c r="F93" s="16" t="s">
        <v>69</v>
      </c>
      <c r="G93" s="17">
        <v>2</v>
      </c>
      <c r="H93" s="17">
        <v>32</v>
      </c>
      <c r="I93" s="16" t="s">
        <v>50</v>
      </c>
      <c r="J93" s="16" t="s">
        <v>39</v>
      </c>
      <c r="K93" s="17">
        <v>1</v>
      </c>
    </row>
    <row r="94" spans="1:11" ht="12.75">
      <c r="A94" s="15" t="s">
        <v>162</v>
      </c>
      <c r="B94" s="16" t="s">
        <v>35</v>
      </c>
      <c r="C94" s="16" t="s">
        <v>100</v>
      </c>
      <c r="D94" s="19">
        <v>70000</v>
      </c>
      <c r="E94" s="19">
        <v>60000</v>
      </c>
      <c r="F94" s="16" t="s">
        <v>60</v>
      </c>
      <c r="G94" s="17">
        <v>0</v>
      </c>
      <c r="H94" s="17">
        <v>25</v>
      </c>
      <c r="I94" s="16" t="s">
        <v>38</v>
      </c>
      <c r="J94" s="16" t="s">
        <v>38</v>
      </c>
      <c r="K94" s="17">
        <v>2</v>
      </c>
    </row>
    <row r="95" spans="1:11" ht="12.75">
      <c r="A95" s="15" t="s">
        <v>163</v>
      </c>
      <c r="B95" s="16" t="s">
        <v>64</v>
      </c>
      <c r="C95" s="16" t="s">
        <v>53</v>
      </c>
      <c r="D95" s="19">
        <v>140000</v>
      </c>
      <c r="E95" s="19">
        <v>92000</v>
      </c>
      <c r="F95" s="16" t="s">
        <v>49</v>
      </c>
      <c r="G95" s="17">
        <v>4</v>
      </c>
      <c r="H95" s="17">
        <v>32</v>
      </c>
      <c r="I95" s="16" t="s">
        <v>38</v>
      </c>
      <c r="J95" s="16" t="s">
        <v>38</v>
      </c>
      <c r="K95" s="17">
        <v>2</v>
      </c>
    </row>
    <row r="96" spans="1:11">
      <c r="D96" s="20"/>
      <c r="E96" s="20"/>
    </row>
  </sheetData>
  <phoneticPr fontId="5" type="noConversion"/>
  <printOptions gridLines="1" gridLinesSet="0"/>
  <pageMargins left="0.78740157499999996" right="0.78740157499999996" top="0.984251969" bottom="0.984251969" header="0.4921259845" footer="0.4921259845"/>
  <pageSetup paperSize="9" scale="91" fitToHeight="3" orientation="landscape" horizontalDpi="4294967292" verticalDpi="4294967292" r:id="rId1"/>
  <headerFooter alignWithMargins="0">
    <oddHeader>&amp;C&amp;F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7"/>
  </sheetPr>
  <dimension ref="A1:R6"/>
  <sheetViews>
    <sheetView workbookViewId="0"/>
  </sheetViews>
  <sheetFormatPr baseColWidth="10" defaultRowHeight="12.75"/>
  <cols>
    <col min="1" max="1" width="17.85546875" bestFit="1" customWidth="1"/>
    <col min="2" max="17" width="14.42578125" bestFit="1" customWidth="1"/>
    <col min="18" max="18" width="18.5703125" bestFit="1" customWidth="1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</row>
    <row r="2" spans="1:18" ht="12.75" customHeight="1">
      <c r="A2" s="8" t="s">
        <v>18</v>
      </c>
      <c r="B2" s="9">
        <v>600000</v>
      </c>
      <c r="C2" s="9">
        <v>400000</v>
      </c>
      <c r="D2" s="9">
        <v>350000</v>
      </c>
      <c r="E2" s="10">
        <f>SUM(B2:D2)</f>
        <v>1350000</v>
      </c>
      <c r="F2" s="9">
        <v>330000</v>
      </c>
      <c r="G2" s="9">
        <v>600000</v>
      </c>
      <c r="H2" s="9">
        <v>400000</v>
      </c>
      <c r="I2" s="10">
        <f>SUM(F2:H2)</f>
        <v>1330000</v>
      </c>
      <c r="J2" s="9">
        <v>350000</v>
      </c>
      <c r="K2" s="9">
        <v>330000</v>
      </c>
      <c r="L2" s="9">
        <v>600000</v>
      </c>
      <c r="M2" s="10">
        <f>SUM(J2:L2)</f>
        <v>1280000</v>
      </c>
      <c r="N2" s="9">
        <v>350000</v>
      </c>
      <c r="O2" s="9">
        <v>600000</v>
      </c>
      <c r="P2" s="9">
        <v>400000</v>
      </c>
      <c r="Q2" s="10">
        <f>SUM(N2:P2)</f>
        <v>1350000</v>
      </c>
      <c r="R2" s="11">
        <f>E2+I2+M2+Q2</f>
        <v>5310000</v>
      </c>
    </row>
    <row r="3" spans="1:18">
      <c r="A3" s="8" t="s">
        <v>19</v>
      </c>
      <c r="B3" s="9">
        <v>290000</v>
      </c>
      <c r="C3" s="9">
        <v>300000</v>
      </c>
      <c r="D3" s="9">
        <v>310000</v>
      </c>
      <c r="E3" s="10">
        <f>SUM(B3:D3)</f>
        <v>900000</v>
      </c>
      <c r="F3" s="9">
        <v>410000</v>
      </c>
      <c r="G3" s="9">
        <v>290000</v>
      </c>
      <c r="H3" s="9">
        <v>300000</v>
      </c>
      <c r="I3" s="10">
        <f>SUM(F3:H3)</f>
        <v>1000000</v>
      </c>
      <c r="J3" s="9">
        <v>310000</v>
      </c>
      <c r="K3" s="9">
        <v>410000</v>
      </c>
      <c r="L3" s="9">
        <v>290000</v>
      </c>
      <c r="M3" s="10">
        <f>SUM(J3:L3)</f>
        <v>1010000</v>
      </c>
      <c r="N3" s="9">
        <v>310000</v>
      </c>
      <c r="O3" s="9">
        <v>290000</v>
      </c>
      <c r="P3" s="9">
        <v>300000</v>
      </c>
      <c r="Q3" s="10">
        <f>SUM(N3:P3)</f>
        <v>900000</v>
      </c>
      <c r="R3" s="11">
        <f>E3+I3+M3+Q3</f>
        <v>3810000</v>
      </c>
    </row>
    <row r="4" spans="1:18">
      <c r="A4" s="8" t="s">
        <v>20</v>
      </c>
      <c r="B4" s="9">
        <v>320000</v>
      </c>
      <c r="C4" s="9">
        <v>290000</v>
      </c>
      <c r="D4" s="9">
        <v>240000</v>
      </c>
      <c r="E4" s="10">
        <f>SUM(B4:D4)</f>
        <v>850000</v>
      </c>
      <c r="F4" s="9">
        <v>140000</v>
      </c>
      <c r="G4" s="9">
        <v>320000</v>
      </c>
      <c r="H4" s="9">
        <v>290000</v>
      </c>
      <c r="I4" s="10">
        <f>SUM(F4:H4)</f>
        <v>750000</v>
      </c>
      <c r="J4" s="9">
        <v>240000</v>
      </c>
      <c r="K4" s="9">
        <v>140000</v>
      </c>
      <c r="L4" s="9">
        <v>320000</v>
      </c>
      <c r="M4" s="10">
        <f>SUM(J4:L4)</f>
        <v>700000</v>
      </c>
      <c r="N4" s="9">
        <v>240000</v>
      </c>
      <c r="O4" s="9">
        <v>320000</v>
      </c>
      <c r="P4" s="9">
        <v>290000</v>
      </c>
      <c r="Q4" s="10">
        <f>SUM(N4:P4)</f>
        <v>850000</v>
      </c>
      <c r="R4" s="11">
        <f>E4+I4+M4+Q4</f>
        <v>3150000</v>
      </c>
    </row>
    <row r="5" spans="1:18">
      <c r="A5" s="8" t="s">
        <v>21</v>
      </c>
      <c r="B5" s="9">
        <v>480000</v>
      </c>
      <c r="C5" s="9">
        <v>370000</v>
      </c>
      <c r="D5" s="9">
        <v>300000</v>
      </c>
      <c r="E5" s="10">
        <f>SUM(B5:D5)</f>
        <v>1150000</v>
      </c>
      <c r="F5" s="9">
        <v>390000</v>
      </c>
      <c r="G5" s="9">
        <v>480000</v>
      </c>
      <c r="H5" s="9">
        <v>370000</v>
      </c>
      <c r="I5" s="10">
        <f>SUM(F5:H5)</f>
        <v>1240000</v>
      </c>
      <c r="J5" s="9">
        <v>300000</v>
      </c>
      <c r="K5" s="9">
        <v>390000</v>
      </c>
      <c r="L5" s="9">
        <v>480000</v>
      </c>
      <c r="M5" s="10">
        <f>SUM(J5:L5)</f>
        <v>1170000</v>
      </c>
      <c r="N5" s="9">
        <v>300000</v>
      </c>
      <c r="O5" s="9">
        <v>480000</v>
      </c>
      <c r="P5" s="9">
        <v>370000</v>
      </c>
      <c r="Q5" s="10">
        <f>SUM(N5:P5)</f>
        <v>1150000</v>
      </c>
      <c r="R5" s="11">
        <f>E5+I5+M5+Q5</f>
        <v>4710000</v>
      </c>
    </row>
    <row r="6" spans="1:18">
      <c r="A6" s="5" t="s">
        <v>22</v>
      </c>
      <c r="B6" s="6">
        <f t="shared" ref="B6:Q6" si="0">SUM(B2:B5)</f>
        <v>1690000</v>
      </c>
      <c r="C6" s="6">
        <f t="shared" si="0"/>
        <v>1360000</v>
      </c>
      <c r="D6" s="6">
        <f t="shared" si="0"/>
        <v>1200000</v>
      </c>
      <c r="E6" s="1">
        <f t="shared" si="0"/>
        <v>4250000</v>
      </c>
      <c r="F6" s="6">
        <f t="shared" si="0"/>
        <v>1270000</v>
      </c>
      <c r="G6" s="6">
        <f t="shared" si="0"/>
        <v>1690000</v>
      </c>
      <c r="H6" s="6">
        <f t="shared" si="0"/>
        <v>1360000</v>
      </c>
      <c r="I6" s="1">
        <f t="shared" si="0"/>
        <v>4320000</v>
      </c>
      <c r="J6" s="6">
        <f t="shared" si="0"/>
        <v>1200000</v>
      </c>
      <c r="K6" s="6">
        <f t="shared" si="0"/>
        <v>1270000</v>
      </c>
      <c r="L6" s="6">
        <f t="shared" si="0"/>
        <v>1690000</v>
      </c>
      <c r="M6" s="1">
        <f t="shared" si="0"/>
        <v>4160000</v>
      </c>
      <c r="N6" s="6">
        <f t="shared" si="0"/>
        <v>1200000</v>
      </c>
      <c r="O6" s="6">
        <f t="shared" si="0"/>
        <v>1690000</v>
      </c>
      <c r="P6" s="6">
        <f t="shared" si="0"/>
        <v>1360000</v>
      </c>
      <c r="Q6" s="1">
        <f t="shared" si="0"/>
        <v>4250000</v>
      </c>
      <c r="R6" s="7">
        <f>E6+I6+M6+Q6</f>
        <v>16980000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Collage spécial - Opération</vt:lpstr>
      <vt:lpstr>Collage spécial - Transposition</vt:lpstr>
    </vt:vector>
  </TitlesOfParts>
  <Company>CAP FORMATION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U9808-P300-08</dc:creator>
  <cp:lastModifiedBy>Sandrine</cp:lastModifiedBy>
  <dcterms:created xsi:type="dcterms:W3CDTF">2002-02-01T14:39:58Z</dcterms:created>
  <dcterms:modified xsi:type="dcterms:W3CDTF">2014-03-27T14:23:11Z</dcterms:modified>
</cp:coreProperties>
</file>