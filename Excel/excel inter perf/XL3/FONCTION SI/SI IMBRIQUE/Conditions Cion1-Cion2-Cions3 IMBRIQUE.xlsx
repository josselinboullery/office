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F:\XL3\FONCTION SI\SI IMBRIQUE\"/>
    </mc:Choice>
  </mc:AlternateContent>
  <bookViews>
    <workbookView xWindow="240" yWindow="60" windowWidth="11580" windowHeight="6030"/>
  </bookViews>
  <sheets>
    <sheet name="Chantier-Vierge" sheetId="5" r:id="rId1"/>
    <sheet name="Chantier-Vierge resutat" sheetId="6" r:id="rId2"/>
  </sheets>
  <calcPr calcId="162913"/>
</workbook>
</file>

<file path=xl/calcChain.xml><?xml version="1.0" encoding="utf-8"?>
<calcChain xmlns="http://schemas.openxmlformats.org/spreadsheetml/2006/main">
  <c r="G8" i="6" l="1"/>
  <c r="F8" i="6"/>
  <c r="E8" i="6"/>
  <c r="D8" i="6"/>
  <c r="C8" i="6"/>
  <c r="G7" i="6"/>
  <c r="F7" i="6"/>
  <c r="E7" i="6"/>
  <c r="D7" i="6"/>
  <c r="C7" i="6"/>
  <c r="G6" i="6"/>
  <c r="F6" i="6"/>
  <c r="E6" i="6"/>
  <c r="D6" i="6"/>
  <c r="C6" i="6"/>
  <c r="G5" i="6"/>
  <c r="F5" i="6"/>
  <c r="E5" i="6"/>
  <c r="D5" i="6"/>
  <c r="C5" i="6"/>
  <c r="G4" i="6"/>
  <c r="F4" i="6"/>
  <c r="E4" i="6"/>
  <c r="D4" i="6"/>
  <c r="C4" i="6"/>
  <c r="G3" i="6"/>
  <c r="F3" i="6"/>
  <c r="E3" i="6"/>
  <c r="D3" i="6"/>
  <c r="C3" i="6"/>
  <c r="G2" i="6"/>
  <c r="F2" i="6"/>
  <c r="E2" i="6"/>
  <c r="D2" i="6"/>
  <c r="C2" i="6"/>
</calcChain>
</file>

<file path=xl/sharedStrings.xml><?xml version="1.0" encoding="utf-8"?>
<sst xmlns="http://schemas.openxmlformats.org/spreadsheetml/2006/main" count="64" uniqueCount="29">
  <si>
    <t>Représentant</t>
  </si>
  <si>
    <t>Montant du chantier</t>
  </si>
  <si>
    <t>commissions 1</t>
  </si>
  <si>
    <t>commissions 2</t>
  </si>
  <si>
    <t>commissions 3</t>
  </si>
  <si>
    <t xml:space="preserve">Pierre </t>
  </si>
  <si>
    <t>Carole</t>
  </si>
  <si>
    <t>Jacques</t>
  </si>
  <si>
    <t>Paul</t>
  </si>
  <si>
    <t>Commission 1</t>
  </si>
  <si>
    <t>et que le vendeur est Carole, appliquez un</t>
  </si>
  <si>
    <t>les autres cas.</t>
  </si>
  <si>
    <t xml:space="preserve">taux de commission de 10% et 5% dans </t>
  </si>
  <si>
    <t>Commission 2</t>
  </si>
  <si>
    <t>Si le vendeur est "Carole ou Jacques"</t>
  </si>
  <si>
    <t>Appliquez un taux de commision de 10%</t>
  </si>
  <si>
    <t>&amp; 5% dans les autres cas</t>
  </si>
  <si>
    <t>Commission 3</t>
  </si>
  <si>
    <t>Si le Mt du chantier est supérieur à 10 000 €</t>
  </si>
  <si>
    <t>Si le Mt du chantier est sup a 10 000 €</t>
  </si>
  <si>
    <t>appliquer une commission de 20 %</t>
  </si>
  <si>
    <t>dans les autres cas affiche "Pas d'argent"</t>
  </si>
  <si>
    <t>si le Mt du chantier est sup à 8000 € appliquer une commission de 15 %</t>
  </si>
  <si>
    <t>si le Mt du chantier est Sup à 6000 € appliquer une commission de 10 %</t>
  </si>
  <si>
    <t>commission 4</t>
  </si>
  <si>
    <t>et que les vendeurs sont Jacques ou Paul, appliquer</t>
  </si>
  <si>
    <t>taux de commission de 15 % sinon 10 % pour les autres cas</t>
  </si>
  <si>
    <t>Commission 4</t>
  </si>
  <si>
    <t>Si le Mt du chantier est &gt;=10 000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</si>
</sst>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0" formatCode="_-* #,##0.00\ &quot;F&quot;_-;\-* #,##0.00\ &quot;F&quot;_-;_-* &quot;-&quot;??\ &quot;F&quot;_-;_-@_-"/>
    <numFmt numFmtId="171" formatCode="_-* #,##0.00\ _F_-;\-* #,##0.00\ _F_-;_-* &quot;-&quot;??\ _F_-;_-@_-"/>
    <numFmt numFmtId="174" formatCode="_-* #,##0\ [$€-1]_-;\-* #,##0\ [$€-1]_-;_-* &quot;-&quot;??\ [$€-1]_-"/>
    <numFmt numFmtId="175" formatCode="_-* #,##0.00\ [$€-1]_-;\-* #,##0.00\ [$€-1]_-;_-* &quot;-&quot;??\ [$€-1]_-"/>
    <numFmt numFmtId="176" formatCode="#,##0.00\ &quot;€&quot;"/>
    <numFmt numFmtId="178" formatCode="_-* #,##0.00\ [$€-40C]_-;\-* #,##0.00\ [$€-40C]_-;_-* &quot;-&quot;??\ [$€-40C]_-;_-@_-"/>
  </numFmts>
  <fonts count="12" x14ac:knownFonts="1">
    <font>
      <sz val="10"/>
      <name val="Arial"/>
    </font>
    <font>
      <sz val="10"/>
      <name val="Arial"/>
    </font>
    <font>
      <b/>
      <i/>
      <sz val="10"/>
      <name val="Arial"/>
      <family val="2"/>
    </font>
    <font>
      <b/>
      <i/>
      <sz val="10"/>
      <color indexed="10"/>
      <name val="Arial"/>
      <family val="2"/>
    </font>
    <font>
      <sz val="9"/>
      <name val="Arial"/>
      <family val="2"/>
    </font>
    <font>
      <b/>
      <i/>
      <sz val="10"/>
      <color indexed="12"/>
      <name val="Arial"/>
      <family val="2"/>
    </font>
    <font>
      <b/>
      <i/>
      <sz val="10"/>
      <color indexed="17"/>
      <name val="Arial"/>
      <family val="2"/>
    </font>
    <font>
      <sz val="10"/>
      <name val="Arial"/>
      <family val="2"/>
    </font>
    <font>
      <b/>
      <sz val="10"/>
      <color theme="9"/>
      <name val="Arial"/>
      <family val="2"/>
    </font>
    <font>
      <b/>
      <i/>
      <sz val="10"/>
      <color theme="4"/>
      <name val="Arial"/>
      <family val="2"/>
    </font>
    <font>
      <b/>
      <i/>
      <sz val="10"/>
      <color rgb="FFFF0000"/>
      <name val="Arial"/>
      <family val="2"/>
    </font>
    <font>
      <b/>
      <i/>
      <sz val="10"/>
      <color rgb="FF00B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7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3" fillId="0" borderId="8" xfId="0" applyFont="1" applyBorder="1"/>
    <xf numFmtId="0" fontId="0" fillId="0" borderId="9" xfId="0" applyBorder="1"/>
    <xf numFmtId="0" fontId="4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5" fillId="0" borderId="8" xfId="0" applyFont="1" applyBorder="1"/>
    <xf numFmtId="0" fontId="0" fillId="0" borderId="10" xfId="0" applyBorder="1"/>
    <xf numFmtId="0" fontId="6" fillId="0" borderId="8" xfId="0" applyFont="1" applyBorder="1"/>
    <xf numFmtId="174" fontId="0" fillId="0" borderId="1" xfId="1" applyNumberFormat="1" applyFont="1" applyBorder="1"/>
    <xf numFmtId="174" fontId="0" fillId="0" borderId="2" xfId="1" applyNumberFormat="1" applyFont="1" applyBorder="1"/>
    <xf numFmtId="174" fontId="0" fillId="0" borderId="3" xfId="1" applyNumberFormat="1" applyFont="1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176" fontId="7" fillId="0" borderId="5" xfId="3" applyNumberFormat="1" applyFont="1" applyBorder="1"/>
    <xf numFmtId="176" fontId="7" fillId="0" borderId="4" xfId="3" applyNumberFormat="1" applyFont="1" applyBorder="1"/>
    <xf numFmtId="0" fontId="9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178" fontId="7" fillId="0" borderId="5" xfId="3" applyNumberFormat="1" applyFont="1" applyBorder="1"/>
    <xf numFmtId="178" fontId="1" fillId="0" borderId="6" xfId="3" applyNumberFormat="1" applyBorder="1"/>
    <xf numFmtId="178" fontId="1" fillId="0" borderId="7" xfId="3" applyNumberFormat="1" applyBorder="1"/>
    <xf numFmtId="0" fontId="8" fillId="0" borderId="8" xfId="0" applyFont="1" applyBorder="1"/>
    <xf numFmtId="0" fontId="7" fillId="0" borderId="10" xfId="0" applyFont="1" applyBorder="1"/>
    <xf numFmtId="171" fontId="0" fillId="0" borderId="5" xfId="2" applyFont="1" applyBorder="1"/>
    <xf numFmtId="171" fontId="0" fillId="0" borderId="4" xfId="2" applyFont="1" applyBorder="1"/>
    <xf numFmtId="178" fontId="7" fillId="0" borderId="4" xfId="3" applyNumberFormat="1" applyFont="1" applyBorder="1"/>
    <xf numFmtId="0" fontId="0" fillId="0" borderId="4" xfId="0" applyBorder="1" applyAlignment="1">
      <alignment horizontal="center"/>
    </xf>
    <xf numFmtId="178" fontId="1" fillId="0" borderId="4" xfId="3" applyNumberFormat="1" applyBorder="1"/>
  </cellXfs>
  <cellStyles count="4">
    <cellStyle name="Euro" xfId="1"/>
    <cellStyle name="Milliers" xfId="2" builtinId="3"/>
    <cellStyle name="Monétaire" xfId="3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F14" sqref="F14"/>
    </sheetView>
  </sheetViews>
  <sheetFormatPr baseColWidth="10" defaultRowHeight="12.75" x14ac:dyDescent="0.2"/>
  <cols>
    <col min="1" max="1" width="16.140625" customWidth="1"/>
    <col min="2" max="2" width="19.140625" customWidth="1"/>
    <col min="3" max="5" width="17.85546875" customWidth="1"/>
    <col min="6" max="6" width="18.5703125" customWidth="1"/>
  </cols>
  <sheetData>
    <row r="1" spans="1:6" ht="25.5" x14ac:dyDescent="0.2">
      <c r="A1" s="4" t="s">
        <v>0</v>
      </c>
      <c r="B1" s="5" t="s">
        <v>1</v>
      </c>
      <c r="C1" s="25" t="s">
        <v>2</v>
      </c>
      <c r="D1" s="24" t="s">
        <v>3</v>
      </c>
      <c r="E1" s="26" t="s">
        <v>4</v>
      </c>
      <c r="F1" s="27" t="s">
        <v>24</v>
      </c>
    </row>
    <row r="2" spans="1:6" x14ac:dyDescent="0.2">
      <c r="A2" s="1" t="s">
        <v>5</v>
      </c>
      <c r="B2" s="16">
        <v>1295.82</v>
      </c>
      <c r="C2" s="23"/>
      <c r="D2" s="35"/>
      <c r="E2" s="36"/>
      <c r="F2" s="34"/>
    </row>
    <row r="3" spans="1:6" x14ac:dyDescent="0.2">
      <c r="A3" s="2" t="s">
        <v>6</v>
      </c>
      <c r="B3" s="17">
        <v>18384.7</v>
      </c>
      <c r="C3" s="23"/>
      <c r="D3" s="37"/>
      <c r="E3" s="36"/>
      <c r="F3" s="34"/>
    </row>
    <row r="4" spans="1:6" x14ac:dyDescent="0.2">
      <c r="A4" s="2" t="s">
        <v>7</v>
      </c>
      <c r="B4" s="17">
        <v>14482.66</v>
      </c>
      <c r="C4" s="23"/>
      <c r="D4" s="37"/>
      <c r="E4" s="36"/>
      <c r="F4" s="34"/>
    </row>
    <row r="5" spans="1:6" x14ac:dyDescent="0.2">
      <c r="A5" s="2" t="s">
        <v>6</v>
      </c>
      <c r="B5" s="17">
        <v>1676.94</v>
      </c>
      <c r="C5" s="23"/>
      <c r="D5" s="37"/>
      <c r="E5" s="36"/>
      <c r="F5" s="34"/>
    </row>
    <row r="6" spans="1:6" x14ac:dyDescent="0.2">
      <c r="A6" s="2" t="s">
        <v>8</v>
      </c>
      <c r="B6" s="17">
        <v>10823.88</v>
      </c>
      <c r="C6" s="23"/>
      <c r="D6" s="37"/>
      <c r="E6" s="36"/>
      <c r="F6" s="34"/>
    </row>
    <row r="7" spans="1:6" x14ac:dyDescent="0.2">
      <c r="A7" s="2" t="s">
        <v>6</v>
      </c>
      <c r="B7" s="17">
        <v>6097.96</v>
      </c>
      <c r="C7" s="23"/>
      <c r="D7" s="37"/>
      <c r="E7" s="36"/>
      <c r="F7" s="34"/>
    </row>
    <row r="8" spans="1:6" x14ac:dyDescent="0.2">
      <c r="A8" s="3" t="s">
        <v>7</v>
      </c>
      <c r="B8" s="18">
        <v>8335.7199999999993</v>
      </c>
      <c r="C8" s="23"/>
      <c r="D8" s="37"/>
      <c r="E8" s="36"/>
      <c r="F8" s="34"/>
    </row>
    <row r="10" spans="1:6" x14ac:dyDescent="0.2">
      <c r="A10" s="7" t="s">
        <v>9</v>
      </c>
      <c r="B10" s="8"/>
    </row>
    <row r="11" spans="1:6" x14ac:dyDescent="0.2">
      <c r="A11" s="9" t="s">
        <v>18</v>
      </c>
      <c r="B11" s="10"/>
    </row>
    <row r="12" spans="1:6" x14ac:dyDescent="0.2">
      <c r="A12" s="9" t="s">
        <v>10</v>
      </c>
      <c r="B12" s="10"/>
    </row>
    <row r="13" spans="1:6" x14ac:dyDescent="0.2">
      <c r="A13" s="9" t="s">
        <v>12</v>
      </c>
      <c r="B13" s="10"/>
    </row>
    <row r="14" spans="1:6" x14ac:dyDescent="0.2">
      <c r="A14" s="11" t="s">
        <v>11</v>
      </c>
      <c r="B14" s="12"/>
    </row>
    <row r="16" spans="1:6" x14ac:dyDescent="0.2">
      <c r="B16" s="13" t="s">
        <v>13</v>
      </c>
      <c r="C16" s="8"/>
    </row>
    <row r="17" spans="2:11" x14ac:dyDescent="0.2">
      <c r="B17" s="14" t="s">
        <v>14</v>
      </c>
      <c r="C17" s="10"/>
    </row>
    <row r="18" spans="2:11" x14ac:dyDescent="0.2">
      <c r="B18" s="14" t="s">
        <v>15</v>
      </c>
      <c r="C18" s="10"/>
    </row>
    <row r="19" spans="2:11" x14ac:dyDescent="0.2">
      <c r="B19" s="11" t="s">
        <v>16</v>
      </c>
      <c r="C19" s="12"/>
    </row>
    <row r="21" spans="2:11" x14ac:dyDescent="0.2">
      <c r="C21" s="15" t="s">
        <v>17</v>
      </c>
      <c r="D21" s="20"/>
      <c r="E21" s="20"/>
      <c r="F21" s="8"/>
    </row>
    <row r="22" spans="2:11" x14ac:dyDescent="0.2">
      <c r="C22" s="14" t="s">
        <v>19</v>
      </c>
      <c r="D22" s="19"/>
      <c r="E22" s="19"/>
      <c r="F22" s="10"/>
    </row>
    <row r="23" spans="2:11" x14ac:dyDescent="0.2">
      <c r="C23" s="14" t="s">
        <v>20</v>
      </c>
      <c r="D23" s="19"/>
      <c r="E23" s="19"/>
      <c r="F23" s="10"/>
    </row>
    <row r="24" spans="2:11" x14ac:dyDescent="0.2">
      <c r="C24" s="14" t="s">
        <v>22</v>
      </c>
      <c r="D24" s="19"/>
      <c r="E24" s="19"/>
      <c r="F24" s="10"/>
    </row>
    <row r="25" spans="2:11" x14ac:dyDescent="0.2">
      <c r="C25" s="14" t="s">
        <v>23</v>
      </c>
      <c r="D25" s="19"/>
      <c r="E25" s="19"/>
      <c r="F25" s="10"/>
    </row>
    <row r="26" spans="2:11" x14ac:dyDescent="0.2">
      <c r="C26" s="11" t="s">
        <v>21</v>
      </c>
      <c r="D26" s="21"/>
      <c r="E26" s="21"/>
      <c r="F26" s="12"/>
    </row>
    <row r="28" spans="2:11" x14ac:dyDescent="0.2">
      <c r="G28" s="31" t="s">
        <v>27</v>
      </c>
      <c r="H28" s="20"/>
      <c r="I28" s="20"/>
      <c r="J28" s="20"/>
      <c r="K28" s="8"/>
    </row>
    <row r="29" spans="2:11" x14ac:dyDescent="0.2">
      <c r="G29" s="32" t="s">
        <v>28</v>
      </c>
      <c r="H29" s="19"/>
      <c r="I29" s="19"/>
      <c r="J29" s="19"/>
      <c r="K29" s="10"/>
    </row>
    <row r="30" spans="2:11" x14ac:dyDescent="0.2">
      <c r="G30" s="32" t="s">
        <v>25</v>
      </c>
      <c r="H30" s="19"/>
      <c r="I30" s="19"/>
      <c r="J30" s="19"/>
      <c r="K30" s="10"/>
    </row>
    <row r="31" spans="2:11" x14ac:dyDescent="0.2">
      <c r="G31" s="32" t="s">
        <v>26</v>
      </c>
      <c r="H31" s="19"/>
      <c r="I31" s="19"/>
      <c r="J31" s="19"/>
      <c r="K31" s="10"/>
    </row>
    <row r="32" spans="2:11" x14ac:dyDescent="0.2">
      <c r="G32" s="11"/>
      <c r="H32" s="21"/>
      <c r="I32" s="21"/>
      <c r="J32" s="21"/>
      <c r="K32" s="12"/>
    </row>
  </sheetData>
  <phoneticPr fontId="0" type="noConversion"/>
  <printOptions horizontalCentered="1"/>
  <pageMargins left="0.27559055118110237" right="0.27559055118110237" top="0.98425196850393704" bottom="0.98425196850393704" header="0.51181102362204722" footer="0.51181102362204722"/>
  <pageSetup paperSize="9" orientation="portrait" horizontalDpi="300" verticalDpi="300" r:id="rId1"/>
  <headerFooter alignWithMargins="0">
    <oddHeader>&amp;L&amp;"Arial,Gras italique"&amp;9&amp;F - 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K19" sqref="K19"/>
    </sheetView>
  </sheetViews>
  <sheetFormatPr baseColWidth="10" defaultRowHeight="12.75" x14ac:dyDescent="0.2"/>
  <cols>
    <col min="1" max="1" width="16.140625" customWidth="1"/>
    <col min="2" max="2" width="19.140625" customWidth="1"/>
    <col min="3" max="5" width="17.85546875" customWidth="1"/>
    <col min="6" max="6" width="18.5703125" customWidth="1"/>
  </cols>
  <sheetData>
    <row r="1" spans="1:7" x14ac:dyDescent="0.2">
      <c r="A1" s="4" t="s">
        <v>0</v>
      </c>
      <c r="B1" s="5" t="s">
        <v>1</v>
      </c>
      <c r="C1" s="25" t="s">
        <v>2</v>
      </c>
      <c r="D1" s="24" t="s">
        <v>3</v>
      </c>
      <c r="E1" s="26" t="s">
        <v>4</v>
      </c>
      <c r="F1" s="27" t="s">
        <v>24</v>
      </c>
    </row>
    <row r="2" spans="1:7" x14ac:dyDescent="0.2">
      <c r="A2" s="1" t="s">
        <v>5</v>
      </c>
      <c r="B2" s="16">
        <v>1295.82</v>
      </c>
      <c r="C2" s="22">
        <f>IF(AND(A2="carole",B2&gt;10000),B2*10%,B2*5%)</f>
        <v>64.790999999999997</v>
      </c>
      <c r="D2" s="28">
        <f>IF(OR(A2="Carole",A2="jacques"),B2*10%,B2*5%)</f>
        <v>64.790999999999997</v>
      </c>
      <c r="E2" s="6">
        <f>IF(B2&gt;10000,B2*20%,IF(B2&gt;8000,B2*15%,IF(B2&gt;6000,B2*10%,0)))</f>
        <v>0</v>
      </c>
      <c r="F2" s="33">
        <f t="shared" ref="F2:F8" si="0">IF(AND(B2&gt;=10000,OR(A2="Jacques",A2="Paul")),B2*15%,B2*10%)</f>
        <v>129.58199999999999</v>
      </c>
      <c r="G2">
        <f t="shared" ref="G2:G8" si="1">IF(OR(AND(A2="jacques",B2&gt;=10000),AND(A2="paul",B2&gt;=10000)),B2*15%,B2*10%)</f>
        <v>129.58199999999999</v>
      </c>
    </row>
    <row r="3" spans="1:7" x14ac:dyDescent="0.2">
      <c r="A3" s="2" t="s">
        <v>6</v>
      </c>
      <c r="B3" s="17">
        <v>18384.7</v>
      </c>
      <c r="C3" s="22">
        <f t="shared" ref="C3:C8" si="2">IF(AND(A3="carole",B3&gt;10000),B3*10%,B3*5%)</f>
        <v>1838.4700000000003</v>
      </c>
      <c r="D3" s="29">
        <f t="shared" ref="D3:D8" si="3">IF(OR(A3="Carole",A3="jacques"),B3*10%,B3*5%)</f>
        <v>1838.4700000000003</v>
      </c>
      <c r="E3" s="6">
        <f t="shared" ref="E3:E8" si="4">IF(B3&gt;10000,B3*20%,IF(B3&gt;8000,B3*15%,IF(B3&gt;6000,B3*10%,0)))</f>
        <v>3676.9400000000005</v>
      </c>
      <c r="F3" s="33">
        <f t="shared" si="0"/>
        <v>1838.4700000000003</v>
      </c>
      <c r="G3">
        <f t="shared" si="1"/>
        <v>1838.4700000000003</v>
      </c>
    </row>
    <row r="4" spans="1:7" x14ac:dyDescent="0.2">
      <c r="A4" s="2" t="s">
        <v>7</v>
      </c>
      <c r="B4" s="17">
        <v>14482.66</v>
      </c>
      <c r="C4" s="22">
        <f t="shared" si="2"/>
        <v>724.13300000000004</v>
      </c>
      <c r="D4" s="29">
        <f t="shared" si="3"/>
        <v>1448.2660000000001</v>
      </c>
      <c r="E4" s="6">
        <f t="shared" si="4"/>
        <v>2896.5320000000002</v>
      </c>
      <c r="F4" s="33">
        <f t="shared" si="0"/>
        <v>2172.3989999999999</v>
      </c>
      <c r="G4">
        <f>IF(OR(AND(A4="jacques",B4&gt;=10000),AND(A4="paul",B4&gt;=10000)),B4*15%,B4*10%)</f>
        <v>2172.3989999999999</v>
      </c>
    </row>
    <row r="5" spans="1:7" x14ac:dyDescent="0.2">
      <c r="A5" s="2" t="s">
        <v>6</v>
      </c>
      <c r="B5" s="17">
        <v>1676.94</v>
      </c>
      <c r="C5" s="22">
        <f t="shared" si="2"/>
        <v>83.847000000000008</v>
      </c>
      <c r="D5" s="29">
        <f t="shared" si="3"/>
        <v>167.69400000000002</v>
      </c>
      <c r="E5" s="6">
        <f t="shared" si="4"/>
        <v>0</v>
      </c>
      <c r="F5" s="33">
        <f t="shared" si="0"/>
        <v>167.69400000000002</v>
      </c>
      <c r="G5">
        <f t="shared" si="1"/>
        <v>167.69400000000002</v>
      </c>
    </row>
    <row r="6" spans="1:7" x14ac:dyDescent="0.2">
      <c r="A6" s="2" t="s">
        <v>8</v>
      </c>
      <c r="B6" s="17">
        <v>10823.88</v>
      </c>
      <c r="C6" s="22">
        <f t="shared" si="2"/>
        <v>541.19399999999996</v>
      </c>
      <c r="D6" s="29">
        <f t="shared" si="3"/>
        <v>541.19399999999996</v>
      </c>
      <c r="E6" s="6">
        <f t="shared" si="4"/>
        <v>2164.7759999999998</v>
      </c>
      <c r="F6" s="33">
        <f t="shared" si="0"/>
        <v>1623.5819999999999</v>
      </c>
      <c r="G6">
        <f t="shared" si="1"/>
        <v>1623.5819999999999</v>
      </c>
    </row>
    <row r="7" spans="1:7" x14ac:dyDescent="0.2">
      <c r="A7" s="2" t="s">
        <v>6</v>
      </c>
      <c r="B7" s="17">
        <v>6097.96</v>
      </c>
      <c r="C7" s="22">
        <f t="shared" si="2"/>
        <v>304.89800000000002</v>
      </c>
      <c r="D7" s="29">
        <f t="shared" si="3"/>
        <v>609.79600000000005</v>
      </c>
      <c r="E7" s="6">
        <f t="shared" si="4"/>
        <v>609.79600000000005</v>
      </c>
      <c r="F7" s="33">
        <f t="shared" si="0"/>
        <v>609.79600000000005</v>
      </c>
      <c r="G7">
        <f t="shared" si="1"/>
        <v>609.79600000000005</v>
      </c>
    </row>
    <row r="8" spans="1:7" x14ac:dyDescent="0.2">
      <c r="A8" s="3" t="s">
        <v>7</v>
      </c>
      <c r="B8" s="18">
        <v>8335.7199999999993</v>
      </c>
      <c r="C8" s="23">
        <f t="shared" si="2"/>
        <v>416.786</v>
      </c>
      <c r="D8" s="30">
        <f t="shared" si="3"/>
        <v>833.572</v>
      </c>
      <c r="E8" s="6">
        <f t="shared" si="4"/>
        <v>1250.3579999999999</v>
      </c>
      <c r="F8" s="34">
        <f t="shared" si="0"/>
        <v>833.572</v>
      </c>
      <c r="G8">
        <f t="shared" si="1"/>
        <v>833.572</v>
      </c>
    </row>
    <row r="10" spans="1:7" x14ac:dyDescent="0.2">
      <c r="A10" s="7" t="s">
        <v>9</v>
      </c>
      <c r="B10" s="8"/>
    </row>
    <row r="11" spans="1:7" x14ac:dyDescent="0.2">
      <c r="A11" s="9" t="s">
        <v>18</v>
      </c>
      <c r="B11" s="10"/>
    </row>
    <row r="12" spans="1:7" x14ac:dyDescent="0.2">
      <c r="A12" s="9" t="s">
        <v>10</v>
      </c>
      <c r="B12" s="10"/>
    </row>
    <row r="13" spans="1:7" x14ac:dyDescent="0.2">
      <c r="A13" s="9" t="s">
        <v>12</v>
      </c>
      <c r="B13" s="10"/>
    </row>
    <row r="14" spans="1:7" x14ac:dyDescent="0.2">
      <c r="A14" s="11" t="s">
        <v>11</v>
      </c>
      <c r="B14" s="12"/>
    </row>
    <row r="16" spans="1:7" x14ac:dyDescent="0.2">
      <c r="B16" s="13" t="s">
        <v>13</v>
      </c>
      <c r="C16" s="8"/>
    </row>
    <row r="17" spans="2:11" x14ac:dyDescent="0.2">
      <c r="B17" s="14" t="s">
        <v>14</v>
      </c>
      <c r="C17" s="10"/>
    </row>
    <row r="18" spans="2:11" x14ac:dyDescent="0.2">
      <c r="B18" s="14" t="s">
        <v>15</v>
      </c>
      <c r="C18" s="10"/>
    </row>
    <row r="19" spans="2:11" x14ac:dyDescent="0.2">
      <c r="B19" s="11" t="s">
        <v>16</v>
      </c>
      <c r="C19" s="12"/>
    </row>
    <row r="21" spans="2:11" x14ac:dyDescent="0.2">
      <c r="C21" s="15" t="s">
        <v>17</v>
      </c>
      <c r="D21" s="20"/>
      <c r="E21" s="20"/>
      <c r="F21" s="8"/>
    </row>
    <row r="22" spans="2:11" x14ac:dyDescent="0.2">
      <c r="C22" s="14" t="s">
        <v>19</v>
      </c>
      <c r="D22" s="19"/>
      <c r="E22" s="19"/>
      <c r="F22" s="10"/>
    </row>
    <row r="23" spans="2:11" x14ac:dyDescent="0.2">
      <c r="C23" s="14" t="s">
        <v>20</v>
      </c>
      <c r="D23" s="19"/>
      <c r="E23" s="19"/>
      <c r="F23" s="10"/>
    </row>
    <row r="24" spans="2:11" x14ac:dyDescent="0.2">
      <c r="C24" s="14" t="s">
        <v>22</v>
      </c>
      <c r="D24" s="19"/>
      <c r="E24" s="19"/>
      <c r="F24" s="10"/>
    </row>
    <row r="25" spans="2:11" x14ac:dyDescent="0.2">
      <c r="C25" s="14" t="s">
        <v>23</v>
      </c>
      <c r="D25" s="19"/>
      <c r="E25" s="19"/>
      <c r="F25" s="10"/>
    </row>
    <row r="26" spans="2:11" x14ac:dyDescent="0.2">
      <c r="C26" s="11" t="s">
        <v>21</v>
      </c>
      <c r="D26" s="21"/>
      <c r="E26" s="21"/>
      <c r="F26" s="12"/>
    </row>
    <row r="28" spans="2:11" x14ac:dyDescent="0.2">
      <c r="G28" s="31" t="s">
        <v>27</v>
      </c>
      <c r="H28" s="20"/>
      <c r="I28" s="20"/>
      <c r="J28" s="20"/>
      <c r="K28" s="8"/>
    </row>
    <row r="29" spans="2:11" x14ac:dyDescent="0.2">
      <c r="G29" s="32" t="s">
        <v>28</v>
      </c>
      <c r="H29" s="19"/>
      <c r="I29" s="19"/>
      <c r="J29" s="19"/>
      <c r="K29" s="10"/>
    </row>
    <row r="30" spans="2:11" x14ac:dyDescent="0.2">
      <c r="G30" s="32" t="s">
        <v>25</v>
      </c>
      <c r="H30" s="19"/>
      <c r="I30" s="19"/>
      <c r="J30" s="19"/>
      <c r="K30" s="10"/>
    </row>
    <row r="31" spans="2:11" x14ac:dyDescent="0.2">
      <c r="G31" s="32" t="s">
        <v>26</v>
      </c>
      <c r="H31" s="19"/>
      <c r="I31" s="19"/>
      <c r="J31" s="19"/>
      <c r="K31" s="10"/>
    </row>
    <row r="32" spans="2:11" x14ac:dyDescent="0.2">
      <c r="G32" s="11"/>
      <c r="H32" s="21"/>
      <c r="I32" s="21"/>
      <c r="J32" s="21"/>
      <c r="K32" s="12"/>
    </row>
  </sheetData>
  <printOptions horizontalCentered="1"/>
  <pageMargins left="0.27559055118110237" right="0.27559055118110237" top="0.98425196850393704" bottom="0.98425196850393704" header="0.51181102362204722" footer="0.51181102362204722"/>
  <pageSetup paperSize="9" orientation="portrait" horizontalDpi="300" verticalDpi="300" r:id="rId1"/>
  <headerFooter alignWithMargins="0">
    <oddHeader>&amp;L&amp;"Arial,Gras italique"&amp;9&amp;F - 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Chantier-Vierge</vt:lpstr>
      <vt:lpstr>Chantier-Vierge resutat</vt:lpstr>
    </vt:vector>
  </TitlesOfParts>
  <Company>Formation Continue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CCI ESSONNE Relais Nord</dc:creator>
  <cp:lastModifiedBy>Stagiaire</cp:lastModifiedBy>
  <cp:lastPrinted>2002-06-16T17:42:21Z</cp:lastPrinted>
  <dcterms:created xsi:type="dcterms:W3CDTF">2001-06-11T10:51:19Z</dcterms:created>
  <dcterms:modified xsi:type="dcterms:W3CDTF">2018-04-18T09:31:15Z</dcterms:modified>
</cp:coreProperties>
</file>