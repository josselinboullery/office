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XL3\FONCTION SI\"/>
    </mc:Choice>
  </mc:AlternateContent>
  <xr:revisionPtr revIDLastSave="0" documentId="13_ncr:1_{9BEAB29E-5167-4E8F-B13F-26BA7DA3DF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NONCE" sheetId="1" r:id="rId1"/>
    <sheet name="RESULTAT" sheetId="2" r:id="rId2"/>
  </sheets>
  <externalReferences>
    <externalReference r:id="rId3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_xlnm.Print_Area" localSheetId="0">ENONCE!$A$1:$E$27</definedName>
    <definedName name="_xlnm.Print_Area" localSheetId="1">RESULTAT!$A$1:$E$27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9" i="2" l="1"/>
  <c r="C29" i="2"/>
  <c r="D28" i="2"/>
  <c r="C28" i="2"/>
  <c r="D27" i="2"/>
  <c r="C27" i="2"/>
  <c r="E25" i="2"/>
  <c r="F25" i="2" s="1"/>
  <c r="E24" i="2"/>
  <c r="G24" i="2" s="1"/>
  <c r="E23" i="2"/>
  <c r="F23" i="2" s="1"/>
  <c r="E22" i="2"/>
  <c r="G22" i="2" s="1"/>
  <c r="E21" i="2"/>
  <c r="G21" i="2" s="1"/>
  <c r="E20" i="2"/>
  <c r="G20" i="2" s="1"/>
  <c r="E19" i="2"/>
  <c r="F19" i="2" s="1"/>
  <c r="E18" i="2"/>
  <c r="G18" i="2" s="1"/>
  <c r="E17" i="2"/>
  <c r="F17" i="2" s="1"/>
  <c r="F16" i="2"/>
  <c r="E16" i="2"/>
  <c r="G16" i="2" s="1"/>
  <c r="E15" i="2"/>
  <c r="F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F10" i="2" l="1"/>
  <c r="F14" i="2"/>
  <c r="F12" i="2"/>
  <c r="F8" i="2"/>
  <c r="F24" i="2"/>
  <c r="F20" i="2"/>
  <c r="G25" i="2"/>
  <c r="F6" i="2"/>
  <c r="F22" i="2"/>
  <c r="F18" i="2"/>
  <c r="G15" i="2"/>
  <c r="G17" i="2"/>
  <c r="G19" i="2"/>
  <c r="G23" i="2"/>
  <c r="F7" i="2"/>
  <c r="F9" i="2"/>
  <c r="F11" i="2"/>
  <c r="F13" i="2"/>
  <c r="F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formateur</author>
  </authors>
  <commentList>
    <comment ref="E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Calculer la moyenne des 2 notes</t>
        </r>
      </text>
    </comment>
    <comment ref="G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Mettre J pour sourire ou L et mettre en police Wingding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formateur</author>
  </authors>
  <commentList>
    <comment ref="E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Calculer la moyenne
Mettre une mise en forme conditionnelle ICONE FLECHES</t>
        </r>
      </text>
    </comment>
    <comment ref="G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Mettre J pour sourire ou L et mettre en police Wingding</t>
        </r>
      </text>
    </comment>
  </commentList>
</comments>
</file>

<file path=xl/sharedStrings.xml><?xml version="1.0" encoding="utf-8"?>
<sst xmlns="http://schemas.openxmlformats.org/spreadsheetml/2006/main" count="102" uniqueCount="33">
  <si>
    <t>NOTES</t>
  </si>
  <si>
    <t>ELEVES</t>
  </si>
  <si>
    <t>NOTE
Français</t>
  </si>
  <si>
    <t>NOTES
MATHS</t>
  </si>
  <si>
    <t>MOYENNE</t>
  </si>
  <si>
    <t>ELEVE1</t>
  </si>
  <si>
    <t>ELEVE2</t>
  </si>
  <si>
    <t>ELEVE3</t>
  </si>
  <si>
    <t>ELEVE4</t>
  </si>
  <si>
    <t>ELEVE5</t>
  </si>
  <si>
    <t>ELEVE6</t>
  </si>
  <si>
    <t>ELEVE7</t>
  </si>
  <si>
    <t>ELEVE8</t>
  </si>
  <si>
    <t>ELEVE9</t>
  </si>
  <si>
    <t>ELEVE10</t>
  </si>
  <si>
    <t>ELEVE11</t>
  </si>
  <si>
    <t>ELEVE12</t>
  </si>
  <si>
    <t>ELEVE13</t>
  </si>
  <si>
    <t>ELEVE14</t>
  </si>
  <si>
    <t>ELEVE15</t>
  </si>
  <si>
    <t>ELEVE16</t>
  </si>
  <si>
    <t>ELEVE17</t>
  </si>
  <si>
    <t>ELEVE18</t>
  </si>
  <si>
    <t>ELEVE19</t>
  </si>
  <si>
    <t>ELEVE20</t>
  </si>
  <si>
    <t>MOYENNE MATIERE</t>
  </si>
  <si>
    <t>SEXE</t>
  </si>
  <si>
    <t>G</t>
  </si>
  <si>
    <t>F</t>
  </si>
  <si>
    <t>SMILEYS</t>
  </si>
  <si>
    <t>RECU
RECALE</t>
  </si>
  <si>
    <t>maxi</t>
  </si>
  <si>
    <t>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</si>
</sst>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.00\ [$€]_-;\-* #,##0.00\ [$€]_-;_-* &quot;-&quot;??\ [$€]_-;_-@_-"/>
    <numFmt numFmtId="167" formatCode="_-* #,##0.00\ _F_-;\-* #,##0.00\ _F_-;_-* &quot;-&quot;??\ _F_-;_-@_-"/>
    <numFmt numFmtId="168" formatCode="_-* #,##0.00\ &quot;F&quot;_-;\-* #,##0.00\ &quot;F&quot;_-;_-* &quot;-&quot;??\ &quot;F&quot;_-;_-@_-"/>
    <numFmt numFmtId="169" formatCode="_ * #,##0.00_)\ &quot;$&quot;_ ;_ * \(#,##0.00\)\ &quot;$&quot;_ ;_ * &quot;-&quot;??_)\ &quot;$&quot;_ ;_ @_ "/>
    <numFmt numFmtId="170" formatCode="0.0%"/>
  </numFmts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Wingdings"/>
      <charset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7" fillId="0" borderId="0"/>
    <xf numFmtId="0" fontId="8" fillId="7" borderId="2"/>
    <xf numFmtId="164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2" borderId="0" applyNumberFormat="0" applyBorder="0" applyAlignment="0" applyProtection="0"/>
    <xf numFmtId="0" fontId="5" fillId="0" borderId="0"/>
    <xf numFmtId="0" fontId="2" fillId="0" borderId="3"/>
    <xf numFmtId="0" fontId="5" fillId="0" borderId="4"/>
    <xf numFmtId="170" fontId="8" fillId="7" borderId="5">
      <alignment horizontal="center"/>
    </xf>
    <xf numFmtId="0" fontId="10" fillId="8" borderId="6">
      <alignment horizontal="center"/>
    </xf>
    <xf numFmtId="0" fontId="11" fillId="9" borderId="0"/>
    <xf numFmtId="0" fontId="12" fillId="0" borderId="0">
      <alignment horizont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7"/>
  </cellStyleXfs>
  <cellXfs count="18">
    <xf numFmtId="0" fontId="0" fillId="0" borderId="0" xfId="0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/>
    <xf numFmtId="0" fontId="16" fillId="0" borderId="1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1" xfId="0" applyFont="1" applyBorder="1" applyAlignment="1">
      <alignment wrapText="1"/>
    </xf>
    <xf numFmtId="0" fontId="16" fillId="0" borderId="1" xfId="0" applyFont="1" applyBorder="1"/>
    <xf numFmtId="0" fontId="16" fillId="0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/>
    <xf numFmtId="0" fontId="15" fillId="0" borderId="0" xfId="0" applyFont="1" applyAlignment="1">
      <alignment horizontal="center"/>
    </xf>
  </cellXfs>
  <cellStyles count="40">
    <cellStyle name="20 % - Accent1 2" xfId="1" xr:uid="{00000000-0005-0000-0000-000000000000}"/>
    <cellStyle name="Accent1 2" xfId="2" xr:uid="{00000000-0005-0000-0000-000001000000}"/>
    <cellStyle name="Accent2 2" xfId="3" xr:uid="{00000000-0005-0000-0000-000002000000}"/>
    <cellStyle name="Accent3 2" xfId="4" xr:uid="{00000000-0005-0000-0000-000003000000}"/>
    <cellStyle name="Dezimal [0]" xfId="5" xr:uid="{00000000-0005-0000-0000-000004000000}"/>
    <cellStyle name="Dezimal_Tabelle1" xfId="6" xr:uid="{00000000-0005-0000-0000-000005000000}"/>
    <cellStyle name="Euro" xfId="7" xr:uid="{00000000-0005-0000-0000-000006000000}"/>
    <cellStyle name="Euro 2" xfId="8" xr:uid="{00000000-0005-0000-0000-000007000000}"/>
    <cellStyle name="Euro 3" xfId="9" xr:uid="{00000000-0005-0000-0000-000008000000}"/>
    <cellStyle name="Excel Built-in Normal" xfId="10" xr:uid="{00000000-0005-0000-0000-000009000000}"/>
    <cellStyle name="ligne" xfId="11" xr:uid="{00000000-0005-0000-0000-00000A000000}"/>
    <cellStyle name="Milliers [0] 2" xfId="12" xr:uid="{00000000-0005-0000-0000-00000B000000}"/>
    <cellStyle name="Milliers 2" xfId="13" xr:uid="{00000000-0005-0000-0000-00000C000000}"/>
    <cellStyle name="Milliers 3" xfId="14" xr:uid="{00000000-0005-0000-0000-00000D000000}"/>
    <cellStyle name="Milliers 4" xfId="15" xr:uid="{00000000-0005-0000-0000-00000E000000}"/>
    <cellStyle name="Monétaire 2" xfId="16" xr:uid="{00000000-0005-0000-0000-00000F000000}"/>
    <cellStyle name="Monétaire 2 2" xfId="17" xr:uid="{00000000-0005-0000-0000-000010000000}"/>
    <cellStyle name="Monétaire 3" xfId="18" xr:uid="{00000000-0005-0000-0000-000011000000}"/>
    <cellStyle name="Monétaire 4" xfId="19" xr:uid="{00000000-0005-0000-0000-000012000000}"/>
    <cellStyle name="Normal" xfId="0" builtinId="0"/>
    <cellStyle name="Normal 2" xfId="20" xr:uid="{00000000-0005-0000-0000-000014000000}"/>
    <cellStyle name="Normal 3" xfId="21" xr:uid="{00000000-0005-0000-0000-000015000000}"/>
    <cellStyle name="Normal 4" xfId="22" xr:uid="{00000000-0005-0000-0000-000016000000}"/>
    <cellStyle name="Normal 5" xfId="23" xr:uid="{00000000-0005-0000-0000-000017000000}"/>
    <cellStyle name="Normal 6" xfId="24" xr:uid="{00000000-0005-0000-0000-000018000000}"/>
    <cellStyle name="Normal 7" xfId="25" xr:uid="{00000000-0005-0000-0000-000019000000}"/>
    <cellStyle name="Pourcentage 2" xfId="26" xr:uid="{00000000-0005-0000-0000-00001A000000}"/>
    <cellStyle name="Pourcentage 3" xfId="27" xr:uid="{00000000-0005-0000-0000-00001B000000}"/>
    <cellStyle name="Pourcentage 4" xfId="28" xr:uid="{00000000-0005-0000-0000-00001C000000}"/>
    <cellStyle name="Satisfaisant 2" xfId="29" xr:uid="{00000000-0005-0000-0000-00001D000000}"/>
    <cellStyle name="Standard_Tabelle1" xfId="30" xr:uid="{00000000-0005-0000-0000-00001E000000}"/>
    <cellStyle name="Style 1" xfId="31" xr:uid="{00000000-0005-0000-0000-00001F000000}"/>
    <cellStyle name="Summen" xfId="32" xr:uid="{00000000-0005-0000-0000-000020000000}"/>
    <cellStyle name="table" xfId="33" xr:uid="{00000000-0005-0000-0000-000021000000}"/>
    <cellStyle name="TITCOL" xfId="34" xr:uid="{00000000-0005-0000-0000-000022000000}"/>
    <cellStyle name="Titel" xfId="35" xr:uid="{00000000-0005-0000-0000-000023000000}"/>
    <cellStyle name="Untertitel" xfId="36" xr:uid="{00000000-0005-0000-0000-000024000000}"/>
    <cellStyle name="Währung [0]" xfId="37" xr:uid="{00000000-0005-0000-0000-000025000000}"/>
    <cellStyle name="Währung_Tabelle1" xfId="38" xr:uid="{00000000-0005-0000-0000-000026000000}"/>
    <cellStyle name="Zwischensummen" xfId="39" xr:uid="{00000000-0005-0000-0000-000027000000}"/>
  </cellStyles>
  <dxfs count="4"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b/>
        <i val="0"/>
        <color rgb="FF00FF00"/>
      </font>
    </dxf>
    <dxf>
      <font>
        <b/>
        <i val="0"/>
        <color rgb="FFFF0000"/>
      </font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RESULTAT!$C$5</c:f>
              <c:strCache>
                <c:ptCount val="1"/>
                <c:pt idx="0">
                  <c:v>NOTE
Français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RESULTAT!$A$6:$A$25</c:f>
              <c:strCache>
                <c:ptCount val="20"/>
                <c:pt idx="0">
                  <c:v>ELEVE1</c:v>
                </c:pt>
                <c:pt idx="1">
                  <c:v>ELEVE2</c:v>
                </c:pt>
                <c:pt idx="2">
                  <c:v>ELEVE3</c:v>
                </c:pt>
                <c:pt idx="3">
                  <c:v>ELEVE4</c:v>
                </c:pt>
                <c:pt idx="4">
                  <c:v>ELEVE5</c:v>
                </c:pt>
                <c:pt idx="5">
                  <c:v>ELEVE6</c:v>
                </c:pt>
                <c:pt idx="6">
                  <c:v>ELEVE7</c:v>
                </c:pt>
                <c:pt idx="7">
                  <c:v>ELEVE8</c:v>
                </c:pt>
                <c:pt idx="8">
                  <c:v>ELEVE9</c:v>
                </c:pt>
                <c:pt idx="9">
                  <c:v>ELEVE10</c:v>
                </c:pt>
                <c:pt idx="10">
                  <c:v>ELEVE11</c:v>
                </c:pt>
                <c:pt idx="11">
                  <c:v>ELEVE12</c:v>
                </c:pt>
                <c:pt idx="12">
                  <c:v>ELEVE13</c:v>
                </c:pt>
                <c:pt idx="13">
                  <c:v>ELEVE14</c:v>
                </c:pt>
                <c:pt idx="14">
                  <c:v>ELEVE15</c:v>
                </c:pt>
                <c:pt idx="15">
                  <c:v>ELEVE16</c:v>
                </c:pt>
                <c:pt idx="16">
                  <c:v>ELEVE17</c:v>
                </c:pt>
                <c:pt idx="17">
                  <c:v>ELEVE18</c:v>
                </c:pt>
                <c:pt idx="18">
                  <c:v>ELEVE19</c:v>
                </c:pt>
                <c:pt idx="19">
                  <c:v>ELEVE20</c:v>
                </c:pt>
              </c:strCache>
            </c:strRef>
          </c:cat>
          <c:val>
            <c:numRef>
              <c:f>RESULTAT!$C$6:$C$25</c:f>
              <c:numCache>
                <c:formatCode>General</c:formatCode>
                <c:ptCount val="2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</c:v>
                </c:pt>
                <c:pt idx="4">
                  <c:v>16</c:v>
                </c:pt>
                <c:pt idx="5">
                  <c:v>12</c:v>
                </c:pt>
                <c:pt idx="6">
                  <c:v>1</c:v>
                </c:pt>
                <c:pt idx="7">
                  <c:v>15</c:v>
                </c:pt>
                <c:pt idx="8">
                  <c:v>12</c:v>
                </c:pt>
                <c:pt idx="9">
                  <c:v>6</c:v>
                </c:pt>
                <c:pt idx="10">
                  <c:v>2</c:v>
                </c:pt>
                <c:pt idx="11">
                  <c:v>5</c:v>
                </c:pt>
                <c:pt idx="12">
                  <c:v>9</c:v>
                </c:pt>
                <c:pt idx="13">
                  <c:v>1</c:v>
                </c:pt>
                <c:pt idx="14">
                  <c:v>12</c:v>
                </c:pt>
                <c:pt idx="15">
                  <c:v>0</c:v>
                </c:pt>
                <c:pt idx="16">
                  <c:v>2</c:v>
                </c:pt>
                <c:pt idx="17">
                  <c:v>6</c:v>
                </c:pt>
                <c:pt idx="18">
                  <c:v>12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0-4346-83BB-6A48A72DFC6B}"/>
            </c:ext>
          </c:extLst>
        </c:ser>
        <c:ser>
          <c:idx val="1"/>
          <c:order val="1"/>
          <c:tx>
            <c:strRef>
              <c:f>RESULTAT!$D$5</c:f>
              <c:strCache>
                <c:ptCount val="1"/>
                <c:pt idx="0">
                  <c:v>NOTES
MATHS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RESULTAT!$A$6:$A$25</c:f>
              <c:strCache>
                <c:ptCount val="20"/>
                <c:pt idx="0">
                  <c:v>ELEVE1</c:v>
                </c:pt>
                <c:pt idx="1">
                  <c:v>ELEVE2</c:v>
                </c:pt>
                <c:pt idx="2">
                  <c:v>ELEVE3</c:v>
                </c:pt>
                <c:pt idx="3">
                  <c:v>ELEVE4</c:v>
                </c:pt>
                <c:pt idx="4">
                  <c:v>ELEVE5</c:v>
                </c:pt>
                <c:pt idx="5">
                  <c:v>ELEVE6</c:v>
                </c:pt>
                <c:pt idx="6">
                  <c:v>ELEVE7</c:v>
                </c:pt>
                <c:pt idx="7">
                  <c:v>ELEVE8</c:v>
                </c:pt>
                <c:pt idx="8">
                  <c:v>ELEVE9</c:v>
                </c:pt>
                <c:pt idx="9">
                  <c:v>ELEVE10</c:v>
                </c:pt>
                <c:pt idx="10">
                  <c:v>ELEVE11</c:v>
                </c:pt>
                <c:pt idx="11">
                  <c:v>ELEVE12</c:v>
                </c:pt>
                <c:pt idx="12">
                  <c:v>ELEVE13</c:v>
                </c:pt>
                <c:pt idx="13">
                  <c:v>ELEVE14</c:v>
                </c:pt>
                <c:pt idx="14">
                  <c:v>ELEVE15</c:v>
                </c:pt>
                <c:pt idx="15">
                  <c:v>ELEVE16</c:v>
                </c:pt>
                <c:pt idx="16">
                  <c:v>ELEVE17</c:v>
                </c:pt>
                <c:pt idx="17">
                  <c:v>ELEVE18</c:v>
                </c:pt>
                <c:pt idx="18">
                  <c:v>ELEVE19</c:v>
                </c:pt>
                <c:pt idx="19">
                  <c:v>ELEVE20</c:v>
                </c:pt>
              </c:strCache>
            </c:strRef>
          </c:cat>
          <c:val>
            <c:numRef>
              <c:f>RESULTAT!$D$6:$D$25</c:f>
              <c:numCache>
                <c:formatCode>General</c:formatCode>
                <c:ptCount val="20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19</c:v>
                </c:pt>
                <c:pt idx="4">
                  <c:v>12</c:v>
                </c:pt>
                <c:pt idx="5">
                  <c:v>10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12</c:v>
                </c:pt>
                <c:pt idx="11">
                  <c:v>1</c:v>
                </c:pt>
                <c:pt idx="12">
                  <c:v>15</c:v>
                </c:pt>
                <c:pt idx="13">
                  <c:v>1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3</c:v>
                </c:pt>
                <c:pt idx="18">
                  <c:v>11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0-4346-83BB-6A48A72DFC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333801520"/>
        <c:axId val="333799952"/>
      </c:barChart>
      <c:catAx>
        <c:axId val="333801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333799952"/>
        <c:crosses val="autoZero"/>
        <c:auto val="1"/>
        <c:lblAlgn val="ctr"/>
        <c:lblOffset val="100"/>
        <c:noMultiLvlLbl val="0"/>
      </c:catAx>
      <c:valAx>
        <c:axId val="333799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38015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476249</xdr:colOff>
      <xdr:row>3</xdr:row>
      <xdr:rowOff>66675</xdr:rowOff>
    </xdr:from>
    <xdr:to>
      <xdr:col>12</xdr:col>
      <xdr:colOff>676274</xdr:colOff>
      <xdr:row>34</xdr:row>
      <xdr:rowOff>47625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867274" y="657225"/>
          <a:ext cx="4010025" cy="5324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 i="0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ENONCE :</a:t>
          </a:r>
        </a:p>
        <a:p>
          <a:endParaRPr lang="fr-FR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2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fr-FR" sz="1200" b="1" i="1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REALISER LES</a:t>
          </a:r>
          <a:r>
            <a:rPr lang="fr-FR" sz="1200" b="1" i="1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CALCULS</a:t>
          </a:r>
        </a:p>
        <a:p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Moyenne des 2 notes</a:t>
          </a:r>
        </a:p>
        <a:p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Recu ou recalé si la moyenne est &gt;= 10</a:t>
          </a:r>
        </a:p>
        <a:p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Smileys si la Moyenne est &gt;= 10</a:t>
          </a:r>
        </a:p>
        <a:p>
          <a:endParaRPr lang="fr-FR" sz="12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200" b="1" i="1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*Appliquer une mise en forme conditionnelle</a:t>
          </a:r>
          <a:b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COULEUR SUR LES SMILEYS (Rouge et Vert)</a:t>
          </a:r>
          <a:endParaRPr lang="fr-FR" sz="1200"/>
        </a:p>
        <a:p>
          <a:r>
            <a:rPr lang="fr-FR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&gt;= 15 en Bleu</a:t>
          </a:r>
          <a:r>
            <a:rPr lang="fr-FR" sz="1200"/>
            <a:t> </a:t>
          </a:r>
        </a:p>
        <a:p>
          <a:r>
            <a:rPr lang="fr-FR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&lt;=5 en rouge</a:t>
          </a:r>
          <a:r>
            <a:rPr lang="fr-FR" sz="1200"/>
            <a:t> </a:t>
          </a:r>
        </a:p>
        <a:p>
          <a:endParaRPr lang="fr-FR" sz="1200"/>
        </a:p>
        <a:p>
          <a:r>
            <a:rPr lang="fr-FR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fr-FR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Création d'un graphique pour comparer les élèves par matières</a:t>
          </a:r>
          <a:r>
            <a:rPr lang="fr-FR" sz="1200"/>
            <a:t> </a:t>
          </a:r>
        </a:p>
        <a:p>
          <a:endParaRPr lang="fr-FR" sz="1200"/>
        </a:p>
        <a:p>
          <a:r>
            <a:rPr lang="fr-FR" sz="1200" b="1" i="1" u="sng"/>
            <a:t>A</a:t>
          </a:r>
          <a:r>
            <a:rPr lang="fr-FR" sz="1200" b="1" i="1" u="sng" baseline="0"/>
            <a:t> faire en fonction </a:t>
          </a:r>
          <a:endParaRPr lang="fr-FR" sz="1200" b="1" i="1" u="sng"/>
        </a:p>
        <a:p>
          <a:r>
            <a:rPr lang="fr-FR" sz="1200"/>
            <a:t>* Création d'un</a:t>
          </a:r>
          <a:r>
            <a:rPr lang="fr-FR" sz="1200" baseline="0"/>
            <a:t> graphique avec le % des recus et des recalés</a:t>
          </a:r>
        </a:p>
        <a:p>
          <a:endParaRPr lang="fr-FR" sz="1200" baseline="0"/>
        </a:p>
        <a:p>
          <a:r>
            <a:rPr lang="fr-FR" sz="1200" b="1" u="sng" baseline="0"/>
            <a:t>Quelques formules en plus pour les plus courageux: </a:t>
          </a:r>
        </a:p>
        <a:p>
          <a:r>
            <a:rPr lang="fr-FR" sz="1200"/>
            <a:t>- Compter le</a:t>
          </a:r>
          <a:r>
            <a:rPr lang="fr-FR" sz="1200" baseline="0"/>
            <a:t> nb de filles et de Garçons</a:t>
          </a:r>
        </a:p>
        <a:p>
          <a:r>
            <a:rPr lang="fr-FR" sz="1200" baseline="0"/>
            <a:t>- Connaitre leur moyenne</a:t>
          </a:r>
          <a:endParaRPr lang="fr-FR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190499</xdr:colOff>
      <xdr:row>4</xdr:row>
      <xdr:rowOff>0</xdr:rowOff>
    </xdr:from>
    <xdr:to>
      <xdr:col>12</xdr:col>
      <xdr:colOff>390524</xdr:colOff>
      <xdr:row>15</xdr:row>
      <xdr:rowOff>57150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581524" y="752475"/>
          <a:ext cx="4010025" cy="200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8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fr-FR" sz="1800" b="1" i="0" u="sng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FAIRE :</a:t>
          </a:r>
        </a:p>
        <a:p>
          <a:endParaRPr lang="fr-FR" sz="14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REALISER LES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CALCULS</a:t>
          </a:r>
          <a:b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COULEUR SUR LES SMILEYS</a:t>
          </a:r>
          <a:endParaRPr lang="fr-FR" sz="1400"/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&gt;= 15 en Bleu</a:t>
          </a:r>
          <a:r>
            <a:rPr lang="fr-FR" sz="1400"/>
            <a:t> </a:t>
          </a:r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METTRE LES NOTES &lt;=5 en rouge</a:t>
          </a:r>
          <a:r>
            <a:rPr lang="fr-FR" sz="1400"/>
            <a:t> </a:t>
          </a:r>
        </a:p>
        <a:p>
          <a:endParaRPr lang="fr-FR" sz="1400"/>
        </a:p>
        <a:p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Création d'un graphique pour comparer les élèves par matières</a:t>
          </a:r>
          <a:r>
            <a:rPr lang="fr-FR" sz="1400"/>
            <a:t> </a:t>
          </a:r>
        </a:p>
      </xdr:txBody>
    </xdr:sp>
    <xdr:clientData/>
  </xdr:twoCellAnchor>
  <xdr:twoCellAnchor>
    <xdr:from>
      <xdr:col>4</xdr:col>
      <xdr:colOff>85725</xdr:colOff>
      <xdr:row>25</xdr:row>
      <xdr:rowOff>57150</xdr:rowOff>
    </xdr:from>
    <xdr:to>
      <xdr:col>11</xdr:col>
      <xdr:colOff>152400</xdr:colOff>
      <xdr:row>37</xdr:row>
      <xdr:rowOff>85725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9"/>
  <sheetViews>
    <sheetView tabSelected="1" workbookViewId="0">
      <selection activeCell="E17" sqref="E17"/>
    </sheetView>
  </sheetViews>
  <sheetFormatPr baseColWidth="10" defaultColWidth="11.42578125" defaultRowHeight="12.75"/>
  <cols>
    <col min="1" max="1" width="10.42578125" style="2" bestFit="1" customWidth="1"/>
    <col min="2" max="2" width="5.85546875" style="14" bestFit="1" customWidth="1"/>
    <col min="3" max="4" width="9" style="2" customWidth="1"/>
    <col min="5" max="5" width="10" style="2" bestFit="1" customWidth="1"/>
    <col min="6" max="6" width="11.42578125" style="2"/>
    <col min="7" max="7" width="10.140625" style="2" customWidth="1"/>
    <col min="8" max="16384" width="11.42578125" style="2"/>
  </cols>
  <sheetData>
    <row r="1" spans="1:9" ht="21">
      <c r="A1" s="17" t="s">
        <v>0</v>
      </c>
      <c r="B1" s="17"/>
      <c r="C1" s="17"/>
      <c r="D1" s="17"/>
      <c r="E1" s="17"/>
      <c r="F1" s="17"/>
      <c r="G1" s="17"/>
      <c r="H1" s="1"/>
    </row>
    <row r="5" spans="1:9" s="5" customFormat="1" ht="25.5">
      <c r="A5" s="3" t="s">
        <v>1</v>
      </c>
      <c r="B5" s="3" t="s">
        <v>26</v>
      </c>
      <c r="C5" s="4" t="s">
        <v>2</v>
      </c>
      <c r="D5" s="4" t="s">
        <v>3</v>
      </c>
      <c r="E5" s="3" t="s">
        <v>4</v>
      </c>
      <c r="F5" s="4" t="s">
        <v>30</v>
      </c>
      <c r="G5" s="4" t="s">
        <v>29</v>
      </c>
      <c r="I5" s="6"/>
    </row>
    <row r="6" spans="1:9">
      <c r="A6" s="7" t="s">
        <v>5</v>
      </c>
      <c r="B6" s="12" t="s">
        <v>27</v>
      </c>
      <c r="C6" s="12">
        <v>10</v>
      </c>
      <c r="D6" s="12">
        <v>16</v>
      </c>
      <c r="E6" s="12"/>
      <c r="F6" s="16"/>
      <c r="G6" s="16"/>
      <c r="H6" s="8"/>
    </row>
    <row r="7" spans="1:9">
      <c r="A7" s="7" t="s">
        <v>6</v>
      </c>
      <c r="B7" s="12" t="s">
        <v>27</v>
      </c>
      <c r="C7" s="12">
        <v>15</v>
      </c>
      <c r="D7" s="12">
        <v>15</v>
      </c>
      <c r="E7" s="12"/>
      <c r="F7" s="16"/>
      <c r="G7" s="16"/>
      <c r="H7" s="8"/>
    </row>
    <row r="8" spans="1:9">
      <c r="A8" s="7" t="s">
        <v>7</v>
      </c>
      <c r="B8" s="12" t="s">
        <v>28</v>
      </c>
      <c r="C8" s="12">
        <v>20</v>
      </c>
      <c r="D8" s="12">
        <v>18</v>
      </c>
      <c r="E8" s="12"/>
      <c r="F8" s="16"/>
      <c r="G8" s="16"/>
      <c r="H8" s="8"/>
    </row>
    <row r="9" spans="1:9">
      <c r="A9" s="7" t="s">
        <v>8</v>
      </c>
      <c r="B9" s="12" t="s">
        <v>28</v>
      </c>
      <c r="C9" s="12">
        <v>3</v>
      </c>
      <c r="D9" s="12">
        <v>19</v>
      </c>
      <c r="E9" s="12"/>
      <c r="F9" s="16"/>
      <c r="G9" s="16"/>
      <c r="H9" s="8"/>
    </row>
    <row r="10" spans="1:9">
      <c r="A10" s="7" t="s">
        <v>9</v>
      </c>
      <c r="B10" s="12" t="s">
        <v>27</v>
      </c>
      <c r="C10" s="12">
        <v>16</v>
      </c>
      <c r="D10" s="12">
        <v>12</v>
      </c>
      <c r="E10" s="12"/>
      <c r="F10" s="16"/>
      <c r="G10" s="16"/>
      <c r="H10" s="8"/>
    </row>
    <row r="11" spans="1:9">
      <c r="A11" s="7" t="s">
        <v>10</v>
      </c>
      <c r="B11" s="12" t="s">
        <v>27</v>
      </c>
      <c r="C11" s="12">
        <v>12</v>
      </c>
      <c r="D11" s="12">
        <v>10</v>
      </c>
      <c r="E11" s="12"/>
      <c r="F11" s="16"/>
      <c r="G11" s="16"/>
      <c r="H11" s="8"/>
    </row>
    <row r="12" spans="1:9">
      <c r="A12" s="7" t="s">
        <v>11</v>
      </c>
      <c r="B12" s="12" t="s">
        <v>28</v>
      </c>
      <c r="C12" s="12">
        <v>1</v>
      </c>
      <c r="D12" s="12">
        <v>15</v>
      </c>
      <c r="E12" s="12"/>
      <c r="F12" s="16"/>
      <c r="G12" s="16"/>
      <c r="H12" s="8"/>
    </row>
    <row r="13" spans="1:9">
      <c r="A13" s="7" t="s">
        <v>12</v>
      </c>
      <c r="B13" s="12" t="s">
        <v>27</v>
      </c>
      <c r="C13" s="12">
        <v>15</v>
      </c>
      <c r="D13" s="12">
        <v>13</v>
      </c>
      <c r="E13" s="12"/>
      <c r="F13" s="16"/>
      <c r="G13" s="16"/>
      <c r="H13" s="8"/>
    </row>
    <row r="14" spans="1:9">
      <c r="A14" s="7" t="s">
        <v>13</v>
      </c>
      <c r="B14" s="12" t="s">
        <v>28</v>
      </c>
      <c r="C14" s="12">
        <v>12</v>
      </c>
      <c r="D14" s="12">
        <v>14</v>
      </c>
      <c r="E14" s="12"/>
      <c r="F14" s="16"/>
      <c r="G14" s="16"/>
      <c r="H14" s="8"/>
    </row>
    <row r="15" spans="1:9">
      <c r="A15" s="7" t="s">
        <v>14</v>
      </c>
      <c r="B15" s="12" t="s">
        <v>27</v>
      </c>
      <c r="C15" s="12">
        <v>6</v>
      </c>
      <c r="D15" s="12">
        <v>15</v>
      </c>
      <c r="E15" s="12"/>
      <c r="F15" s="16"/>
      <c r="G15" s="16"/>
      <c r="H15" s="8"/>
    </row>
    <row r="16" spans="1:9">
      <c r="A16" s="7" t="s">
        <v>15</v>
      </c>
      <c r="B16" s="12" t="s">
        <v>28</v>
      </c>
      <c r="C16" s="12">
        <v>2</v>
      </c>
      <c r="D16" s="12">
        <v>12</v>
      </c>
      <c r="E16" s="12"/>
      <c r="F16" s="16"/>
      <c r="G16" s="16"/>
      <c r="H16" s="8"/>
    </row>
    <row r="17" spans="1:8">
      <c r="A17" s="7" t="s">
        <v>16</v>
      </c>
      <c r="B17" s="12" t="s">
        <v>27</v>
      </c>
      <c r="C17" s="12">
        <v>5</v>
      </c>
      <c r="D17" s="12">
        <v>1</v>
      </c>
      <c r="E17" s="12"/>
      <c r="F17" s="16"/>
      <c r="G17" s="16"/>
      <c r="H17" s="8"/>
    </row>
    <row r="18" spans="1:8">
      <c r="A18" s="7" t="s">
        <v>17</v>
      </c>
      <c r="B18" s="12" t="s">
        <v>27</v>
      </c>
      <c r="C18" s="12">
        <v>9</v>
      </c>
      <c r="D18" s="12">
        <v>15</v>
      </c>
      <c r="E18" s="12"/>
      <c r="F18" s="16"/>
      <c r="G18" s="16"/>
      <c r="H18" s="8"/>
    </row>
    <row r="19" spans="1:8">
      <c r="A19" s="7" t="s">
        <v>18</v>
      </c>
      <c r="B19" s="12" t="s">
        <v>27</v>
      </c>
      <c r="C19" s="12">
        <v>1</v>
      </c>
      <c r="D19" s="12">
        <v>1</v>
      </c>
      <c r="E19" s="12"/>
      <c r="F19" s="16"/>
      <c r="G19" s="16"/>
      <c r="H19" s="8"/>
    </row>
    <row r="20" spans="1:8">
      <c r="A20" s="7" t="s">
        <v>19</v>
      </c>
      <c r="B20" s="12" t="s">
        <v>27</v>
      </c>
      <c r="C20" s="12">
        <v>12</v>
      </c>
      <c r="D20" s="12">
        <v>16</v>
      </c>
      <c r="E20" s="12"/>
      <c r="F20" s="16"/>
      <c r="G20" s="16"/>
      <c r="H20" s="8"/>
    </row>
    <row r="21" spans="1:8">
      <c r="A21" s="7" t="s">
        <v>20</v>
      </c>
      <c r="B21" s="12" t="s">
        <v>28</v>
      </c>
      <c r="C21" s="12">
        <v>0</v>
      </c>
      <c r="D21" s="12">
        <v>10</v>
      </c>
      <c r="E21" s="12"/>
      <c r="F21" s="16"/>
      <c r="G21" s="16"/>
      <c r="H21" s="8"/>
    </row>
    <row r="22" spans="1:8">
      <c r="A22" s="7" t="s">
        <v>21</v>
      </c>
      <c r="B22" s="12" t="s">
        <v>27</v>
      </c>
      <c r="C22" s="12">
        <v>2</v>
      </c>
      <c r="D22" s="12">
        <v>12</v>
      </c>
      <c r="E22" s="12"/>
      <c r="F22" s="16"/>
      <c r="G22" s="16"/>
      <c r="H22" s="8"/>
    </row>
    <row r="23" spans="1:8">
      <c r="A23" s="7" t="s">
        <v>22</v>
      </c>
      <c r="B23" s="12" t="s">
        <v>28</v>
      </c>
      <c r="C23" s="12">
        <v>6</v>
      </c>
      <c r="D23" s="12">
        <v>3</v>
      </c>
      <c r="E23" s="12"/>
      <c r="F23" s="16"/>
      <c r="G23" s="16"/>
      <c r="H23" s="8"/>
    </row>
    <row r="24" spans="1:8">
      <c r="A24" s="7" t="s">
        <v>23</v>
      </c>
      <c r="B24" s="12" t="s">
        <v>28</v>
      </c>
      <c r="C24" s="12">
        <v>12</v>
      </c>
      <c r="D24" s="12">
        <v>11</v>
      </c>
      <c r="E24" s="12"/>
      <c r="F24" s="16"/>
      <c r="G24" s="16"/>
      <c r="H24" s="8"/>
    </row>
    <row r="25" spans="1:8">
      <c r="A25" s="7" t="s">
        <v>24</v>
      </c>
      <c r="B25" s="12" t="s">
        <v>28</v>
      </c>
      <c r="C25" s="12">
        <v>11</v>
      </c>
      <c r="D25" s="12">
        <v>8</v>
      </c>
      <c r="E25" s="12"/>
      <c r="F25" s="16"/>
      <c r="G25" s="16"/>
      <c r="H25" s="8"/>
    </row>
    <row r="27" spans="1:8" ht="25.5">
      <c r="A27" s="9" t="s">
        <v>25</v>
      </c>
      <c r="B27" s="13"/>
      <c r="C27" s="10"/>
      <c r="D27" s="10"/>
    </row>
    <row r="28" spans="1:8">
      <c r="A28" s="11" t="s">
        <v>31</v>
      </c>
      <c r="C28" s="10"/>
      <c r="D28" s="10"/>
    </row>
    <row r="29" spans="1:8">
      <c r="A29" s="11" t="s">
        <v>32</v>
      </c>
      <c r="C29" s="10"/>
      <c r="D29" s="10"/>
    </row>
  </sheetData>
  <mergeCells count="1">
    <mergeCell ref="A1:G1"/>
  </mergeCells>
  <pageMargins left="0.7" right="0.7" top="0.75" bottom="0.75" header="0.3" footer="0.3"/>
  <pageSetup paperSize="9" scale="9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9"/>
  <sheetViews>
    <sheetView workbookViewId="0">
      <selection activeCell="J20" sqref="J20"/>
    </sheetView>
  </sheetViews>
  <sheetFormatPr baseColWidth="10" defaultColWidth="11.42578125" defaultRowHeight="12.75"/>
  <cols>
    <col min="1" max="1" width="10.42578125" style="2" bestFit="1" customWidth="1"/>
    <col min="2" max="2" width="5.85546875" style="14" bestFit="1" customWidth="1"/>
    <col min="3" max="4" width="9" style="2" customWidth="1"/>
    <col min="5" max="5" width="10" style="2" bestFit="1" customWidth="1"/>
    <col min="6" max="6" width="11.42578125" style="2"/>
    <col min="7" max="7" width="10.140625" style="2" customWidth="1"/>
    <col min="8" max="16384" width="11.42578125" style="2"/>
  </cols>
  <sheetData>
    <row r="1" spans="1:9" ht="21">
      <c r="A1" s="17" t="s">
        <v>0</v>
      </c>
      <c r="B1" s="17"/>
      <c r="C1" s="17"/>
      <c r="D1" s="17"/>
      <c r="E1" s="17"/>
      <c r="F1" s="17"/>
      <c r="G1" s="17"/>
      <c r="H1" s="1"/>
    </row>
    <row r="5" spans="1:9" s="5" customFormat="1" ht="25.5">
      <c r="A5" s="3" t="s">
        <v>1</v>
      </c>
      <c r="B5" s="3" t="s">
        <v>26</v>
      </c>
      <c r="C5" s="4" t="s">
        <v>2</v>
      </c>
      <c r="D5" s="4" t="s">
        <v>3</v>
      </c>
      <c r="E5" s="3" t="s">
        <v>4</v>
      </c>
      <c r="F5" s="4" t="s">
        <v>30</v>
      </c>
      <c r="G5" s="4" t="s">
        <v>29</v>
      </c>
      <c r="I5" s="6"/>
    </row>
    <row r="6" spans="1:9">
      <c r="A6" s="7" t="s">
        <v>5</v>
      </c>
      <c r="B6" s="12" t="s">
        <v>27</v>
      </c>
      <c r="C6" s="7">
        <v>10</v>
      </c>
      <c r="D6" s="7">
        <v>16</v>
      </c>
      <c r="E6" s="7">
        <f>AVERAGE(C6:D6)</f>
        <v>13</v>
      </c>
      <c r="F6" s="7" t="str">
        <f>IF(E6&gt;=10,"RECU","RECALE")</f>
        <v>RECU</v>
      </c>
      <c r="G6" s="15" t="str">
        <f>IF(E6&gt;=10,"J","L")</f>
        <v>J</v>
      </c>
      <c r="H6" s="8"/>
    </row>
    <row r="7" spans="1:9">
      <c r="A7" s="7" t="s">
        <v>6</v>
      </c>
      <c r="B7" s="12" t="s">
        <v>27</v>
      </c>
      <c r="C7" s="7">
        <v>15</v>
      </c>
      <c r="D7" s="7">
        <v>15</v>
      </c>
      <c r="E7" s="7">
        <f t="shared" ref="E7:E25" si="0">AVERAGE(C7:D7)</f>
        <v>15</v>
      </c>
      <c r="F7" s="7" t="str">
        <f t="shared" ref="F7:F25" si="1">IF(E7&gt;=10,"RECU","RECALE")</f>
        <v>RECU</v>
      </c>
      <c r="G7" s="15" t="str">
        <f t="shared" ref="G7:G25" si="2">IF(E7&gt;=10,"J","L")</f>
        <v>J</v>
      </c>
      <c r="H7" s="8"/>
    </row>
    <row r="8" spans="1:9">
      <c r="A8" s="7" t="s">
        <v>7</v>
      </c>
      <c r="B8" s="12" t="s">
        <v>28</v>
      </c>
      <c r="C8" s="7">
        <v>20</v>
      </c>
      <c r="D8" s="7">
        <v>18</v>
      </c>
      <c r="E8" s="7">
        <f t="shared" si="0"/>
        <v>19</v>
      </c>
      <c r="F8" s="7" t="str">
        <f t="shared" si="1"/>
        <v>RECU</v>
      </c>
      <c r="G8" s="15" t="str">
        <f t="shared" si="2"/>
        <v>J</v>
      </c>
      <c r="H8" s="8"/>
    </row>
    <row r="9" spans="1:9">
      <c r="A9" s="7" t="s">
        <v>8</v>
      </c>
      <c r="B9" s="12" t="s">
        <v>28</v>
      </c>
      <c r="C9" s="7">
        <v>3</v>
      </c>
      <c r="D9" s="7">
        <v>19</v>
      </c>
      <c r="E9" s="7">
        <f t="shared" si="0"/>
        <v>11</v>
      </c>
      <c r="F9" s="7" t="str">
        <f t="shared" si="1"/>
        <v>RECU</v>
      </c>
      <c r="G9" s="15" t="str">
        <f t="shared" si="2"/>
        <v>J</v>
      </c>
      <c r="H9" s="8"/>
    </row>
    <row r="10" spans="1:9">
      <c r="A10" s="7" t="s">
        <v>9</v>
      </c>
      <c r="B10" s="12" t="s">
        <v>27</v>
      </c>
      <c r="C10" s="7">
        <v>16</v>
      </c>
      <c r="D10" s="7">
        <v>12</v>
      </c>
      <c r="E10" s="7">
        <f t="shared" si="0"/>
        <v>14</v>
      </c>
      <c r="F10" s="7" t="str">
        <f t="shared" si="1"/>
        <v>RECU</v>
      </c>
      <c r="G10" s="15" t="str">
        <f t="shared" si="2"/>
        <v>J</v>
      </c>
      <c r="H10" s="8"/>
    </row>
    <row r="11" spans="1:9">
      <c r="A11" s="7" t="s">
        <v>10</v>
      </c>
      <c r="B11" s="12" t="s">
        <v>27</v>
      </c>
      <c r="C11" s="7">
        <v>12</v>
      </c>
      <c r="D11" s="7">
        <v>10</v>
      </c>
      <c r="E11" s="7">
        <f t="shared" si="0"/>
        <v>11</v>
      </c>
      <c r="F11" s="7" t="str">
        <f t="shared" si="1"/>
        <v>RECU</v>
      </c>
      <c r="G11" s="15" t="str">
        <f t="shared" si="2"/>
        <v>J</v>
      </c>
      <c r="H11" s="8"/>
    </row>
    <row r="12" spans="1:9">
      <c r="A12" s="7" t="s">
        <v>11</v>
      </c>
      <c r="B12" s="12" t="s">
        <v>28</v>
      </c>
      <c r="C12" s="7">
        <v>1</v>
      </c>
      <c r="D12" s="7">
        <v>15</v>
      </c>
      <c r="E12" s="7">
        <f t="shared" si="0"/>
        <v>8</v>
      </c>
      <c r="F12" s="7" t="str">
        <f t="shared" si="1"/>
        <v>RECALE</v>
      </c>
      <c r="G12" s="15" t="str">
        <f t="shared" si="2"/>
        <v>L</v>
      </c>
      <c r="H12" s="8"/>
    </row>
    <row r="13" spans="1:9">
      <c r="A13" s="7" t="s">
        <v>12</v>
      </c>
      <c r="B13" s="12" t="s">
        <v>27</v>
      </c>
      <c r="C13" s="7">
        <v>15</v>
      </c>
      <c r="D13" s="7">
        <v>13</v>
      </c>
      <c r="E13" s="7">
        <f t="shared" si="0"/>
        <v>14</v>
      </c>
      <c r="F13" s="7" t="str">
        <f t="shared" si="1"/>
        <v>RECU</v>
      </c>
      <c r="G13" s="15" t="str">
        <f t="shared" si="2"/>
        <v>J</v>
      </c>
      <c r="H13" s="8"/>
    </row>
    <row r="14" spans="1:9">
      <c r="A14" s="7" t="s">
        <v>13</v>
      </c>
      <c r="B14" s="12" t="s">
        <v>28</v>
      </c>
      <c r="C14" s="7">
        <v>12</v>
      </c>
      <c r="D14" s="7">
        <v>14</v>
      </c>
      <c r="E14" s="7">
        <f t="shared" si="0"/>
        <v>13</v>
      </c>
      <c r="F14" s="7" t="str">
        <f t="shared" si="1"/>
        <v>RECU</v>
      </c>
      <c r="G14" s="15" t="str">
        <f t="shared" si="2"/>
        <v>J</v>
      </c>
      <c r="H14" s="8"/>
    </row>
    <row r="15" spans="1:9">
      <c r="A15" s="7" t="s">
        <v>14</v>
      </c>
      <c r="B15" s="12" t="s">
        <v>27</v>
      </c>
      <c r="C15" s="7">
        <v>6</v>
      </c>
      <c r="D15" s="7">
        <v>15</v>
      </c>
      <c r="E15" s="7">
        <f t="shared" si="0"/>
        <v>10.5</v>
      </c>
      <c r="F15" s="7" t="str">
        <f t="shared" si="1"/>
        <v>RECU</v>
      </c>
      <c r="G15" s="15" t="str">
        <f t="shared" si="2"/>
        <v>J</v>
      </c>
      <c r="H15" s="8"/>
    </row>
    <row r="16" spans="1:9">
      <c r="A16" s="7" t="s">
        <v>15</v>
      </c>
      <c r="B16" s="12" t="s">
        <v>28</v>
      </c>
      <c r="C16" s="7">
        <v>2</v>
      </c>
      <c r="D16" s="7">
        <v>12</v>
      </c>
      <c r="E16" s="7">
        <f t="shared" si="0"/>
        <v>7</v>
      </c>
      <c r="F16" s="7" t="str">
        <f t="shared" si="1"/>
        <v>RECALE</v>
      </c>
      <c r="G16" s="15" t="str">
        <f t="shared" si="2"/>
        <v>L</v>
      </c>
      <c r="H16" s="8"/>
    </row>
    <row r="17" spans="1:8">
      <c r="A17" s="7" t="s">
        <v>16</v>
      </c>
      <c r="B17" s="12" t="s">
        <v>27</v>
      </c>
      <c r="C17" s="7">
        <v>5</v>
      </c>
      <c r="D17" s="7">
        <v>1</v>
      </c>
      <c r="E17" s="7">
        <f t="shared" si="0"/>
        <v>3</v>
      </c>
      <c r="F17" s="7" t="str">
        <f t="shared" si="1"/>
        <v>RECALE</v>
      </c>
      <c r="G17" s="15" t="str">
        <f t="shared" si="2"/>
        <v>L</v>
      </c>
      <c r="H17" s="8"/>
    </row>
    <row r="18" spans="1:8">
      <c r="A18" s="7" t="s">
        <v>17</v>
      </c>
      <c r="B18" s="12" t="s">
        <v>27</v>
      </c>
      <c r="C18" s="7">
        <v>9</v>
      </c>
      <c r="D18" s="7">
        <v>15</v>
      </c>
      <c r="E18" s="7">
        <f t="shared" si="0"/>
        <v>12</v>
      </c>
      <c r="F18" s="7" t="str">
        <f t="shared" si="1"/>
        <v>RECU</v>
      </c>
      <c r="G18" s="15" t="str">
        <f t="shared" si="2"/>
        <v>J</v>
      </c>
      <c r="H18" s="8"/>
    </row>
    <row r="19" spans="1:8">
      <c r="A19" s="7" t="s">
        <v>18</v>
      </c>
      <c r="B19" s="12" t="s">
        <v>27</v>
      </c>
      <c r="C19" s="7">
        <v>1</v>
      </c>
      <c r="D19" s="7">
        <v>1</v>
      </c>
      <c r="E19" s="7">
        <f t="shared" si="0"/>
        <v>1</v>
      </c>
      <c r="F19" s="7" t="str">
        <f t="shared" si="1"/>
        <v>RECALE</v>
      </c>
      <c r="G19" s="15" t="str">
        <f t="shared" si="2"/>
        <v>L</v>
      </c>
      <c r="H19" s="8"/>
    </row>
    <row r="20" spans="1:8">
      <c r="A20" s="7" t="s">
        <v>19</v>
      </c>
      <c r="B20" s="12" t="s">
        <v>27</v>
      </c>
      <c r="C20" s="7">
        <v>12</v>
      </c>
      <c r="D20" s="7">
        <v>16</v>
      </c>
      <c r="E20" s="7">
        <f t="shared" si="0"/>
        <v>14</v>
      </c>
      <c r="F20" s="7" t="str">
        <f t="shared" si="1"/>
        <v>RECU</v>
      </c>
      <c r="G20" s="15" t="str">
        <f t="shared" si="2"/>
        <v>J</v>
      </c>
      <c r="H20" s="8"/>
    </row>
    <row r="21" spans="1:8">
      <c r="A21" s="7" t="s">
        <v>20</v>
      </c>
      <c r="B21" s="12" t="s">
        <v>28</v>
      </c>
      <c r="C21" s="7">
        <v>0</v>
      </c>
      <c r="D21" s="7">
        <v>10</v>
      </c>
      <c r="E21" s="7">
        <f t="shared" si="0"/>
        <v>5</v>
      </c>
      <c r="F21" s="7" t="str">
        <f t="shared" si="1"/>
        <v>RECALE</v>
      </c>
      <c r="G21" s="15" t="str">
        <f t="shared" si="2"/>
        <v>L</v>
      </c>
      <c r="H21" s="8"/>
    </row>
    <row r="22" spans="1:8">
      <c r="A22" s="7" t="s">
        <v>21</v>
      </c>
      <c r="B22" s="12" t="s">
        <v>27</v>
      </c>
      <c r="C22" s="7">
        <v>2</v>
      </c>
      <c r="D22" s="7">
        <v>12</v>
      </c>
      <c r="E22" s="7">
        <f t="shared" si="0"/>
        <v>7</v>
      </c>
      <c r="F22" s="7" t="str">
        <f t="shared" si="1"/>
        <v>RECALE</v>
      </c>
      <c r="G22" s="15" t="str">
        <f t="shared" si="2"/>
        <v>L</v>
      </c>
      <c r="H22" s="8"/>
    </row>
    <row r="23" spans="1:8">
      <c r="A23" s="7" t="s">
        <v>22</v>
      </c>
      <c r="B23" s="12" t="s">
        <v>28</v>
      </c>
      <c r="C23" s="7">
        <v>6</v>
      </c>
      <c r="D23" s="7">
        <v>3</v>
      </c>
      <c r="E23" s="7">
        <f t="shared" si="0"/>
        <v>4.5</v>
      </c>
      <c r="F23" s="7" t="str">
        <f t="shared" si="1"/>
        <v>RECALE</v>
      </c>
      <c r="G23" s="15" t="str">
        <f t="shared" si="2"/>
        <v>L</v>
      </c>
      <c r="H23" s="8"/>
    </row>
    <row r="24" spans="1:8">
      <c r="A24" s="7" t="s">
        <v>23</v>
      </c>
      <c r="B24" s="12" t="s">
        <v>28</v>
      </c>
      <c r="C24" s="7">
        <v>12</v>
      </c>
      <c r="D24" s="7">
        <v>11</v>
      </c>
      <c r="E24" s="7">
        <f t="shared" si="0"/>
        <v>11.5</v>
      </c>
      <c r="F24" s="7" t="str">
        <f t="shared" si="1"/>
        <v>RECU</v>
      </c>
      <c r="G24" s="15" t="str">
        <f t="shared" si="2"/>
        <v>J</v>
      </c>
      <c r="H24" s="8"/>
    </row>
    <row r="25" spans="1:8">
      <c r="A25" s="7" t="s">
        <v>24</v>
      </c>
      <c r="B25" s="12" t="s">
        <v>28</v>
      </c>
      <c r="C25" s="7">
        <v>11</v>
      </c>
      <c r="D25" s="7">
        <v>8</v>
      </c>
      <c r="E25" s="7">
        <f t="shared" si="0"/>
        <v>9.5</v>
      </c>
      <c r="F25" s="7" t="str">
        <f t="shared" si="1"/>
        <v>RECALE</v>
      </c>
      <c r="G25" s="15" t="str">
        <f t="shared" si="2"/>
        <v>L</v>
      </c>
      <c r="H25" s="8"/>
    </row>
    <row r="27" spans="1:8" ht="25.5">
      <c r="A27" s="9" t="s">
        <v>25</v>
      </c>
      <c r="B27" s="13"/>
      <c r="C27" s="10">
        <f>+AVERAGE(C6:C25)</f>
        <v>8.5</v>
      </c>
      <c r="D27" s="10">
        <f>+AVERAGE(D6:D25)</f>
        <v>11.8</v>
      </c>
    </row>
    <row r="28" spans="1:8">
      <c r="A28" s="11" t="s">
        <v>31</v>
      </c>
      <c r="C28" s="10">
        <f>MAX(C6:C25)</f>
        <v>20</v>
      </c>
      <c r="D28" s="10">
        <f>MAX(D6:D25)</f>
        <v>19</v>
      </c>
    </row>
    <row r="29" spans="1:8">
      <c r="A29" s="11" t="s">
        <v>32</v>
      </c>
      <c r="C29" s="10">
        <f>MIN(C6:C25)</f>
        <v>0</v>
      </c>
      <c r="D29" s="10">
        <f>MIN(D6:D25)</f>
        <v>1</v>
      </c>
    </row>
  </sheetData>
  <mergeCells count="1">
    <mergeCell ref="A1:G1"/>
  </mergeCells>
  <conditionalFormatting sqref="G6:G25">
    <cfRule type="cellIs" dxfId="3" priority="3" operator="equal">
      <formula>"L"</formula>
    </cfRule>
    <cfRule type="cellIs" dxfId="2" priority="4" operator="equal">
      <formula>"J"</formula>
    </cfRule>
  </conditionalFormatting>
  <conditionalFormatting sqref="C6:D25">
    <cfRule type="cellIs" dxfId="1" priority="1" operator="lessThanOrEqual">
      <formula>5</formula>
    </cfRule>
    <cfRule type="cellIs" dxfId="0" priority="2" operator="greaterThan">
      <formula>15</formula>
    </cfRule>
  </conditionalFormatting>
  <pageMargins left="0.7" right="0.7" top="0.75" bottom="0.75" header="0.3" footer="0.3"/>
  <pageSetup paperSize="9" scale="9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ENONCE</vt:lpstr>
      <vt:lpstr>RESULTAT</vt:lpstr>
      <vt:lpstr>ENONCE!Zone_d_impression</vt:lpstr>
      <vt:lpstr>RESULTAT!Zone_d_impression</vt:lpstr>
    </vt:vector>
  </TitlesOfParts>
  <Company>AMJ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Aubert 7</cp:lastModifiedBy>
  <dcterms:created xsi:type="dcterms:W3CDTF">2013-10-06T17:01:10Z</dcterms:created>
  <dcterms:modified xsi:type="dcterms:W3CDTF">2020-12-18T08:08:29Z</dcterms:modified>
</cp:coreProperties>
</file>