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4A9BB220-4579-4CC3-A3A3-EC84BC319C9F}" xr6:coauthVersionLast="33" xr6:coauthVersionMax="33" xr10:uidLastSave="{00000000-0000-0000-0000-000000000000}"/>
  <bookViews>
    <workbookView xWindow="0" yWindow="0" windowWidth="19200" windowHeight="7230" xr2:uid="{00000000-000D-0000-FFFF-FFFF00000000}"/>
  </bookViews>
  <sheets>
    <sheet name="liste corrigée" sheetId="1" r:id="rId1"/>
    <sheet name="FORMULES" sheetId="9" r:id="rId2"/>
    <sheet name="Fiche salarié corrigée" sheetId="5" r:id="rId3"/>
  </sheets>
  <definedNames>
    <definedName name="_xlnm._FilterDatabase" localSheetId="0" hidden="1">'liste corrigée'!$A$12:$Q$150</definedName>
    <definedName name="AGE">'liste corrigée'!$L$13:$L$150</definedName>
    <definedName name="AGE_ANNEE">'liste corrigée'!$I$13:$I$150</definedName>
    <definedName name="AGE_JOURS">'liste corrigée'!$K$13:$K$150</definedName>
    <definedName name="AGE_MOIS">'liste corrigée'!$J$13:$J$150</definedName>
    <definedName name="ANNEE_DE_NAISSANCE">'liste corrigée'!$H$13:$H$150</definedName>
    <definedName name="ANNIVERSAIRE">'liste corrigée'!$V$13:$V$150</definedName>
    <definedName name="base">'liste corrigée'!$B$12:$V$150</definedName>
    <definedName name="BONUS_SALAIRE">'liste corrigée'!$N$13:$N$150</definedName>
    <definedName name="CIVILITE">'liste corrigée'!$E$13:$E$150</definedName>
    <definedName name="CP">'liste corrigée'!$R$13:$R$150</definedName>
    <definedName name="DATE_DE_NAISSANCE">'liste corrigée'!$G$13:$G$150</definedName>
    <definedName name="DEPARTEMENT">'liste corrigée'!$S$13:$S$150</definedName>
    <definedName name="DIRECTION">'liste corrigée'!$P$13:$P$150</definedName>
    <definedName name="GENRE">'liste corrigée'!$F$13:$F$150</definedName>
    <definedName name="MAIL">'liste corrigée'!$U$13:$U$150</definedName>
    <definedName name="MATRICULE">'liste corrigée'!$A$13:$A$150</definedName>
    <definedName name="MATRICULE_MODIFIE">'liste corrigée'!$B$13:$B$150</definedName>
    <definedName name="NOM">'liste corrigée'!$C$13:$C$150</definedName>
    <definedName name="PRENOM">'liste corrigée'!$D$13:$D$150</definedName>
    <definedName name="SALAIRE">'liste corrigée'!$M$13:$M$150</definedName>
    <definedName name="SITE">'liste corrigée'!$Q$13:$Q$150</definedName>
    <definedName name="TEL">'liste corrigée'!$O$13:$O$150</definedName>
    <definedName name="TEST_TELEPHONE">'liste corrigée'!$T$13:$T$150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B10" i="5" s="1"/>
  <c r="S13" i="1" l="1"/>
  <c r="Y10" i="1" l="1"/>
  <c r="V16" i="1" s="1"/>
  <c r="U13" i="1"/>
  <c r="U14" i="1"/>
  <c r="U15" i="1"/>
  <c r="U16" i="1"/>
  <c r="U17" i="1"/>
  <c r="U18" i="1"/>
  <c r="U19" i="1"/>
  <c r="U20" i="1"/>
  <c r="U21" i="1"/>
  <c r="U22" i="1"/>
  <c r="A5" i="5"/>
  <c r="A6" i="5" s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F13" i="1"/>
  <c r="P56" i="1"/>
  <c r="K56" i="1"/>
  <c r="J56" i="1"/>
  <c r="I56" i="1"/>
  <c r="N56" i="1" s="1"/>
  <c r="H56" i="1"/>
  <c r="F56" i="1"/>
  <c r="F129" i="1"/>
  <c r="F145" i="1"/>
  <c r="F117" i="1"/>
  <c r="F54" i="1"/>
  <c r="F84" i="1"/>
  <c r="F94" i="1"/>
  <c r="F51" i="1"/>
  <c r="F79" i="1"/>
  <c r="F22" i="1"/>
  <c r="F105" i="1"/>
  <c r="F143" i="1"/>
  <c r="F29" i="1"/>
  <c r="F14" i="1"/>
  <c r="F87" i="1"/>
  <c r="F98" i="1"/>
  <c r="F108" i="1"/>
  <c r="F109" i="1"/>
  <c r="F119" i="1"/>
  <c r="F57" i="1"/>
  <c r="F97" i="1"/>
  <c r="F140" i="1"/>
  <c r="F50" i="1"/>
  <c r="F66" i="1"/>
  <c r="F30" i="1"/>
  <c r="F70" i="1"/>
  <c r="F83" i="1"/>
  <c r="F89" i="1"/>
  <c r="F27" i="1"/>
  <c r="F38" i="1"/>
  <c r="F132" i="1"/>
  <c r="F33" i="1"/>
  <c r="F95" i="1"/>
  <c r="F148" i="1"/>
  <c r="F99" i="1"/>
  <c r="F122" i="1"/>
  <c r="F46" i="1"/>
  <c r="F43" i="1"/>
  <c r="F90" i="1"/>
  <c r="F88" i="1"/>
  <c r="F19" i="1"/>
  <c r="F77" i="1"/>
  <c r="F28" i="1"/>
  <c r="F34" i="1"/>
  <c r="F85" i="1"/>
  <c r="F55" i="1"/>
  <c r="F24" i="1"/>
  <c r="F71" i="1"/>
  <c r="F20" i="1"/>
  <c r="F41" i="1"/>
  <c r="F49" i="1"/>
  <c r="F53" i="1"/>
  <c r="F67" i="1"/>
  <c r="F116" i="1"/>
  <c r="F63" i="1"/>
  <c r="F91" i="1"/>
  <c r="F21" i="1"/>
  <c r="F48" i="1"/>
  <c r="F147" i="1"/>
  <c r="F82" i="1"/>
  <c r="F141" i="1"/>
  <c r="F18" i="1"/>
  <c r="F112" i="1"/>
  <c r="F120" i="1"/>
  <c r="F137" i="1"/>
  <c r="F61" i="1"/>
  <c r="F60" i="1"/>
  <c r="F31" i="1"/>
  <c r="F39" i="1"/>
  <c r="F134" i="1"/>
  <c r="F118" i="1"/>
  <c r="F121" i="1"/>
  <c r="F106" i="1"/>
  <c r="F144" i="1"/>
  <c r="F37" i="1"/>
  <c r="F139" i="1"/>
  <c r="F149" i="1"/>
  <c r="F73" i="1"/>
  <c r="F47" i="1"/>
  <c r="F75" i="1"/>
  <c r="F64" i="1"/>
  <c r="F110" i="1"/>
  <c r="F114" i="1"/>
  <c r="F142" i="1"/>
  <c r="F92" i="1"/>
  <c r="F111" i="1"/>
  <c r="F96" i="1"/>
  <c r="F115" i="1"/>
  <c r="F59" i="1"/>
  <c r="F113" i="1"/>
  <c r="F86" i="1"/>
  <c r="F138" i="1"/>
  <c r="F81" i="1"/>
  <c r="F62" i="1"/>
  <c r="F80" i="1"/>
  <c r="F102" i="1"/>
  <c r="F42" i="1"/>
  <c r="F131" i="1"/>
  <c r="F101" i="1"/>
  <c r="F136" i="1"/>
  <c r="F128" i="1"/>
  <c r="F23" i="1"/>
  <c r="F58" i="1"/>
  <c r="F65" i="1"/>
  <c r="F44" i="1"/>
  <c r="F35" i="1"/>
  <c r="F124" i="1"/>
  <c r="F68" i="1"/>
  <c r="F45" i="1"/>
  <c r="F146" i="1"/>
  <c r="F15" i="1"/>
  <c r="F25" i="1"/>
  <c r="F93" i="1"/>
  <c r="F100" i="1"/>
  <c r="F126" i="1"/>
  <c r="F78" i="1"/>
  <c r="F74" i="1"/>
  <c r="F130" i="1"/>
  <c r="F69" i="1"/>
  <c r="F16" i="1"/>
  <c r="F26" i="1"/>
  <c r="F40" i="1"/>
  <c r="F17" i="1"/>
  <c r="F76" i="1"/>
  <c r="F107" i="1"/>
  <c r="F127" i="1"/>
  <c r="F52" i="1"/>
  <c r="F104" i="1"/>
  <c r="F125" i="1"/>
  <c r="F135" i="1"/>
  <c r="F150" i="1"/>
  <c r="F103" i="1"/>
  <c r="F133" i="1"/>
  <c r="F36" i="1"/>
  <c r="F123" i="1"/>
  <c r="F72" i="1"/>
  <c r="F32" i="1"/>
  <c r="H84" i="1"/>
  <c r="H79" i="1"/>
  <c r="H105" i="1"/>
  <c r="H109" i="1"/>
  <c r="H66" i="1"/>
  <c r="H30" i="1"/>
  <c r="H38" i="1"/>
  <c r="H33" i="1"/>
  <c r="H19" i="1"/>
  <c r="H77" i="1"/>
  <c r="H34" i="1"/>
  <c r="H85" i="1"/>
  <c r="H49" i="1"/>
  <c r="H91" i="1"/>
  <c r="H21" i="1"/>
  <c r="H82" i="1"/>
  <c r="H111" i="1"/>
  <c r="H81" i="1"/>
  <c r="H42" i="1"/>
  <c r="H136" i="1"/>
  <c r="H35" i="1"/>
  <c r="H124" i="1"/>
  <c r="H146" i="1"/>
  <c r="H100" i="1"/>
  <c r="H16" i="1"/>
  <c r="H17" i="1"/>
  <c r="H127" i="1"/>
  <c r="H72" i="1"/>
  <c r="V13" i="1" l="1"/>
  <c r="V141" i="1"/>
  <c r="V77" i="1"/>
  <c r="V125" i="1"/>
  <c r="V61" i="1"/>
  <c r="V109" i="1"/>
  <c r="V45" i="1"/>
  <c r="V93" i="1"/>
  <c r="V29" i="1"/>
  <c r="V140" i="1"/>
  <c r="V124" i="1"/>
  <c r="V108" i="1"/>
  <c r="V92" i="1"/>
  <c r="V76" i="1"/>
  <c r="V60" i="1"/>
  <c r="V44" i="1"/>
  <c r="V28" i="1"/>
  <c r="V149" i="1"/>
  <c r="V133" i="1"/>
  <c r="V117" i="1"/>
  <c r="V101" i="1"/>
  <c r="V85" i="1"/>
  <c r="V69" i="1"/>
  <c r="V53" i="1"/>
  <c r="V37" i="1"/>
  <c r="V21" i="1"/>
  <c r="V148" i="1"/>
  <c r="V132" i="1"/>
  <c r="V116" i="1"/>
  <c r="V100" i="1"/>
  <c r="V84" i="1"/>
  <c r="V68" i="1"/>
  <c r="V52" i="1"/>
  <c r="V36" i="1"/>
  <c r="V20" i="1"/>
  <c r="V145" i="1"/>
  <c r="V137" i="1"/>
  <c r="V129" i="1"/>
  <c r="V121" i="1"/>
  <c r="V113" i="1"/>
  <c r="V105" i="1"/>
  <c r="V97" i="1"/>
  <c r="V89" i="1"/>
  <c r="V81" i="1"/>
  <c r="V73" i="1"/>
  <c r="V65" i="1"/>
  <c r="V57" i="1"/>
  <c r="V49" i="1"/>
  <c r="V41" i="1"/>
  <c r="V33" i="1"/>
  <c r="V25" i="1"/>
  <c r="V17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47" i="1"/>
  <c r="V143" i="1"/>
  <c r="V139" i="1"/>
  <c r="V135" i="1"/>
  <c r="V131" i="1"/>
  <c r="V127" i="1"/>
  <c r="V123" i="1"/>
  <c r="V119" i="1"/>
  <c r="V115" i="1"/>
  <c r="V111" i="1"/>
  <c r="V107" i="1"/>
  <c r="V103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31" i="1"/>
  <c r="V27" i="1"/>
  <c r="V23" i="1"/>
  <c r="V19" i="1"/>
  <c r="V15" i="1"/>
  <c r="V150" i="1"/>
  <c r="V146" i="1"/>
  <c r="V142" i="1"/>
  <c r="V138" i="1"/>
  <c r="V134" i="1"/>
  <c r="V130" i="1"/>
  <c r="V126" i="1"/>
  <c r="V122" i="1"/>
  <c r="V118" i="1"/>
  <c r="V114" i="1"/>
  <c r="V110" i="1"/>
  <c r="V106" i="1"/>
  <c r="V102" i="1"/>
  <c r="V98" i="1"/>
  <c r="V94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B16" i="5"/>
  <c r="B20" i="5"/>
  <c r="B18" i="5"/>
  <c r="L56" i="1"/>
  <c r="B5" i="5" l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3" i="1"/>
  <c r="B14" i="5" s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3" i="1"/>
  <c r="I14" i="1"/>
  <c r="N14" i="1" s="1"/>
  <c r="I15" i="1"/>
  <c r="N15" i="1" s="1"/>
  <c r="I16" i="1"/>
  <c r="N16" i="1" s="1"/>
  <c r="I17" i="1"/>
  <c r="N17" i="1" s="1"/>
  <c r="I18" i="1"/>
  <c r="N18" i="1" s="1"/>
  <c r="I19" i="1"/>
  <c r="N19" i="1" s="1"/>
  <c r="I20" i="1"/>
  <c r="N20" i="1" s="1"/>
  <c r="I21" i="1"/>
  <c r="N21" i="1" s="1"/>
  <c r="I22" i="1"/>
  <c r="N22" i="1" s="1"/>
  <c r="I23" i="1"/>
  <c r="N23" i="1" s="1"/>
  <c r="I24" i="1"/>
  <c r="N24" i="1" s="1"/>
  <c r="I25" i="1"/>
  <c r="N25" i="1" s="1"/>
  <c r="I26" i="1"/>
  <c r="N26" i="1" s="1"/>
  <c r="I27" i="1"/>
  <c r="N27" i="1" s="1"/>
  <c r="I28" i="1"/>
  <c r="N28" i="1" s="1"/>
  <c r="I29" i="1"/>
  <c r="N29" i="1" s="1"/>
  <c r="I30" i="1"/>
  <c r="N30" i="1" s="1"/>
  <c r="I31" i="1"/>
  <c r="N31" i="1" s="1"/>
  <c r="I32" i="1"/>
  <c r="N32" i="1" s="1"/>
  <c r="I33" i="1"/>
  <c r="N33" i="1" s="1"/>
  <c r="I34" i="1"/>
  <c r="N34" i="1" s="1"/>
  <c r="I35" i="1"/>
  <c r="N35" i="1" s="1"/>
  <c r="I36" i="1"/>
  <c r="N36" i="1" s="1"/>
  <c r="I37" i="1"/>
  <c r="N37" i="1" s="1"/>
  <c r="I38" i="1"/>
  <c r="N38" i="1" s="1"/>
  <c r="I39" i="1"/>
  <c r="N39" i="1" s="1"/>
  <c r="I40" i="1"/>
  <c r="N40" i="1" s="1"/>
  <c r="I41" i="1"/>
  <c r="N41" i="1" s="1"/>
  <c r="I42" i="1"/>
  <c r="N42" i="1" s="1"/>
  <c r="I43" i="1"/>
  <c r="N43" i="1" s="1"/>
  <c r="I44" i="1"/>
  <c r="N44" i="1" s="1"/>
  <c r="I45" i="1"/>
  <c r="N45" i="1" s="1"/>
  <c r="I46" i="1"/>
  <c r="N46" i="1" s="1"/>
  <c r="I47" i="1"/>
  <c r="N47" i="1" s="1"/>
  <c r="I48" i="1"/>
  <c r="N48" i="1" s="1"/>
  <c r="I49" i="1"/>
  <c r="N49" i="1" s="1"/>
  <c r="I50" i="1"/>
  <c r="N50" i="1" s="1"/>
  <c r="I51" i="1"/>
  <c r="N51" i="1" s="1"/>
  <c r="I52" i="1"/>
  <c r="N52" i="1" s="1"/>
  <c r="I53" i="1"/>
  <c r="N53" i="1" s="1"/>
  <c r="I54" i="1"/>
  <c r="N54" i="1" s="1"/>
  <c r="I55" i="1"/>
  <c r="N55" i="1" s="1"/>
  <c r="I57" i="1"/>
  <c r="N57" i="1" s="1"/>
  <c r="I58" i="1"/>
  <c r="N58" i="1" s="1"/>
  <c r="I59" i="1"/>
  <c r="N59" i="1" s="1"/>
  <c r="I60" i="1"/>
  <c r="N60" i="1" s="1"/>
  <c r="I61" i="1"/>
  <c r="N61" i="1" s="1"/>
  <c r="I62" i="1"/>
  <c r="N62" i="1" s="1"/>
  <c r="I63" i="1"/>
  <c r="N63" i="1" s="1"/>
  <c r="I64" i="1"/>
  <c r="N64" i="1" s="1"/>
  <c r="I65" i="1"/>
  <c r="N65" i="1" s="1"/>
  <c r="I66" i="1"/>
  <c r="N66" i="1" s="1"/>
  <c r="I67" i="1"/>
  <c r="N67" i="1" s="1"/>
  <c r="I68" i="1"/>
  <c r="N68" i="1" s="1"/>
  <c r="I69" i="1"/>
  <c r="N69" i="1" s="1"/>
  <c r="I70" i="1"/>
  <c r="N70" i="1" s="1"/>
  <c r="I71" i="1"/>
  <c r="N71" i="1" s="1"/>
  <c r="I72" i="1"/>
  <c r="N72" i="1" s="1"/>
  <c r="I73" i="1"/>
  <c r="N73" i="1" s="1"/>
  <c r="I74" i="1"/>
  <c r="N74" i="1" s="1"/>
  <c r="I75" i="1"/>
  <c r="N75" i="1" s="1"/>
  <c r="I76" i="1"/>
  <c r="N76" i="1" s="1"/>
  <c r="I77" i="1"/>
  <c r="N77" i="1" s="1"/>
  <c r="I78" i="1"/>
  <c r="N78" i="1" s="1"/>
  <c r="I79" i="1"/>
  <c r="N79" i="1" s="1"/>
  <c r="I80" i="1"/>
  <c r="N80" i="1" s="1"/>
  <c r="I81" i="1"/>
  <c r="N81" i="1" s="1"/>
  <c r="I82" i="1"/>
  <c r="N82" i="1" s="1"/>
  <c r="I83" i="1"/>
  <c r="N83" i="1" s="1"/>
  <c r="I84" i="1"/>
  <c r="N84" i="1" s="1"/>
  <c r="I85" i="1"/>
  <c r="N85" i="1" s="1"/>
  <c r="I86" i="1"/>
  <c r="N86" i="1" s="1"/>
  <c r="I87" i="1"/>
  <c r="N87" i="1" s="1"/>
  <c r="I88" i="1"/>
  <c r="N88" i="1" s="1"/>
  <c r="I89" i="1"/>
  <c r="N89" i="1" s="1"/>
  <c r="I90" i="1"/>
  <c r="N90" i="1" s="1"/>
  <c r="I91" i="1"/>
  <c r="N91" i="1" s="1"/>
  <c r="I92" i="1"/>
  <c r="N92" i="1" s="1"/>
  <c r="I93" i="1"/>
  <c r="N93" i="1" s="1"/>
  <c r="I94" i="1"/>
  <c r="N94" i="1" s="1"/>
  <c r="I95" i="1"/>
  <c r="N95" i="1" s="1"/>
  <c r="I96" i="1"/>
  <c r="N96" i="1" s="1"/>
  <c r="I97" i="1"/>
  <c r="N97" i="1" s="1"/>
  <c r="I98" i="1"/>
  <c r="N98" i="1" s="1"/>
  <c r="I99" i="1"/>
  <c r="N99" i="1" s="1"/>
  <c r="I100" i="1"/>
  <c r="N100" i="1" s="1"/>
  <c r="I101" i="1"/>
  <c r="N101" i="1" s="1"/>
  <c r="I102" i="1"/>
  <c r="N102" i="1" s="1"/>
  <c r="I103" i="1"/>
  <c r="N103" i="1" s="1"/>
  <c r="I104" i="1"/>
  <c r="N104" i="1" s="1"/>
  <c r="I105" i="1"/>
  <c r="N105" i="1" s="1"/>
  <c r="I106" i="1"/>
  <c r="N106" i="1" s="1"/>
  <c r="I107" i="1"/>
  <c r="N107" i="1" s="1"/>
  <c r="I108" i="1"/>
  <c r="N108" i="1" s="1"/>
  <c r="I109" i="1"/>
  <c r="N109" i="1" s="1"/>
  <c r="I110" i="1"/>
  <c r="N110" i="1" s="1"/>
  <c r="I111" i="1"/>
  <c r="N111" i="1" s="1"/>
  <c r="I112" i="1"/>
  <c r="N112" i="1" s="1"/>
  <c r="I113" i="1"/>
  <c r="N113" i="1" s="1"/>
  <c r="I114" i="1"/>
  <c r="N114" i="1" s="1"/>
  <c r="I115" i="1"/>
  <c r="N115" i="1" s="1"/>
  <c r="I116" i="1"/>
  <c r="N116" i="1" s="1"/>
  <c r="I117" i="1"/>
  <c r="N117" i="1" s="1"/>
  <c r="I118" i="1"/>
  <c r="N118" i="1" s="1"/>
  <c r="I119" i="1"/>
  <c r="N119" i="1" s="1"/>
  <c r="I120" i="1"/>
  <c r="N120" i="1" s="1"/>
  <c r="I121" i="1"/>
  <c r="N121" i="1" s="1"/>
  <c r="I122" i="1"/>
  <c r="N122" i="1" s="1"/>
  <c r="I123" i="1"/>
  <c r="N123" i="1" s="1"/>
  <c r="I124" i="1"/>
  <c r="N124" i="1" s="1"/>
  <c r="I125" i="1"/>
  <c r="N125" i="1" s="1"/>
  <c r="I126" i="1"/>
  <c r="N126" i="1" s="1"/>
  <c r="I127" i="1"/>
  <c r="N127" i="1" s="1"/>
  <c r="I128" i="1"/>
  <c r="N128" i="1" s="1"/>
  <c r="I129" i="1"/>
  <c r="N129" i="1" s="1"/>
  <c r="I130" i="1"/>
  <c r="N130" i="1" s="1"/>
  <c r="I131" i="1"/>
  <c r="N131" i="1" s="1"/>
  <c r="I132" i="1"/>
  <c r="N132" i="1" s="1"/>
  <c r="I133" i="1"/>
  <c r="N133" i="1" s="1"/>
  <c r="I134" i="1"/>
  <c r="N134" i="1" s="1"/>
  <c r="I135" i="1"/>
  <c r="N135" i="1" s="1"/>
  <c r="I136" i="1"/>
  <c r="N136" i="1" s="1"/>
  <c r="I137" i="1"/>
  <c r="N137" i="1" s="1"/>
  <c r="I138" i="1"/>
  <c r="N138" i="1" s="1"/>
  <c r="I139" i="1"/>
  <c r="N139" i="1" s="1"/>
  <c r="I140" i="1"/>
  <c r="N140" i="1" s="1"/>
  <c r="I141" i="1"/>
  <c r="N141" i="1" s="1"/>
  <c r="I142" i="1"/>
  <c r="N142" i="1" s="1"/>
  <c r="I143" i="1"/>
  <c r="N143" i="1" s="1"/>
  <c r="I144" i="1"/>
  <c r="N144" i="1" s="1"/>
  <c r="I145" i="1"/>
  <c r="N145" i="1" s="1"/>
  <c r="I146" i="1"/>
  <c r="N146" i="1" s="1"/>
  <c r="I147" i="1"/>
  <c r="N147" i="1" s="1"/>
  <c r="I148" i="1"/>
  <c r="N148" i="1" s="1"/>
  <c r="I149" i="1"/>
  <c r="N149" i="1" s="1"/>
  <c r="I150" i="1"/>
  <c r="N150" i="1" s="1"/>
  <c r="I13" i="1"/>
  <c r="N13" i="1" s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H150" i="1"/>
  <c r="H47" i="1"/>
  <c r="H52" i="1"/>
  <c r="H116" i="1"/>
  <c r="H117" i="1"/>
  <c r="H32" i="1"/>
  <c r="H83" i="1"/>
  <c r="H148" i="1"/>
  <c r="H125" i="1"/>
  <c r="H118" i="1"/>
  <c r="H133" i="1"/>
  <c r="H67" i="1"/>
  <c r="H101" i="1"/>
  <c r="H112" i="1"/>
  <c r="H104" i="1"/>
  <c r="H23" i="1"/>
  <c r="H25" i="1"/>
  <c r="H51" i="1"/>
  <c r="H68" i="1"/>
  <c r="H132" i="1"/>
  <c r="H37" i="1"/>
  <c r="H39" i="1"/>
  <c r="H103" i="1"/>
  <c r="H121" i="1"/>
  <c r="H139" i="1"/>
  <c r="H45" i="1"/>
  <c r="H58" i="1"/>
  <c r="H63" i="1"/>
  <c r="H99" i="1"/>
  <c r="H122" i="1"/>
  <c r="H137" i="1"/>
  <c r="H73" i="1"/>
  <c r="H74" i="1"/>
  <c r="H115" i="1"/>
  <c r="H141" i="1"/>
  <c r="H60" i="1"/>
  <c r="H106" i="1"/>
  <c r="H114" i="1"/>
  <c r="H123" i="1"/>
  <c r="H14" i="1"/>
  <c r="H40" i="1"/>
  <c r="H55" i="1"/>
  <c r="H119" i="1"/>
  <c r="H126" i="1"/>
  <c r="H130" i="1"/>
  <c r="H138" i="1"/>
  <c r="H135" i="1"/>
  <c r="H144" i="1"/>
  <c r="H28" i="1"/>
  <c r="H50" i="1"/>
  <c r="H62" i="1"/>
  <c r="H86" i="1"/>
  <c r="H87" i="1"/>
  <c r="H140" i="1"/>
  <c r="H143" i="1"/>
  <c r="H147" i="1"/>
  <c r="H13" i="1"/>
  <c r="H110" i="1"/>
  <c r="H134" i="1"/>
  <c r="H149" i="1"/>
  <c r="H64" i="1"/>
  <c r="H95" i="1"/>
  <c r="H113" i="1"/>
  <c r="H120" i="1"/>
  <c r="H131" i="1"/>
  <c r="H15" i="1"/>
  <c r="H48" i="1"/>
  <c r="H36" i="1"/>
  <c r="H76" i="1"/>
  <c r="H69" i="1"/>
  <c r="H24" i="1"/>
  <c r="H26" i="1"/>
  <c r="H107" i="1"/>
  <c r="H54" i="1"/>
  <c r="H59" i="1"/>
  <c r="H128" i="1"/>
  <c r="H108" i="1"/>
  <c r="H43" i="1"/>
  <c r="H20" i="1"/>
  <c r="H27" i="1"/>
  <c r="H53" i="1"/>
  <c r="H75" i="1"/>
  <c r="H78" i="1"/>
  <c r="H142" i="1"/>
  <c r="H29" i="1"/>
  <c r="H88" i="1"/>
  <c r="H93" i="1"/>
  <c r="H97" i="1"/>
  <c r="H41" i="1"/>
  <c r="H61" i="1"/>
  <c r="H70" i="1"/>
  <c r="H46" i="1"/>
  <c r="H89" i="1"/>
  <c r="H102" i="1"/>
  <c r="H31" i="1"/>
  <c r="H80" i="1"/>
  <c r="H18" i="1"/>
  <c r="H145" i="1"/>
  <c r="H65" i="1"/>
  <c r="H71" i="1"/>
  <c r="H90" i="1"/>
  <c r="H94" i="1"/>
  <c r="H22" i="1"/>
  <c r="H44" i="1"/>
  <c r="H57" i="1"/>
  <c r="H92" i="1"/>
  <c r="H98" i="1"/>
  <c r="H96" i="1"/>
  <c r="H129" i="1"/>
  <c r="L147" i="1" l="1"/>
  <c r="L139" i="1"/>
  <c r="L131" i="1"/>
  <c r="L123" i="1"/>
  <c r="L115" i="1"/>
  <c r="L107" i="1"/>
  <c r="L99" i="1"/>
  <c r="L91" i="1"/>
  <c r="L83" i="1"/>
  <c r="L79" i="1"/>
  <c r="L71" i="1"/>
  <c r="L67" i="1"/>
  <c r="L63" i="1"/>
  <c r="L59" i="1"/>
  <c r="L55" i="1"/>
  <c r="L51" i="1"/>
  <c r="L47" i="1"/>
  <c r="L43" i="1"/>
  <c r="L39" i="1"/>
  <c r="L35" i="1"/>
  <c r="L31" i="1"/>
  <c r="L27" i="1"/>
  <c r="L23" i="1"/>
  <c r="L19" i="1"/>
  <c r="L15" i="1"/>
  <c r="L13" i="1"/>
  <c r="L143" i="1"/>
  <c r="L135" i="1"/>
  <c r="L127" i="1"/>
  <c r="L119" i="1"/>
  <c r="L111" i="1"/>
  <c r="L103" i="1"/>
  <c r="L95" i="1"/>
  <c r="L87" i="1"/>
  <c r="L75" i="1"/>
  <c r="L145" i="1"/>
  <c r="L129" i="1"/>
  <c r="L113" i="1"/>
  <c r="L97" i="1"/>
  <c r="L81" i="1"/>
  <c r="L65" i="1"/>
  <c r="L49" i="1"/>
  <c r="L33" i="1"/>
  <c r="L21" i="1"/>
  <c r="L149" i="1"/>
  <c r="L133" i="1"/>
  <c r="L117" i="1"/>
  <c r="L101" i="1"/>
  <c r="L85" i="1"/>
  <c r="L69" i="1"/>
  <c r="L53" i="1"/>
  <c r="L37" i="1"/>
  <c r="L17" i="1"/>
  <c r="L150" i="1"/>
  <c r="L146" i="1"/>
  <c r="L138" i="1"/>
  <c r="L134" i="1"/>
  <c r="L130" i="1"/>
  <c r="L126" i="1"/>
  <c r="L122" i="1"/>
  <c r="L118" i="1"/>
  <c r="L114" i="1"/>
  <c r="L110" i="1"/>
  <c r="L106" i="1"/>
  <c r="L102" i="1"/>
  <c r="L98" i="1"/>
  <c r="L94" i="1"/>
  <c r="L90" i="1"/>
  <c r="L86" i="1"/>
  <c r="L82" i="1"/>
  <c r="L78" i="1"/>
  <c r="L74" i="1"/>
  <c r="L70" i="1"/>
  <c r="L66" i="1"/>
  <c r="L62" i="1"/>
  <c r="L58" i="1"/>
  <c r="L54" i="1"/>
  <c r="L50" i="1"/>
  <c r="L46" i="1"/>
  <c r="L42" i="1"/>
  <c r="L38" i="1"/>
  <c r="L34" i="1"/>
  <c r="L30" i="1"/>
  <c r="L26" i="1"/>
  <c r="L22" i="1"/>
  <c r="L18" i="1"/>
  <c r="L14" i="1"/>
  <c r="L142" i="1"/>
  <c r="L141" i="1"/>
  <c r="L137" i="1"/>
  <c r="L125" i="1"/>
  <c r="L121" i="1"/>
  <c r="L109" i="1"/>
  <c r="L105" i="1"/>
  <c r="L93" i="1"/>
  <c r="L89" i="1"/>
  <c r="L77" i="1"/>
  <c r="L73" i="1"/>
  <c r="L61" i="1"/>
  <c r="L57" i="1"/>
  <c r="L45" i="1"/>
  <c r="L41" i="1"/>
  <c r="L29" i="1"/>
  <c r="L25" i="1"/>
  <c r="L148" i="1"/>
  <c r="L144" i="1"/>
  <c r="L140" i="1"/>
  <c r="L136" i="1"/>
  <c r="L132" i="1"/>
  <c r="L128" i="1"/>
  <c r="L124" i="1"/>
  <c r="L120" i="1"/>
  <c r="L116" i="1"/>
  <c r="L112" i="1"/>
  <c r="L108" i="1"/>
  <c r="L104" i="1"/>
  <c r="L100" i="1"/>
  <c r="L96" i="1"/>
  <c r="L92" i="1"/>
  <c r="L88" i="1"/>
  <c r="L84" i="1"/>
  <c r="L80" i="1"/>
  <c r="L76" i="1"/>
  <c r="L72" i="1"/>
  <c r="L68" i="1"/>
  <c r="L64" i="1"/>
  <c r="L60" i="1"/>
  <c r="L52" i="1"/>
  <c r="L48" i="1"/>
  <c r="L44" i="1"/>
  <c r="L40" i="1"/>
  <c r="L36" i="1"/>
  <c r="L32" i="1"/>
  <c r="L28" i="1"/>
  <c r="L24" i="1"/>
  <c r="L20" i="1"/>
  <c r="L16" i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</author>
  </authors>
  <commentList>
    <comment ref="H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la colonne G13 est bloquée pour pouvoir recoper la formule vers la droite</t>
        </r>
      </text>
    </comment>
    <comment ref="S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copier cette cellule
collage spécial sur le salaire et multiplication</t>
        </r>
      </text>
    </comment>
    <comment ref="N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 pour masquer les 0
personalisé 0;-0;;@
</t>
        </r>
      </text>
    </comment>
    <comment ref="R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code postal</t>
        </r>
      </text>
    </comment>
    <comment ref="O5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MA:</t>
        </r>
        <r>
          <rPr>
            <sz val="9"/>
            <color indexed="81"/>
            <rFont val="Tahoma"/>
            <family val="2"/>
          </rPr>
          <t xml:space="preserve">
Format de nombre: spécial
numéro de téléphone</t>
        </r>
      </text>
    </comment>
  </commentList>
</comments>
</file>

<file path=xl/sharedStrings.xml><?xml version="1.0" encoding="utf-8"?>
<sst xmlns="http://schemas.openxmlformats.org/spreadsheetml/2006/main" count="787" uniqueCount="454">
  <si>
    <t>NOM</t>
  </si>
  <si>
    <t>PRENOM</t>
  </si>
  <si>
    <t>TEL</t>
  </si>
  <si>
    <t>DIRECTION</t>
  </si>
  <si>
    <t>SITE</t>
  </si>
  <si>
    <t>SALAIRE</t>
  </si>
  <si>
    <t>AGE</t>
  </si>
  <si>
    <t>Myriam</t>
  </si>
  <si>
    <t>Paris</t>
  </si>
  <si>
    <t>ABSCHEN</t>
  </si>
  <si>
    <t>Paul</t>
  </si>
  <si>
    <t>AGAPOF</t>
  </si>
  <si>
    <t>Brigitte</t>
  </si>
  <si>
    <t>Nice</t>
  </si>
  <si>
    <t>ALEMBERT</t>
  </si>
  <si>
    <t>Jean</t>
  </si>
  <si>
    <t>STOEFFLER</t>
  </si>
  <si>
    <t>James</t>
  </si>
  <si>
    <t>Lille</t>
  </si>
  <si>
    <t>AMELLAL</t>
  </si>
  <si>
    <t>RIESI</t>
  </si>
  <si>
    <t>François</t>
  </si>
  <si>
    <t>ANGONIN</t>
  </si>
  <si>
    <t>AZOURA</t>
  </si>
  <si>
    <t>BACH</t>
  </si>
  <si>
    <t>BARNAUD</t>
  </si>
  <si>
    <t>Monique</t>
  </si>
  <si>
    <t>BARRANDON</t>
  </si>
  <si>
    <t>Margaret</t>
  </si>
  <si>
    <t>Thierry</t>
  </si>
  <si>
    <t>BAUDET</t>
  </si>
  <si>
    <t>Arlette</t>
  </si>
  <si>
    <t>BEAUDEAU</t>
  </si>
  <si>
    <t>BEAUMIER</t>
  </si>
  <si>
    <t>Isabelle</t>
  </si>
  <si>
    <t>BEDO</t>
  </si>
  <si>
    <t>BENHAMOU</t>
  </si>
  <si>
    <t>Jeanne</t>
  </si>
  <si>
    <t>BENSIMON</t>
  </si>
  <si>
    <t>BÉRAUD</t>
  </si>
  <si>
    <t>Giséle</t>
  </si>
  <si>
    <t>BERDUGO</t>
  </si>
  <si>
    <t>BERTOLO</t>
  </si>
  <si>
    <t>Claudie</t>
  </si>
  <si>
    <t>BIDAULT</t>
  </si>
  <si>
    <t>BINET</t>
  </si>
  <si>
    <t>Emmanuel</t>
  </si>
  <si>
    <t>BLANC</t>
  </si>
  <si>
    <t>BLANCHOT</t>
  </si>
  <si>
    <t>Guy</t>
  </si>
  <si>
    <t>BOLLO</t>
  </si>
  <si>
    <t>BONNAY</t>
  </si>
  <si>
    <t>Nadège</t>
  </si>
  <si>
    <t>BOUCHET</t>
  </si>
  <si>
    <t>Emilie</t>
  </si>
  <si>
    <t>BOUDART</t>
  </si>
  <si>
    <t>Martine</t>
  </si>
  <si>
    <t>BOULLICAUD</t>
  </si>
  <si>
    <t>BOUN</t>
  </si>
  <si>
    <t>BOUSLAH</t>
  </si>
  <si>
    <t>Fabien</t>
  </si>
  <si>
    <t>BOUZCKAR</t>
  </si>
  <si>
    <t>BOVERO</t>
  </si>
  <si>
    <t>BRELEUR</t>
  </si>
  <si>
    <t>BRON</t>
  </si>
  <si>
    <t>BRUNET</t>
  </si>
  <si>
    <t>Séverine</t>
  </si>
  <si>
    <t>BSIRI</t>
  </si>
  <si>
    <t>Marie</t>
  </si>
  <si>
    <t>CAILLOT</t>
  </si>
  <si>
    <t>CALVET</t>
  </si>
  <si>
    <t>HERMANT</t>
  </si>
  <si>
    <t>Victor</t>
  </si>
  <si>
    <t>CHARDON</t>
  </si>
  <si>
    <t>CHAUBEAU</t>
  </si>
  <si>
    <t>Louis</t>
  </si>
  <si>
    <t>CHEHMAT</t>
  </si>
  <si>
    <t>CHHUOR</t>
  </si>
  <si>
    <t>CHIFFLET</t>
  </si>
  <si>
    <t>Ingrid</t>
  </si>
  <si>
    <t>CHRISTOPHE</t>
  </si>
  <si>
    <t>Adèle</t>
  </si>
  <si>
    <t>CLAVERIE</t>
  </si>
  <si>
    <t>Chantal</t>
  </si>
  <si>
    <t>COHEN</t>
  </si>
  <si>
    <t>Martin</t>
  </si>
  <si>
    <t>CORBET</t>
  </si>
  <si>
    <t>COUDERC</t>
  </si>
  <si>
    <t>COUGET</t>
  </si>
  <si>
    <t>Denis</t>
  </si>
  <si>
    <t>CROMBEZ</t>
  </si>
  <si>
    <t>Katherine</t>
  </si>
  <si>
    <t>CUCIT</t>
  </si>
  <si>
    <t>Sylvie</t>
  </si>
  <si>
    <t>CYMBALIST</t>
  </si>
  <si>
    <t>DEAUCOURT</t>
  </si>
  <si>
    <t>DEDIEU</t>
  </si>
  <si>
    <t>DEGRENDEL</t>
  </si>
  <si>
    <t>DELAMARRE</t>
  </si>
  <si>
    <t>DENIS</t>
  </si>
  <si>
    <t>DESHAYES</t>
  </si>
  <si>
    <t>DINIC</t>
  </si>
  <si>
    <t>Thibaut</t>
  </si>
  <si>
    <t>DONG</t>
  </si>
  <si>
    <t>Paula</t>
  </si>
  <si>
    <t>DOUCOURE</t>
  </si>
  <si>
    <t>DUPRÉ</t>
  </si>
  <si>
    <t>Sophie</t>
  </si>
  <si>
    <t>DURAND</t>
  </si>
  <si>
    <t>DURAND-RENIER</t>
  </si>
  <si>
    <t>DUROC</t>
  </si>
  <si>
    <t>Annie</t>
  </si>
  <si>
    <t>FABRE</t>
  </si>
  <si>
    <t>FAVRE</t>
  </si>
  <si>
    <t>Dany</t>
  </si>
  <si>
    <t>FEDON</t>
  </si>
  <si>
    <t>FERRAND</t>
  </si>
  <si>
    <t>FRANÇOIS</t>
  </si>
  <si>
    <t>FRENOIS</t>
  </si>
  <si>
    <t>FRETTE</t>
  </si>
  <si>
    <t>FRISA</t>
  </si>
  <si>
    <t>GARCIA</t>
  </si>
  <si>
    <t>GEIL</t>
  </si>
  <si>
    <t>GHAFFAR</t>
  </si>
  <si>
    <t>GILLINGHAM</t>
  </si>
  <si>
    <t>Magdeleine</t>
  </si>
  <si>
    <t>GIRARD</t>
  </si>
  <si>
    <t>André</t>
  </si>
  <si>
    <t>GIRAUDO</t>
  </si>
  <si>
    <t>GIRON</t>
  </si>
  <si>
    <t>GLYNATSIS</t>
  </si>
  <si>
    <t>Estelle</t>
  </si>
  <si>
    <t>GONDOUIN</t>
  </si>
  <si>
    <t>GOUILLON</t>
  </si>
  <si>
    <t>GOYER</t>
  </si>
  <si>
    <t>GRAIN</t>
  </si>
  <si>
    <t>GUILLE</t>
  </si>
  <si>
    <t>GUITTON</t>
  </si>
  <si>
    <t>Francis</t>
  </si>
  <si>
    <t>GUTFREUND</t>
  </si>
  <si>
    <t>GUYOT</t>
  </si>
  <si>
    <t>Pierre</t>
  </si>
  <si>
    <t>HABRANT</t>
  </si>
  <si>
    <t>Moïse</t>
  </si>
  <si>
    <t>HARAULT</t>
  </si>
  <si>
    <t>Armelle</t>
  </si>
  <si>
    <t>HERCLICH</t>
  </si>
  <si>
    <t>MIANET</t>
  </si>
  <si>
    <t>HERSELIN</t>
  </si>
  <si>
    <t>HEURAUX</t>
  </si>
  <si>
    <t>Catherine</t>
  </si>
  <si>
    <t>ILARDO</t>
  </si>
  <si>
    <t>JOLY</t>
  </si>
  <si>
    <t>Benoît</t>
  </si>
  <si>
    <t>JUDITH</t>
  </si>
  <si>
    <t>KARSENTY</t>
  </si>
  <si>
    <t>KILBURG</t>
  </si>
  <si>
    <t>KONGOLO</t>
  </si>
  <si>
    <t>KTORZA</t>
  </si>
  <si>
    <t>Juliette</t>
  </si>
  <si>
    <t>LACHAUSSÉE</t>
  </si>
  <si>
    <t>Anne</t>
  </si>
  <si>
    <t>LAIGUILLON</t>
  </si>
  <si>
    <t>Maureen</t>
  </si>
  <si>
    <t>LANLO</t>
  </si>
  <si>
    <t>LE HYARIC</t>
  </si>
  <si>
    <t>LEE</t>
  </si>
  <si>
    <t>LEFORT</t>
  </si>
  <si>
    <t>LEGRAND</t>
  </si>
  <si>
    <t>LEMARIÉ</t>
  </si>
  <si>
    <t>Hervé</t>
  </si>
  <si>
    <t>LOBJOY</t>
  </si>
  <si>
    <t>LY</t>
  </si>
  <si>
    <t>MARTIN</t>
  </si>
  <si>
    <t>Laurent</t>
  </si>
  <si>
    <t>NICOLLE</t>
  </si>
  <si>
    <t>Adeline</t>
  </si>
  <si>
    <t>PARINET</t>
  </si>
  <si>
    <t>PERRUCHON</t>
  </si>
  <si>
    <t>PIDERIT</t>
  </si>
  <si>
    <t>POINSOT</t>
  </si>
  <si>
    <t>QUINTIN</t>
  </si>
  <si>
    <t>Luc</t>
  </si>
  <si>
    <t>RIDEAU</t>
  </si>
  <si>
    <t>ROBERT</t>
  </si>
  <si>
    <t>ROGUET</t>
  </si>
  <si>
    <t>ROLLAND</t>
  </si>
  <si>
    <t>Nathalie</t>
  </si>
  <si>
    <t>Henri</t>
  </si>
  <si>
    <t>ROULET</t>
  </si>
  <si>
    <t>SAILLANT</t>
  </si>
  <si>
    <t>SAPIENCE</t>
  </si>
  <si>
    <t>SCOTTI</t>
  </si>
  <si>
    <t>Aurore</t>
  </si>
  <si>
    <t>Marthe</t>
  </si>
  <si>
    <t>SOK</t>
  </si>
  <si>
    <t>SONG</t>
  </si>
  <si>
    <t>Aline</t>
  </si>
  <si>
    <t>TAMBURRINI</t>
  </si>
  <si>
    <t>TAN</t>
  </si>
  <si>
    <t>Fanny</t>
  </si>
  <si>
    <t>ZHOU</t>
  </si>
  <si>
    <t>M02</t>
  </si>
  <si>
    <t>M04</t>
  </si>
  <si>
    <t>M05</t>
  </si>
  <si>
    <t>M06</t>
  </si>
  <si>
    <t>M08</t>
  </si>
  <si>
    <t>M09</t>
  </si>
  <si>
    <t>M10</t>
  </si>
  <si>
    <t>M11</t>
  </si>
  <si>
    <t>M13</t>
  </si>
  <si>
    <t>M15</t>
  </si>
  <si>
    <t>M17</t>
  </si>
  <si>
    <t>M20</t>
  </si>
  <si>
    <t>M21</t>
  </si>
  <si>
    <t>M22</t>
  </si>
  <si>
    <t>M23</t>
  </si>
  <si>
    <t>M25</t>
  </si>
  <si>
    <t>M27</t>
  </si>
  <si>
    <t>M28</t>
  </si>
  <si>
    <t>M29</t>
  </si>
  <si>
    <t>M30</t>
  </si>
  <si>
    <t>M32</t>
  </si>
  <si>
    <t>M33</t>
  </si>
  <si>
    <t>M34</t>
  </si>
  <si>
    <t>M35</t>
  </si>
  <si>
    <t>M36</t>
  </si>
  <si>
    <t>M37</t>
  </si>
  <si>
    <t>M38</t>
  </si>
  <si>
    <t>M39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</si>
  <si>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</si>
  <si>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</si>
  <si>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</si>
  <si>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</si>
  <si>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</si>
  <si>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</si>
  <si>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</si>
  <si>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</si>
  <si>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</si>
  <si>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</si>
  <si>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</si>
  <si>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</si>
  <si>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</si>
  <si>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M56</t>
  </si>
  <si>
    <t>M57</t>
  </si>
  <si>
    <t>M59</t>
  </si>
  <si>
    <t>M60</t>
  </si>
  <si>
    <t>M63</t>
  </si>
  <si>
    <t>M64</t>
  </si>
  <si>
    <t>M65</t>
  </si>
  <si>
    <t>M66</t>
  </si>
  <si>
    <t>M67</t>
  </si>
  <si>
    <t>M69</t>
  </si>
  <si>
    <t>M70</t>
  </si>
  <si>
    <t>M71</t>
  </si>
  <si>
    <t>M73</t>
  </si>
  <si>
    <t>M74</t>
  </si>
  <si>
    <t>M75</t>
  </si>
  <si>
    <t>M78</t>
  </si>
  <si>
    <t>M79</t>
  </si>
  <si>
    <t>M81</t>
  </si>
  <si>
    <t>M83</t>
  </si>
  <si>
    <t>M85</t>
  </si>
  <si>
    <t>M86</t>
  </si>
  <si>
    <t>M91</t>
  </si>
  <si>
    <t>M92</t>
  </si>
  <si>
    <t>M93</t>
  </si>
  <si>
    <t>M94</t>
  </si>
  <si>
    <t>M95</t>
  </si>
  <si>
    <t>M96</t>
  </si>
  <si>
    <t>M97</t>
  </si>
  <si>
    <t>M98</t>
  </si>
  <si>
    <t>M100</t>
  </si>
  <si>
    <t>M106</t>
  </si>
  <si>
    <t>M107</t>
  </si>
  <si>
    <t>M110</t>
  </si>
  <si>
    <t>M114</t>
  </si>
  <si>
    <t>M115</t>
  </si>
  <si>
    <t>M116</t>
  </si>
  <si>
    <t>M117</t>
  </si>
  <si>
    <t>M118</t>
  </si>
  <si>
    <t>M119</t>
  </si>
  <si>
    <t>M122</t>
  </si>
  <si>
    <t>M124</t>
  </si>
  <si>
    <t>M125</t>
  </si>
  <si>
    <t>M126</t>
  </si>
  <si>
    <t>M127</t>
  </si>
  <si>
    <t>M128</t>
  </si>
  <si>
    <t>M129</t>
  </si>
  <si>
    <t>M131</t>
  </si>
  <si>
    <t>M132</t>
  </si>
  <si>
    <t>M133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</si>
  <si>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</si>
  <si>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</si>
  <si>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</si>
  <si>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</si>
  <si>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</si>
  <si>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</si>
  <si>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</si>
  <si>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</si>
  <si>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</si>
  <si>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</si>
  <si>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M146</t>
  </si>
  <si>
    <t>M149</t>
  </si>
  <si>
    <t>M150</t>
  </si>
  <si>
    <t>M152</t>
  </si>
  <si>
    <t>M153</t>
  </si>
  <si>
    <t>M154</t>
  </si>
  <si>
    <t>M156</t>
  </si>
  <si>
    <t>M157</t>
  </si>
  <si>
    <t>M160</t>
  </si>
  <si>
    <t>M163</t>
  </si>
  <si>
    <t>M166</t>
  </si>
  <si>
    <t>M172</t>
  </si>
  <si>
    <t>M173</t>
  </si>
  <si>
    <t>M174</t>
  </si>
  <si>
    <t>M177</t>
  </si>
  <si>
    <t>M179</t>
  </si>
  <si>
    <t>M181</t>
  </si>
  <si>
    <t>M189</t>
  </si>
  <si>
    <t>M205</t>
  </si>
  <si>
    <t>M209</t>
  </si>
  <si>
    <t>M215</t>
  </si>
  <si>
    <t>M217</t>
  </si>
  <si>
    <t>M218</t>
  </si>
  <si>
    <t>M224</t>
  </si>
  <si>
    <t>M233</t>
  </si>
  <si>
    <t>M236</t>
  </si>
  <si>
    <t>M239</t>
  </si>
  <si>
    <t>M241</t>
  </si>
  <si>
    <t>M245</t>
  </si>
  <si>
    <t>M248</t>
  </si>
  <si>
    <t>M249</t>
  </si>
  <si>
    <t>M253</t>
  </si>
  <si>
    <t>M258</t>
  </si>
  <si>
    <t>M259</t>
  </si>
  <si>
    <t>M264</t>
  </si>
  <si>
    <t>M265</t>
  </si>
  <si>
    <t>M266</t>
  </si>
  <si>
    <t>M282</t>
  </si>
  <si>
    <t>MATRICULE MODIFIE</t>
  </si>
  <si>
    <t>CP</t>
  </si>
  <si>
    <t>DEPARTEMENT</t>
  </si>
  <si>
    <t>DATE DE
NAISSANCE</t>
  </si>
  <si>
    <t>ANNEE DE NAISSANCE</t>
  </si>
  <si>
    <t>MATRICULE</t>
  </si>
  <si>
    <t>AGE MOIS</t>
  </si>
  <si>
    <t>AGE JOURS</t>
  </si>
  <si>
    <t>AGE ANNEE</t>
  </si>
  <si>
    <t>Madame</t>
  </si>
  <si>
    <t>Chistel</t>
  </si>
  <si>
    <t>Lina</t>
  </si>
  <si>
    <t>Eloise</t>
  </si>
  <si>
    <t>Elina</t>
  </si>
  <si>
    <t>Caroline</t>
  </si>
  <si>
    <t>Ema</t>
  </si>
  <si>
    <t>Elemine</t>
  </si>
  <si>
    <t>Charlotte</t>
  </si>
  <si>
    <t>Océane</t>
  </si>
  <si>
    <t>Margueritte</t>
  </si>
  <si>
    <t>Hélène</t>
  </si>
  <si>
    <t>Monsieur</t>
  </si>
  <si>
    <t>Fany</t>
  </si>
  <si>
    <t>Lola</t>
  </si>
  <si>
    <t>Maude</t>
  </si>
  <si>
    <t>Nina</t>
  </si>
  <si>
    <t>Ninon</t>
  </si>
  <si>
    <t>Carole</t>
  </si>
  <si>
    <t>Julie</t>
  </si>
  <si>
    <t>Julia</t>
  </si>
  <si>
    <t>Sophia</t>
  </si>
  <si>
    <t>Jiehn</t>
  </si>
  <si>
    <t>Jules</t>
  </si>
  <si>
    <t>Antoine</t>
  </si>
  <si>
    <t>Julien</t>
  </si>
  <si>
    <t>Thomas</t>
  </si>
  <si>
    <t>Romain</t>
  </si>
  <si>
    <t>Eric</t>
  </si>
  <si>
    <t>Elois</t>
  </si>
  <si>
    <t>Hammed</t>
  </si>
  <si>
    <t>Timon</t>
  </si>
  <si>
    <t>Kevin</t>
  </si>
  <si>
    <t>Théo</t>
  </si>
  <si>
    <t>Léo</t>
  </si>
  <si>
    <t>Lucas</t>
  </si>
  <si>
    <t>Simon</t>
  </si>
  <si>
    <t>Hugo</t>
  </si>
  <si>
    <t>Eliot</t>
  </si>
  <si>
    <t>Gabin</t>
  </si>
  <si>
    <t>Gabriel</t>
  </si>
  <si>
    <t>Nathan</t>
  </si>
  <si>
    <t>Arthur</t>
  </si>
  <si>
    <t>Augustin</t>
  </si>
  <si>
    <t>Marius</t>
  </si>
  <si>
    <t>Justine</t>
  </si>
  <si>
    <t>Lou</t>
  </si>
  <si>
    <t>Alice</t>
  </si>
  <si>
    <t>Alicia</t>
  </si>
  <si>
    <t>CIVILITE</t>
  </si>
  <si>
    <t>GENRE</t>
  </si>
  <si>
    <t>MATRICULE MODIFIE :</t>
  </si>
  <si>
    <t>GENRE :</t>
  </si>
  <si>
    <t>Si la civilité est = Monsieur afficher un H sinon afficher un F</t>
  </si>
  <si>
    <t>ANNEE DE NAISSANCE :</t>
  </si>
  <si>
    <t xml:space="preserve"> =ANNEE(G13)</t>
  </si>
  <si>
    <t>Afficher l'année de naissance 
à partir de la date de naissance</t>
  </si>
  <si>
    <t xml:space="preserve"> =DATEDIF($G13;AUJOURDHUI();"yM")</t>
  </si>
  <si>
    <t xml:space="preserve"> =DATEDIF($G13;AUJOURDHUI();"MD")</t>
  </si>
  <si>
    <t>calule l'age en année</t>
  </si>
  <si>
    <t>Calcule le nombre 
de mois par rapport à l'année</t>
  </si>
  <si>
    <t>Calcule le nombre 
de jours par rapport au mois</t>
  </si>
  <si>
    <t>Affiche l'age en année mois et jours</t>
  </si>
  <si>
    <t xml:space="preserve"> =I13&amp;" ans "&amp;J13&amp;" mois et "&amp;K13&amp;" jours"</t>
  </si>
  <si>
    <t>DIRECTION :</t>
  </si>
  <si>
    <t xml:space="preserve"> =MAJUSCULE(SI(P13="Paris";"cdp";SI(P13="Lille";"dgl";SI(P13="Nice";"cdn";"dfa"))))</t>
  </si>
  <si>
    <t>Affiche le nom de la direction en majuscule en fonction du site</t>
  </si>
  <si>
    <t>DEPARTEMENT :</t>
  </si>
  <si>
    <t xml:space="preserve"> =GAUCHE(TEXTE(Q13;"00000");2)</t>
  </si>
  <si>
    <t>AGE ANNEE :</t>
  </si>
  <si>
    <t>AGE MOIS :</t>
  </si>
  <si>
    <t>AGE :</t>
  </si>
  <si>
    <t>AGE EN JOURS :</t>
  </si>
  <si>
    <t>Extrait le numéro du département
 en consevant le 0 du code postal</t>
  </si>
  <si>
    <t xml:space="preserve"> =DATEDIF($G13;AUJOURDHUI();"y")
Afficle le résultat au format date
Appliquer ensuite un format de nombre
sans décimal</t>
  </si>
  <si>
    <t xml:space="preserve"> =MAJUSCULE(SI(E13="monsieur";"h";"f"))</t>
  </si>
  <si>
    <t>si l'age &gt;18 et &lt;30 et le salaire 
&lt;20000 alors affiche bonus sinon 0</t>
  </si>
  <si>
    <t>Cellule de copie pour * le salaire par 13 mois</t>
  </si>
  <si>
    <t>SALAIRE :</t>
  </si>
  <si>
    <t>Multiplier le salaire mensuel par 13 mois</t>
  </si>
  <si>
    <t>BONUS SALAIRE :</t>
  </si>
  <si>
    <t>BONUS SALAIRE</t>
  </si>
  <si>
    <t>TEST TELEPHONE :</t>
  </si>
  <si>
    <t xml:space="preserve">TEST TELEPHONE </t>
  </si>
  <si>
    <t xml:space="preserve"> =SI(NBCAR(O13)&lt;9;FAUX;"")</t>
  </si>
  <si>
    <t>compte le nombre de caractères
pour le Numéro de téléphone
et affiche faux si il y a une erreur 
le 0 n'est pas pris en compte d'où le nombre 9</t>
  </si>
  <si>
    <t>le 1er caractère à gauche de la colonne MATRICULE
les 2 caractères à gauche de la colonne NOM
en majuscule les 2 caractères à partir du 2 ème de la colonne PRENOM 
les 2 caractères à droite de l'année de la colonne DATE DE NAISSANCE</t>
  </si>
  <si>
    <t>MABAU86</t>
  </si>
  <si>
    <t xml:space="preserve"> =GAUCHE(A13;1)&amp;GAUCHE(C13;2)&amp;MAJUSCULE(STXT(D13;2;2))&amp;DROITE(ANNEE(G13);2)</t>
  </si>
  <si>
    <t>NOM PRENOM</t>
  </si>
  <si>
    <t>TELEPHONE</t>
  </si>
  <si>
    <t>MAIL</t>
  </si>
  <si>
    <t>MAIL:</t>
  </si>
  <si>
    <t xml:space="preserve"> =MINUSCULE(GAUCHE(D13;1)&amp;"."&amp;C13&amp;"@arbel.com")</t>
  </si>
  <si>
    <t>Affiche l'adresse mail à de la 1ère lettre
 du prénon et le nom du nom et preno</t>
  </si>
  <si>
    <t xml:space="preserve"> =SI(ET(JOUR(G13)=JOUR($W$11);MOIS(G13)=MOIS($W$11));"Anniversaire";"")</t>
  </si>
  <si>
    <t>ANNIVERSAIRE :</t>
  </si>
  <si>
    <t>Affiche Anniversaire si le jours et le mois sont les même que la date du jour</t>
  </si>
  <si>
    <t>MABAU85</t>
  </si>
  <si>
    <t>Thadée</t>
  </si>
  <si>
    <t xml:space="preserve"> =SI(ET(I13&gt;18;I13&lt;30;M13&lt;20000);"BONUS";0)</t>
  </si>
  <si>
    <t xml:space="preserve">DEPARTEMENT </t>
  </si>
  <si>
    <t>ANNIVERSAIRE</t>
  </si>
  <si>
    <t xml:space="preserve"> =SIERREUR(RECHERCHEV($B$8;base;2;FAUX)&amp;" "&amp;RECHERCHEV($B$8;base;3;FAUX);"")</t>
  </si>
  <si>
    <t>IDENTIFIANT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</si>
</sst>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\ _€_-;\-* #,##0.00\ _€_-;_-* &quot;-&quot;??\ _€_-;_-@_-"/>
    <numFmt numFmtId="164" formatCode="d\ mmm\ yyyy"/>
    <numFmt numFmtId="165" formatCode="0#&quot; &quot;##&quot; &quot;##&quot; &quot;##&quot; &quot;##"/>
    <numFmt numFmtId="166" formatCode="_-* #,##0\ _€_-;\-* #,##0\ _€_-;_-* &quot;-&quot;??\ _€_-;_-@_-"/>
    <numFmt numFmtId="167" formatCode="00000"/>
    <numFmt numFmtId="168" formatCode="0;\-0;;@"/>
    <numFmt numFmtId="169" formatCode="#,##0.00\ &quot;€&quot;"/>
    <numFmt numFmtId="170" formatCode="&quot;Le : &quot;\ dd/mm/yyyy"/>
    <numFmt numFmtId="171" formatCode="&quot;N° de semaine :&quot;\ #,##0_ ;\-#,##0\ "/>
  </numFmts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4"/>
      <color rgb="FFFF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theme="9" tint="-0.499984740745262"/>
      </left>
      <right style="double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double">
        <color theme="9" tint="-0.499984740745262"/>
      </left>
      <right style="double">
        <color theme="9" tint="-0.499984740745262"/>
      </right>
      <top style="double">
        <color theme="9" tint="-0.499984740745262"/>
      </top>
      <bottom/>
      <diagonal/>
    </border>
    <border>
      <left style="double">
        <color theme="9" tint="-0.499984740745262"/>
      </left>
      <right style="double">
        <color theme="9" tint="-0.499984740745262"/>
      </right>
      <top/>
      <bottom style="double">
        <color theme="9" tint="-0.499984740745262"/>
      </bottom>
      <diagonal/>
    </border>
    <border>
      <left/>
      <right/>
      <top style="double">
        <color theme="9" tint="-0.499984740745262"/>
      </top>
      <bottom style="double">
        <color theme="9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4" fillId="0" borderId="0" xfId="0" applyFont="1" applyFill="1" applyAlignment="1"/>
    <xf numFmtId="0" fontId="4" fillId="0" borderId="0" xfId="0" applyNumberFormat="1" applyFont="1" applyFill="1" applyAlignment="1"/>
    <xf numFmtId="165" fontId="4" fillId="0" borderId="0" xfId="0" applyNumberFormat="1" applyFont="1" applyFill="1" applyAlignment="1"/>
    <xf numFmtId="43" fontId="4" fillId="0" borderId="0" xfId="1" applyFont="1" applyFill="1" applyAlignment="1"/>
    <xf numFmtId="14" fontId="0" fillId="0" borderId="0" xfId="0" applyNumberFormat="1"/>
    <xf numFmtId="166" fontId="4" fillId="0" borderId="0" xfId="1" applyNumberFormat="1" applyFont="1" applyFill="1" applyAlignment="1"/>
    <xf numFmtId="43" fontId="0" fillId="0" borderId="0" xfId="1" applyFont="1"/>
    <xf numFmtId="0" fontId="0" fillId="0" borderId="0" xfId="0" applyAlignment="1">
      <alignment horizontal="left"/>
    </xf>
    <xf numFmtId="166" fontId="4" fillId="0" borderId="0" xfId="1" applyNumberFormat="1" applyFont="1" applyFill="1" applyAlignment="1">
      <alignment horizontal="left"/>
    </xf>
    <xf numFmtId="0" fontId="0" fillId="0" borderId="0" xfId="0" applyAlignment="1">
      <alignment horizontal="center"/>
    </xf>
    <xf numFmtId="167" fontId="0" fillId="0" borderId="0" xfId="0" applyNumberFormat="1"/>
    <xf numFmtId="14" fontId="4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14" fontId="3" fillId="0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Fill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168" fontId="4" fillId="0" borderId="0" xfId="1" applyNumberFormat="1" applyFont="1" applyFill="1" applyAlignment="1">
      <alignment horizontal="center"/>
    </xf>
    <xf numFmtId="4" fontId="3" fillId="0" borderId="0" xfId="1" applyNumberFormat="1" applyFont="1" applyFill="1" applyAlignment="1">
      <alignment horizontal="center" vertical="center"/>
    </xf>
    <xf numFmtId="4" fontId="0" fillId="0" borderId="0" xfId="0" applyNumberFormat="1"/>
    <xf numFmtId="14" fontId="0" fillId="0" borderId="0" xfId="0" applyNumberFormat="1" applyAlignment="1">
      <alignment vertical="top"/>
    </xf>
    <xf numFmtId="0" fontId="0" fillId="0" borderId="0" xfId="0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169" fontId="7" fillId="2" borderId="1" xfId="0" applyNumberFormat="1" applyFont="1" applyFill="1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 indent="1"/>
    </xf>
    <xf numFmtId="169" fontId="7" fillId="3" borderId="4" xfId="0" applyNumberFormat="1" applyFont="1" applyFill="1" applyBorder="1" applyAlignment="1">
      <alignment horizontal="left" vertical="center" indent="1"/>
    </xf>
    <xf numFmtId="169" fontId="7" fillId="3" borderId="4" xfId="0" applyNumberFormat="1" applyFont="1" applyFill="1" applyBorder="1" applyAlignment="1">
      <alignment horizontal="right" vertical="center" indent="1"/>
    </xf>
    <xf numFmtId="0" fontId="7" fillId="3" borderId="4" xfId="0" applyFont="1" applyFill="1" applyBorder="1" applyAlignment="1">
      <alignment horizontal="right" vertical="center" indent="1"/>
    </xf>
    <xf numFmtId="0" fontId="7" fillId="2" borderId="1" xfId="0" applyFont="1" applyFill="1" applyBorder="1" applyAlignment="1">
      <alignment horizontal="left" vertical="center" indent="2"/>
    </xf>
    <xf numFmtId="169" fontId="7" fillId="2" borderId="1" xfId="0" applyNumberFormat="1" applyFont="1" applyFill="1" applyBorder="1" applyAlignment="1">
      <alignment horizontal="left" vertical="center" indent="2"/>
    </xf>
    <xf numFmtId="165" fontId="7" fillId="2" borderId="1" xfId="0" applyNumberFormat="1" applyFont="1" applyFill="1" applyBorder="1" applyAlignment="1">
      <alignment horizontal="left" vertical="center" indent="2"/>
    </xf>
    <xf numFmtId="169" fontId="7" fillId="2" borderId="1" xfId="1" applyNumberFormat="1" applyFont="1" applyFill="1" applyBorder="1" applyAlignment="1">
      <alignment horizontal="left" vertical="center" indent="2"/>
    </xf>
    <xf numFmtId="0" fontId="8" fillId="2" borderId="1" xfId="0" applyFont="1" applyFill="1" applyBorder="1" applyAlignment="1">
      <alignment horizontal="left" vertical="center" indent="2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0" fontId="8" fillId="2" borderId="0" xfId="0" applyNumberFormat="1" applyFont="1" applyFill="1" applyBorder="1" applyAlignment="1">
      <alignment horizontal="left" vertical="center"/>
    </xf>
    <xf numFmtId="171" fontId="8" fillId="2" borderId="0" xfId="1" applyNumberFormat="1" applyFont="1" applyFill="1" applyBorder="1" applyAlignment="1">
      <alignment horizontal="left" vertical="center"/>
    </xf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66" fontId="4" fillId="0" borderId="0" xfId="1" applyNumberFormat="1" applyFont="1" applyFill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60959</xdr:colOff>
      <xdr:row>1</xdr:row>
      <xdr:rowOff>76200</xdr:rowOff>
    </xdr:from>
    <xdr:to>
      <xdr:col>37</xdr:col>
      <xdr:colOff>15240</xdr:colOff>
      <xdr:row>12</xdr:row>
      <xdr:rowOff>36195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9725619" y="251460"/>
          <a:ext cx="8488681" cy="4907280"/>
        </a:xfrm>
        <a:prstGeom prst="rect">
          <a:avLst/>
        </a:prstGeom>
      </xdr:spPr>
    </xdr:pic>
    <xdr:clientData/>
  </xdr:twoCellAnchor>
  <xdr:twoCellAnchor>
    <xdr:from>
      <xdr:col>27</xdr:col>
      <xdr:colOff>685800</xdr:colOff>
      <xdr:row>6</xdr:row>
      <xdr:rowOff>30480</xdr:rowOff>
    </xdr:from>
    <xdr:to>
      <xdr:col>33</xdr:col>
      <xdr:colOff>441960</xdr:colOff>
      <xdr:row>7</xdr:row>
      <xdr:rowOff>350520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350460" y="2453640"/>
          <a:ext cx="4876800" cy="693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si le nombre de chiffres</a:t>
          </a:r>
          <a:r>
            <a:rPr lang="fr-FR" sz="1100" baseline="0"/>
            <a:t> </a:t>
          </a:r>
          <a:r>
            <a:rPr lang="fr-FR" sz="1100"/>
            <a:t> du numéro de téléphone est inférieur à 9 colorier la</a:t>
          </a:r>
          <a:r>
            <a:rPr lang="fr-FR" sz="1100" baseline="0"/>
            <a:t> ligne en rouge.</a:t>
          </a:r>
          <a:r>
            <a:rPr lang="fr-FR" sz="1100"/>
            <a:t> </a:t>
          </a:r>
        </a:p>
        <a:p>
          <a:r>
            <a:rPr lang="fr-FR" sz="1100"/>
            <a:t>Si la</a:t>
          </a:r>
          <a:r>
            <a:rPr lang="fr-FR" sz="1100" baseline="0"/>
            <a:t> cellule V13 affiche anniversaire, colorier la ligne en vert.</a:t>
          </a:r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17</xdr:row>
      <xdr:rowOff>0</xdr:rowOff>
    </xdr:from>
    <xdr:to>
      <xdr:col>8</xdr:col>
      <xdr:colOff>182881</xdr:colOff>
      <xdr:row>39</xdr:row>
      <xdr:rowOff>158877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" y="2857500"/>
          <a:ext cx="7307580" cy="40145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15240</xdr:colOff>
      <xdr:row>2</xdr:row>
      <xdr:rowOff>167640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4518660" cy="518160"/>
        </a:xfrm>
        <a:prstGeom prst="roundRect">
          <a:avLst/>
        </a:prstGeom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000"/>
            <a:t>FICHE SALARIE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50"/>
  <sheetViews>
    <sheetView tabSelected="1" topLeftCell="J7" zoomScale="80" zoomScaleNormal="80" workbookViewId="0">
      <selection activeCell="T17" sqref="T17"/>
    </sheetView>
  </sheetViews>
  <sheetFormatPr baseColWidth="10" defaultRowHeight="14.25" x14ac:dyDescent="0.2"/>
  <cols>
    <col min="1" max="1" width="12" bestFit="1" customWidth="1"/>
    <col min="2" max="2" width="21.75" bestFit="1" customWidth="1"/>
    <col min="3" max="3" width="21" customWidth="1"/>
    <col min="4" max="4" width="12.125" bestFit="1" customWidth="1"/>
    <col min="5" max="6" width="12.125" customWidth="1"/>
    <col min="7" max="7" width="18" style="13" customWidth="1"/>
    <col min="8" max="8" width="12.5" style="8" customWidth="1"/>
    <col min="9" max="9" width="14.625" customWidth="1"/>
    <col min="10" max="10" width="11.875" customWidth="1"/>
    <col min="11" max="11" width="14.25" customWidth="1"/>
    <col min="12" max="12" width="19.625" customWidth="1"/>
    <col min="13" max="13" width="13.125" style="7" customWidth="1"/>
    <col min="14" max="14" width="18.75" style="7" customWidth="1"/>
    <col min="15" max="15" width="15" customWidth="1"/>
    <col min="16" max="16" width="16.75" style="16" customWidth="1"/>
    <col min="17" max="17" width="9.875" customWidth="1"/>
    <col min="18" max="18" width="11.25" customWidth="1"/>
    <col min="19" max="19" width="13.25" customWidth="1"/>
    <col min="20" max="20" width="18.125" customWidth="1"/>
    <col min="21" max="21" width="22.5" customWidth="1"/>
    <col min="22" max="22" width="16.25" customWidth="1"/>
  </cols>
  <sheetData>
    <row r="2" spans="1:25" ht="64.900000000000006" customHeight="1" x14ac:dyDescent="0.2">
      <c r="B2" s="26" t="s">
        <v>400</v>
      </c>
      <c r="C2" s="59" t="s">
        <v>435</v>
      </c>
      <c r="D2" s="59"/>
      <c r="E2" s="59"/>
      <c r="F2" s="59"/>
      <c r="G2" s="59"/>
      <c r="H2" s="22" t="s">
        <v>403</v>
      </c>
      <c r="I2" s="60" t="s">
        <v>405</v>
      </c>
      <c r="J2" s="60"/>
      <c r="N2" s="27" t="s">
        <v>413</v>
      </c>
      <c r="U2" s="28" t="s">
        <v>441</v>
      </c>
      <c r="V2" s="61" t="s">
        <v>443</v>
      </c>
      <c r="W2" s="61"/>
      <c r="X2" s="61"/>
    </row>
    <row r="3" spans="1:25" ht="30" customHeight="1" x14ac:dyDescent="0.2">
      <c r="B3" s="32" t="s">
        <v>437</v>
      </c>
      <c r="H3" s="9" t="s">
        <v>404</v>
      </c>
      <c r="N3" s="23" t="s">
        <v>415</v>
      </c>
      <c r="U3" s="32" t="s">
        <v>442</v>
      </c>
    </row>
    <row r="4" spans="1:25" x14ac:dyDescent="0.2">
      <c r="B4" t="s">
        <v>345</v>
      </c>
      <c r="C4" t="s">
        <v>340</v>
      </c>
      <c r="D4" t="s">
        <v>0</v>
      </c>
      <c r="E4" t="s">
        <v>1</v>
      </c>
      <c r="F4" t="s">
        <v>343</v>
      </c>
      <c r="N4" s="24" t="s">
        <v>414</v>
      </c>
    </row>
    <row r="5" spans="1:25" ht="30" customHeight="1" x14ac:dyDescent="0.2">
      <c r="B5" s="32" t="s">
        <v>202</v>
      </c>
      <c r="C5" s="32" t="s">
        <v>436</v>
      </c>
      <c r="D5" s="32" t="s">
        <v>9</v>
      </c>
      <c r="E5" s="32" t="s">
        <v>10</v>
      </c>
      <c r="F5" s="36">
        <v>31489</v>
      </c>
      <c r="H5" s="19" t="s">
        <v>418</v>
      </c>
      <c r="I5" t="s">
        <v>408</v>
      </c>
      <c r="K5" s="26" t="s">
        <v>421</v>
      </c>
      <c r="L5" s="61" t="s">
        <v>410</v>
      </c>
      <c r="M5" s="61"/>
      <c r="N5" s="16"/>
      <c r="S5" t="s">
        <v>427</v>
      </c>
      <c r="T5" t="s">
        <v>428</v>
      </c>
    </row>
    <row r="6" spans="1:25" ht="38.450000000000003" customHeight="1" x14ac:dyDescent="0.2">
      <c r="H6" s="62" t="s">
        <v>423</v>
      </c>
      <c r="I6" s="62"/>
      <c r="J6" s="62"/>
      <c r="K6" s="6" t="s">
        <v>407</v>
      </c>
      <c r="N6" s="28" t="s">
        <v>416</v>
      </c>
      <c r="O6" s="60" t="s">
        <v>422</v>
      </c>
      <c r="P6" s="60"/>
      <c r="S6" s="32" t="s">
        <v>426</v>
      </c>
      <c r="T6" s="31"/>
    </row>
    <row r="7" spans="1:25" ht="29.45" customHeight="1" x14ac:dyDescent="0.25">
      <c r="B7" s="29" t="s">
        <v>401</v>
      </c>
      <c r="C7" t="s">
        <v>402</v>
      </c>
      <c r="H7" s="61"/>
      <c r="I7" s="61"/>
      <c r="J7" s="61"/>
      <c r="N7" s="8" t="s">
        <v>417</v>
      </c>
      <c r="S7" s="16">
        <v>13</v>
      </c>
    </row>
    <row r="8" spans="1:25" ht="36.6" customHeight="1" x14ac:dyDescent="0.2">
      <c r="B8" s="30" t="s">
        <v>424</v>
      </c>
      <c r="H8" s="19" t="s">
        <v>419</v>
      </c>
      <c r="I8" s="61" t="s">
        <v>409</v>
      </c>
      <c r="J8" s="61"/>
      <c r="K8" s="25" t="s">
        <v>420</v>
      </c>
      <c r="L8" s="23" t="s">
        <v>411</v>
      </c>
      <c r="R8" s="23" t="s">
        <v>431</v>
      </c>
    </row>
    <row r="9" spans="1:25" ht="58.15" customHeight="1" x14ac:dyDescent="0.2">
      <c r="H9" s="6" t="s">
        <v>406</v>
      </c>
      <c r="K9" s="6" t="s">
        <v>412</v>
      </c>
      <c r="N9" s="20" t="s">
        <v>429</v>
      </c>
      <c r="O9" s="59" t="s">
        <v>425</v>
      </c>
      <c r="P9" s="59"/>
      <c r="R9" s="60" t="s">
        <v>434</v>
      </c>
      <c r="S9" s="60"/>
      <c r="T9" s="60"/>
      <c r="U9" s="50" t="s">
        <v>445</v>
      </c>
      <c r="V9" s="23" t="s">
        <v>444</v>
      </c>
    </row>
    <row r="10" spans="1:25" x14ac:dyDescent="0.2">
      <c r="H10" s="6"/>
      <c r="K10" s="6"/>
      <c r="N10" s="4" t="s">
        <v>449</v>
      </c>
      <c r="R10" t="s">
        <v>433</v>
      </c>
      <c r="U10" t="s">
        <v>446</v>
      </c>
      <c r="Y10" s="5">
        <f ca="1">TODAY()</f>
        <v>43298</v>
      </c>
    </row>
    <row r="11" spans="1:25" ht="31.9" customHeight="1" x14ac:dyDescent="0.2"/>
    <row r="12" spans="1:25" s="16" customFormat="1" ht="25.5" x14ac:dyDescent="0.2">
      <c r="A12" s="17" t="s">
        <v>345</v>
      </c>
      <c r="B12" s="17" t="s">
        <v>453</v>
      </c>
      <c r="C12" s="14" t="s">
        <v>0</v>
      </c>
      <c r="D12" s="14" t="s">
        <v>1</v>
      </c>
      <c r="E12" s="14" t="s">
        <v>398</v>
      </c>
      <c r="F12" s="14" t="s">
        <v>399</v>
      </c>
      <c r="G12" s="18" t="s">
        <v>343</v>
      </c>
      <c r="H12" s="18" t="s">
        <v>344</v>
      </c>
      <c r="I12" s="19" t="s">
        <v>348</v>
      </c>
      <c r="J12" s="19" t="s">
        <v>346</v>
      </c>
      <c r="K12" s="19" t="s">
        <v>347</v>
      </c>
      <c r="L12" s="19" t="s">
        <v>6</v>
      </c>
      <c r="M12" s="34" t="s">
        <v>5</v>
      </c>
      <c r="N12" s="20" t="s">
        <v>430</v>
      </c>
      <c r="O12" s="14" t="s">
        <v>2</v>
      </c>
      <c r="P12" s="14" t="s">
        <v>3</v>
      </c>
      <c r="Q12" s="14" t="s">
        <v>4</v>
      </c>
      <c r="R12" s="14" t="s">
        <v>341</v>
      </c>
      <c r="S12" s="14" t="s">
        <v>342</v>
      </c>
      <c r="T12" s="27" t="s">
        <v>432</v>
      </c>
      <c r="U12" s="28" t="s">
        <v>440</v>
      </c>
      <c r="V12" s="51" t="s">
        <v>445</v>
      </c>
    </row>
    <row r="13" spans="1:25" x14ac:dyDescent="0.2">
      <c r="A13" t="s">
        <v>202</v>
      </c>
      <c r="B13" t="str">
        <f t="shared" ref="B13:B77" si="0">LEFT(A13,1)&amp;LEFT(C13,2)&amp;UPPER(MID(D13,2,2))&amp;RIGHT(YEAR(G13),2)</f>
        <v>MABAU85</v>
      </c>
      <c r="C13" s="1" t="s">
        <v>9</v>
      </c>
      <c r="D13" s="1" t="s">
        <v>10</v>
      </c>
      <c r="E13" s="1" t="s">
        <v>361</v>
      </c>
      <c r="F13" s="21" t="str">
        <f t="shared" ref="F13:F44" si="1">UPPER(IF(E13="monsieur","h","f"))</f>
        <v>H</v>
      </c>
      <c r="G13" s="12">
        <v>31158</v>
      </c>
      <c r="H13" s="9">
        <f t="shared" ref="H13:H44" si="2">YEAR(G13)</f>
        <v>1985</v>
      </c>
      <c r="I13" s="6">
        <f t="shared" ref="I13:I44" ca="1" si="3">DATEDIF($G13,TODAY(),"y")</f>
        <v>33</v>
      </c>
      <c r="J13" s="6">
        <f t="shared" ref="J13:J44" ca="1" si="4">DATEDIF($G13,TODAY(),"yM")</f>
        <v>2</v>
      </c>
      <c r="K13" s="6">
        <f t="shared" ref="K13:K44" ca="1" si="5">DATEDIF($G13,TODAY(),"MD")</f>
        <v>26</v>
      </c>
      <c r="L13" s="6" t="str">
        <f t="shared" ref="L13:L44" ca="1" si="6">I13&amp;" ans "&amp;J13&amp;" mois et "&amp;K13&amp;" jours"</f>
        <v>33 ans 2 mois et 26 jours</v>
      </c>
      <c r="M13" s="35">
        <v>35703.980000000003</v>
      </c>
      <c r="N13" s="33">
        <f t="shared" ref="N13:N76" ca="1" si="7">IF(AND(I13&gt;18,I13&lt;30,M13&lt;20000),"BONUS",0)</f>
        <v>0</v>
      </c>
      <c r="O13" s="3">
        <v>401943376</v>
      </c>
      <c r="P13" s="15" t="str">
        <f t="shared" ref="P13:P44" si="8">UPPER(IF(Q13="Paris","cdp",IF(Q13="Lille","dgl",IF(Q13="Nice","cdn","dfa"))))</f>
        <v>CDP</v>
      </c>
      <c r="Q13" s="1" t="s">
        <v>8</v>
      </c>
      <c r="R13" s="11">
        <v>59000</v>
      </c>
      <c r="S13" s="10" t="str">
        <f t="shared" ref="S13:S44" si="9">LEFT(TEXT(R13,"00000"),2)</f>
        <v>59</v>
      </c>
      <c r="T13" t="str">
        <f>IF(LEN(O13)&lt;9,FALSE,"")</f>
        <v/>
      </c>
      <c r="U13" t="str">
        <f>LOWER(LEFT(D13,1)&amp;"."&amp;C13&amp;"@arbel.com")</f>
        <v>p.abschen@arbel.com</v>
      </c>
      <c r="V13" s="10" t="str">
        <f t="shared" ref="V13:V44" ca="1" si="10">IF(AND(DAY(G13)=DAY($Y$10),MONTH(G13)=MONTH($Y$10)),"Anniversaire","")</f>
        <v/>
      </c>
    </row>
    <row r="14" spans="1:25" x14ac:dyDescent="0.2">
      <c r="A14" t="s">
        <v>203</v>
      </c>
      <c r="B14" t="str">
        <f t="shared" si="0"/>
        <v>MAGHI85</v>
      </c>
      <c r="C14" s="1" t="s">
        <v>11</v>
      </c>
      <c r="D14" s="1" t="s">
        <v>350</v>
      </c>
      <c r="E14" s="1" t="s">
        <v>349</v>
      </c>
      <c r="F14" s="21" t="str">
        <f t="shared" si="1"/>
        <v>F</v>
      </c>
      <c r="G14" s="12">
        <v>31162</v>
      </c>
      <c r="H14" s="9">
        <f t="shared" si="2"/>
        <v>1985</v>
      </c>
      <c r="I14" s="6">
        <f t="shared" ca="1" si="3"/>
        <v>33</v>
      </c>
      <c r="J14" s="6">
        <f t="shared" ca="1" si="4"/>
        <v>2</v>
      </c>
      <c r="K14" s="6">
        <f t="shared" ca="1" si="5"/>
        <v>22</v>
      </c>
      <c r="L14" s="6" t="str">
        <f t="shared" ca="1" si="6"/>
        <v>33 ans 2 mois et 22 jours</v>
      </c>
      <c r="M14" s="35">
        <v>12046.71</v>
      </c>
      <c r="N14" s="33">
        <f t="shared" ca="1" si="7"/>
        <v>0</v>
      </c>
      <c r="O14" s="3">
        <v>401943376</v>
      </c>
      <c r="P14" s="15" t="str">
        <f t="shared" si="8"/>
        <v>CDN</v>
      </c>
      <c r="Q14" s="1" t="s">
        <v>13</v>
      </c>
      <c r="R14" s="11">
        <v>59000</v>
      </c>
      <c r="S14" s="10" t="str">
        <f t="shared" si="9"/>
        <v>59</v>
      </c>
      <c r="T14" t="str">
        <f t="shared" ref="T14:T77" si="11">IF(LEN(O14)&lt;9,FALSE,"")</f>
        <v/>
      </c>
      <c r="U14" t="str">
        <f t="shared" ref="U14:U77" si="12">LOWER(LEFT(D14,1)&amp;"."&amp;C14&amp;"@arbel.com")</f>
        <v>c.agapof@arbel.com</v>
      </c>
      <c r="V14" s="10" t="str">
        <f t="shared" ca="1" si="10"/>
        <v/>
      </c>
    </row>
    <row r="15" spans="1:25" x14ac:dyDescent="0.2">
      <c r="A15" t="s">
        <v>204</v>
      </c>
      <c r="B15" t="str">
        <f t="shared" si="0"/>
        <v>MALEA85</v>
      </c>
      <c r="C15" s="1" t="s">
        <v>14</v>
      </c>
      <c r="D15" s="1" t="s">
        <v>15</v>
      </c>
      <c r="E15" s="1" t="s">
        <v>361</v>
      </c>
      <c r="F15" s="21" t="str">
        <f t="shared" si="1"/>
        <v>H</v>
      </c>
      <c r="G15" s="12">
        <v>31162</v>
      </c>
      <c r="H15" s="9">
        <f t="shared" si="2"/>
        <v>1985</v>
      </c>
      <c r="I15" s="6">
        <f t="shared" ca="1" si="3"/>
        <v>33</v>
      </c>
      <c r="J15" s="6">
        <f t="shared" ca="1" si="4"/>
        <v>2</v>
      </c>
      <c r="K15" s="6">
        <f t="shared" ca="1" si="5"/>
        <v>22</v>
      </c>
      <c r="L15" s="6" t="str">
        <f t="shared" ca="1" si="6"/>
        <v>33 ans 2 mois et 22 jours</v>
      </c>
      <c r="M15" s="35">
        <v>17237.61</v>
      </c>
      <c r="N15" s="33">
        <f t="shared" ca="1" si="7"/>
        <v>0</v>
      </c>
      <c r="O15" s="3">
        <v>103020556</v>
      </c>
      <c r="P15" s="15" t="str">
        <f t="shared" si="8"/>
        <v>CDP</v>
      </c>
      <c r="Q15" s="1" t="s">
        <v>8</v>
      </c>
      <c r="R15" s="11">
        <v>59000</v>
      </c>
      <c r="S15" s="10" t="str">
        <f t="shared" si="9"/>
        <v>59</v>
      </c>
      <c r="T15" t="str">
        <f t="shared" si="11"/>
        <v/>
      </c>
      <c r="U15" t="str">
        <f t="shared" si="12"/>
        <v>j.alembert@arbel.com</v>
      </c>
      <c r="V15" s="10" t="str">
        <f t="shared" ca="1" si="10"/>
        <v/>
      </c>
    </row>
    <row r="16" spans="1:25" x14ac:dyDescent="0.2">
      <c r="A16" t="s">
        <v>206</v>
      </c>
      <c r="B16" t="str">
        <f t="shared" si="0"/>
        <v>MAMÉO79</v>
      </c>
      <c r="C16" s="1" t="s">
        <v>19</v>
      </c>
      <c r="D16" s="1" t="s">
        <v>383</v>
      </c>
      <c r="E16" s="1" t="s">
        <v>361</v>
      </c>
      <c r="F16" s="21" t="str">
        <f t="shared" si="1"/>
        <v>H</v>
      </c>
      <c r="G16" s="12">
        <v>29213</v>
      </c>
      <c r="H16" s="9">
        <f t="shared" si="2"/>
        <v>1979</v>
      </c>
      <c r="I16" s="6">
        <f t="shared" ca="1" si="3"/>
        <v>38</v>
      </c>
      <c r="J16" s="6">
        <f t="shared" ca="1" si="4"/>
        <v>6</v>
      </c>
      <c r="K16" s="6">
        <f t="shared" ca="1" si="5"/>
        <v>23</v>
      </c>
      <c r="L16" s="6" t="str">
        <f t="shared" ca="1" si="6"/>
        <v>38 ans 6 mois et 23 jours</v>
      </c>
      <c r="M16" s="35">
        <v>26674.829999999998</v>
      </c>
      <c r="N16" s="33">
        <f t="shared" ca="1" si="7"/>
        <v>0</v>
      </c>
      <c r="O16" s="3">
        <v>401823756</v>
      </c>
      <c r="P16" s="15" t="str">
        <f t="shared" si="8"/>
        <v>CDN</v>
      </c>
      <c r="Q16" s="1" t="s">
        <v>13</v>
      </c>
      <c r="R16" s="11">
        <v>6000</v>
      </c>
      <c r="S16" s="10" t="str">
        <f t="shared" si="9"/>
        <v>06</v>
      </c>
      <c r="T16" t="str">
        <f t="shared" si="11"/>
        <v/>
      </c>
      <c r="U16" t="str">
        <f t="shared" si="12"/>
        <v>l.amellal@arbel.com</v>
      </c>
      <c r="V16" s="10" t="str">
        <f t="shared" ca="1" si="10"/>
        <v/>
      </c>
    </row>
    <row r="17" spans="1:22" x14ac:dyDescent="0.2">
      <c r="A17" t="s">
        <v>208</v>
      </c>
      <c r="B17" t="str">
        <f t="shared" si="0"/>
        <v>MANUG79</v>
      </c>
      <c r="C17" s="1" t="s">
        <v>22</v>
      </c>
      <c r="D17" s="1" t="s">
        <v>386</v>
      </c>
      <c r="E17" s="1" t="s">
        <v>361</v>
      </c>
      <c r="F17" s="21" t="str">
        <f t="shared" si="1"/>
        <v>H</v>
      </c>
      <c r="G17" s="12">
        <v>29070</v>
      </c>
      <c r="H17" s="9">
        <f t="shared" si="2"/>
        <v>1979</v>
      </c>
      <c r="I17" s="6">
        <f t="shared" ca="1" si="3"/>
        <v>38</v>
      </c>
      <c r="J17" s="6">
        <f t="shared" ca="1" si="4"/>
        <v>11</v>
      </c>
      <c r="K17" s="6">
        <f t="shared" ca="1" si="5"/>
        <v>14</v>
      </c>
      <c r="L17" s="6" t="str">
        <f t="shared" ca="1" si="6"/>
        <v>38 ans 11 mois et 14 jours</v>
      </c>
      <c r="M17" s="35">
        <v>38878.450000000004</v>
      </c>
      <c r="N17" s="33">
        <f t="shared" ca="1" si="7"/>
        <v>0</v>
      </c>
      <c r="O17" s="3">
        <v>40184516</v>
      </c>
      <c r="P17" s="15" t="str">
        <f t="shared" si="8"/>
        <v>CDN</v>
      </c>
      <c r="Q17" s="1" t="s">
        <v>13</v>
      </c>
      <c r="R17" s="11">
        <v>6000</v>
      </c>
      <c r="S17" s="10" t="str">
        <f t="shared" si="9"/>
        <v>06</v>
      </c>
      <c r="T17" t="b">
        <f t="shared" si="11"/>
        <v>0</v>
      </c>
      <c r="U17" t="str">
        <f t="shared" si="12"/>
        <v>h.angonin@arbel.com</v>
      </c>
      <c r="V17" s="10" t="str">
        <f t="shared" ca="1" si="10"/>
        <v/>
      </c>
    </row>
    <row r="18" spans="1:22" x14ac:dyDescent="0.2">
      <c r="A18" t="s">
        <v>209</v>
      </c>
      <c r="B18" t="str">
        <f t="shared" si="0"/>
        <v>MAZOP82</v>
      </c>
      <c r="C18" s="1" t="s">
        <v>23</v>
      </c>
      <c r="D18" s="1" t="s">
        <v>107</v>
      </c>
      <c r="E18" s="1" t="s">
        <v>349</v>
      </c>
      <c r="F18" s="21" t="str">
        <f t="shared" si="1"/>
        <v>F</v>
      </c>
      <c r="G18" s="12">
        <v>30166</v>
      </c>
      <c r="H18" s="9">
        <f t="shared" si="2"/>
        <v>1982</v>
      </c>
      <c r="I18" s="6">
        <f t="shared" ca="1" si="3"/>
        <v>35</v>
      </c>
      <c r="J18" s="6">
        <f t="shared" ca="1" si="4"/>
        <v>11</v>
      </c>
      <c r="K18" s="6">
        <f t="shared" ca="1" si="5"/>
        <v>14</v>
      </c>
      <c r="L18" s="6" t="str">
        <f t="shared" ca="1" si="6"/>
        <v>35 ans 11 mois et 14 jours</v>
      </c>
      <c r="M18" s="35">
        <v>43451.33</v>
      </c>
      <c r="N18" s="33">
        <f t="shared" ca="1" si="7"/>
        <v>0</v>
      </c>
      <c r="O18" s="3">
        <v>401464896</v>
      </c>
      <c r="P18" s="15" t="str">
        <f t="shared" si="8"/>
        <v>CDN</v>
      </c>
      <c r="Q18" s="1" t="s">
        <v>13</v>
      </c>
      <c r="R18" s="11">
        <v>6000</v>
      </c>
      <c r="S18" s="10" t="str">
        <f t="shared" si="9"/>
        <v>06</v>
      </c>
      <c r="T18" t="str">
        <f t="shared" si="11"/>
        <v/>
      </c>
      <c r="U18" t="str">
        <f t="shared" si="12"/>
        <v>s.azoura@arbel.com</v>
      </c>
      <c r="V18" s="10" t="str">
        <f t="shared" ca="1" si="10"/>
        <v/>
      </c>
    </row>
    <row r="19" spans="1:22" x14ac:dyDescent="0.2">
      <c r="A19" t="s">
        <v>210</v>
      </c>
      <c r="B19" t="str">
        <f t="shared" si="0"/>
        <v>MBAEA17</v>
      </c>
      <c r="C19" s="1" t="s">
        <v>24</v>
      </c>
      <c r="D19" s="1" t="s">
        <v>37</v>
      </c>
      <c r="E19" s="1" t="s">
        <v>349</v>
      </c>
      <c r="F19" s="21" t="str">
        <f t="shared" si="1"/>
        <v>F</v>
      </c>
      <c r="G19" s="12">
        <v>42845</v>
      </c>
      <c r="H19" s="9">
        <f t="shared" si="2"/>
        <v>2017</v>
      </c>
      <c r="I19" s="6">
        <f t="shared" ca="1" si="3"/>
        <v>1</v>
      </c>
      <c r="J19" s="6">
        <f t="shared" ca="1" si="4"/>
        <v>2</v>
      </c>
      <c r="K19" s="6">
        <f t="shared" ca="1" si="5"/>
        <v>27</v>
      </c>
      <c r="L19" s="6" t="str">
        <f t="shared" ca="1" si="6"/>
        <v>1 ans 2 mois et 27 jours</v>
      </c>
      <c r="M19" s="35">
        <v>40487.85</v>
      </c>
      <c r="N19" s="33">
        <f t="shared" ca="1" si="7"/>
        <v>0</v>
      </c>
      <c r="O19" s="3">
        <v>401345276</v>
      </c>
      <c r="P19" s="15" t="str">
        <f t="shared" si="8"/>
        <v>CDN</v>
      </c>
      <c r="Q19" s="1" t="s">
        <v>13</v>
      </c>
      <c r="R19" s="11">
        <v>6000</v>
      </c>
      <c r="S19" s="10" t="str">
        <f t="shared" si="9"/>
        <v>06</v>
      </c>
      <c r="T19" t="str">
        <f t="shared" si="11"/>
        <v/>
      </c>
      <c r="U19" t="str">
        <f t="shared" si="12"/>
        <v>j.bach@arbel.com</v>
      </c>
      <c r="V19" s="10" t="str">
        <f t="shared" ca="1" si="10"/>
        <v/>
      </c>
    </row>
    <row r="20" spans="1:22" x14ac:dyDescent="0.2">
      <c r="A20" t="s">
        <v>211</v>
      </c>
      <c r="B20" t="str">
        <f t="shared" si="0"/>
        <v>MBAEA90</v>
      </c>
      <c r="C20" s="1" t="s">
        <v>25</v>
      </c>
      <c r="D20" s="1" t="s">
        <v>37</v>
      </c>
      <c r="E20" s="1" t="s">
        <v>349</v>
      </c>
      <c r="F20" s="21" t="str">
        <f t="shared" si="1"/>
        <v>F</v>
      </c>
      <c r="G20" s="12">
        <v>32959</v>
      </c>
      <c r="H20" s="9">
        <f t="shared" si="2"/>
        <v>1990</v>
      </c>
      <c r="I20" s="6">
        <f t="shared" ca="1" si="3"/>
        <v>28</v>
      </c>
      <c r="J20" s="6">
        <f t="shared" ca="1" si="4"/>
        <v>3</v>
      </c>
      <c r="K20" s="6">
        <f t="shared" ca="1" si="5"/>
        <v>20</v>
      </c>
      <c r="L20" s="6" t="str">
        <f t="shared" ca="1" si="6"/>
        <v>28 ans 3 mois et 20 jours</v>
      </c>
      <c r="M20" s="35">
        <v>30712.76</v>
      </c>
      <c r="N20" s="33">
        <f t="shared" ca="1" si="7"/>
        <v>0</v>
      </c>
      <c r="O20" s="3">
        <v>401225656</v>
      </c>
      <c r="P20" s="15" t="str">
        <f t="shared" si="8"/>
        <v>CDN</v>
      </c>
      <c r="Q20" s="1" t="s">
        <v>13</v>
      </c>
      <c r="R20" s="11">
        <v>6000</v>
      </c>
      <c r="S20" s="10" t="str">
        <f t="shared" si="9"/>
        <v>06</v>
      </c>
      <c r="T20" t="str">
        <f t="shared" si="11"/>
        <v/>
      </c>
      <c r="U20" t="str">
        <f t="shared" si="12"/>
        <v>j.barnaud@arbel.com</v>
      </c>
      <c r="V20" s="10" t="str">
        <f t="shared" ca="1" si="10"/>
        <v/>
      </c>
    </row>
    <row r="21" spans="1:22" x14ac:dyDescent="0.2">
      <c r="A21" t="s">
        <v>212</v>
      </c>
      <c r="B21" t="str">
        <f t="shared" si="0"/>
        <v>MBAAR67</v>
      </c>
      <c r="C21" s="1" t="s">
        <v>27</v>
      </c>
      <c r="D21" s="1" t="s">
        <v>28</v>
      </c>
      <c r="E21" s="1" t="s">
        <v>349</v>
      </c>
      <c r="F21" s="21" t="str">
        <f t="shared" si="1"/>
        <v>F</v>
      </c>
      <c r="G21" s="12">
        <v>24567</v>
      </c>
      <c r="H21" s="9">
        <f t="shared" si="2"/>
        <v>1967</v>
      </c>
      <c r="I21" s="6">
        <f t="shared" ca="1" si="3"/>
        <v>51</v>
      </c>
      <c r="J21" s="6">
        <f t="shared" ca="1" si="4"/>
        <v>3</v>
      </c>
      <c r="K21" s="6">
        <f t="shared" ca="1" si="5"/>
        <v>12</v>
      </c>
      <c r="L21" s="6" t="str">
        <f t="shared" ca="1" si="6"/>
        <v>51 ans 3 mois et 12 jours</v>
      </c>
      <c r="M21" s="35">
        <v>20625.54</v>
      </c>
      <c r="N21" s="33">
        <f t="shared" ca="1" si="7"/>
        <v>0</v>
      </c>
      <c r="O21" s="3">
        <v>401106036</v>
      </c>
      <c r="P21" s="15" t="str">
        <f t="shared" si="8"/>
        <v>CDN</v>
      </c>
      <c r="Q21" s="1" t="s">
        <v>13</v>
      </c>
      <c r="R21" s="11">
        <v>6000</v>
      </c>
      <c r="S21" s="10" t="str">
        <f t="shared" si="9"/>
        <v>06</v>
      </c>
      <c r="T21" t="str">
        <f t="shared" si="11"/>
        <v/>
      </c>
      <c r="U21" t="str">
        <f t="shared" si="12"/>
        <v>m.barrandon@arbel.com</v>
      </c>
      <c r="V21" s="10" t="str">
        <f t="shared" ca="1" si="10"/>
        <v/>
      </c>
    </row>
    <row r="22" spans="1:22" x14ac:dyDescent="0.2">
      <c r="A22" t="s">
        <v>213</v>
      </c>
      <c r="B22" t="str">
        <f t="shared" si="0"/>
        <v>MBARL81</v>
      </c>
      <c r="C22" s="1" t="s">
        <v>30</v>
      </c>
      <c r="D22" s="1" t="s">
        <v>31</v>
      </c>
      <c r="E22" s="1" t="s">
        <v>349</v>
      </c>
      <c r="F22" s="21" t="str">
        <f t="shared" si="1"/>
        <v>F</v>
      </c>
      <c r="G22" s="12">
        <v>29595</v>
      </c>
      <c r="H22" s="9">
        <f t="shared" si="2"/>
        <v>1981</v>
      </c>
      <c r="I22" s="6">
        <f t="shared" ca="1" si="3"/>
        <v>37</v>
      </c>
      <c r="J22" s="6">
        <f t="shared" ca="1" si="4"/>
        <v>6</v>
      </c>
      <c r="K22" s="6">
        <f t="shared" ca="1" si="5"/>
        <v>8</v>
      </c>
      <c r="L22" s="6" t="str">
        <f t="shared" ca="1" si="6"/>
        <v>37 ans 6 mois et 8 jours</v>
      </c>
      <c r="M22" s="35">
        <v>40207.440000000002</v>
      </c>
      <c r="N22" s="33">
        <f t="shared" ca="1" si="7"/>
        <v>0</v>
      </c>
      <c r="O22" s="3">
        <v>400986416</v>
      </c>
      <c r="P22" s="15" t="str">
        <f t="shared" si="8"/>
        <v>CDN</v>
      </c>
      <c r="Q22" s="1" t="s">
        <v>13</v>
      </c>
      <c r="R22" s="11">
        <v>6000</v>
      </c>
      <c r="S22" s="10" t="str">
        <f t="shared" si="9"/>
        <v>06</v>
      </c>
      <c r="T22" t="str">
        <f t="shared" si="11"/>
        <v/>
      </c>
      <c r="U22" t="str">
        <f t="shared" si="12"/>
        <v>a.baudet@arbel.com</v>
      </c>
      <c r="V22" s="10" t="str">
        <f t="shared" ca="1" si="10"/>
        <v/>
      </c>
    </row>
    <row r="23" spans="1:22" x14ac:dyDescent="0.2">
      <c r="A23" t="s">
        <v>214</v>
      </c>
      <c r="B23" t="str">
        <f t="shared" si="0"/>
        <v>MBELO89</v>
      </c>
      <c r="C23" s="1" t="s">
        <v>32</v>
      </c>
      <c r="D23" s="1" t="s">
        <v>378</v>
      </c>
      <c r="E23" s="1" t="s">
        <v>361</v>
      </c>
      <c r="F23" s="21" t="str">
        <f t="shared" si="1"/>
        <v>H</v>
      </c>
      <c r="G23" s="12">
        <v>32831</v>
      </c>
      <c r="H23" s="9">
        <f t="shared" si="2"/>
        <v>1989</v>
      </c>
      <c r="I23" s="6">
        <f t="shared" ca="1" si="3"/>
        <v>28</v>
      </c>
      <c r="J23" s="6">
        <f t="shared" ca="1" si="4"/>
        <v>7</v>
      </c>
      <c r="K23" s="6">
        <f t="shared" ca="1" si="5"/>
        <v>28</v>
      </c>
      <c r="L23" s="6" t="str">
        <f t="shared" ca="1" si="6"/>
        <v>28 ans 7 mois et 28 jours</v>
      </c>
      <c r="M23" s="35">
        <v>20034.43</v>
      </c>
      <c r="N23" s="33">
        <f t="shared" ca="1" si="7"/>
        <v>0</v>
      </c>
      <c r="O23" s="3">
        <v>400866796</v>
      </c>
      <c r="P23" s="15" t="str">
        <f t="shared" si="8"/>
        <v>CDN</v>
      </c>
      <c r="Q23" s="1" t="s">
        <v>13</v>
      </c>
      <c r="R23" s="11">
        <v>6000</v>
      </c>
      <c r="S23" s="10" t="str">
        <f t="shared" si="9"/>
        <v>06</v>
      </c>
      <c r="T23" t="str">
        <f t="shared" si="11"/>
        <v/>
      </c>
      <c r="U23" t="str">
        <f t="shared" si="12"/>
        <v>e.beaudeau@arbel.com</v>
      </c>
      <c r="V23" s="10" t="str">
        <f t="shared" ca="1" si="10"/>
        <v/>
      </c>
    </row>
    <row r="24" spans="1:22" x14ac:dyDescent="0.2">
      <c r="A24" t="s">
        <v>215</v>
      </c>
      <c r="B24" t="str">
        <f t="shared" si="0"/>
        <v>MBESA95</v>
      </c>
      <c r="C24" s="1" t="s">
        <v>33</v>
      </c>
      <c r="D24" s="1" t="s">
        <v>34</v>
      </c>
      <c r="E24" s="1" t="s">
        <v>349</v>
      </c>
      <c r="F24" s="21" t="str">
        <f t="shared" si="1"/>
        <v>F</v>
      </c>
      <c r="G24" s="12">
        <v>34725</v>
      </c>
      <c r="H24" s="9">
        <f t="shared" si="2"/>
        <v>1995</v>
      </c>
      <c r="I24" s="6">
        <f t="shared" ca="1" si="3"/>
        <v>23</v>
      </c>
      <c r="J24" s="6">
        <f t="shared" ca="1" si="4"/>
        <v>5</v>
      </c>
      <c r="K24" s="6">
        <f t="shared" ca="1" si="5"/>
        <v>21</v>
      </c>
      <c r="L24" s="6" t="str">
        <f t="shared" ca="1" si="6"/>
        <v>23 ans 5 mois et 21 jours</v>
      </c>
      <c r="M24" s="35">
        <v>16583.32</v>
      </c>
      <c r="N24" s="33" t="str">
        <f t="shared" ca="1" si="7"/>
        <v>BONUS</v>
      </c>
      <c r="O24" s="3">
        <v>400747176</v>
      </c>
      <c r="P24" s="15" t="str">
        <f t="shared" si="8"/>
        <v>CDN</v>
      </c>
      <c r="Q24" s="1" t="s">
        <v>13</v>
      </c>
      <c r="R24" s="11">
        <v>6000</v>
      </c>
      <c r="S24" s="10" t="str">
        <f t="shared" si="9"/>
        <v>06</v>
      </c>
      <c r="T24" t="str">
        <f t="shared" si="11"/>
        <v/>
      </c>
      <c r="U24" t="str">
        <f t="shared" si="12"/>
        <v>i.beaumier@arbel.com</v>
      </c>
      <c r="V24" s="10" t="str">
        <f t="shared" ca="1" si="10"/>
        <v/>
      </c>
    </row>
    <row r="25" spans="1:22" x14ac:dyDescent="0.2">
      <c r="A25" t="s">
        <v>216</v>
      </c>
      <c r="B25" t="str">
        <f t="shared" si="0"/>
        <v>MBEEV90</v>
      </c>
      <c r="C25" s="1" t="s">
        <v>35</v>
      </c>
      <c r="D25" s="1" t="s">
        <v>381</v>
      </c>
      <c r="E25" s="1" t="s">
        <v>361</v>
      </c>
      <c r="F25" s="21" t="str">
        <f t="shared" si="1"/>
        <v>H</v>
      </c>
      <c r="G25" s="12">
        <v>32994</v>
      </c>
      <c r="H25" s="9">
        <f t="shared" si="2"/>
        <v>1990</v>
      </c>
      <c r="I25" s="6">
        <f t="shared" ca="1" si="3"/>
        <v>28</v>
      </c>
      <c r="J25" s="6">
        <f t="shared" ca="1" si="4"/>
        <v>2</v>
      </c>
      <c r="K25" s="6">
        <f t="shared" ca="1" si="5"/>
        <v>16</v>
      </c>
      <c r="L25" s="6" t="str">
        <f t="shared" ca="1" si="6"/>
        <v>28 ans 2 mois et 16 jours</v>
      </c>
      <c r="M25" s="35">
        <v>20542.86</v>
      </c>
      <c r="N25" s="33">
        <f t="shared" ca="1" si="7"/>
        <v>0</v>
      </c>
      <c r="O25" s="3">
        <v>400627556</v>
      </c>
      <c r="P25" s="15" t="str">
        <f t="shared" si="8"/>
        <v>CDN</v>
      </c>
      <c r="Q25" s="1" t="s">
        <v>13</v>
      </c>
      <c r="R25" s="11">
        <v>6000</v>
      </c>
      <c r="S25" s="10" t="str">
        <f t="shared" si="9"/>
        <v>06</v>
      </c>
      <c r="T25" t="str">
        <f t="shared" si="11"/>
        <v/>
      </c>
      <c r="U25" t="str">
        <f t="shared" si="12"/>
        <v>k.bedo@arbel.com</v>
      </c>
      <c r="V25" s="10" t="str">
        <f t="shared" ca="1" si="10"/>
        <v/>
      </c>
    </row>
    <row r="26" spans="1:22" x14ac:dyDescent="0.2">
      <c r="A26" t="s">
        <v>217</v>
      </c>
      <c r="B26" t="str">
        <f t="shared" si="0"/>
        <v>MBEUC93</v>
      </c>
      <c r="C26" s="1" t="s">
        <v>36</v>
      </c>
      <c r="D26" s="1" t="s">
        <v>384</v>
      </c>
      <c r="E26" s="1" t="s">
        <v>361</v>
      </c>
      <c r="F26" s="21" t="str">
        <f t="shared" si="1"/>
        <v>H</v>
      </c>
      <c r="G26" s="12">
        <v>34135</v>
      </c>
      <c r="H26" s="9">
        <f t="shared" si="2"/>
        <v>1993</v>
      </c>
      <c r="I26" s="6">
        <f t="shared" ca="1" si="3"/>
        <v>25</v>
      </c>
      <c r="J26" s="6">
        <f t="shared" ca="1" si="4"/>
        <v>1</v>
      </c>
      <c r="K26" s="6">
        <f t="shared" ca="1" si="5"/>
        <v>2</v>
      </c>
      <c r="L26" s="6" t="str">
        <f t="shared" ca="1" si="6"/>
        <v>25 ans 1 mois et 2 jours</v>
      </c>
      <c r="M26" s="35">
        <v>25633.919999999998</v>
      </c>
      <c r="N26" s="33">
        <f t="shared" ca="1" si="7"/>
        <v>0</v>
      </c>
      <c r="O26" s="3">
        <v>400507936</v>
      </c>
      <c r="P26" s="15" t="str">
        <f t="shared" si="8"/>
        <v>CDN</v>
      </c>
      <c r="Q26" s="1" t="s">
        <v>13</v>
      </c>
      <c r="R26" s="11">
        <v>6000</v>
      </c>
      <c r="S26" s="10" t="str">
        <f t="shared" si="9"/>
        <v>06</v>
      </c>
      <c r="T26" t="str">
        <f t="shared" si="11"/>
        <v/>
      </c>
      <c r="U26" t="str">
        <f t="shared" si="12"/>
        <v>l.benhamou@arbel.com</v>
      </c>
      <c r="V26" s="10" t="str">
        <f t="shared" ca="1" si="10"/>
        <v/>
      </c>
    </row>
    <row r="27" spans="1:22" x14ac:dyDescent="0.2">
      <c r="A27" t="s">
        <v>218</v>
      </c>
      <c r="B27" t="str">
        <f t="shared" si="0"/>
        <v>MBEAR89</v>
      </c>
      <c r="C27" s="1" t="s">
        <v>38</v>
      </c>
      <c r="D27" s="1" t="s">
        <v>359</v>
      </c>
      <c r="E27" s="1" t="s">
        <v>349</v>
      </c>
      <c r="F27" s="21" t="str">
        <f t="shared" si="1"/>
        <v>F</v>
      </c>
      <c r="G27" s="12">
        <v>32744</v>
      </c>
      <c r="H27" s="9">
        <f t="shared" si="2"/>
        <v>1989</v>
      </c>
      <c r="I27" s="6">
        <f t="shared" ca="1" si="3"/>
        <v>28</v>
      </c>
      <c r="J27" s="6">
        <f t="shared" ca="1" si="4"/>
        <v>10</v>
      </c>
      <c r="K27" s="6">
        <f t="shared" ca="1" si="5"/>
        <v>23</v>
      </c>
      <c r="L27" s="6" t="str">
        <f t="shared" ca="1" si="6"/>
        <v>28 ans 10 mois et 23 jours</v>
      </c>
      <c r="M27" s="35">
        <v>30518.670000000002</v>
      </c>
      <c r="N27" s="33">
        <f t="shared" ca="1" si="7"/>
        <v>0</v>
      </c>
      <c r="O27" s="3">
        <v>400388316</v>
      </c>
      <c r="P27" s="15" t="str">
        <f t="shared" si="8"/>
        <v>CDN</v>
      </c>
      <c r="Q27" s="1" t="s">
        <v>13</v>
      </c>
      <c r="R27" s="11">
        <v>6000</v>
      </c>
      <c r="S27" s="10" t="str">
        <f t="shared" si="9"/>
        <v>06</v>
      </c>
      <c r="T27" t="str">
        <f t="shared" si="11"/>
        <v/>
      </c>
      <c r="U27" t="str">
        <f t="shared" si="12"/>
        <v>m.bensimon@arbel.com</v>
      </c>
      <c r="V27" s="10" t="str">
        <f t="shared" ca="1" si="10"/>
        <v/>
      </c>
    </row>
    <row r="28" spans="1:22" x14ac:dyDescent="0.2">
      <c r="A28" t="s">
        <v>219</v>
      </c>
      <c r="B28" t="str">
        <f t="shared" si="0"/>
        <v>MBÉAU86</v>
      </c>
      <c r="C28" s="1" t="s">
        <v>39</v>
      </c>
      <c r="D28" s="1" t="s">
        <v>364</v>
      </c>
      <c r="E28" s="1" t="s">
        <v>349</v>
      </c>
      <c r="F28" s="21" t="str">
        <f t="shared" si="1"/>
        <v>F</v>
      </c>
      <c r="G28" s="12">
        <v>31751</v>
      </c>
      <c r="H28" s="9">
        <f t="shared" si="2"/>
        <v>1986</v>
      </c>
      <c r="I28" s="6">
        <f t="shared" ca="1" si="3"/>
        <v>31</v>
      </c>
      <c r="J28" s="6">
        <f t="shared" ca="1" si="4"/>
        <v>7</v>
      </c>
      <c r="K28" s="6">
        <f t="shared" ca="1" si="5"/>
        <v>12</v>
      </c>
      <c r="L28" s="6" t="str">
        <f t="shared" ca="1" si="6"/>
        <v>31 ans 7 mois et 12 jours</v>
      </c>
      <c r="M28" s="35">
        <v>21112.26</v>
      </c>
      <c r="N28" s="33">
        <f t="shared" ca="1" si="7"/>
        <v>0</v>
      </c>
      <c r="O28" s="3">
        <v>400268696</v>
      </c>
      <c r="P28" s="15" t="str">
        <f t="shared" si="8"/>
        <v>CDN</v>
      </c>
      <c r="Q28" s="1" t="s">
        <v>13</v>
      </c>
      <c r="R28" s="11">
        <v>6000</v>
      </c>
      <c r="S28" s="10" t="str">
        <f t="shared" si="9"/>
        <v>06</v>
      </c>
      <c r="T28" t="str">
        <f t="shared" si="11"/>
        <v/>
      </c>
      <c r="U28" t="str">
        <f t="shared" si="12"/>
        <v>m.béraud@arbel.com</v>
      </c>
      <c r="V28" s="10" t="str">
        <f t="shared" ca="1" si="10"/>
        <v/>
      </c>
    </row>
    <row r="29" spans="1:22" x14ac:dyDescent="0.2">
      <c r="A29" t="s">
        <v>220</v>
      </c>
      <c r="B29" t="str">
        <f t="shared" si="0"/>
        <v>MBEIN88</v>
      </c>
      <c r="C29" s="1" t="s">
        <v>41</v>
      </c>
      <c r="D29" s="1" t="s">
        <v>351</v>
      </c>
      <c r="E29" s="1" t="s">
        <v>349</v>
      </c>
      <c r="F29" s="21" t="str">
        <f t="shared" si="1"/>
        <v>F</v>
      </c>
      <c r="G29" s="12">
        <v>32290</v>
      </c>
      <c r="H29" s="9">
        <f t="shared" si="2"/>
        <v>1988</v>
      </c>
      <c r="I29" s="6">
        <f t="shared" ca="1" si="3"/>
        <v>30</v>
      </c>
      <c r="J29" s="6">
        <f t="shared" ca="1" si="4"/>
        <v>1</v>
      </c>
      <c r="K29" s="6">
        <f t="shared" ca="1" si="5"/>
        <v>20</v>
      </c>
      <c r="L29" s="6" t="str">
        <f t="shared" ca="1" si="6"/>
        <v>30 ans 1 mois et 20 jours</v>
      </c>
      <c r="M29" s="35">
        <v>34556.47</v>
      </c>
      <c r="N29" s="33">
        <f t="shared" ca="1" si="7"/>
        <v>0</v>
      </c>
      <c r="O29" s="3">
        <v>435149076</v>
      </c>
      <c r="P29" s="15" t="str">
        <f t="shared" si="8"/>
        <v>CDN</v>
      </c>
      <c r="Q29" s="1" t="s">
        <v>13</v>
      </c>
      <c r="R29" s="11">
        <v>6000</v>
      </c>
      <c r="S29" s="10" t="str">
        <f t="shared" si="9"/>
        <v>06</v>
      </c>
      <c r="T29" t="str">
        <f t="shared" si="11"/>
        <v/>
      </c>
      <c r="U29" t="str">
        <f t="shared" si="12"/>
        <v>l.berdugo@arbel.com</v>
      </c>
      <c r="V29" s="10" t="str">
        <f t="shared" ca="1" si="10"/>
        <v/>
      </c>
    </row>
    <row r="30" spans="1:22" x14ac:dyDescent="0.2">
      <c r="A30" t="s">
        <v>221</v>
      </c>
      <c r="B30" t="str">
        <f t="shared" si="0"/>
        <v>MBELA73</v>
      </c>
      <c r="C30" s="1" t="s">
        <v>42</v>
      </c>
      <c r="D30" s="1" t="s">
        <v>43</v>
      </c>
      <c r="E30" s="1" t="s">
        <v>349</v>
      </c>
      <c r="F30" s="21" t="str">
        <f t="shared" si="1"/>
        <v>F</v>
      </c>
      <c r="G30" s="12">
        <v>26749</v>
      </c>
      <c r="H30" s="9">
        <f t="shared" si="2"/>
        <v>1973</v>
      </c>
      <c r="I30" s="6">
        <f t="shared" ca="1" si="3"/>
        <v>45</v>
      </c>
      <c r="J30" s="6">
        <f t="shared" ca="1" si="4"/>
        <v>3</v>
      </c>
      <c r="K30" s="6">
        <f t="shared" ca="1" si="5"/>
        <v>21</v>
      </c>
      <c r="L30" s="6" t="str">
        <f t="shared" ca="1" si="6"/>
        <v>45 ans 3 mois et 21 jours</v>
      </c>
      <c r="M30" s="35">
        <v>24682.58</v>
      </c>
      <c r="N30" s="33">
        <f t="shared" ca="1" si="7"/>
        <v>0</v>
      </c>
      <c r="O30" s="3">
        <v>436029456</v>
      </c>
      <c r="P30" s="15" t="str">
        <f t="shared" si="8"/>
        <v>CDN</v>
      </c>
      <c r="Q30" s="1" t="s">
        <v>13</v>
      </c>
      <c r="R30" s="11">
        <v>6000</v>
      </c>
      <c r="S30" s="10" t="str">
        <f t="shared" si="9"/>
        <v>06</v>
      </c>
      <c r="T30" t="str">
        <f t="shared" si="11"/>
        <v/>
      </c>
      <c r="U30" t="str">
        <f t="shared" si="12"/>
        <v>c.bertolo@arbel.com</v>
      </c>
      <c r="V30" s="10" t="str">
        <f t="shared" ca="1" si="10"/>
        <v/>
      </c>
    </row>
    <row r="31" spans="1:22" x14ac:dyDescent="0.2">
      <c r="A31" t="s">
        <v>222</v>
      </c>
      <c r="B31" t="str">
        <f t="shared" si="0"/>
        <v>MBIAU83</v>
      </c>
      <c r="C31" s="1" t="s">
        <v>44</v>
      </c>
      <c r="D31" s="1" t="s">
        <v>364</v>
      </c>
      <c r="E31" s="1" t="s">
        <v>349</v>
      </c>
      <c r="F31" s="21" t="str">
        <f t="shared" si="1"/>
        <v>F</v>
      </c>
      <c r="G31" s="12">
        <v>30681</v>
      </c>
      <c r="H31" s="9">
        <f t="shared" si="2"/>
        <v>1983</v>
      </c>
      <c r="I31" s="6">
        <f t="shared" ca="1" si="3"/>
        <v>34</v>
      </c>
      <c r="J31" s="6">
        <f t="shared" ca="1" si="4"/>
        <v>6</v>
      </c>
      <c r="K31" s="6">
        <f t="shared" ca="1" si="5"/>
        <v>16</v>
      </c>
      <c r="L31" s="6" t="str">
        <f t="shared" ca="1" si="6"/>
        <v>34 ans 6 mois et 16 jours</v>
      </c>
      <c r="M31" s="35">
        <v>27856.79</v>
      </c>
      <c r="N31" s="33">
        <f t="shared" ca="1" si="7"/>
        <v>0</v>
      </c>
      <c r="O31" s="3">
        <v>436909836</v>
      </c>
      <c r="P31" s="15" t="str">
        <f t="shared" si="8"/>
        <v>CDN</v>
      </c>
      <c r="Q31" s="1" t="s">
        <v>13</v>
      </c>
      <c r="R31" s="11">
        <v>6000</v>
      </c>
      <c r="S31" s="10" t="str">
        <f t="shared" si="9"/>
        <v>06</v>
      </c>
      <c r="T31" t="str">
        <f t="shared" si="11"/>
        <v/>
      </c>
      <c r="U31" t="str">
        <f t="shared" si="12"/>
        <v>m.bidault@arbel.com</v>
      </c>
      <c r="V31" s="10" t="str">
        <f t="shared" ca="1" si="10"/>
        <v/>
      </c>
    </row>
    <row r="32" spans="1:22" x14ac:dyDescent="0.2">
      <c r="A32" t="s">
        <v>223</v>
      </c>
      <c r="B32" t="str">
        <f t="shared" si="0"/>
        <v>MBIHI83</v>
      </c>
      <c r="C32" s="1" t="s">
        <v>45</v>
      </c>
      <c r="D32" s="1" t="s">
        <v>29</v>
      </c>
      <c r="E32" s="1" t="s">
        <v>361</v>
      </c>
      <c r="F32" s="21" t="str">
        <f t="shared" si="1"/>
        <v>H</v>
      </c>
      <c r="G32" s="12">
        <v>30482</v>
      </c>
      <c r="H32" s="9">
        <f t="shared" si="2"/>
        <v>1983</v>
      </c>
      <c r="I32" s="6">
        <f t="shared" ca="1" si="3"/>
        <v>35</v>
      </c>
      <c r="J32" s="6">
        <f t="shared" ca="1" si="4"/>
        <v>1</v>
      </c>
      <c r="K32" s="6">
        <f t="shared" ca="1" si="5"/>
        <v>2</v>
      </c>
      <c r="L32" s="6" t="str">
        <f t="shared" ca="1" si="6"/>
        <v>35 ans 1 mois et 2 jours</v>
      </c>
      <c r="M32" s="35">
        <v>29990.089999999997</v>
      </c>
      <c r="N32" s="33">
        <f t="shared" ca="1" si="7"/>
        <v>0</v>
      </c>
      <c r="O32" s="3">
        <v>437790216</v>
      </c>
      <c r="P32" s="15" t="str">
        <f t="shared" si="8"/>
        <v>CDN</v>
      </c>
      <c r="Q32" s="1" t="s">
        <v>13</v>
      </c>
      <c r="R32" s="11">
        <v>6000</v>
      </c>
      <c r="S32" s="10" t="str">
        <f t="shared" si="9"/>
        <v>06</v>
      </c>
      <c r="T32" t="str">
        <f t="shared" si="11"/>
        <v/>
      </c>
      <c r="U32" t="str">
        <f t="shared" si="12"/>
        <v>t.binet@arbel.com</v>
      </c>
      <c r="V32" s="10" t="str">
        <f t="shared" ca="1" si="10"/>
        <v/>
      </c>
    </row>
    <row r="33" spans="1:22" x14ac:dyDescent="0.2">
      <c r="A33" t="s">
        <v>224</v>
      </c>
      <c r="B33" t="str">
        <f t="shared" si="0"/>
        <v>MBIMM77</v>
      </c>
      <c r="C33" s="1" t="s">
        <v>45</v>
      </c>
      <c r="D33" s="1" t="s">
        <v>46</v>
      </c>
      <c r="E33" s="1" t="s">
        <v>361</v>
      </c>
      <c r="F33" s="21" t="str">
        <f t="shared" si="1"/>
        <v>H</v>
      </c>
      <c r="G33" s="12">
        <v>28184</v>
      </c>
      <c r="H33" s="9">
        <f t="shared" si="2"/>
        <v>1977</v>
      </c>
      <c r="I33" s="6">
        <f t="shared" ca="1" si="3"/>
        <v>41</v>
      </c>
      <c r="J33" s="6">
        <f t="shared" ca="1" si="4"/>
        <v>4</v>
      </c>
      <c r="K33" s="6">
        <f t="shared" ca="1" si="5"/>
        <v>19</v>
      </c>
      <c r="L33" s="6" t="str">
        <f t="shared" ca="1" si="6"/>
        <v>41 ans 4 mois et 19 jours</v>
      </c>
      <c r="M33" s="35">
        <v>32780.019999999997</v>
      </c>
      <c r="N33" s="33">
        <f t="shared" ca="1" si="7"/>
        <v>0</v>
      </c>
      <c r="O33" s="3">
        <v>438670596</v>
      </c>
      <c r="P33" s="15" t="str">
        <f t="shared" si="8"/>
        <v>CDN</v>
      </c>
      <c r="Q33" s="1" t="s">
        <v>13</v>
      </c>
      <c r="R33" s="11">
        <v>6000</v>
      </c>
      <c r="S33" s="10" t="str">
        <f t="shared" si="9"/>
        <v>06</v>
      </c>
      <c r="T33" t="str">
        <f t="shared" si="11"/>
        <v/>
      </c>
      <c r="U33" t="str">
        <f t="shared" si="12"/>
        <v>e.binet@arbel.com</v>
      </c>
      <c r="V33" s="10" t="str">
        <f t="shared" ca="1" si="10"/>
        <v/>
      </c>
    </row>
    <row r="34" spans="1:22" x14ac:dyDescent="0.2">
      <c r="A34" t="s">
        <v>225</v>
      </c>
      <c r="B34" t="str">
        <f t="shared" si="0"/>
        <v>MBLLO71</v>
      </c>
      <c r="C34" s="1" t="s">
        <v>47</v>
      </c>
      <c r="D34" s="1" t="s">
        <v>352</v>
      </c>
      <c r="E34" s="1" t="s">
        <v>349</v>
      </c>
      <c r="F34" s="21" t="str">
        <f t="shared" si="1"/>
        <v>F</v>
      </c>
      <c r="G34" s="12">
        <v>26252</v>
      </c>
      <c r="H34" s="9">
        <f t="shared" si="2"/>
        <v>1971</v>
      </c>
      <c r="I34" s="6">
        <f t="shared" ca="1" si="3"/>
        <v>46</v>
      </c>
      <c r="J34" s="6">
        <f t="shared" ca="1" si="4"/>
        <v>8</v>
      </c>
      <c r="K34" s="6">
        <f t="shared" ca="1" si="5"/>
        <v>2</v>
      </c>
      <c r="L34" s="6" t="str">
        <f t="shared" ca="1" si="6"/>
        <v>46 ans 8 mois et 2 jours</v>
      </c>
      <c r="M34" s="35">
        <v>41912.910000000003</v>
      </c>
      <c r="N34" s="33">
        <f t="shared" ca="1" si="7"/>
        <v>0</v>
      </c>
      <c r="O34" s="3">
        <v>439550976</v>
      </c>
      <c r="P34" s="15" t="str">
        <f t="shared" si="8"/>
        <v>CDN</v>
      </c>
      <c r="Q34" s="1" t="s">
        <v>13</v>
      </c>
      <c r="R34" s="11">
        <v>6000</v>
      </c>
      <c r="S34" s="10" t="str">
        <f t="shared" si="9"/>
        <v>06</v>
      </c>
      <c r="T34" t="str">
        <f t="shared" si="11"/>
        <v/>
      </c>
      <c r="U34" t="str">
        <f t="shared" si="12"/>
        <v>e.blanc@arbel.com</v>
      </c>
      <c r="V34" s="10" t="str">
        <f t="shared" ca="1" si="10"/>
        <v/>
      </c>
    </row>
    <row r="35" spans="1:22" x14ac:dyDescent="0.2">
      <c r="A35" t="s">
        <v>226</v>
      </c>
      <c r="B35" t="str">
        <f t="shared" si="0"/>
        <v>MBLUY74</v>
      </c>
      <c r="C35" s="1" t="s">
        <v>48</v>
      </c>
      <c r="D35" s="1" t="s">
        <v>49</v>
      </c>
      <c r="E35" s="1" t="s">
        <v>361</v>
      </c>
      <c r="F35" s="21" t="str">
        <f t="shared" si="1"/>
        <v>H</v>
      </c>
      <c r="G35" s="12">
        <v>27230</v>
      </c>
      <c r="H35" s="9">
        <f t="shared" si="2"/>
        <v>1974</v>
      </c>
      <c r="I35" s="6">
        <f t="shared" ca="1" si="3"/>
        <v>43</v>
      </c>
      <c r="J35" s="6">
        <f t="shared" ca="1" si="4"/>
        <v>11</v>
      </c>
      <c r="K35" s="6">
        <f t="shared" ca="1" si="5"/>
        <v>27</v>
      </c>
      <c r="L35" s="6" t="str">
        <f t="shared" ca="1" si="6"/>
        <v>43 ans 11 mois et 27 jours</v>
      </c>
      <c r="M35" s="35">
        <v>43987.97</v>
      </c>
      <c r="N35" s="33">
        <f t="shared" ca="1" si="7"/>
        <v>0</v>
      </c>
      <c r="O35" s="3">
        <v>440431356</v>
      </c>
      <c r="P35" s="15" t="str">
        <f t="shared" si="8"/>
        <v>CDN</v>
      </c>
      <c r="Q35" s="1" t="s">
        <v>13</v>
      </c>
      <c r="R35" s="11">
        <v>6000</v>
      </c>
      <c r="S35" s="10" t="str">
        <f t="shared" si="9"/>
        <v>06</v>
      </c>
      <c r="T35" t="str">
        <f t="shared" si="11"/>
        <v/>
      </c>
      <c r="U35" t="str">
        <f t="shared" si="12"/>
        <v>g.blanchot@arbel.com</v>
      </c>
      <c r="V35" s="10" t="str">
        <f t="shared" ca="1" si="10"/>
        <v/>
      </c>
    </row>
    <row r="36" spans="1:22" x14ac:dyDescent="0.2">
      <c r="A36" t="s">
        <v>227</v>
      </c>
      <c r="B36" t="str">
        <f t="shared" si="0"/>
        <v>MBORT85</v>
      </c>
      <c r="C36" s="1" t="s">
        <v>50</v>
      </c>
      <c r="D36" s="1" t="s">
        <v>391</v>
      </c>
      <c r="E36" s="1" t="s">
        <v>361</v>
      </c>
      <c r="F36" s="21" t="str">
        <f t="shared" si="1"/>
        <v>H</v>
      </c>
      <c r="G36" s="12">
        <v>31061</v>
      </c>
      <c r="H36" s="9">
        <f t="shared" si="2"/>
        <v>1985</v>
      </c>
      <c r="I36" s="6">
        <f t="shared" ca="1" si="3"/>
        <v>33</v>
      </c>
      <c r="J36" s="6">
        <f t="shared" ca="1" si="4"/>
        <v>6</v>
      </c>
      <c r="K36" s="6">
        <f t="shared" ca="1" si="5"/>
        <v>3</v>
      </c>
      <c r="L36" s="6" t="str">
        <f t="shared" ca="1" si="6"/>
        <v>33 ans 6 mois et 3 jours</v>
      </c>
      <c r="M36" s="35">
        <v>14145.95</v>
      </c>
      <c r="N36" s="33">
        <f t="shared" ca="1" si="7"/>
        <v>0</v>
      </c>
      <c r="O36" s="3">
        <v>441311736</v>
      </c>
      <c r="P36" s="15" t="str">
        <f t="shared" si="8"/>
        <v>CDN</v>
      </c>
      <c r="Q36" s="1" t="s">
        <v>13</v>
      </c>
      <c r="R36" s="11">
        <v>6000</v>
      </c>
      <c r="S36" s="10" t="str">
        <f t="shared" si="9"/>
        <v>06</v>
      </c>
      <c r="T36" t="str">
        <f t="shared" si="11"/>
        <v/>
      </c>
      <c r="U36" t="str">
        <f t="shared" si="12"/>
        <v>a.bollo@arbel.com</v>
      </c>
      <c r="V36" s="10" t="str">
        <f t="shared" ca="1" si="10"/>
        <v/>
      </c>
    </row>
    <row r="37" spans="1:22" x14ac:dyDescent="0.2">
      <c r="A37" t="s">
        <v>228</v>
      </c>
      <c r="B37" t="str">
        <f t="shared" si="0"/>
        <v>MBOAD90</v>
      </c>
      <c r="C37" s="1" t="s">
        <v>51</v>
      </c>
      <c r="D37" s="1" t="s">
        <v>52</v>
      </c>
      <c r="E37" s="1" t="s">
        <v>349</v>
      </c>
      <c r="F37" s="21" t="str">
        <f t="shared" si="1"/>
        <v>F</v>
      </c>
      <c r="G37" s="12">
        <v>33022</v>
      </c>
      <c r="H37" s="9">
        <f t="shared" si="2"/>
        <v>1990</v>
      </c>
      <c r="I37" s="6">
        <f t="shared" ca="1" si="3"/>
        <v>28</v>
      </c>
      <c r="J37" s="6">
        <f t="shared" ca="1" si="4"/>
        <v>1</v>
      </c>
      <c r="K37" s="6">
        <f t="shared" ca="1" si="5"/>
        <v>18</v>
      </c>
      <c r="L37" s="6" t="str">
        <f t="shared" ca="1" si="6"/>
        <v>28 ans 1 mois et 18 jours</v>
      </c>
      <c r="M37" s="35">
        <v>22148.36</v>
      </c>
      <c r="N37" s="33">
        <f t="shared" ca="1" si="7"/>
        <v>0</v>
      </c>
      <c r="O37" s="3">
        <v>103020548</v>
      </c>
      <c r="P37" s="15" t="str">
        <f t="shared" si="8"/>
        <v>CDP</v>
      </c>
      <c r="Q37" s="1" t="s">
        <v>8</v>
      </c>
      <c r="R37" s="11">
        <v>6000</v>
      </c>
      <c r="S37" s="10" t="str">
        <f t="shared" si="9"/>
        <v>06</v>
      </c>
      <c r="T37" t="str">
        <f t="shared" si="11"/>
        <v/>
      </c>
      <c r="U37" t="str">
        <f t="shared" si="12"/>
        <v>n.bonnay@arbel.com</v>
      </c>
      <c r="V37" s="10" t="str">
        <f t="shared" ca="1" si="10"/>
        <v/>
      </c>
    </row>
    <row r="38" spans="1:22" x14ac:dyDescent="0.2">
      <c r="A38" t="s">
        <v>229</v>
      </c>
      <c r="B38" t="str">
        <f t="shared" si="0"/>
        <v>MBOÉL64</v>
      </c>
      <c r="C38" s="1" t="s">
        <v>53</v>
      </c>
      <c r="D38" s="1" t="s">
        <v>360</v>
      </c>
      <c r="E38" s="1" t="s">
        <v>349</v>
      </c>
      <c r="F38" s="21" t="str">
        <f t="shared" si="1"/>
        <v>F</v>
      </c>
      <c r="G38" s="12">
        <v>23555</v>
      </c>
      <c r="H38" s="9">
        <f t="shared" si="2"/>
        <v>1964</v>
      </c>
      <c r="I38" s="6">
        <f t="shared" ca="1" si="3"/>
        <v>54</v>
      </c>
      <c r="J38" s="6">
        <f t="shared" ca="1" si="4"/>
        <v>0</v>
      </c>
      <c r="K38" s="6">
        <f t="shared" ca="1" si="5"/>
        <v>20</v>
      </c>
      <c r="L38" s="6" t="str">
        <f t="shared" ca="1" si="6"/>
        <v>54 ans 0 mois et 20 jours</v>
      </c>
      <c r="M38" s="35">
        <v>27671.670000000002</v>
      </c>
      <c r="N38" s="33">
        <f t="shared" ca="1" si="7"/>
        <v>0</v>
      </c>
      <c r="O38" s="3">
        <v>103020549</v>
      </c>
      <c r="P38" s="15" t="str">
        <f t="shared" si="8"/>
        <v>CDP</v>
      </c>
      <c r="Q38" s="1" t="s">
        <v>8</v>
      </c>
      <c r="R38" s="11">
        <v>6000</v>
      </c>
      <c r="S38" s="10" t="str">
        <f t="shared" si="9"/>
        <v>06</v>
      </c>
      <c r="T38" t="str">
        <f t="shared" si="11"/>
        <v/>
      </c>
      <c r="U38" t="str">
        <f t="shared" si="12"/>
        <v>h.bouchet@arbel.com</v>
      </c>
      <c r="V38" s="10" t="str">
        <f t="shared" ca="1" si="10"/>
        <v/>
      </c>
    </row>
    <row r="39" spans="1:22" x14ac:dyDescent="0.2">
      <c r="A39" t="s">
        <v>230</v>
      </c>
      <c r="B39" t="str">
        <f t="shared" si="0"/>
        <v>MBOIE90</v>
      </c>
      <c r="C39" s="1" t="s">
        <v>55</v>
      </c>
      <c r="D39" s="1" t="s">
        <v>371</v>
      </c>
      <c r="E39" s="1" t="s">
        <v>349</v>
      </c>
      <c r="F39" s="21" t="str">
        <f t="shared" si="1"/>
        <v>F</v>
      </c>
      <c r="G39" s="12">
        <v>32890</v>
      </c>
      <c r="H39" s="9">
        <f t="shared" si="2"/>
        <v>1990</v>
      </c>
      <c r="I39" s="6">
        <f t="shared" ca="1" si="3"/>
        <v>28</v>
      </c>
      <c r="J39" s="6">
        <f t="shared" ca="1" si="4"/>
        <v>6</v>
      </c>
      <c r="K39" s="6">
        <f t="shared" ca="1" si="5"/>
        <v>0</v>
      </c>
      <c r="L39" s="6" t="str">
        <f t="shared" ca="1" si="6"/>
        <v>28 ans 6 mois et 0 jours</v>
      </c>
      <c r="M39" s="35">
        <v>37423.230000000003</v>
      </c>
      <c r="N39" s="33">
        <f t="shared" ca="1" si="7"/>
        <v>0</v>
      </c>
      <c r="O39" s="3">
        <v>103020551</v>
      </c>
      <c r="P39" s="15" t="str">
        <f t="shared" si="8"/>
        <v>CDP</v>
      </c>
      <c r="Q39" s="1" t="s">
        <v>8</v>
      </c>
      <c r="R39" s="11">
        <v>6000</v>
      </c>
      <c r="S39" s="10" t="str">
        <f t="shared" si="9"/>
        <v>06</v>
      </c>
      <c r="T39" t="str">
        <f t="shared" si="11"/>
        <v/>
      </c>
      <c r="U39" t="str">
        <f t="shared" si="12"/>
        <v>j.boudart@arbel.com</v>
      </c>
      <c r="V39" s="10" t="str">
        <f t="shared" ca="1" si="10"/>
        <v/>
      </c>
    </row>
    <row r="40" spans="1:22" x14ac:dyDescent="0.2">
      <c r="A40" t="s">
        <v>231</v>
      </c>
      <c r="B40" t="str">
        <f t="shared" si="0"/>
        <v>MBOIM87</v>
      </c>
      <c r="C40" s="1" t="s">
        <v>57</v>
      </c>
      <c r="D40" s="1" t="s">
        <v>385</v>
      </c>
      <c r="E40" s="1" t="s">
        <v>361</v>
      </c>
      <c r="F40" s="21" t="str">
        <f t="shared" si="1"/>
        <v>H</v>
      </c>
      <c r="G40" s="12">
        <v>31870</v>
      </c>
      <c r="H40" s="9">
        <f t="shared" si="2"/>
        <v>1987</v>
      </c>
      <c r="I40" s="6">
        <f t="shared" ca="1" si="3"/>
        <v>31</v>
      </c>
      <c r="J40" s="6">
        <f t="shared" ca="1" si="4"/>
        <v>3</v>
      </c>
      <c r="K40" s="6">
        <f t="shared" ca="1" si="5"/>
        <v>14</v>
      </c>
      <c r="L40" s="6" t="str">
        <f t="shared" ca="1" si="6"/>
        <v>31 ans 3 mois et 14 jours</v>
      </c>
      <c r="M40" s="35">
        <v>34062.080000000002</v>
      </c>
      <c r="N40" s="33">
        <f t="shared" ca="1" si="7"/>
        <v>0</v>
      </c>
      <c r="O40" s="3">
        <v>442192116</v>
      </c>
      <c r="P40" s="15" t="str">
        <f t="shared" si="8"/>
        <v>CDN</v>
      </c>
      <c r="Q40" s="1" t="s">
        <v>13</v>
      </c>
      <c r="R40" s="11">
        <v>6000</v>
      </c>
      <c r="S40" s="10" t="str">
        <f t="shared" si="9"/>
        <v>06</v>
      </c>
      <c r="T40" t="str">
        <f t="shared" si="11"/>
        <v/>
      </c>
      <c r="U40" t="str">
        <f t="shared" si="12"/>
        <v>s.boullicaud@arbel.com</v>
      </c>
      <c r="V40" s="10" t="str">
        <f t="shared" ca="1" si="10"/>
        <v/>
      </c>
    </row>
    <row r="41" spans="1:22" x14ac:dyDescent="0.2">
      <c r="A41" t="s">
        <v>232</v>
      </c>
      <c r="B41" t="str">
        <f t="shared" si="0"/>
        <v>MBOOL86</v>
      </c>
      <c r="C41" s="1" t="s">
        <v>58</v>
      </c>
      <c r="D41" s="1" t="s">
        <v>363</v>
      </c>
      <c r="E41" s="1" t="s">
        <v>349</v>
      </c>
      <c r="F41" s="21" t="str">
        <f t="shared" si="1"/>
        <v>F</v>
      </c>
      <c r="G41" s="12">
        <v>31761</v>
      </c>
      <c r="H41" s="9">
        <f t="shared" si="2"/>
        <v>1986</v>
      </c>
      <c r="I41" s="6">
        <f t="shared" ca="1" si="3"/>
        <v>31</v>
      </c>
      <c r="J41" s="6">
        <f t="shared" ca="1" si="4"/>
        <v>7</v>
      </c>
      <c r="K41" s="6">
        <f t="shared" ca="1" si="5"/>
        <v>2</v>
      </c>
      <c r="L41" s="6" t="str">
        <f t="shared" ca="1" si="6"/>
        <v>31 ans 7 mois et 2 jours</v>
      </c>
      <c r="M41" s="35">
        <v>30264.78</v>
      </c>
      <c r="N41" s="33">
        <f t="shared" ca="1" si="7"/>
        <v>0</v>
      </c>
      <c r="O41" s="3">
        <v>443072496</v>
      </c>
      <c r="P41" s="15" t="str">
        <f t="shared" si="8"/>
        <v>CDN</v>
      </c>
      <c r="Q41" s="1" t="s">
        <v>13</v>
      </c>
      <c r="R41" s="11">
        <v>6000</v>
      </c>
      <c r="S41" s="10" t="str">
        <f t="shared" si="9"/>
        <v>06</v>
      </c>
      <c r="T41" t="str">
        <f t="shared" si="11"/>
        <v/>
      </c>
      <c r="U41" t="str">
        <f t="shared" si="12"/>
        <v>l.boun@arbel.com</v>
      </c>
      <c r="V41" s="10" t="str">
        <f t="shared" ca="1" si="10"/>
        <v/>
      </c>
    </row>
    <row r="42" spans="1:22" x14ac:dyDescent="0.2">
      <c r="A42" t="s">
        <v>233</v>
      </c>
      <c r="B42" t="str">
        <f t="shared" si="0"/>
        <v>MBOAB79</v>
      </c>
      <c r="C42" s="1" t="s">
        <v>59</v>
      </c>
      <c r="D42" s="1" t="s">
        <v>60</v>
      </c>
      <c r="E42" s="1" t="s">
        <v>361</v>
      </c>
      <c r="F42" s="21" t="str">
        <f t="shared" si="1"/>
        <v>H</v>
      </c>
      <c r="G42" s="12">
        <v>28920</v>
      </c>
      <c r="H42" s="9">
        <f t="shared" si="2"/>
        <v>1979</v>
      </c>
      <c r="I42" s="6">
        <f t="shared" ca="1" si="3"/>
        <v>39</v>
      </c>
      <c r="J42" s="6">
        <f t="shared" ca="1" si="4"/>
        <v>4</v>
      </c>
      <c r="K42" s="6">
        <f t="shared" ca="1" si="5"/>
        <v>11</v>
      </c>
      <c r="L42" s="6" t="str">
        <f t="shared" ca="1" si="6"/>
        <v>39 ans 4 mois et 11 jours</v>
      </c>
      <c r="M42" s="35">
        <v>24062.74</v>
      </c>
      <c r="N42" s="33">
        <f t="shared" ca="1" si="7"/>
        <v>0</v>
      </c>
      <c r="O42" s="3">
        <v>443952876</v>
      </c>
      <c r="P42" s="15" t="str">
        <f t="shared" si="8"/>
        <v>CDN</v>
      </c>
      <c r="Q42" s="1" t="s">
        <v>13</v>
      </c>
      <c r="R42" s="11">
        <v>6000</v>
      </c>
      <c r="S42" s="10" t="str">
        <f t="shared" si="9"/>
        <v>06</v>
      </c>
      <c r="T42" t="str">
        <f t="shared" si="11"/>
        <v/>
      </c>
      <c r="U42" t="str">
        <f t="shared" si="12"/>
        <v>f.bouslah@arbel.com</v>
      </c>
      <c r="V42" s="10" t="str">
        <f t="shared" ca="1" si="10"/>
        <v/>
      </c>
    </row>
    <row r="43" spans="1:22" x14ac:dyDescent="0.2">
      <c r="A43" t="s">
        <v>234</v>
      </c>
      <c r="B43" t="str">
        <f t="shared" si="0"/>
        <v>MBOMA91</v>
      </c>
      <c r="C43" s="1" t="s">
        <v>61</v>
      </c>
      <c r="D43" s="1" t="s">
        <v>355</v>
      </c>
      <c r="E43" s="1" t="s">
        <v>349</v>
      </c>
      <c r="F43" s="21" t="str">
        <f t="shared" si="1"/>
        <v>F</v>
      </c>
      <c r="G43" s="12">
        <v>33285</v>
      </c>
      <c r="H43" s="9">
        <f t="shared" si="2"/>
        <v>1991</v>
      </c>
      <c r="I43" s="6">
        <f t="shared" ca="1" si="3"/>
        <v>27</v>
      </c>
      <c r="J43" s="6">
        <f t="shared" ca="1" si="4"/>
        <v>5</v>
      </c>
      <c r="K43" s="6">
        <f t="shared" ca="1" si="5"/>
        <v>1</v>
      </c>
      <c r="L43" s="6" t="str">
        <f t="shared" ca="1" si="6"/>
        <v>27 ans 5 mois et 1 jours</v>
      </c>
      <c r="M43" s="35">
        <v>54243.67</v>
      </c>
      <c r="N43" s="33">
        <f t="shared" ca="1" si="7"/>
        <v>0</v>
      </c>
      <c r="O43" s="3">
        <v>444833256</v>
      </c>
      <c r="P43" s="15" t="str">
        <f t="shared" si="8"/>
        <v>CDN</v>
      </c>
      <c r="Q43" s="1" t="s">
        <v>13</v>
      </c>
      <c r="R43" s="11">
        <v>6000</v>
      </c>
      <c r="S43" s="10" t="str">
        <f t="shared" si="9"/>
        <v>06</v>
      </c>
      <c r="T43" t="str">
        <f t="shared" si="11"/>
        <v/>
      </c>
      <c r="U43" t="str">
        <f t="shared" si="12"/>
        <v>e.bouzckar@arbel.com</v>
      </c>
      <c r="V43" s="10" t="str">
        <f t="shared" ca="1" si="10"/>
        <v/>
      </c>
    </row>
    <row r="44" spans="1:22" x14ac:dyDescent="0.2">
      <c r="A44" t="s">
        <v>235</v>
      </c>
      <c r="B44" t="str">
        <f t="shared" si="0"/>
        <v>MBOIM80</v>
      </c>
      <c r="C44" s="1" t="s">
        <v>62</v>
      </c>
      <c r="D44" s="1" t="s">
        <v>380</v>
      </c>
      <c r="E44" s="1" t="s">
        <v>361</v>
      </c>
      <c r="F44" s="21" t="str">
        <f t="shared" si="1"/>
        <v>H</v>
      </c>
      <c r="G44" s="12">
        <v>29577</v>
      </c>
      <c r="H44" s="9">
        <f t="shared" si="2"/>
        <v>1980</v>
      </c>
      <c r="I44" s="6">
        <f t="shared" ca="1" si="3"/>
        <v>37</v>
      </c>
      <c r="J44" s="6">
        <f t="shared" ca="1" si="4"/>
        <v>6</v>
      </c>
      <c r="K44" s="6">
        <f t="shared" ca="1" si="5"/>
        <v>25</v>
      </c>
      <c r="L44" s="6" t="str">
        <f t="shared" ca="1" si="6"/>
        <v>37 ans 6 mois et 25 jours</v>
      </c>
      <c r="M44" s="35">
        <v>44107.31</v>
      </c>
      <c r="N44" s="33">
        <f t="shared" ca="1" si="7"/>
        <v>0</v>
      </c>
      <c r="O44" s="3">
        <v>445713636</v>
      </c>
      <c r="P44" s="15" t="str">
        <f t="shared" si="8"/>
        <v>CDN</v>
      </c>
      <c r="Q44" s="1" t="s">
        <v>13</v>
      </c>
      <c r="R44" s="11">
        <v>6000</v>
      </c>
      <c r="S44" s="10" t="str">
        <f t="shared" si="9"/>
        <v>06</v>
      </c>
      <c r="T44" t="str">
        <f t="shared" si="11"/>
        <v/>
      </c>
      <c r="U44" t="str">
        <f t="shared" si="12"/>
        <v>t.bovero@arbel.com</v>
      </c>
      <c r="V44" s="10" t="str">
        <f t="shared" ca="1" si="10"/>
        <v/>
      </c>
    </row>
    <row r="45" spans="1:22" x14ac:dyDescent="0.2">
      <c r="A45" t="s">
        <v>236</v>
      </c>
      <c r="B45" t="str">
        <f t="shared" si="0"/>
        <v>MBRAU89</v>
      </c>
      <c r="C45" s="1" t="s">
        <v>63</v>
      </c>
      <c r="D45" s="1" t="s">
        <v>10</v>
      </c>
      <c r="E45" s="1" t="s">
        <v>361</v>
      </c>
      <c r="F45" s="21" t="str">
        <f t="shared" ref="F45:F76" si="13">UPPER(IF(E45="monsieur","h","f"))</f>
        <v>H</v>
      </c>
      <c r="G45" s="12">
        <v>32723</v>
      </c>
      <c r="H45" s="9">
        <f t="shared" ref="H45:H76" si="14">YEAR(G45)</f>
        <v>1989</v>
      </c>
      <c r="I45" s="6">
        <f t="shared" ref="I45:I76" ca="1" si="15">DATEDIF($G45,TODAY(),"y")</f>
        <v>28</v>
      </c>
      <c r="J45" s="6">
        <f t="shared" ref="J45:J76" ca="1" si="16">DATEDIF($G45,TODAY(),"yM")</f>
        <v>11</v>
      </c>
      <c r="K45" s="6">
        <f t="shared" ref="K45:K76" ca="1" si="17">DATEDIF($G45,TODAY(),"MD")</f>
        <v>14</v>
      </c>
      <c r="L45" s="6" t="str">
        <f t="shared" ref="L45:L76" ca="1" si="18">I45&amp;" ans "&amp;J45&amp;" mois et "&amp;K45&amp;" jours"</f>
        <v>28 ans 11 mois et 14 jours</v>
      </c>
      <c r="M45" s="35">
        <v>37183.51</v>
      </c>
      <c r="N45" s="33">
        <f t="shared" ca="1" si="7"/>
        <v>0</v>
      </c>
      <c r="O45" s="3">
        <v>446594016</v>
      </c>
      <c r="P45" s="15" t="str">
        <f t="shared" ref="P45:P76" si="19">UPPER(IF(Q45="Paris","cdp",IF(Q45="Lille","dgl",IF(Q45="Nice","cdn","dfa"))))</f>
        <v>CDN</v>
      </c>
      <c r="Q45" s="1" t="s">
        <v>13</v>
      </c>
      <c r="R45" s="11">
        <v>6000</v>
      </c>
      <c r="S45" s="10" t="str">
        <f t="shared" ref="S45:S76" si="20">LEFT(TEXT(R45,"00000"),2)</f>
        <v>06</v>
      </c>
      <c r="T45" t="str">
        <f t="shared" si="11"/>
        <v/>
      </c>
      <c r="U45" t="str">
        <f t="shared" si="12"/>
        <v>p.breleur@arbel.com</v>
      </c>
      <c r="V45" s="10" t="str">
        <f t="shared" ref="V45:V76" ca="1" si="21">IF(AND(DAY(G45)=DAY($Y$10),MONTH(G45)=MONTH($Y$10)),"Anniversaire","")</f>
        <v/>
      </c>
    </row>
    <row r="46" spans="1:22" x14ac:dyDescent="0.2">
      <c r="A46" t="s">
        <v>237</v>
      </c>
      <c r="B46" t="str">
        <f t="shared" si="0"/>
        <v>MBRHA85</v>
      </c>
      <c r="C46" s="1" t="s">
        <v>64</v>
      </c>
      <c r="D46" s="1" t="s">
        <v>357</v>
      </c>
      <c r="E46" s="1" t="s">
        <v>349</v>
      </c>
      <c r="F46" s="21" t="str">
        <f t="shared" si="13"/>
        <v>F</v>
      </c>
      <c r="G46" s="12">
        <v>31409</v>
      </c>
      <c r="H46" s="9">
        <f t="shared" si="14"/>
        <v>1985</v>
      </c>
      <c r="I46" s="6">
        <f t="shared" ca="1" si="15"/>
        <v>32</v>
      </c>
      <c r="J46" s="6">
        <f t="shared" ca="1" si="16"/>
        <v>6</v>
      </c>
      <c r="K46" s="6">
        <f t="shared" ca="1" si="17"/>
        <v>19</v>
      </c>
      <c r="L46" s="6" t="str">
        <f t="shared" ca="1" si="18"/>
        <v>32 ans 6 mois et 19 jours</v>
      </c>
      <c r="M46" s="35">
        <v>29034.720000000001</v>
      </c>
      <c r="N46" s="33">
        <f t="shared" ca="1" si="7"/>
        <v>0</v>
      </c>
      <c r="O46" s="3">
        <v>447474396</v>
      </c>
      <c r="P46" s="15" t="str">
        <f t="shared" si="19"/>
        <v>CDN</v>
      </c>
      <c r="Q46" s="1" t="s">
        <v>13</v>
      </c>
      <c r="R46" s="11">
        <v>6000</v>
      </c>
      <c r="S46" s="10" t="str">
        <f t="shared" si="20"/>
        <v>06</v>
      </c>
      <c r="T46" t="str">
        <f t="shared" si="11"/>
        <v/>
      </c>
      <c r="U46" t="str">
        <f t="shared" si="12"/>
        <v>c.bron@arbel.com</v>
      </c>
      <c r="V46" s="10" t="str">
        <f t="shared" ca="1" si="21"/>
        <v/>
      </c>
    </row>
    <row r="47" spans="1:22" x14ac:dyDescent="0.2">
      <c r="A47" t="s">
        <v>238</v>
      </c>
      <c r="B47" t="str">
        <f t="shared" si="0"/>
        <v>MBRÉV94</v>
      </c>
      <c r="C47" s="1" t="s">
        <v>65</v>
      </c>
      <c r="D47" s="1" t="s">
        <v>66</v>
      </c>
      <c r="E47" s="1" t="s">
        <v>349</v>
      </c>
      <c r="F47" s="21" t="str">
        <f t="shared" si="13"/>
        <v>F</v>
      </c>
      <c r="G47" s="12">
        <v>34618</v>
      </c>
      <c r="H47" s="9">
        <f t="shared" si="14"/>
        <v>1994</v>
      </c>
      <c r="I47" s="6">
        <f t="shared" ca="1" si="15"/>
        <v>23</v>
      </c>
      <c r="J47" s="6">
        <f t="shared" ca="1" si="16"/>
        <v>9</v>
      </c>
      <c r="K47" s="6">
        <f t="shared" ca="1" si="17"/>
        <v>6</v>
      </c>
      <c r="L47" s="6" t="str">
        <f t="shared" ca="1" si="18"/>
        <v>23 ans 9 mois et 6 jours</v>
      </c>
      <c r="M47" s="35">
        <v>12661.48</v>
      </c>
      <c r="N47" s="33" t="str">
        <f t="shared" ca="1" si="7"/>
        <v>BONUS</v>
      </c>
      <c r="O47" s="3">
        <v>448354776</v>
      </c>
      <c r="P47" s="15" t="str">
        <f t="shared" si="19"/>
        <v>CDN</v>
      </c>
      <c r="Q47" s="1" t="s">
        <v>13</v>
      </c>
      <c r="R47" s="11">
        <v>6000</v>
      </c>
      <c r="S47" s="10" t="str">
        <f t="shared" si="20"/>
        <v>06</v>
      </c>
      <c r="T47" t="str">
        <f t="shared" si="11"/>
        <v/>
      </c>
      <c r="U47" t="str">
        <f t="shared" si="12"/>
        <v>s.brunet@arbel.com</v>
      </c>
      <c r="V47" s="10" t="str">
        <f t="shared" ca="1" si="21"/>
        <v/>
      </c>
    </row>
    <row r="48" spans="1:22" x14ac:dyDescent="0.2">
      <c r="A48" t="s">
        <v>239</v>
      </c>
      <c r="B48" t="str">
        <f t="shared" si="0"/>
        <v>MBSAR86</v>
      </c>
      <c r="C48" s="1" t="s">
        <v>67</v>
      </c>
      <c r="D48" s="1" t="s">
        <v>68</v>
      </c>
      <c r="E48" s="1" t="s">
        <v>349</v>
      </c>
      <c r="F48" s="21" t="str">
        <f t="shared" si="13"/>
        <v>F</v>
      </c>
      <c r="G48" s="12">
        <v>31413</v>
      </c>
      <c r="H48" s="9">
        <f t="shared" si="14"/>
        <v>1986</v>
      </c>
      <c r="I48" s="6">
        <f t="shared" ca="1" si="15"/>
        <v>32</v>
      </c>
      <c r="J48" s="6">
        <f t="shared" ca="1" si="16"/>
        <v>6</v>
      </c>
      <c r="K48" s="6">
        <f t="shared" ca="1" si="17"/>
        <v>16</v>
      </c>
      <c r="L48" s="6" t="str">
        <f t="shared" ca="1" si="18"/>
        <v>32 ans 6 mois et 16 jours</v>
      </c>
      <c r="M48" s="35">
        <v>28512.380000000005</v>
      </c>
      <c r="N48" s="33">
        <f t="shared" ca="1" si="7"/>
        <v>0</v>
      </c>
      <c r="O48" s="3">
        <v>103020552</v>
      </c>
      <c r="P48" s="15" t="str">
        <f t="shared" si="19"/>
        <v>CDP</v>
      </c>
      <c r="Q48" s="1" t="s">
        <v>8</v>
      </c>
      <c r="R48" s="11">
        <v>6000</v>
      </c>
      <c r="S48" s="10" t="str">
        <f t="shared" si="20"/>
        <v>06</v>
      </c>
      <c r="T48" t="str">
        <f t="shared" si="11"/>
        <v/>
      </c>
      <c r="U48" t="str">
        <f t="shared" si="12"/>
        <v>m.bsiri@arbel.com</v>
      </c>
      <c r="V48" s="10" t="str">
        <f t="shared" ca="1" si="21"/>
        <v/>
      </c>
    </row>
    <row r="49" spans="1:22" x14ac:dyDescent="0.2">
      <c r="A49" t="s">
        <v>240</v>
      </c>
      <c r="B49" t="str">
        <f t="shared" si="0"/>
        <v>MCAIN76</v>
      </c>
      <c r="C49" s="1" t="s">
        <v>69</v>
      </c>
      <c r="D49" s="1" t="s">
        <v>365</v>
      </c>
      <c r="E49" s="1" t="s">
        <v>349</v>
      </c>
      <c r="F49" s="21" t="str">
        <f t="shared" si="13"/>
        <v>F</v>
      </c>
      <c r="G49" s="12">
        <v>27932</v>
      </c>
      <c r="H49" s="9">
        <f t="shared" si="14"/>
        <v>1976</v>
      </c>
      <c r="I49" s="6">
        <f t="shared" ca="1" si="15"/>
        <v>42</v>
      </c>
      <c r="J49" s="6">
        <f t="shared" ca="1" si="16"/>
        <v>0</v>
      </c>
      <c r="K49" s="6">
        <f t="shared" ca="1" si="17"/>
        <v>26</v>
      </c>
      <c r="L49" s="6" t="str">
        <f t="shared" ca="1" si="18"/>
        <v>42 ans 0 mois et 26 jours</v>
      </c>
      <c r="M49" s="35">
        <v>34728.46</v>
      </c>
      <c r="N49" s="33">
        <f t="shared" ca="1" si="7"/>
        <v>0</v>
      </c>
      <c r="O49" s="3">
        <v>449235156</v>
      </c>
      <c r="P49" s="15" t="str">
        <f t="shared" si="19"/>
        <v>CDN</v>
      </c>
      <c r="Q49" s="1" t="s">
        <v>13</v>
      </c>
      <c r="R49" s="11">
        <v>6000</v>
      </c>
      <c r="S49" s="10" t="str">
        <f t="shared" si="20"/>
        <v>06</v>
      </c>
      <c r="T49" t="str">
        <f t="shared" si="11"/>
        <v/>
      </c>
      <c r="U49" t="str">
        <f t="shared" si="12"/>
        <v>n.caillot@arbel.com</v>
      </c>
      <c r="V49" s="10" t="str">
        <f t="shared" ca="1" si="21"/>
        <v/>
      </c>
    </row>
    <row r="50" spans="1:22" x14ac:dyDescent="0.2">
      <c r="A50" t="s">
        <v>241</v>
      </c>
      <c r="B50" t="str">
        <f t="shared" si="0"/>
        <v>MCAAR86</v>
      </c>
      <c r="C50" s="1" t="s">
        <v>70</v>
      </c>
      <c r="D50" s="1" t="s">
        <v>354</v>
      </c>
      <c r="E50" s="1" t="s">
        <v>349</v>
      </c>
      <c r="F50" s="21" t="str">
        <f t="shared" si="13"/>
        <v>F</v>
      </c>
      <c r="G50" s="12">
        <v>31643</v>
      </c>
      <c r="H50" s="9">
        <f t="shared" si="14"/>
        <v>1986</v>
      </c>
      <c r="I50" s="6">
        <f t="shared" ca="1" si="15"/>
        <v>31</v>
      </c>
      <c r="J50" s="6">
        <f t="shared" ca="1" si="16"/>
        <v>10</v>
      </c>
      <c r="K50" s="6">
        <f t="shared" ca="1" si="17"/>
        <v>28</v>
      </c>
      <c r="L50" s="6" t="str">
        <f t="shared" ca="1" si="18"/>
        <v>31 ans 10 mois et 28 jours</v>
      </c>
      <c r="M50" s="35">
        <v>32632.47</v>
      </c>
      <c r="N50" s="33">
        <f t="shared" ca="1" si="7"/>
        <v>0</v>
      </c>
      <c r="O50" s="3">
        <v>450115536</v>
      </c>
      <c r="P50" s="15" t="str">
        <f t="shared" si="19"/>
        <v>CDN</v>
      </c>
      <c r="Q50" s="1" t="s">
        <v>13</v>
      </c>
      <c r="R50" s="11">
        <v>6000</v>
      </c>
      <c r="S50" s="10" t="str">
        <f t="shared" si="20"/>
        <v>06</v>
      </c>
      <c r="T50" t="str">
        <f t="shared" si="11"/>
        <v/>
      </c>
      <c r="U50" t="str">
        <f t="shared" si="12"/>
        <v>c.calvet@arbel.com</v>
      </c>
      <c r="V50" s="10" t="str">
        <f t="shared" ca="1" si="21"/>
        <v/>
      </c>
    </row>
    <row r="51" spans="1:22" x14ac:dyDescent="0.2">
      <c r="A51" t="s">
        <v>243</v>
      </c>
      <c r="B51" t="str">
        <f t="shared" si="0"/>
        <v>MCHLI90</v>
      </c>
      <c r="C51" s="1" t="s">
        <v>73</v>
      </c>
      <c r="D51" s="1" t="s">
        <v>397</v>
      </c>
      <c r="E51" s="1" t="s">
        <v>349</v>
      </c>
      <c r="F51" s="21" t="str">
        <f t="shared" si="13"/>
        <v>F</v>
      </c>
      <c r="G51" s="12">
        <v>32981</v>
      </c>
      <c r="H51" s="9">
        <f t="shared" si="14"/>
        <v>1990</v>
      </c>
      <c r="I51" s="6">
        <f t="shared" ca="1" si="15"/>
        <v>28</v>
      </c>
      <c r="J51" s="6">
        <f t="shared" ca="1" si="16"/>
        <v>2</v>
      </c>
      <c r="K51" s="6">
        <f t="shared" ca="1" si="17"/>
        <v>29</v>
      </c>
      <c r="L51" s="6" t="str">
        <f t="shared" ca="1" si="18"/>
        <v>28 ans 2 mois et 29 jours</v>
      </c>
      <c r="M51" s="35">
        <v>30429.359999999997</v>
      </c>
      <c r="N51" s="33">
        <f t="shared" ca="1" si="7"/>
        <v>0</v>
      </c>
      <c r="O51" s="3">
        <v>451876296</v>
      </c>
      <c r="P51" s="15" t="str">
        <f t="shared" si="19"/>
        <v>CDN</v>
      </c>
      <c r="Q51" s="1" t="s">
        <v>13</v>
      </c>
      <c r="R51" s="11">
        <v>6000</v>
      </c>
      <c r="S51" s="10" t="str">
        <f t="shared" si="20"/>
        <v>06</v>
      </c>
      <c r="T51" t="str">
        <f t="shared" si="11"/>
        <v/>
      </c>
      <c r="U51" t="str">
        <f t="shared" si="12"/>
        <v>a.chardon@arbel.com</v>
      </c>
      <c r="V51" s="10" t="str">
        <f t="shared" ca="1" si="21"/>
        <v/>
      </c>
    </row>
    <row r="52" spans="1:22" x14ac:dyDescent="0.2">
      <c r="A52" t="s">
        <v>244</v>
      </c>
      <c r="B52" t="str">
        <f t="shared" si="0"/>
        <v>MCHOU94</v>
      </c>
      <c r="C52" s="1" t="s">
        <v>74</v>
      </c>
      <c r="D52" s="1" t="s">
        <v>75</v>
      </c>
      <c r="E52" s="1" t="s">
        <v>361</v>
      </c>
      <c r="F52" s="21" t="str">
        <f t="shared" si="13"/>
        <v>H</v>
      </c>
      <c r="G52" s="12">
        <v>34641</v>
      </c>
      <c r="H52" s="9">
        <f t="shared" si="14"/>
        <v>1994</v>
      </c>
      <c r="I52" s="6">
        <f t="shared" ca="1" si="15"/>
        <v>23</v>
      </c>
      <c r="J52" s="6">
        <f t="shared" ca="1" si="16"/>
        <v>8</v>
      </c>
      <c r="K52" s="6">
        <f t="shared" ca="1" si="17"/>
        <v>14</v>
      </c>
      <c r="L52" s="6" t="str">
        <f t="shared" ca="1" si="18"/>
        <v>23 ans 8 mois et 14 jours</v>
      </c>
      <c r="M52" s="35">
        <v>36884.9</v>
      </c>
      <c r="N52" s="33">
        <f t="shared" ca="1" si="7"/>
        <v>0</v>
      </c>
      <c r="O52" s="3">
        <v>452756676</v>
      </c>
      <c r="P52" s="15" t="str">
        <f t="shared" si="19"/>
        <v>CDN</v>
      </c>
      <c r="Q52" s="1" t="s">
        <v>13</v>
      </c>
      <c r="R52" s="11">
        <v>6000</v>
      </c>
      <c r="S52" s="10" t="str">
        <f t="shared" si="20"/>
        <v>06</v>
      </c>
      <c r="T52" t="str">
        <f t="shared" si="11"/>
        <v/>
      </c>
      <c r="U52" t="str">
        <f t="shared" si="12"/>
        <v>l.chaubeau@arbel.com</v>
      </c>
      <c r="V52" s="10" t="str">
        <f t="shared" ca="1" si="21"/>
        <v/>
      </c>
    </row>
    <row r="53" spans="1:22" x14ac:dyDescent="0.2">
      <c r="A53" t="s">
        <v>245</v>
      </c>
      <c r="B53" t="str">
        <f t="shared" si="0"/>
        <v>MCHIN89</v>
      </c>
      <c r="C53" s="1" t="s">
        <v>76</v>
      </c>
      <c r="D53" s="1" t="s">
        <v>366</v>
      </c>
      <c r="E53" s="1" t="s">
        <v>349</v>
      </c>
      <c r="F53" s="21" t="str">
        <f t="shared" si="13"/>
        <v>F</v>
      </c>
      <c r="G53" s="12">
        <v>32695</v>
      </c>
      <c r="H53" s="9">
        <f t="shared" si="14"/>
        <v>1989</v>
      </c>
      <c r="I53" s="6">
        <f t="shared" ca="1" si="15"/>
        <v>29</v>
      </c>
      <c r="J53" s="6">
        <f t="shared" ca="1" si="16"/>
        <v>0</v>
      </c>
      <c r="K53" s="6">
        <f t="shared" ca="1" si="17"/>
        <v>11</v>
      </c>
      <c r="L53" s="6" t="str">
        <f t="shared" ca="1" si="18"/>
        <v>29 ans 0 mois et 11 jours</v>
      </c>
      <c r="M53" s="35">
        <v>29766.1</v>
      </c>
      <c r="N53" s="33">
        <f t="shared" ca="1" si="7"/>
        <v>0</v>
      </c>
      <c r="O53" s="3">
        <v>453637056</v>
      </c>
      <c r="P53" s="15" t="str">
        <f t="shared" si="19"/>
        <v>CDN</v>
      </c>
      <c r="Q53" s="1" t="s">
        <v>13</v>
      </c>
      <c r="R53" s="11">
        <v>6000</v>
      </c>
      <c r="S53" s="10" t="str">
        <f t="shared" si="20"/>
        <v>06</v>
      </c>
      <c r="T53" t="str">
        <f t="shared" si="11"/>
        <v/>
      </c>
      <c r="U53" t="str">
        <f t="shared" si="12"/>
        <v>n.chehmat@arbel.com</v>
      </c>
      <c r="V53" s="10" t="str">
        <f t="shared" ca="1" si="21"/>
        <v/>
      </c>
    </row>
    <row r="54" spans="1:22" x14ac:dyDescent="0.2">
      <c r="A54" t="s">
        <v>246</v>
      </c>
      <c r="B54" t="str">
        <f t="shared" si="0"/>
        <v>MCHUS93</v>
      </c>
      <c r="C54" s="1" t="s">
        <v>77</v>
      </c>
      <c r="D54" s="1" t="s">
        <v>394</v>
      </c>
      <c r="E54" s="1" t="s">
        <v>349</v>
      </c>
      <c r="F54" s="21" t="str">
        <f t="shared" si="13"/>
        <v>F</v>
      </c>
      <c r="G54" s="12">
        <v>34182</v>
      </c>
      <c r="H54" s="9">
        <f t="shared" si="14"/>
        <v>1993</v>
      </c>
      <c r="I54" s="6">
        <f t="shared" ca="1" si="15"/>
        <v>24</v>
      </c>
      <c r="J54" s="6">
        <f t="shared" ca="1" si="16"/>
        <v>11</v>
      </c>
      <c r="K54" s="6">
        <f t="shared" ca="1" si="17"/>
        <v>16</v>
      </c>
      <c r="L54" s="6" t="str">
        <f t="shared" ca="1" si="18"/>
        <v>24 ans 11 mois et 16 jours</v>
      </c>
      <c r="M54" s="35">
        <v>47190.52</v>
      </c>
      <c r="N54" s="33">
        <f t="shared" ca="1" si="7"/>
        <v>0</v>
      </c>
      <c r="O54" s="3">
        <v>454517436</v>
      </c>
      <c r="P54" s="15" t="str">
        <f t="shared" si="19"/>
        <v>CDN</v>
      </c>
      <c r="Q54" s="1" t="s">
        <v>13</v>
      </c>
      <c r="R54" s="11">
        <v>6000</v>
      </c>
      <c r="S54" s="10" t="str">
        <f t="shared" si="20"/>
        <v>06</v>
      </c>
      <c r="T54" t="str">
        <f t="shared" si="11"/>
        <v/>
      </c>
      <c r="U54" t="str">
        <f t="shared" si="12"/>
        <v>j.chhuor@arbel.com</v>
      </c>
      <c r="V54" s="10" t="str">
        <f t="shared" ca="1" si="21"/>
        <v/>
      </c>
    </row>
    <row r="55" spans="1:22" x14ac:dyDescent="0.2">
      <c r="A55" t="s">
        <v>247</v>
      </c>
      <c r="B55" t="str">
        <f t="shared" si="0"/>
        <v>MCHNG87</v>
      </c>
      <c r="C55" s="1" t="s">
        <v>78</v>
      </c>
      <c r="D55" s="1" t="s">
        <v>79</v>
      </c>
      <c r="E55" s="1" t="s">
        <v>349</v>
      </c>
      <c r="F55" s="21" t="str">
        <f t="shared" si="13"/>
        <v>F</v>
      </c>
      <c r="G55" s="12">
        <v>32026</v>
      </c>
      <c r="H55" s="9">
        <f t="shared" si="14"/>
        <v>1987</v>
      </c>
      <c r="I55" s="6">
        <f t="shared" ca="1" si="15"/>
        <v>30</v>
      </c>
      <c r="J55" s="6">
        <f t="shared" ca="1" si="16"/>
        <v>10</v>
      </c>
      <c r="K55" s="6">
        <f t="shared" ca="1" si="17"/>
        <v>11</v>
      </c>
      <c r="L55" s="6" t="str">
        <f t="shared" ca="1" si="18"/>
        <v>30 ans 10 mois et 11 jours</v>
      </c>
      <c r="M55" s="35">
        <v>36413</v>
      </c>
      <c r="N55" s="33">
        <f t="shared" ca="1" si="7"/>
        <v>0</v>
      </c>
      <c r="O55" s="3">
        <v>455397816</v>
      </c>
      <c r="P55" s="15" t="str">
        <f t="shared" si="19"/>
        <v>CDN</v>
      </c>
      <c r="Q55" s="1" t="s">
        <v>13</v>
      </c>
      <c r="R55" s="11">
        <v>6000</v>
      </c>
      <c r="S55" s="10" t="str">
        <f t="shared" si="20"/>
        <v>06</v>
      </c>
      <c r="T55" t="str">
        <f t="shared" si="11"/>
        <v/>
      </c>
      <c r="U55" t="str">
        <f t="shared" si="12"/>
        <v>i.chifflet@arbel.com</v>
      </c>
      <c r="V55" s="10" t="str">
        <f t="shared" ca="1" si="21"/>
        <v/>
      </c>
    </row>
    <row r="56" spans="1:22" x14ac:dyDescent="0.2">
      <c r="A56" t="s">
        <v>248</v>
      </c>
      <c r="B56" t="str">
        <f t="shared" si="0"/>
        <v>MCHDÈ66</v>
      </c>
      <c r="C56" s="1" t="s">
        <v>80</v>
      </c>
      <c r="D56" s="1" t="s">
        <v>81</v>
      </c>
      <c r="E56" s="1" t="s">
        <v>349</v>
      </c>
      <c r="F56" s="21" t="str">
        <f t="shared" si="13"/>
        <v>F</v>
      </c>
      <c r="G56" s="12">
        <v>24314</v>
      </c>
      <c r="H56" s="9">
        <f t="shared" si="14"/>
        <v>1966</v>
      </c>
      <c r="I56" s="6">
        <f t="shared" ca="1" si="15"/>
        <v>51</v>
      </c>
      <c r="J56" s="6">
        <f t="shared" ca="1" si="16"/>
        <v>11</v>
      </c>
      <c r="K56" s="6">
        <f t="shared" ca="1" si="17"/>
        <v>21</v>
      </c>
      <c r="L56" s="6" t="str">
        <f t="shared" ca="1" si="18"/>
        <v>51 ans 11 mois et 21 jours</v>
      </c>
      <c r="M56" s="35">
        <v>30679.35</v>
      </c>
      <c r="N56" s="33">
        <f t="shared" ca="1" si="7"/>
        <v>0</v>
      </c>
      <c r="O56" s="3">
        <v>456278196</v>
      </c>
      <c r="P56" s="15" t="str">
        <f t="shared" si="19"/>
        <v>CDN</v>
      </c>
      <c r="Q56" s="1" t="s">
        <v>13</v>
      </c>
      <c r="R56" s="11">
        <v>6000</v>
      </c>
      <c r="S56" s="10" t="str">
        <f t="shared" si="20"/>
        <v>06</v>
      </c>
      <c r="T56" t="str">
        <f t="shared" si="11"/>
        <v/>
      </c>
      <c r="U56" t="str">
        <f t="shared" si="12"/>
        <v>a.christophe@arbel.com</v>
      </c>
      <c r="V56" s="10" t="str">
        <f t="shared" ca="1" si="21"/>
        <v/>
      </c>
    </row>
    <row r="57" spans="1:22" x14ac:dyDescent="0.2">
      <c r="A57" t="s">
        <v>249</v>
      </c>
      <c r="B57" t="str">
        <f t="shared" si="0"/>
        <v>MCLHA80</v>
      </c>
      <c r="C57" s="1" t="s">
        <v>82</v>
      </c>
      <c r="D57" s="1" t="s">
        <v>83</v>
      </c>
      <c r="E57" s="1" t="s">
        <v>349</v>
      </c>
      <c r="F57" s="21" t="str">
        <f t="shared" si="13"/>
        <v>F</v>
      </c>
      <c r="G57" s="12">
        <v>29364</v>
      </c>
      <c r="H57" s="9">
        <f t="shared" si="14"/>
        <v>1980</v>
      </c>
      <c r="I57" s="6">
        <f t="shared" ca="1" si="15"/>
        <v>38</v>
      </c>
      <c r="J57" s="6">
        <f t="shared" ca="1" si="16"/>
        <v>1</v>
      </c>
      <c r="K57" s="6">
        <f t="shared" ca="1" si="17"/>
        <v>24</v>
      </c>
      <c r="L57" s="6" t="str">
        <f t="shared" ca="1" si="18"/>
        <v>38 ans 1 mois et 24 jours</v>
      </c>
      <c r="M57" s="35">
        <v>29655.99</v>
      </c>
      <c r="N57" s="33">
        <f t="shared" ca="1" si="7"/>
        <v>0</v>
      </c>
      <c r="O57" s="3">
        <v>457158576</v>
      </c>
      <c r="P57" s="15" t="str">
        <f t="shared" si="19"/>
        <v>CDN</v>
      </c>
      <c r="Q57" s="1" t="s">
        <v>13</v>
      </c>
      <c r="R57" s="11">
        <v>6000</v>
      </c>
      <c r="S57" s="10" t="str">
        <f t="shared" si="20"/>
        <v>06</v>
      </c>
      <c r="T57" t="str">
        <f t="shared" si="11"/>
        <v/>
      </c>
      <c r="U57" t="str">
        <f t="shared" si="12"/>
        <v>c.claverie@arbel.com</v>
      </c>
      <c r="V57" s="10" t="str">
        <f t="shared" ca="1" si="21"/>
        <v/>
      </c>
    </row>
    <row r="58" spans="1:22" x14ac:dyDescent="0.2">
      <c r="A58" t="s">
        <v>250</v>
      </c>
      <c r="B58" t="str">
        <f t="shared" si="0"/>
        <v>MCOAM89</v>
      </c>
      <c r="C58" s="1" t="s">
        <v>84</v>
      </c>
      <c r="D58" s="1" t="s">
        <v>379</v>
      </c>
      <c r="E58" s="1" t="s">
        <v>361</v>
      </c>
      <c r="F58" s="21" t="str">
        <f t="shared" si="13"/>
        <v>H</v>
      </c>
      <c r="G58" s="12">
        <v>32767</v>
      </c>
      <c r="H58" s="9">
        <f t="shared" si="14"/>
        <v>1989</v>
      </c>
      <c r="I58" s="6">
        <f t="shared" ca="1" si="15"/>
        <v>28</v>
      </c>
      <c r="J58" s="6">
        <f t="shared" ca="1" si="16"/>
        <v>10</v>
      </c>
      <c r="K58" s="6">
        <f t="shared" ca="1" si="17"/>
        <v>1</v>
      </c>
      <c r="L58" s="6" t="str">
        <f t="shared" ca="1" si="18"/>
        <v>28 ans 10 mois et 1 jours</v>
      </c>
      <c r="M58" s="35">
        <v>33441.72</v>
      </c>
      <c r="N58" s="33">
        <f t="shared" ca="1" si="7"/>
        <v>0</v>
      </c>
      <c r="O58" s="3">
        <v>458038956</v>
      </c>
      <c r="P58" s="15" t="str">
        <f t="shared" si="19"/>
        <v>CDN</v>
      </c>
      <c r="Q58" s="1" t="s">
        <v>13</v>
      </c>
      <c r="R58" s="11">
        <v>6000</v>
      </c>
      <c r="S58" s="10" t="str">
        <f t="shared" si="20"/>
        <v>06</v>
      </c>
      <c r="T58" t="str">
        <f t="shared" si="11"/>
        <v/>
      </c>
      <c r="U58" t="str">
        <f t="shared" si="12"/>
        <v>h.cohen@arbel.com</v>
      </c>
      <c r="V58" s="10" t="str">
        <f t="shared" ca="1" si="21"/>
        <v/>
      </c>
    </row>
    <row r="59" spans="1:22" x14ac:dyDescent="0.2">
      <c r="A59" t="s">
        <v>251</v>
      </c>
      <c r="B59" t="str">
        <f t="shared" si="0"/>
        <v>MCONT93</v>
      </c>
      <c r="C59" s="1" t="s">
        <v>84</v>
      </c>
      <c r="D59" s="1" t="s">
        <v>373</v>
      </c>
      <c r="E59" s="1" t="s">
        <v>361</v>
      </c>
      <c r="F59" s="21" t="str">
        <f t="shared" si="13"/>
        <v>H</v>
      </c>
      <c r="G59" s="12">
        <v>34215</v>
      </c>
      <c r="H59" s="9">
        <f t="shared" si="14"/>
        <v>1993</v>
      </c>
      <c r="I59" s="6">
        <f t="shared" ca="1" si="15"/>
        <v>24</v>
      </c>
      <c r="J59" s="6">
        <f t="shared" ca="1" si="16"/>
        <v>10</v>
      </c>
      <c r="K59" s="6">
        <f t="shared" ca="1" si="17"/>
        <v>14</v>
      </c>
      <c r="L59" s="6" t="str">
        <f t="shared" ca="1" si="18"/>
        <v>24 ans 10 mois et 14 jours</v>
      </c>
      <c r="M59" s="35">
        <v>29598.01</v>
      </c>
      <c r="N59" s="33">
        <f t="shared" ca="1" si="7"/>
        <v>0</v>
      </c>
      <c r="O59" s="3">
        <v>458919336</v>
      </c>
      <c r="P59" s="15" t="str">
        <f t="shared" si="19"/>
        <v>CDN</v>
      </c>
      <c r="Q59" s="1" t="s">
        <v>13</v>
      </c>
      <c r="R59" s="11">
        <v>6000</v>
      </c>
      <c r="S59" s="10" t="str">
        <f t="shared" si="20"/>
        <v>06</v>
      </c>
      <c r="T59" t="str">
        <f t="shared" si="11"/>
        <v/>
      </c>
      <c r="U59" t="str">
        <f t="shared" si="12"/>
        <v>a.cohen@arbel.com</v>
      </c>
      <c r="V59" s="10" t="str">
        <f t="shared" ca="1" si="21"/>
        <v/>
      </c>
    </row>
    <row r="60" spans="1:22" x14ac:dyDescent="0.2">
      <c r="A60" t="s">
        <v>252</v>
      </c>
      <c r="B60" t="str">
        <f t="shared" si="0"/>
        <v>MCOAR88</v>
      </c>
      <c r="C60" s="1" t="s">
        <v>86</v>
      </c>
      <c r="D60" s="1" t="s">
        <v>68</v>
      </c>
      <c r="E60" s="1" t="s">
        <v>349</v>
      </c>
      <c r="F60" s="21" t="str">
        <f t="shared" si="13"/>
        <v>F</v>
      </c>
      <c r="G60" s="12">
        <v>32273</v>
      </c>
      <c r="H60" s="9">
        <f t="shared" si="14"/>
        <v>1988</v>
      </c>
      <c r="I60" s="6">
        <f t="shared" ca="1" si="15"/>
        <v>30</v>
      </c>
      <c r="J60" s="6">
        <f t="shared" ca="1" si="16"/>
        <v>2</v>
      </c>
      <c r="K60" s="6">
        <f t="shared" ca="1" si="17"/>
        <v>7</v>
      </c>
      <c r="L60" s="6" t="str">
        <f t="shared" ca="1" si="18"/>
        <v>30 ans 2 mois et 7 jours</v>
      </c>
      <c r="M60" s="35">
        <v>11318.970000000001</v>
      </c>
      <c r="N60" s="33">
        <f t="shared" ca="1" si="7"/>
        <v>0</v>
      </c>
      <c r="O60" s="3">
        <v>103020557</v>
      </c>
      <c r="P60" s="15" t="str">
        <f t="shared" si="19"/>
        <v>CDP</v>
      </c>
      <c r="Q60" s="1" t="s">
        <v>8</v>
      </c>
      <c r="R60" s="11">
        <v>6000</v>
      </c>
      <c r="S60" s="10" t="str">
        <f t="shared" si="20"/>
        <v>06</v>
      </c>
      <c r="T60" t="str">
        <f t="shared" si="11"/>
        <v/>
      </c>
      <c r="U60" t="str">
        <f t="shared" si="12"/>
        <v>m.corbet@arbel.com</v>
      </c>
      <c r="V60" s="10" t="str">
        <f t="shared" ca="1" si="21"/>
        <v/>
      </c>
    </row>
    <row r="61" spans="1:22" x14ac:dyDescent="0.2">
      <c r="A61" t="s">
        <v>253</v>
      </c>
      <c r="B61" t="str">
        <f t="shared" si="0"/>
        <v>MCODÈ86</v>
      </c>
      <c r="C61" s="1" t="s">
        <v>87</v>
      </c>
      <c r="D61" s="1" t="s">
        <v>81</v>
      </c>
      <c r="E61" s="1" t="s">
        <v>349</v>
      </c>
      <c r="F61" s="21" t="str">
        <f t="shared" si="13"/>
        <v>F</v>
      </c>
      <c r="G61" s="12">
        <v>31593</v>
      </c>
      <c r="H61" s="9">
        <f t="shared" si="14"/>
        <v>1986</v>
      </c>
      <c r="I61" s="6">
        <f t="shared" ca="1" si="15"/>
        <v>32</v>
      </c>
      <c r="J61" s="6">
        <f t="shared" ca="1" si="16"/>
        <v>0</v>
      </c>
      <c r="K61" s="6">
        <f t="shared" ca="1" si="17"/>
        <v>17</v>
      </c>
      <c r="L61" s="6" t="str">
        <f t="shared" ca="1" si="18"/>
        <v>32 ans 0 mois et 17 jours</v>
      </c>
      <c r="M61" s="35">
        <v>40900.080000000002</v>
      </c>
      <c r="N61" s="33">
        <f t="shared" ca="1" si="7"/>
        <v>0</v>
      </c>
      <c r="O61" s="3">
        <v>459799716</v>
      </c>
      <c r="P61" s="15" t="str">
        <f t="shared" si="19"/>
        <v>CDN</v>
      </c>
      <c r="Q61" s="1" t="s">
        <v>13</v>
      </c>
      <c r="R61" s="11">
        <v>6000</v>
      </c>
      <c r="S61" s="10" t="str">
        <f t="shared" si="20"/>
        <v>06</v>
      </c>
      <c r="T61" t="str">
        <f t="shared" si="11"/>
        <v/>
      </c>
      <c r="U61" t="str">
        <f t="shared" si="12"/>
        <v>a.couderc@arbel.com</v>
      </c>
      <c r="V61" s="10" t="str">
        <f t="shared" ca="1" si="21"/>
        <v/>
      </c>
    </row>
    <row r="62" spans="1:22" x14ac:dyDescent="0.2">
      <c r="A62" t="s">
        <v>254</v>
      </c>
      <c r="B62" t="str">
        <f t="shared" si="0"/>
        <v>MCOEN86</v>
      </c>
      <c r="C62" s="1" t="s">
        <v>88</v>
      </c>
      <c r="D62" s="1" t="s">
        <v>89</v>
      </c>
      <c r="E62" s="1" t="s">
        <v>361</v>
      </c>
      <c r="F62" s="21" t="str">
        <f t="shared" si="13"/>
        <v>H</v>
      </c>
      <c r="G62" s="12">
        <v>31487</v>
      </c>
      <c r="H62" s="9">
        <f t="shared" si="14"/>
        <v>1986</v>
      </c>
      <c r="I62" s="6">
        <f t="shared" ca="1" si="15"/>
        <v>32</v>
      </c>
      <c r="J62" s="6">
        <f t="shared" ca="1" si="16"/>
        <v>4</v>
      </c>
      <c r="K62" s="6">
        <f t="shared" ca="1" si="17"/>
        <v>1</v>
      </c>
      <c r="L62" s="6" t="str">
        <f t="shared" ca="1" si="18"/>
        <v>32 ans 4 mois et 1 jours</v>
      </c>
      <c r="M62" s="35">
        <v>28399.02</v>
      </c>
      <c r="N62" s="33">
        <f t="shared" ca="1" si="7"/>
        <v>0</v>
      </c>
      <c r="O62" s="3">
        <v>460680096</v>
      </c>
      <c r="P62" s="15" t="str">
        <f t="shared" si="19"/>
        <v>CDN</v>
      </c>
      <c r="Q62" s="1" t="s">
        <v>13</v>
      </c>
      <c r="R62" s="11">
        <v>6000</v>
      </c>
      <c r="S62" s="10" t="str">
        <f t="shared" si="20"/>
        <v>06</v>
      </c>
      <c r="T62" t="str">
        <f t="shared" si="11"/>
        <v/>
      </c>
      <c r="U62" t="str">
        <f t="shared" si="12"/>
        <v>d.couget@arbel.com</v>
      </c>
      <c r="V62" s="10" t="str">
        <f t="shared" ca="1" si="21"/>
        <v/>
      </c>
    </row>
    <row r="63" spans="1:22" x14ac:dyDescent="0.2">
      <c r="A63" t="s">
        <v>255</v>
      </c>
      <c r="B63" t="str">
        <f t="shared" si="0"/>
        <v>MCRAT89</v>
      </c>
      <c r="C63" s="1" t="s">
        <v>90</v>
      </c>
      <c r="D63" s="1" t="s">
        <v>91</v>
      </c>
      <c r="E63" s="1" t="s">
        <v>349</v>
      </c>
      <c r="F63" s="21" t="str">
        <f t="shared" si="13"/>
        <v>F</v>
      </c>
      <c r="G63" s="12">
        <v>32615</v>
      </c>
      <c r="H63" s="9">
        <f t="shared" si="14"/>
        <v>1989</v>
      </c>
      <c r="I63" s="6">
        <f t="shared" ca="1" si="15"/>
        <v>29</v>
      </c>
      <c r="J63" s="6">
        <f t="shared" ca="1" si="16"/>
        <v>3</v>
      </c>
      <c r="K63" s="6">
        <f t="shared" ca="1" si="17"/>
        <v>0</v>
      </c>
      <c r="L63" s="6" t="str">
        <f t="shared" ca="1" si="18"/>
        <v>29 ans 3 mois et 0 jours</v>
      </c>
      <c r="M63" s="35">
        <v>31814.380000000005</v>
      </c>
      <c r="N63" s="33">
        <f t="shared" ca="1" si="7"/>
        <v>0</v>
      </c>
      <c r="O63" s="3">
        <v>461560476</v>
      </c>
      <c r="P63" s="15" t="str">
        <f t="shared" si="19"/>
        <v>CDN</v>
      </c>
      <c r="Q63" s="1" t="s">
        <v>13</v>
      </c>
      <c r="R63" s="11">
        <v>6000</v>
      </c>
      <c r="S63" s="10" t="str">
        <f t="shared" si="20"/>
        <v>06</v>
      </c>
      <c r="T63" t="str">
        <f t="shared" si="11"/>
        <v/>
      </c>
      <c r="U63" t="str">
        <f t="shared" si="12"/>
        <v>k.crombez@arbel.com</v>
      </c>
      <c r="V63" s="10" t="str">
        <f t="shared" ca="1" si="21"/>
        <v/>
      </c>
    </row>
    <row r="64" spans="1:22" x14ac:dyDescent="0.2">
      <c r="A64" t="s">
        <v>256</v>
      </c>
      <c r="B64" t="str">
        <f t="shared" si="0"/>
        <v>MCUYL85</v>
      </c>
      <c r="C64" s="1" t="s">
        <v>92</v>
      </c>
      <c r="D64" s="1" t="s">
        <v>93</v>
      </c>
      <c r="E64" s="1" t="s">
        <v>349</v>
      </c>
      <c r="F64" s="21" t="str">
        <f t="shared" si="13"/>
        <v>F</v>
      </c>
      <c r="G64" s="12">
        <v>31098</v>
      </c>
      <c r="H64" s="9">
        <f t="shared" si="14"/>
        <v>1985</v>
      </c>
      <c r="I64" s="6">
        <f t="shared" ca="1" si="15"/>
        <v>33</v>
      </c>
      <c r="J64" s="6">
        <f t="shared" ca="1" si="16"/>
        <v>4</v>
      </c>
      <c r="K64" s="6">
        <f t="shared" ca="1" si="17"/>
        <v>27</v>
      </c>
      <c r="L64" s="6" t="str">
        <f t="shared" ca="1" si="18"/>
        <v>33 ans 4 mois et 27 jours</v>
      </c>
      <c r="M64" s="35">
        <v>23031.059999999998</v>
      </c>
      <c r="N64" s="33">
        <f t="shared" ca="1" si="7"/>
        <v>0</v>
      </c>
      <c r="O64" s="3">
        <v>462440856</v>
      </c>
      <c r="P64" s="15" t="str">
        <f t="shared" si="19"/>
        <v>CDN</v>
      </c>
      <c r="Q64" s="1" t="s">
        <v>13</v>
      </c>
      <c r="R64" s="11">
        <v>6000</v>
      </c>
      <c r="S64" s="10" t="str">
        <f t="shared" si="20"/>
        <v>06</v>
      </c>
      <c r="T64" t="str">
        <f t="shared" si="11"/>
        <v/>
      </c>
      <c r="U64" t="str">
        <f t="shared" si="12"/>
        <v>s.cucit@arbel.com</v>
      </c>
      <c r="V64" s="10" t="str">
        <f t="shared" ca="1" si="21"/>
        <v/>
      </c>
    </row>
    <row r="65" spans="1:22" x14ac:dyDescent="0.2">
      <c r="A65" t="s">
        <v>257</v>
      </c>
      <c r="B65" t="str">
        <f t="shared" si="0"/>
        <v>MCYAR81</v>
      </c>
      <c r="C65" s="1" t="s">
        <v>94</v>
      </c>
      <c r="D65" s="1" t="s">
        <v>85</v>
      </c>
      <c r="E65" s="1" t="s">
        <v>361</v>
      </c>
      <c r="F65" s="21" t="str">
        <f t="shared" si="13"/>
        <v>H</v>
      </c>
      <c r="G65" s="12">
        <v>29754</v>
      </c>
      <c r="H65" s="9">
        <f t="shared" si="14"/>
        <v>1981</v>
      </c>
      <c r="I65" s="6">
        <f t="shared" ca="1" si="15"/>
        <v>37</v>
      </c>
      <c r="J65" s="6">
        <f t="shared" ca="1" si="16"/>
        <v>1</v>
      </c>
      <c r="K65" s="6">
        <f t="shared" ca="1" si="17"/>
        <v>0</v>
      </c>
      <c r="L65" s="6" t="str">
        <f t="shared" ca="1" si="18"/>
        <v>37 ans 1 mois et 0 jours</v>
      </c>
      <c r="M65" s="35">
        <v>17622.54</v>
      </c>
      <c r="N65" s="33">
        <f t="shared" ca="1" si="7"/>
        <v>0</v>
      </c>
      <c r="O65" s="3">
        <v>463321236</v>
      </c>
      <c r="P65" s="15" t="str">
        <f t="shared" si="19"/>
        <v>CDN</v>
      </c>
      <c r="Q65" s="1" t="s">
        <v>13</v>
      </c>
      <c r="R65" s="11">
        <v>6000</v>
      </c>
      <c r="S65" s="10" t="str">
        <f t="shared" si="20"/>
        <v>06</v>
      </c>
      <c r="T65" t="str">
        <f t="shared" si="11"/>
        <v/>
      </c>
      <c r="U65" t="str">
        <f t="shared" si="12"/>
        <v>m.cymbalist@arbel.com</v>
      </c>
      <c r="V65" s="10" t="str">
        <f t="shared" ca="1" si="21"/>
        <v/>
      </c>
    </row>
    <row r="66" spans="1:22" x14ac:dyDescent="0.2">
      <c r="A66" t="s">
        <v>258</v>
      </c>
      <c r="B66" t="str">
        <f t="shared" si="0"/>
        <v>MDEMA74</v>
      </c>
      <c r="C66" s="1" t="s">
        <v>95</v>
      </c>
      <c r="D66" s="1" t="s">
        <v>355</v>
      </c>
      <c r="E66" s="1" t="s">
        <v>349</v>
      </c>
      <c r="F66" s="21" t="str">
        <f t="shared" si="13"/>
        <v>F</v>
      </c>
      <c r="G66" s="12">
        <v>27372</v>
      </c>
      <c r="H66" s="9">
        <f t="shared" si="14"/>
        <v>1974</v>
      </c>
      <c r="I66" s="6">
        <f t="shared" ca="1" si="15"/>
        <v>43</v>
      </c>
      <c r="J66" s="6">
        <f t="shared" ca="1" si="16"/>
        <v>7</v>
      </c>
      <c r="K66" s="6">
        <f t="shared" ca="1" si="17"/>
        <v>8</v>
      </c>
      <c r="L66" s="6" t="str">
        <f t="shared" ca="1" si="18"/>
        <v>43 ans 7 mois et 8 jours</v>
      </c>
      <c r="M66" s="35">
        <v>44314.79</v>
      </c>
      <c r="N66" s="33">
        <f t="shared" ca="1" si="7"/>
        <v>0</v>
      </c>
      <c r="O66" s="3">
        <v>464201616</v>
      </c>
      <c r="P66" s="15" t="str">
        <f t="shared" si="19"/>
        <v>CDN</v>
      </c>
      <c r="Q66" s="1" t="s">
        <v>13</v>
      </c>
      <c r="R66" s="11">
        <v>6000</v>
      </c>
      <c r="S66" s="10" t="str">
        <f t="shared" si="20"/>
        <v>06</v>
      </c>
      <c r="T66" t="str">
        <f t="shared" si="11"/>
        <v/>
      </c>
      <c r="U66" t="str">
        <f t="shared" si="12"/>
        <v>e.deaucourt@arbel.com</v>
      </c>
      <c r="V66" s="10" t="str">
        <f t="shared" ca="1" si="21"/>
        <v/>
      </c>
    </row>
    <row r="67" spans="1:22" x14ac:dyDescent="0.2">
      <c r="A67" t="s">
        <v>259</v>
      </c>
      <c r="B67" t="str">
        <f t="shared" si="0"/>
        <v>MDEAR90</v>
      </c>
      <c r="C67" s="1" t="s">
        <v>96</v>
      </c>
      <c r="D67" s="1" t="s">
        <v>367</v>
      </c>
      <c r="E67" s="1" t="s">
        <v>349</v>
      </c>
      <c r="F67" s="21" t="str">
        <f t="shared" si="13"/>
        <v>F</v>
      </c>
      <c r="G67" s="12">
        <v>33161</v>
      </c>
      <c r="H67" s="9">
        <f t="shared" si="14"/>
        <v>1990</v>
      </c>
      <c r="I67" s="6">
        <f t="shared" ca="1" si="15"/>
        <v>27</v>
      </c>
      <c r="J67" s="6">
        <f t="shared" ca="1" si="16"/>
        <v>9</v>
      </c>
      <c r="K67" s="6">
        <f t="shared" ca="1" si="17"/>
        <v>2</v>
      </c>
      <c r="L67" s="6" t="str">
        <f t="shared" ca="1" si="18"/>
        <v>27 ans 9 mois et 2 jours</v>
      </c>
      <c r="M67" s="35">
        <v>30602.910000000003</v>
      </c>
      <c r="N67" s="33">
        <f t="shared" ca="1" si="7"/>
        <v>0</v>
      </c>
      <c r="O67" s="3">
        <v>465081996</v>
      </c>
      <c r="P67" s="15" t="str">
        <f t="shared" si="19"/>
        <v>CDN</v>
      </c>
      <c r="Q67" s="1" t="s">
        <v>13</v>
      </c>
      <c r="R67" s="11">
        <v>6000</v>
      </c>
      <c r="S67" s="10" t="str">
        <f t="shared" si="20"/>
        <v>06</v>
      </c>
      <c r="T67" t="str">
        <f t="shared" si="11"/>
        <v/>
      </c>
      <c r="U67" t="str">
        <f t="shared" si="12"/>
        <v>c.dedieu@arbel.com</v>
      </c>
      <c r="V67" s="10" t="str">
        <f t="shared" ca="1" si="21"/>
        <v/>
      </c>
    </row>
    <row r="68" spans="1:22" x14ac:dyDescent="0.2">
      <c r="A68" t="s">
        <v>260</v>
      </c>
      <c r="B68" t="str">
        <f t="shared" si="0"/>
        <v>MDEEA90</v>
      </c>
      <c r="C68" s="1" t="s">
        <v>97</v>
      </c>
      <c r="D68" s="1" t="s">
        <v>15</v>
      </c>
      <c r="E68" s="1" t="s">
        <v>361</v>
      </c>
      <c r="F68" s="21" t="str">
        <f t="shared" si="13"/>
        <v>H</v>
      </c>
      <c r="G68" s="12">
        <v>33019</v>
      </c>
      <c r="H68" s="9">
        <f t="shared" si="14"/>
        <v>1990</v>
      </c>
      <c r="I68" s="6">
        <f t="shared" ca="1" si="15"/>
        <v>28</v>
      </c>
      <c r="J68" s="6">
        <f t="shared" ca="1" si="16"/>
        <v>1</v>
      </c>
      <c r="K68" s="6">
        <f t="shared" ca="1" si="17"/>
        <v>21</v>
      </c>
      <c r="L68" s="6" t="str">
        <f t="shared" ca="1" si="18"/>
        <v>28 ans 1 mois et 21 jours</v>
      </c>
      <c r="M68" s="35">
        <v>33969.130000000005</v>
      </c>
      <c r="N68" s="33">
        <f t="shared" ca="1" si="7"/>
        <v>0</v>
      </c>
      <c r="O68" s="3">
        <v>465962376</v>
      </c>
      <c r="P68" s="15" t="str">
        <f t="shared" si="19"/>
        <v>CDN</v>
      </c>
      <c r="Q68" s="1" t="s">
        <v>13</v>
      </c>
      <c r="R68" s="11">
        <v>6000</v>
      </c>
      <c r="S68" s="10" t="str">
        <f t="shared" si="20"/>
        <v>06</v>
      </c>
      <c r="T68" t="str">
        <f t="shared" si="11"/>
        <v/>
      </c>
      <c r="U68" t="str">
        <f t="shared" si="12"/>
        <v>j.degrendel@arbel.com</v>
      </c>
      <c r="V68" s="10" t="str">
        <f t="shared" ca="1" si="21"/>
        <v/>
      </c>
    </row>
    <row r="69" spans="1:22" x14ac:dyDescent="0.2">
      <c r="A69" t="s">
        <v>261</v>
      </c>
      <c r="B69" t="str">
        <f t="shared" si="0"/>
        <v>MDEHÉ95</v>
      </c>
      <c r="C69" s="1" t="s">
        <v>98</v>
      </c>
      <c r="D69" s="1" t="s">
        <v>382</v>
      </c>
      <c r="E69" s="1" t="s">
        <v>361</v>
      </c>
      <c r="F69" s="21" t="str">
        <f t="shared" si="13"/>
        <v>H</v>
      </c>
      <c r="G69" s="12">
        <v>34909</v>
      </c>
      <c r="H69" s="9">
        <f t="shared" si="14"/>
        <v>1995</v>
      </c>
      <c r="I69" s="6">
        <f t="shared" ca="1" si="15"/>
        <v>22</v>
      </c>
      <c r="J69" s="6">
        <f t="shared" ca="1" si="16"/>
        <v>11</v>
      </c>
      <c r="K69" s="6">
        <f t="shared" ca="1" si="17"/>
        <v>18</v>
      </c>
      <c r="L69" s="6" t="str">
        <f t="shared" ca="1" si="18"/>
        <v>22 ans 11 mois et 18 jours</v>
      </c>
      <c r="M69" s="35">
        <v>15498.210000000001</v>
      </c>
      <c r="N69" s="33" t="str">
        <f t="shared" ca="1" si="7"/>
        <v>BONUS</v>
      </c>
      <c r="O69" s="3">
        <v>466842756</v>
      </c>
      <c r="P69" s="15" t="str">
        <f t="shared" si="19"/>
        <v>CDN</v>
      </c>
      <c r="Q69" s="1" t="s">
        <v>13</v>
      </c>
      <c r="R69" s="11">
        <v>6000</v>
      </c>
      <c r="S69" s="10" t="str">
        <f t="shared" si="20"/>
        <v>06</v>
      </c>
      <c r="T69" t="str">
        <f t="shared" si="11"/>
        <v/>
      </c>
      <c r="U69" t="str">
        <f t="shared" si="12"/>
        <v>t.delamarre@arbel.com</v>
      </c>
      <c r="V69" s="10" t="str">
        <f t="shared" ca="1" si="21"/>
        <v/>
      </c>
    </row>
    <row r="70" spans="1:22" x14ac:dyDescent="0.2">
      <c r="A70" t="s">
        <v>262</v>
      </c>
      <c r="B70" t="str">
        <f t="shared" si="0"/>
        <v>MDELE86</v>
      </c>
      <c r="C70" s="1" t="s">
        <v>99</v>
      </c>
      <c r="D70" s="1" t="s">
        <v>356</v>
      </c>
      <c r="E70" s="1" t="s">
        <v>349</v>
      </c>
      <c r="F70" s="21" t="str">
        <f t="shared" si="13"/>
        <v>F</v>
      </c>
      <c r="G70" s="12">
        <v>31735</v>
      </c>
      <c r="H70" s="9">
        <f t="shared" si="14"/>
        <v>1986</v>
      </c>
      <c r="I70" s="6">
        <f t="shared" ca="1" si="15"/>
        <v>31</v>
      </c>
      <c r="J70" s="6">
        <f t="shared" ca="1" si="16"/>
        <v>7</v>
      </c>
      <c r="K70" s="6">
        <f t="shared" ca="1" si="17"/>
        <v>28</v>
      </c>
      <c r="L70" s="6" t="str">
        <f t="shared" ca="1" si="18"/>
        <v>31 ans 7 mois et 28 jours</v>
      </c>
      <c r="M70" s="35">
        <v>16129.75</v>
      </c>
      <c r="N70" s="33">
        <f t="shared" ca="1" si="7"/>
        <v>0</v>
      </c>
      <c r="O70" s="3">
        <v>467723136</v>
      </c>
      <c r="P70" s="15" t="str">
        <f t="shared" si="19"/>
        <v>CDN</v>
      </c>
      <c r="Q70" s="1" t="s">
        <v>13</v>
      </c>
      <c r="R70" s="11">
        <v>6000</v>
      </c>
      <c r="S70" s="10" t="str">
        <f t="shared" si="20"/>
        <v>06</v>
      </c>
      <c r="T70" t="str">
        <f t="shared" si="11"/>
        <v/>
      </c>
      <c r="U70" t="str">
        <f t="shared" si="12"/>
        <v>e.denis@arbel.com</v>
      </c>
      <c r="V70" s="10" t="str">
        <f t="shared" ca="1" si="21"/>
        <v/>
      </c>
    </row>
    <row r="71" spans="1:22" x14ac:dyDescent="0.2">
      <c r="A71" t="s">
        <v>263</v>
      </c>
      <c r="B71" t="str">
        <f t="shared" si="0"/>
        <v>MDESA81</v>
      </c>
      <c r="C71" s="1" t="s">
        <v>100</v>
      </c>
      <c r="D71" s="1" t="s">
        <v>34</v>
      </c>
      <c r="E71" s="1" t="s">
        <v>349</v>
      </c>
      <c r="F71" s="21" t="str">
        <f t="shared" si="13"/>
        <v>F</v>
      </c>
      <c r="G71" s="12">
        <v>29756</v>
      </c>
      <c r="H71" s="9">
        <f t="shared" si="14"/>
        <v>1981</v>
      </c>
      <c r="I71" s="6">
        <f t="shared" ca="1" si="15"/>
        <v>37</v>
      </c>
      <c r="J71" s="6">
        <f t="shared" ca="1" si="16"/>
        <v>0</v>
      </c>
      <c r="K71" s="6">
        <f t="shared" ca="1" si="17"/>
        <v>28</v>
      </c>
      <c r="L71" s="6" t="str">
        <f t="shared" ca="1" si="18"/>
        <v>37 ans 0 mois et 28 jours</v>
      </c>
      <c r="M71" s="35">
        <v>17268.940000000002</v>
      </c>
      <c r="N71" s="33">
        <f t="shared" ca="1" si="7"/>
        <v>0</v>
      </c>
      <c r="O71" s="3">
        <v>468603516</v>
      </c>
      <c r="P71" s="15" t="str">
        <f t="shared" si="19"/>
        <v>CDN</v>
      </c>
      <c r="Q71" s="1" t="s">
        <v>13</v>
      </c>
      <c r="R71" s="11">
        <v>6000</v>
      </c>
      <c r="S71" s="10" t="str">
        <f t="shared" si="20"/>
        <v>06</v>
      </c>
      <c r="T71" t="str">
        <f t="shared" si="11"/>
        <v/>
      </c>
      <c r="U71" t="str">
        <f t="shared" si="12"/>
        <v>i.deshayes@arbel.com</v>
      </c>
      <c r="V71" s="10" t="str">
        <f t="shared" ca="1" si="21"/>
        <v/>
      </c>
    </row>
    <row r="72" spans="1:22" x14ac:dyDescent="0.2">
      <c r="A72" t="s">
        <v>264</v>
      </c>
      <c r="B72" t="str">
        <f t="shared" si="0"/>
        <v>MDIHI65</v>
      </c>
      <c r="C72" s="1" t="s">
        <v>101</v>
      </c>
      <c r="D72" s="1" t="s">
        <v>102</v>
      </c>
      <c r="E72" s="1" t="s">
        <v>361</v>
      </c>
      <c r="F72" s="21" t="str">
        <f t="shared" si="13"/>
        <v>H</v>
      </c>
      <c r="G72" s="12">
        <v>24061</v>
      </c>
      <c r="H72" s="9">
        <f t="shared" si="14"/>
        <v>1965</v>
      </c>
      <c r="I72" s="6">
        <f t="shared" ca="1" si="15"/>
        <v>52</v>
      </c>
      <c r="J72" s="6">
        <f t="shared" ca="1" si="16"/>
        <v>8</v>
      </c>
      <c r="K72" s="6">
        <f t="shared" ca="1" si="17"/>
        <v>2</v>
      </c>
      <c r="L72" s="6" t="str">
        <f t="shared" ca="1" si="18"/>
        <v>52 ans 8 mois et 2 jours</v>
      </c>
      <c r="M72" s="35">
        <v>15712.970000000001</v>
      </c>
      <c r="N72" s="33">
        <f t="shared" ca="1" si="7"/>
        <v>0</v>
      </c>
      <c r="O72" s="3">
        <v>469483896</v>
      </c>
      <c r="P72" s="15" t="str">
        <f t="shared" si="19"/>
        <v>CDN</v>
      </c>
      <c r="Q72" s="1" t="s">
        <v>13</v>
      </c>
      <c r="R72" s="11">
        <v>6000</v>
      </c>
      <c r="S72" s="10" t="str">
        <f t="shared" si="20"/>
        <v>06</v>
      </c>
      <c r="T72" t="str">
        <f t="shared" si="11"/>
        <v/>
      </c>
      <c r="U72" t="str">
        <f t="shared" si="12"/>
        <v>t.dinic@arbel.com</v>
      </c>
      <c r="V72" s="10" t="str">
        <f t="shared" ca="1" si="21"/>
        <v/>
      </c>
    </row>
    <row r="73" spans="1:22" x14ac:dyDescent="0.2">
      <c r="A73" t="s">
        <v>265</v>
      </c>
      <c r="B73" t="str">
        <f t="shared" si="0"/>
        <v>MDOAU87</v>
      </c>
      <c r="C73" s="1" t="s">
        <v>103</v>
      </c>
      <c r="D73" s="1" t="s">
        <v>104</v>
      </c>
      <c r="E73" s="1" t="s">
        <v>349</v>
      </c>
      <c r="F73" s="21" t="str">
        <f t="shared" si="13"/>
        <v>F</v>
      </c>
      <c r="G73" s="12">
        <v>32118</v>
      </c>
      <c r="H73" s="9">
        <f t="shared" si="14"/>
        <v>1987</v>
      </c>
      <c r="I73" s="6">
        <f t="shared" ca="1" si="15"/>
        <v>30</v>
      </c>
      <c r="J73" s="6">
        <f t="shared" ca="1" si="16"/>
        <v>7</v>
      </c>
      <c r="K73" s="6">
        <f t="shared" ca="1" si="17"/>
        <v>10</v>
      </c>
      <c r="L73" s="6" t="str">
        <f t="shared" ca="1" si="18"/>
        <v>30 ans 7 mois et 10 jours</v>
      </c>
      <c r="M73" s="35">
        <v>30396.73</v>
      </c>
      <c r="N73" s="33">
        <f t="shared" ca="1" si="7"/>
        <v>0</v>
      </c>
      <c r="O73" s="3">
        <v>470364276</v>
      </c>
      <c r="P73" s="15" t="str">
        <f t="shared" si="19"/>
        <v>CDN</v>
      </c>
      <c r="Q73" s="1" t="s">
        <v>13</v>
      </c>
      <c r="R73" s="11">
        <v>6000</v>
      </c>
      <c r="S73" s="10" t="str">
        <f t="shared" si="20"/>
        <v>06</v>
      </c>
      <c r="T73" t="str">
        <f t="shared" si="11"/>
        <v/>
      </c>
      <c r="U73" t="str">
        <f t="shared" si="12"/>
        <v>p.dong@arbel.com</v>
      </c>
      <c r="V73" s="10" t="str">
        <f t="shared" ca="1" si="21"/>
        <v/>
      </c>
    </row>
    <row r="74" spans="1:22" x14ac:dyDescent="0.2">
      <c r="A74" t="s">
        <v>266</v>
      </c>
      <c r="B74" t="str">
        <f t="shared" si="0"/>
        <v>MDOEN88</v>
      </c>
      <c r="C74" s="1" t="s">
        <v>105</v>
      </c>
      <c r="D74" s="1" t="s">
        <v>188</v>
      </c>
      <c r="E74" s="1" t="s">
        <v>361</v>
      </c>
      <c r="F74" s="21" t="str">
        <f t="shared" si="13"/>
        <v>H</v>
      </c>
      <c r="G74" s="12">
        <v>32335</v>
      </c>
      <c r="H74" s="9">
        <f t="shared" si="14"/>
        <v>1988</v>
      </c>
      <c r="I74" s="6">
        <f t="shared" ca="1" si="15"/>
        <v>30</v>
      </c>
      <c r="J74" s="6">
        <f t="shared" ca="1" si="16"/>
        <v>0</v>
      </c>
      <c r="K74" s="6">
        <f t="shared" ca="1" si="17"/>
        <v>6</v>
      </c>
      <c r="L74" s="6" t="str">
        <f t="shared" ca="1" si="18"/>
        <v>30 ans 0 mois et 6 jours</v>
      </c>
      <c r="M74" s="35">
        <v>14779.570000000002</v>
      </c>
      <c r="N74" s="33">
        <f t="shared" ca="1" si="7"/>
        <v>0</v>
      </c>
      <c r="O74" s="3">
        <v>471244656</v>
      </c>
      <c r="P74" s="15" t="str">
        <f t="shared" si="19"/>
        <v>CDN</v>
      </c>
      <c r="Q74" s="1" t="s">
        <v>13</v>
      </c>
      <c r="R74" s="11">
        <v>6000</v>
      </c>
      <c r="S74" s="10" t="str">
        <f t="shared" si="20"/>
        <v>06</v>
      </c>
      <c r="T74" t="str">
        <f t="shared" si="11"/>
        <v/>
      </c>
      <c r="U74" t="str">
        <f t="shared" si="12"/>
        <v>h.doucoure@arbel.com</v>
      </c>
      <c r="V74" s="10" t="str">
        <f t="shared" ca="1" si="21"/>
        <v/>
      </c>
    </row>
    <row r="75" spans="1:22" x14ac:dyDescent="0.2">
      <c r="A75" t="s">
        <v>267</v>
      </c>
      <c r="B75" t="str">
        <f t="shared" si="0"/>
        <v>MDUOP90</v>
      </c>
      <c r="C75" s="1" t="s">
        <v>106</v>
      </c>
      <c r="D75" s="1" t="s">
        <v>107</v>
      </c>
      <c r="E75" s="1" t="s">
        <v>349</v>
      </c>
      <c r="F75" s="21" t="str">
        <f t="shared" si="13"/>
        <v>F</v>
      </c>
      <c r="G75" s="12">
        <v>32928</v>
      </c>
      <c r="H75" s="9">
        <f t="shared" si="14"/>
        <v>1990</v>
      </c>
      <c r="I75" s="6">
        <f t="shared" ca="1" si="15"/>
        <v>28</v>
      </c>
      <c r="J75" s="6">
        <f t="shared" ca="1" si="16"/>
        <v>4</v>
      </c>
      <c r="K75" s="6">
        <f t="shared" ca="1" si="17"/>
        <v>23</v>
      </c>
      <c r="L75" s="6" t="str">
        <f t="shared" ca="1" si="18"/>
        <v>28 ans 4 mois et 23 jours</v>
      </c>
      <c r="M75" s="35">
        <v>31978.309999999998</v>
      </c>
      <c r="N75" s="33">
        <f t="shared" ca="1" si="7"/>
        <v>0</v>
      </c>
      <c r="O75" s="3">
        <v>472125036</v>
      </c>
      <c r="P75" s="15" t="str">
        <f t="shared" si="19"/>
        <v>CDN</v>
      </c>
      <c r="Q75" s="1" t="s">
        <v>13</v>
      </c>
      <c r="R75" s="11">
        <v>6000</v>
      </c>
      <c r="S75" s="10" t="str">
        <f t="shared" si="20"/>
        <v>06</v>
      </c>
      <c r="T75" t="str">
        <f t="shared" si="11"/>
        <v/>
      </c>
      <c r="U75" t="str">
        <f t="shared" si="12"/>
        <v>s.dupré@arbel.com</v>
      </c>
      <c r="V75" s="10" t="str">
        <f t="shared" ca="1" si="21"/>
        <v/>
      </c>
    </row>
    <row r="76" spans="1:22" x14ac:dyDescent="0.2">
      <c r="A76" t="s">
        <v>268</v>
      </c>
      <c r="B76" t="str">
        <f t="shared" si="0"/>
        <v>MDULI84</v>
      </c>
      <c r="C76" s="1" t="s">
        <v>108</v>
      </c>
      <c r="D76" s="1" t="s">
        <v>387</v>
      </c>
      <c r="E76" s="1" t="s">
        <v>361</v>
      </c>
      <c r="F76" s="21" t="str">
        <f t="shared" si="13"/>
        <v>H</v>
      </c>
      <c r="G76" s="12">
        <v>30903</v>
      </c>
      <c r="H76" s="9">
        <f t="shared" si="14"/>
        <v>1984</v>
      </c>
      <c r="I76" s="6">
        <f t="shared" ca="1" si="15"/>
        <v>33</v>
      </c>
      <c r="J76" s="6">
        <f t="shared" ca="1" si="16"/>
        <v>11</v>
      </c>
      <c r="K76" s="6">
        <f t="shared" ca="1" si="17"/>
        <v>8</v>
      </c>
      <c r="L76" s="6" t="str">
        <f t="shared" ca="1" si="18"/>
        <v>33 ans 11 mois et 8 jours</v>
      </c>
      <c r="M76" s="35">
        <v>25917.58</v>
      </c>
      <c r="N76" s="33">
        <f t="shared" ca="1" si="7"/>
        <v>0</v>
      </c>
      <c r="O76" s="3">
        <v>473005416</v>
      </c>
      <c r="P76" s="15" t="str">
        <f t="shared" si="19"/>
        <v>CDN</v>
      </c>
      <c r="Q76" s="1" t="s">
        <v>13</v>
      </c>
      <c r="R76" s="11">
        <v>6000</v>
      </c>
      <c r="S76" s="10" t="str">
        <f t="shared" si="20"/>
        <v>06</v>
      </c>
      <c r="T76" t="str">
        <f t="shared" si="11"/>
        <v/>
      </c>
      <c r="U76" t="str">
        <f t="shared" si="12"/>
        <v>e.durand@arbel.com</v>
      </c>
      <c r="V76" s="10" t="str">
        <f t="shared" ca="1" si="21"/>
        <v/>
      </c>
    </row>
    <row r="77" spans="1:22" x14ac:dyDescent="0.2">
      <c r="A77" t="s">
        <v>269</v>
      </c>
      <c r="B77" t="str">
        <f t="shared" si="0"/>
        <v>MDUAR78</v>
      </c>
      <c r="C77" s="1" t="s">
        <v>108</v>
      </c>
      <c r="D77" s="1" t="s">
        <v>194</v>
      </c>
      <c r="E77" s="1" t="s">
        <v>349</v>
      </c>
      <c r="F77" s="21" t="str">
        <f t="shared" ref="F77:F108" si="22">UPPER(IF(E77="monsieur","h","f"))</f>
        <v>F</v>
      </c>
      <c r="G77" s="12">
        <v>28821</v>
      </c>
      <c r="H77" s="9">
        <f t="shared" ref="H77:H108" si="23">YEAR(G77)</f>
        <v>1978</v>
      </c>
      <c r="I77" s="6">
        <f t="shared" ref="I77:I108" ca="1" si="24">DATEDIF($G77,TODAY(),"y")</f>
        <v>39</v>
      </c>
      <c r="J77" s="6">
        <f t="shared" ref="J77:J108" ca="1" si="25">DATEDIF($G77,TODAY(),"yM")</f>
        <v>7</v>
      </c>
      <c r="K77" s="6">
        <f t="shared" ref="K77:K108" ca="1" si="26">DATEDIF($G77,TODAY(),"MD")</f>
        <v>20</v>
      </c>
      <c r="L77" s="6" t="str">
        <f t="shared" ref="L77:L108" ca="1" si="27">I77&amp;" ans "&amp;J77&amp;" mois et "&amp;K77&amp;" jours"</f>
        <v>39 ans 7 mois et 20 jours</v>
      </c>
      <c r="M77" s="35">
        <v>44178.68</v>
      </c>
      <c r="N77" s="33">
        <f t="shared" ref="N77:N140" ca="1" si="28">IF(AND(I77&gt;18,I77&lt;30,M77&lt;20000),"BONUS",0)</f>
        <v>0</v>
      </c>
      <c r="O77" s="3">
        <v>473885796</v>
      </c>
      <c r="P77" s="15" t="str">
        <f t="shared" ref="P77:P108" si="29">UPPER(IF(Q77="Paris","cdp",IF(Q77="Lille","dgl",IF(Q77="Nice","cdn","dfa"))))</f>
        <v>CDN</v>
      </c>
      <c r="Q77" s="1" t="s">
        <v>13</v>
      </c>
      <c r="R77" s="11">
        <v>6000</v>
      </c>
      <c r="S77" s="10" t="str">
        <f t="shared" ref="S77:S108" si="30">LEFT(TEXT(R77,"00000"),2)</f>
        <v>06</v>
      </c>
      <c r="T77" t="str">
        <f t="shared" si="11"/>
        <v/>
      </c>
      <c r="U77" t="str">
        <f t="shared" si="12"/>
        <v>m.durand@arbel.com</v>
      </c>
      <c r="V77" s="10" t="str">
        <f t="shared" ref="V77:V108" ca="1" si="31">IF(AND(DAY(G77)=DAY($Y$10),MONTH(G77)=MONTH($Y$10)),"Anniversaire","")</f>
        <v/>
      </c>
    </row>
    <row r="78" spans="1:22" x14ac:dyDescent="0.2">
      <c r="A78" t="s">
        <v>270</v>
      </c>
      <c r="B78" t="str">
        <f t="shared" ref="B78:B141" si="32">LEFT(A78,1)&amp;LEFT(C78,2)&amp;UPPER(MID(D78,2,2))&amp;RIGHT(YEAR(G78),2)</f>
        <v>MDURA90</v>
      </c>
      <c r="C78" s="1" t="s">
        <v>109</v>
      </c>
      <c r="D78" s="1" t="s">
        <v>21</v>
      </c>
      <c r="E78" s="1" t="s">
        <v>361</v>
      </c>
      <c r="F78" s="21" t="str">
        <f t="shared" si="22"/>
        <v>H</v>
      </c>
      <c r="G78" s="12">
        <v>32947</v>
      </c>
      <c r="H78" s="9">
        <f t="shared" si="23"/>
        <v>1990</v>
      </c>
      <c r="I78" s="6">
        <f t="shared" ca="1" si="24"/>
        <v>28</v>
      </c>
      <c r="J78" s="6">
        <f t="shared" ca="1" si="25"/>
        <v>4</v>
      </c>
      <c r="K78" s="6">
        <f t="shared" ca="1" si="26"/>
        <v>2</v>
      </c>
      <c r="L78" s="6" t="str">
        <f t="shared" ca="1" si="27"/>
        <v>28 ans 4 mois et 2 jours</v>
      </c>
      <c r="M78" s="35">
        <v>27590.940000000002</v>
      </c>
      <c r="N78" s="33">
        <f t="shared" ca="1" si="28"/>
        <v>0</v>
      </c>
      <c r="O78" s="3">
        <v>474766176</v>
      </c>
      <c r="P78" s="15" t="str">
        <f t="shared" si="29"/>
        <v>CDN</v>
      </c>
      <c r="Q78" s="1" t="s">
        <v>13</v>
      </c>
      <c r="R78" s="11">
        <v>6000</v>
      </c>
      <c r="S78" s="10" t="str">
        <f t="shared" si="30"/>
        <v>06</v>
      </c>
      <c r="T78" t="str">
        <f t="shared" ref="T78:T141" si="33">IF(LEN(O78)&lt;9,FALSE,"")</f>
        <v/>
      </c>
      <c r="U78" t="str">
        <f t="shared" ref="U78:U141" si="34">LOWER(LEFT(D78,1)&amp;"."&amp;C78&amp;"@arbel.com")</f>
        <v>f.durand-renier@arbel.com</v>
      </c>
      <c r="V78" s="10" t="str">
        <f t="shared" ca="1" si="31"/>
        <v/>
      </c>
    </row>
    <row r="79" spans="1:22" x14ac:dyDescent="0.2">
      <c r="A79" t="s">
        <v>271</v>
      </c>
      <c r="B79" t="str">
        <f t="shared" si="32"/>
        <v>MDUNN71</v>
      </c>
      <c r="C79" s="1" t="s">
        <v>110</v>
      </c>
      <c r="D79" s="1" t="s">
        <v>111</v>
      </c>
      <c r="E79" s="1" t="s">
        <v>349</v>
      </c>
      <c r="F79" s="21" t="str">
        <f t="shared" si="22"/>
        <v>F</v>
      </c>
      <c r="G79" s="12">
        <v>26188</v>
      </c>
      <c r="H79" s="9">
        <f t="shared" si="23"/>
        <v>1971</v>
      </c>
      <c r="I79" s="6">
        <f t="shared" ca="1" si="24"/>
        <v>46</v>
      </c>
      <c r="J79" s="6">
        <f t="shared" ca="1" si="25"/>
        <v>10</v>
      </c>
      <c r="K79" s="6">
        <f t="shared" ca="1" si="26"/>
        <v>5</v>
      </c>
      <c r="L79" s="6" t="str">
        <f t="shared" ca="1" si="27"/>
        <v>46 ans 10 mois et 5 jours</v>
      </c>
      <c r="M79" s="35">
        <v>33395.83</v>
      </c>
      <c r="N79" s="33">
        <f t="shared" ca="1" si="28"/>
        <v>0</v>
      </c>
      <c r="O79" s="3">
        <v>475646556</v>
      </c>
      <c r="P79" s="15" t="str">
        <f t="shared" si="29"/>
        <v>CDN</v>
      </c>
      <c r="Q79" s="1" t="s">
        <v>13</v>
      </c>
      <c r="R79" s="11">
        <v>6000</v>
      </c>
      <c r="S79" s="10" t="str">
        <f t="shared" si="30"/>
        <v>06</v>
      </c>
      <c r="T79" t="str">
        <f t="shared" si="33"/>
        <v/>
      </c>
      <c r="U79" t="str">
        <f t="shared" si="34"/>
        <v>a.duroc@arbel.com</v>
      </c>
      <c r="V79" s="10" t="str">
        <f t="shared" ca="1" si="31"/>
        <v/>
      </c>
    </row>
    <row r="80" spans="1:22" x14ac:dyDescent="0.2">
      <c r="A80" t="s">
        <v>272</v>
      </c>
      <c r="B80" t="str">
        <f t="shared" si="32"/>
        <v>MFAOM83</v>
      </c>
      <c r="C80" s="1" t="s">
        <v>112</v>
      </c>
      <c r="D80" s="1" t="s">
        <v>376</v>
      </c>
      <c r="E80" s="1" t="s">
        <v>361</v>
      </c>
      <c r="F80" s="21" t="str">
        <f t="shared" si="22"/>
        <v>H</v>
      </c>
      <c r="G80" s="12">
        <v>30677</v>
      </c>
      <c r="H80" s="9">
        <f t="shared" si="23"/>
        <v>1983</v>
      </c>
      <c r="I80" s="6">
        <f t="shared" ca="1" si="24"/>
        <v>34</v>
      </c>
      <c r="J80" s="6">
        <f t="shared" ca="1" si="25"/>
        <v>6</v>
      </c>
      <c r="K80" s="6">
        <f t="shared" ca="1" si="26"/>
        <v>20</v>
      </c>
      <c r="L80" s="6" t="str">
        <f t="shared" ca="1" si="27"/>
        <v>34 ans 6 mois et 20 jours</v>
      </c>
      <c r="M80" s="35">
        <v>51561.25</v>
      </c>
      <c r="N80" s="33">
        <f t="shared" ca="1" si="28"/>
        <v>0</v>
      </c>
      <c r="O80" s="3">
        <v>476526936</v>
      </c>
      <c r="P80" s="15" t="str">
        <f t="shared" si="29"/>
        <v>CDN</v>
      </c>
      <c r="Q80" s="1" t="s">
        <v>13</v>
      </c>
      <c r="R80" s="11">
        <v>6000</v>
      </c>
      <c r="S80" s="10" t="str">
        <f t="shared" si="30"/>
        <v>06</v>
      </c>
      <c r="T80" t="str">
        <f t="shared" si="33"/>
        <v/>
      </c>
      <c r="U80" t="str">
        <f t="shared" si="34"/>
        <v>r.fabre@arbel.com</v>
      </c>
      <c r="V80" s="10" t="str">
        <f t="shared" ca="1" si="31"/>
        <v/>
      </c>
    </row>
    <row r="81" spans="1:22" x14ac:dyDescent="0.2">
      <c r="A81" t="s">
        <v>273</v>
      </c>
      <c r="B81" t="str">
        <f t="shared" si="32"/>
        <v>MFAAN73</v>
      </c>
      <c r="C81" s="1" t="s">
        <v>113</v>
      </c>
      <c r="D81" s="1" t="s">
        <v>114</v>
      </c>
      <c r="E81" s="1" t="s">
        <v>361</v>
      </c>
      <c r="F81" s="21" t="str">
        <f t="shared" si="22"/>
        <v>H</v>
      </c>
      <c r="G81" s="12">
        <v>26704</v>
      </c>
      <c r="H81" s="9">
        <f t="shared" si="23"/>
        <v>1973</v>
      </c>
      <c r="I81" s="6">
        <f t="shared" ca="1" si="24"/>
        <v>45</v>
      </c>
      <c r="J81" s="6">
        <f t="shared" ca="1" si="25"/>
        <v>5</v>
      </c>
      <c r="K81" s="6">
        <f t="shared" ca="1" si="26"/>
        <v>8</v>
      </c>
      <c r="L81" s="6" t="str">
        <f t="shared" ca="1" si="27"/>
        <v>45 ans 5 mois et 8 jours</v>
      </c>
      <c r="M81" s="35">
        <v>30301.96</v>
      </c>
      <c r="N81" s="33">
        <f t="shared" ca="1" si="28"/>
        <v>0</v>
      </c>
      <c r="O81" s="3">
        <v>477407316</v>
      </c>
      <c r="P81" s="15" t="str">
        <f t="shared" si="29"/>
        <v>CDN</v>
      </c>
      <c r="Q81" s="1" t="s">
        <v>13</v>
      </c>
      <c r="R81" s="11">
        <v>6000</v>
      </c>
      <c r="S81" s="10" t="str">
        <f t="shared" si="30"/>
        <v>06</v>
      </c>
      <c r="T81" t="str">
        <f t="shared" si="33"/>
        <v/>
      </c>
      <c r="U81" t="str">
        <f t="shared" si="34"/>
        <v>d.favre@arbel.com</v>
      </c>
      <c r="V81" s="10" t="str">
        <f t="shared" ca="1" si="31"/>
        <v/>
      </c>
    </row>
    <row r="82" spans="1:22" x14ac:dyDescent="0.2">
      <c r="A82" t="s">
        <v>274</v>
      </c>
      <c r="B82" t="str">
        <f t="shared" si="32"/>
        <v>MFEUL74</v>
      </c>
      <c r="C82" s="1" t="s">
        <v>115</v>
      </c>
      <c r="D82" s="1" t="s">
        <v>368</v>
      </c>
      <c r="E82" s="1" t="s">
        <v>349</v>
      </c>
      <c r="F82" s="21" t="str">
        <f t="shared" si="22"/>
        <v>F</v>
      </c>
      <c r="G82" s="12">
        <v>27077</v>
      </c>
      <c r="H82" s="9">
        <f t="shared" si="23"/>
        <v>1974</v>
      </c>
      <c r="I82" s="6">
        <f t="shared" ca="1" si="24"/>
        <v>44</v>
      </c>
      <c r="J82" s="6">
        <f t="shared" ca="1" si="25"/>
        <v>5</v>
      </c>
      <c r="K82" s="6">
        <f t="shared" ca="1" si="26"/>
        <v>0</v>
      </c>
      <c r="L82" s="6" t="str">
        <f t="shared" ca="1" si="27"/>
        <v>44 ans 5 mois et 0 jours</v>
      </c>
      <c r="M82" s="35">
        <v>16713.580000000002</v>
      </c>
      <c r="N82" s="33">
        <f t="shared" ca="1" si="28"/>
        <v>0</v>
      </c>
      <c r="O82" s="3">
        <v>478287696</v>
      </c>
      <c r="P82" s="15" t="str">
        <f t="shared" si="29"/>
        <v>CDN</v>
      </c>
      <c r="Q82" s="1" t="s">
        <v>13</v>
      </c>
      <c r="R82" s="11">
        <v>6000</v>
      </c>
      <c r="S82" s="10" t="str">
        <f t="shared" si="30"/>
        <v>06</v>
      </c>
      <c r="T82" t="str">
        <f t="shared" si="33"/>
        <v/>
      </c>
      <c r="U82" t="str">
        <f t="shared" si="34"/>
        <v>j.fedon@arbel.com</v>
      </c>
      <c r="V82" s="10" t="str">
        <f t="shared" ca="1" si="31"/>
        <v/>
      </c>
    </row>
    <row r="83" spans="1:22" x14ac:dyDescent="0.2">
      <c r="A83" t="s">
        <v>275</v>
      </c>
      <c r="B83" t="str">
        <f t="shared" si="32"/>
        <v>MFEHA93</v>
      </c>
      <c r="C83" s="1" t="s">
        <v>116</v>
      </c>
      <c r="D83" s="1" t="s">
        <v>357</v>
      </c>
      <c r="E83" s="1" t="s">
        <v>349</v>
      </c>
      <c r="F83" s="21" t="str">
        <f t="shared" si="22"/>
        <v>F</v>
      </c>
      <c r="G83" s="12">
        <v>34124</v>
      </c>
      <c r="H83" s="9">
        <f t="shared" si="23"/>
        <v>1993</v>
      </c>
      <c r="I83" s="6">
        <f t="shared" ca="1" si="24"/>
        <v>25</v>
      </c>
      <c r="J83" s="6">
        <f t="shared" ca="1" si="25"/>
        <v>1</v>
      </c>
      <c r="K83" s="6">
        <f t="shared" ca="1" si="26"/>
        <v>13</v>
      </c>
      <c r="L83" s="6" t="str">
        <f t="shared" ca="1" si="27"/>
        <v>25 ans 1 mois et 13 jours</v>
      </c>
      <c r="M83" s="35">
        <v>23940.54</v>
      </c>
      <c r="N83" s="33">
        <f t="shared" ca="1" si="28"/>
        <v>0</v>
      </c>
      <c r="O83" s="3">
        <v>479168076</v>
      </c>
      <c r="P83" s="15" t="str">
        <f t="shared" si="29"/>
        <v>CDN</v>
      </c>
      <c r="Q83" s="1" t="s">
        <v>13</v>
      </c>
      <c r="R83" s="11">
        <v>6000</v>
      </c>
      <c r="S83" s="10" t="str">
        <f t="shared" si="30"/>
        <v>06</v>
      </c>
      <c r="T83" t="str">
        <f t="shared" si="33"/>
        <v/>
      </c>
      <c r="U83" t="str">
        <f t="shared" si="34"/>
        <v>c.ferrand@arbel.com</v>
      </c>
      <c r="V83" s="10" t="str">
        <f t="shared" ca="1" si="31"/>
        <v/>
      </c>
    </row>
    <row r="84" spans="1:22" x14ac:dyDescent="0.2">
      <c r="A84" t="s">
        <v>276</v>
      </c>
      <c r="B84" t="str">
        <f t="shared" si="32"/>
        <v>MFROU73</v>
      </c>
      <c r="C84" s="1" t="s">
        <v>117</v>
      </c>
      <c r="D84" s="1" t="s">
        <v>395</v>
      </c>
      <c r="E84" s="1" t="s">
        <v>349</v>
      </c>
      <c r="F84" s="21" t="str">
        <f t="shared" si="22"/>
        <v>F</v>
      </c>
      <c r="G84" s="12">
        <v>26973</v>
      </c>
      <c r="H84" s="9">
        <f t="shared" si="23"/>
        <v>1973</v>
      </c>
      <c r="I84" s="6">
        <f t="shared" ca="1" si="24"/>
        <v>44</v>
      </c>
      <c r="J84" s="6">
        <f t="shared" ca="1" si="25"/>
        <v>8</v>
      </c>
      <c r="K84" s="6">
        <f t="shared" ca="1" si="26"/>
        <v>12</v>
      </c>
      <c r="L84" s="6" t="str">
        <f t="shared" ca="1" si="27"/>
        <v>44 ans 8 mois et 12 jours</v>
      </c>
      <c r="M84" s="35">
        <v>35913.54</v>
      </c>
      <c r="N84" s="33">
        <f t="shared" ca="1" si="28"/>
        <v>0</v>
      </c>
      <c r="O84" s="3">
        <v>480048456</v>
      </c>
      <c r="P84" s="15" t="str">
        <f t="shared" si="29"/>
        <v>CDN</v>
      </c>
      <c r="Q84" s="1" t="s">
        <v>13</v>
      </c>
      <c r="R84" s="11">
        <v>6000</v>
      </c>
      <c r="S84" s="10" t="str">
        <f t="shared" si="30"/>
        <v>06</v>
      </c>
      <c r="T84" t="str">
        <f t="shared" si="33"/>
        <v/>
      </c>
      <c r="U84" t="str">
        <f t="shared" si="34"/>
        <v>l.françois@arbel.com</v>
      </c>
      <c r="V84" s="10" t="str">
        <f t="shared" ca="1" si="31"/>
        <v/>
      </c>
    </row>
    <row r="85" spans="1:22" x14ac:dyDescent="0.2">
      <c r="A85" t="s">
        <v>277</v>
      </c>
      <c r="B85" t="str">
        <f t="shared" si="32"/>
        <v>MFRIS76</v>
      </c>
      <c r="C85" s="1" t="s">
        <v>118</v>
      </c>
      <c r="D85" s="1" t="s">
        <v>40</v>
      </c>
      <c r="E85" s="1" t="s">
        <v>349</v>
      </c>
      <c r="F85" s="21" t="str">
        <f t="shared" si="22"/>
        <v>F</v>
      </c>
      <c r="G85" s="12">
        <v>28014</v>
      </c>
      <c r="H85" s="9">
        <f t="shared" si="23"/>
        <v>1976</v>
      </c>
      <c r="I85" s="6">
        <f t="shared" ca="1" si="24"/>
        <v>41</v>
      </c>
      <c r="J85" s="6">
        <f t="shared" ca="1" si="25"/>
        <v>10</v>
      </c>
      <c r="K85" s="6">
        <f t="shared" ca="1" si="26"/>
        <v>6</v>
      </c>
      <c r="L85" s="6" t="str">
        <f t="shared" ca="1" si="27"/>
        <v>41 ans 10 mois et 6 jours</v>
      </c>
      <c r="M85" s="35">
        <v>45429.67</v>
      </c>
      <c r="N85" s="33">
        <f t="shared" ca="1" si="28"/>
        <v>0</v>
      </c>
      <c r="O85" s="3">
        <v>480928836</v>
      </c>
      <c r="P85" s="15" t="str">
        <f t="shared" si="29"/>
        <v>CDN</v>
      </c>
      <c r="Q85" s="1" t="s">
        <v>13</v>
      </c>
      <c r="R85" s="11">
        <v>6000</v>
      </c>
      <c r="S85" s="10" t="str">
        <f t="shared" si="30"/>
        <v>06</v>
      </c>
      <c r="T85" t="str">
        <f t="shared" si="33"/>
        <v/>
      </c>
      <c r="U85" t="str">
        <f t="shared" si="34"/>
        <v>g.frenois@arbel.com</v>
      </c>
      <c r="V85" s="10" t="str">
        <f t="shared" ca="1" si="31"/>
        <v/>
      </c>
    </row>
    <row r="86" spans="1:22" x14ac:dyDescent="0.2">
      <c r="A86" t="s">
        <v>278</v>
      </c>
      <c r="B86" t="str">
        <f t="shared" si="32"/>
        <v>MFRUL86</v>
      </c>
      <c r="C86" s="1" t="s">
        <v>119</v>
      </c>
      <c r="D86" s="1" t="s">
        <v>374</v>
      </c>
      <c r="E86" s="1" t="s">
        <v>361</v>
      </c>
      <c r="F86" s="21" t="str">
        <f t="shared" si="22"/>
        <v>H</v>
      </c>
      <c r="G86" s="12">
        <v>31461</v>
      </c>
      <c r="H86" s="9">
        <f t="shared" si="23"/>
        <v>1986</v>
      </c>
      <c r="I86" s="6">
        <f t="shared" ca="1" si="24"/>
        <v>32</v>
      </c>
      <c r="J86" s="6">
        <f t="shared" ca="1" si="25"/>
        <v>4</v>
      </c>
      <c r="K86" s="6">
        <f t="shared" ca="1" si="26"/>
        <v>29</v>
      </c>
      <c r="L86" s="6" t="str">
        <f t="shared" ca="1" si="27"/>
        <v>32 ans 4 mois et 29 jours</v>
      </c>
      <c r="M86" s="35">
        <v>16551.600000000002</v>
      </c>
      <c r="N86" s="33">
        <f t="shared" ca="1" si="28"/>
        <v>0</v>
      </c>
      <c r="O86" s="3">
        <v>481809216</v>
      </c>
      <c r="P86" s="15" t="str">
        <f t="shared" si="29"/>
        <v>CDN</v>
      </c>
      <c r="Q86" s="1" t="s">
        <v>13</v>
      </c>
      <c r="R86" s="11">
        <v>6000</v>
      </c>
      <c r="S86" s="10" t="str">
        <f t="shared" si="30"/>
        <v>06</v>
      </c>
      <c r="T86" t="str">
        <f t="shared" si="33"/>
        <v/>
      </c>
      <c r="U86" t="str">
        <f t="shared" si="34"/>
        <v>j.frette@arbel.com</v>
      </c>
      <c r="V86" s="10" t="str">
        <f t="shared" ca="1" si="31"/>
        <v/>
      </c>
    </row>
    <row r="87" spans="1:22" x14ac:dyDescent="0.2">
      <c r="A87" t="s">
        <v>279</v>
      </c>
      <c r="B87" t="str">
        <f t="shared" si="32"/>
        <v>MFRRI86</v>
      </c>
      <c r="C87" s="1" t="s">
        <v>120</v>
      </c>
      <c r="D87" s="1" t="s">
        <v>12</v>
      </c>
      <c r="E87" s="1" t="s">
        <v>349</v>
      </c>
      <c r="F87" s="21" t="str">
        <f t="shared" si="22"/>
        <v>F</v>
      </c>
      <c r="G87" s="12">
        <v>31725</v>
      </c>
      <c r="H87" s="9">
        <f t="shared" si="23"/>
        <v>1986</v>
      </c>
      <c r="I87" s="6">
        <f t="shared" ca="1" si="24"/>
        <v>31</v>
      </c>
      <c r="J87" s="6">
        <f t="shared" ca="1" si="25"/>
        <v>8</v>
      </c>
      <c r="K87" s="6">
        <f t="shared" ca="1" si="26"/>
        <v>8</v>
      </c>
      <c r="L87" s="6" t="str">
        <f t="shared" ca="1" si="27"/>
        <v>31 ans 8 mois et 8 jours</v>
      </c>
      <c r="M87" s="35">
        <v>12371.58</v>
      </c>
      <c r="N87" s="33">
        <f t="shared" ca="1" si="28"/>
        <v>0</v>
      </c>
      <c r="O87" s="3">
        <v>482689596</v>
      </c>
      <c r="P87" s="15" t="str">
        <f t="shared" si="29"/>
        <v>CDN</v>
      </c>
      <c r="Q87" s="1" t="s">
        <v>13</v>
      </c>
      <c r="R87" s="11">
        <v>6000</v>
      </c>
      <c r="S87" s="10" t="str">
        <f t="shared" si="30"/>
        <v>06</v>
      </c>
      <c r="T87" t="str">
        <f t="shared" si="33"/>
        <v/>
      </c>
      <c r="U87" t="str">
        <f t="shared" si="34"/>
        <v>b.frisa@arbel.com</v>
      </c>
      <c r="V87" s="10" t="str">
        <f t="shared" ca="1" si="31"/>
        <v/>
      </c>
    </row>
    <row r="88" spans="1:22" x14ac:dyDescent="0.2">
      <c r="A88" t="s">
        <v>280</v>
      </c>
      <c r="B88" t="str">
        <f t="shared" si="32"/>
        <v>MGAUL88</v>
      </c>
      <c r="C88" s="1" t="s">
        <v>121</v>
      </c>
      <c r="D88" s="1" t="s">
        <v>159</v>
      </c>
      <c r="E88" s="1" t="s">
        <v>349</v>
      </c>
      <c r="F88" s="21" t="str">
        <f t="shared" si="22"/>
        <v>F</v>
      </c>
      <c r="G88" s="12">
        <v>32477</v>
      </c>
      <c r="H88" s="9">
        <f t="shared" si="23"/>
        <v>1988</v>
      </c>
      <c r="I88" s="6">
        <f t="shared" ca="1" si="24"/>
        <v>29</v>
      </c>
      <c r="J88" s="6">
        <f t="shared" ca="1" si="25"/>
        <v>7</v>
      </c>
      <c r="K88" s="6">
        <f t="shared" ca="1" si="26"/>
        <v>17</v>
      </c>
      <c r="L88" s="6" t="str">
        <f t="shared" ca="1" si="27"/>
        <v>29 ans 7 mois et 17 jours</v>
      </c>
      <c r="M88" s="35">
        <v>39443.82</v>
      </c>
      <c r="N88" s="33">
        <f t="shared" ca="1" si="28"/>
        <v>0</v>
      </c>
      <c r="O88" s="3">
        <v>483569976</v>
      </c>
      <c r="P88" s="15" t="str">
        <f t="shared" si="29"/>
        <v>CDN</v>
      </c>
      <c r="Q88" s="1" t="s">
        <v>13</v>
      </c>
      <c r="R88" s="11">
        <v>6000</v>
      </c>
      <c r="S88" s="10" t="str">
        <f t="shared" si="30"/>
        <v>06</v>
      </c>
      <c r="T88" t="str">
        <f t="shared" si="33"/>
        <v/>
      </c>
      <c r="U88" t="str">
        <f t="shared" si="34"/>
        <v>j.garcia@arbel.com</v>
      </c>
      <c r="V88" s="10" t="str">
        <f t="shared" ca="1" si="31"/>
        <v/>
      </c>
    </row>
    <row r="89" spans="1:22" x14ac:dyDescent="0.2">
      <c r="A89" t="s">
        <v>281</v>
      </c>
      <c r="B89" t="str">
        <f t="shared" si="32"/>
        <v>MGECÉ85</v>
      </c>
      <c r="C89" s="1" t="s">
        <v>122</v>
      </c>
      <c r="D89" s="1" t="s">
        <v>358</v>
      </c>
      <c r="E89" s="1" t="s">
        <v>349</v>
      </c>
      <c r="F89" s="21" t="str">
        <f t="shared" si="22"/>
        <v>F</v>
      </c>
      <c r="G89" s="12">
        <v>31049</v>
      </c>
      <c r="H89" s="9">
        <f t="shared" si="23"/>
        <v>1985</v>
      </c>
      <c r="I89" s="6">
        <f t="shared" ca="1" si="24"/>
        <v>33</v>
      </c>
      <c r="J89" s="6">
        <f t="shared" ca="1" si="25"/>
        <v>6</v>
      </c>
      <c r="K89" s="6">
        <f t="shared" ca="1" si="26"/>
        <v>15</v>
      </c>
      <c r="L89" s="6" t="str">
        <f t="shared" ca="1" si="27"/>
        <v>33 ans 6 mois et 15 jours</v>
      </c>
      <c r="M89" s="35">
        <v>49213.84</v>
      </c>
      <c r="N89" s="33">
        <f t="shared" ca="1" si="28"/>
        <v>0</v>
      </c>
      <c r="O89" s="3">
        <v>484450356</v>
      </c>
      <c r="P89" s="15" t="str">
        <f t="shared" si="29"/>
        <v>CDN</v>
      </c>
      <c r="Q89" s="1" t="s">
        <v>13</v>
      </c>
      <c r="R89" s="11">
        <v>6000</v>
      </c>
      <c r="S89" s="10" t="str">
        <f t="shared" si="30"/>
        <v>06</v>
      </c>
      <c r="T89" t="str">
        <f t="shared" si="33"/>
        <v/>
      </c>
      <c r="U89" t="str">
        <f t="shared" si="34"/>
        <v>o.geil@arbel.com</v>
      </c>
      <c r="V89" s="10" t="str">
        <f t="shared" ca="1" si="31"/>
        <v/>
      </c>
    </row>
    <row r="90" spans="1:22" x14ac:dyDescent="0.2">
      <c r="A90" t="s">
        <v>282</v>
      </c>
      <c r="B90" t="str">
        <f t="shared" si="32"/>
        <v>MGHUL81</v>
      </c>
      <c r="C90" s="1" t="s">
        <v>123</v>
      </c>
      <c r="D90" s="1" t="s">
        <v>159</v>
      </c>
      <c r="E90" s="1" t="s">
        <v>349</v>
      </c>
      <c r="F90" s="21" t="str">
        <f t="shared" si="22"/>
        <v>F</v>
      </c>
      <c r="G90" s="12">
        <v>29796</v>
      </c>
      <c r="H90" s="9">
        <f t="shared" si="23"/>
        <v>1981</v>
      </c>
      <c r="I90" s="6">
        <f t="shared" ca="1" si="24"/>
        <v>36</v>
      </c>
      <c r="J90" s="6">
        <f t="shared" ca="1" si="25"/>
        <v>11</v>
      </c>
      <c r="K90" s="6">
        <f t="shared" ca="1" si="26"/>
        <v>18</v>
      </c>
      <c r="L90" s="6" t="str">
        <f t="shared" ca="1" si="27"/>
        <v>36 ans 11 mois et 18 jours</v>
      </c>
      <c r="M90" s="35">
        <v>34230.69</v>
      </c>
      <c r="N90" s="33">
        <f t="shared" ca="1" si="28"/>
        <v>0</v>
      </c>
      <c r="O90" s="3">
        <v>485330736</v>
      </c>
      <c r="P90" s="15" t="str">
        <f t="shared" si="29"/>
        <v>CDN</v>
      </c>
      <c r="Q90" s="1" t="s">
        <v>13</v>
      </c>
      <c r="R90" s="11">
        <v>6000</v>
      </c>
      <c r="S90" s="10" t="str">
        <f t="shared" si="30"/>
        <v>06</v>
      </c>
      <c r="T90" t="str">
        <f t="shared" si="33"/>
        <v/>
      </c>
      <c r="U90" t="str">
        <f t="shared" si="34"/>
        <v>j.ghaffar@arbel.com</v>
      </c>
      <c r="V90" s="10" t="str">
        <f t="shared" ca="1" si="31"/>
        <v/>
      </c>
    </row>
    <row r="91" spans="1:22" x14ac:dyDescent="0.2">
      <c r="A91" t="s">
        <v>283</v>
      </c>
      <c r="B91" t="str">
        <f t="shared" si="32"/>
        <v>MGIAG79</v>
      </c>
      <c r="C91" s="1" t="s">
        <v>124</v>
      </c>
      <c r="D91" s="1" t="s">
        <v>125</v>
      </c>
      <c r="E91" s="1" t="s">
        <v>349</v>
      </c>
      <c r="F91" s="21" t="str">
        <f t="shared" si="22"/>
        <v>F</v>
      </c>
      <c r="G91" s="12">
        <v>29128</v>
      </c>
      <c r="H91" s="9">
        <f t="shared" si="23"/>
        <v>1979</v>
      </c>
      <c r="I91" s="6">
        <f t="shared" ca="1" si="24"/>
        <v>38</v>
      </c>
      <c r="J91" s="6">
        <f t="shared" ca="1" si="25"/>
        <v>9</v>
      </c>
      <c r="K91" s="6">
        <f t="shared" ca="1" si="26"/>
        <v>17</v>
      </c>
      <c r="L91" s="6" t="str">
        <f t="shared" ca="1" si="27"/>
        <v>38 ans 9 mois et 17 jours</v>
      </c>
      <c r="M91" s="35">
        <v>19747</v>
      </c>
      <c r="N91" s="33">
        <f t="shared" ca="1" si="28"/>
        <v>0</v>
      </c>
      <c r="O91" s="3">
        <v>486211116</v>
      </c>
      <c r="P91" s="15" t="str">
        <f t="shared" si="29"/>
        <v>CDN</v>
      </c>
      <c r="Q91" s="1" t="s">
        <v>13</v>
      </c>
      <c r="R91" s="11">
        <v>6000</v>
      </c>
      <c r="S91" s="10" t="str">
        <f t="shared" si="30"/>
        <v>06</v>
      </c>
      <c r="T91" t="str">
        <f t="shared" si="33"/>
        <v/>
      </c>
      <c r="U91" t="str">
        <f t="shared" si="34"/>
        <v>m.gillingham@arbel.com</v>
      </c>
      <c r="V91" s="10" t="str">
        <f t="shared" ca="1" si="31"/>
        <v/>
      </c>
    </row>
    <row r="92" spans="1:22" x14ac:dyDescent="0.2">
      <c r="A92" t="s">
        <v>284</v>
      </c>
      <c r="B92" t="str">
        <f t="shared" si="32"/>
        <v>MGIND81</v>
      </c>
      <c r="C92" s="1" t="s">
        <v>126</v>
      </c>
      <c r="D92" s="1" t="s">
        <v>127</v>
      </c>
      <c r="E92" s="1" t="s">
        <v>361</v>
      </c>
      <c r="F92" s="21" t="str">
        <f t="shared" si="22"/>
        <v>H</v>
      </c>
      <c r="G92" s="12">
        <v>29642</v>
      </c>
      <c r="H92" s="9">
        <f t="shared" si="23"/>
        <v>1981</v>
      </c>
      <c r="I92" s="6">
        <f t="shared" ca="1" si="24"/>
        <v>37</v>
      </c>
      <c r="J92" s="6">
        <f t="shared" ca="1" si="25"/>
        <v>4</v>
      </c>
      <c r="K92" s="6">
        <f t="shared" ca="1" si="26"/>
        <v>22</v>
      </c>
      <c r="L92" s="6" t="str">
        <f t="shared" ca="1" si="27"/>
        <v>37 ans 4 mois et 22 jours</v>
      </c>
      <c r="M92" s="35">
        <v>22750.39</v>
      </c>
      <c r="N92" s="33">
        <f t="shared" ca="1" si="28"/>
        <v>0</v>
      </c>
      <c r="O92" s="3">
        <v>487091496</v>
      </c>
      <c r="P92" s="15" t="str">
        <f t="shared" si="29"/>
        <v>CDN</v>
      </c>
      <c r="Q92" s="1" t="s">
        <v>13</v>
      </c>
      <c r="R92" s="11">
        <v>6000</v>
      </c>
      <c r="S92" s="10" t="str">
        <f t="shared" si="30"/>
        <v>06</v>
      </c>
      <c r="T92" t="str">
        <f t="shared" si="33"/>
        <v/>
      </c>
      <c r="U92" t="str">
        <f t="shared" si="34"/>
        <v>a.girard@arbel.com</v>
      </c>
      <c r="V92" s="10" t="str">
        <f t="shared" ca="1" si="31"/>
        <v/>
      </c>
    </row>
    <row r="93" spans="1:22" x14ac:dyDescent="0.2">
      <c r="A93" t="s">
        <v>285</v>
      </c>
      <c r="B93" t="str">
        <f t="shared" si="32"/>
        <v>MGIIC87</v>
      </c>
      <c r="C93" s="1" t="s">
        <v>128</v>
      </c>
      <c r="D93" s="1" t="s">
        <v>72</v>
      </c>
      <c r="E93" s="1" t="s">
        <v>361</v>
      </c>
      <c r="F93" s="21" t="str">
        <f t="shared" si="22"/>
        <v>H</v>
      </c>
      <c r="G93" s="12">
        <v>32037</v>
      </c>
      <c r="H93" s="9">
        <f t="shared" si="23"/>
        <v>1987</v>
      </c>
      <c r="I93" s="6">
        <f t="shared" ca="1" si="24"/>
        <v>30</v>
      </c>
      <c r="J93" s="6">
        <f t="shared" ca="1" si="25"/>
        <v>10</v>
      </c>
      <c r="K93" s="6">
        <f t="shared" ca="1" si="26"/>
        <v>0</v>
      </c>
      <c r="L93" s="6" t="str">
        <f t="shared" ca="1" si="27"/>
        <v>30 ans 10 mois et 0 jours</v>
      </c>
      <c r="M93" s="35">
        <v>19011.850000000002</v>
      </c>
      <c r="N93" s="33">
        <f t="shared" ca="1" si="28"/>
        <v>0</v>
      </c>
      <c r="O93" s="3">
        <v>487971876</v>
      </c>
      <c r="P93" s="15" t="str">
        <f t="shared" si="29"/>
        <v>CDN</v>
      </c>
      <c r="Q93" s="1" t="s">
        <v>13</v>
      </c>
      <c r="R93" s="11">
        <v>6000</v>
      </c>
      <c r="S93" s="10" t="str">
        <f t="shared" si="30"/>
        <v>06</v>
      </c>
      <c r="T93" t="str">
        <f t="shared" si="33"/>
        <v/>
      </c>
      <c r="U93" t="str">
        <f t="shared" si="34"/>
        <v>v.giraudo@arbel.com</v>
      </c>
      <c r="V93" s="10" t="str">
        <f t="shared" ca="1" si="31"/>
        <v/>
      </c>
    </row>
    <row r="94" spans="1:22" x14ac:dyDescent="0.2">
      <c r="A94" t="s">
        <v>286</v>
      </c>
      <c r="B94" t="str">
        <f t="shared" si="32"/>
        <v>MGILI81</v>
      </c>
      <c r="C94" s="1" t="s">
        <v>129</v>
      </c>
      <c r="D94" s="1" t="s">
        <v>396</v>
      </c>
      <c r="E94" s="1" t="s">
        <v>349</v>
      </c>
      <c r="F94" s="21" t="str">
        <f t="shared" si="22"/>
        <v>F</v>
      </c>
      <c r="G94" s="12">
        <v>29714</v>
      </c>
      <c r="H94" s="9">
        <f t="shared" si="23"/>
        <v>1981</v>
      </c>
      <c r="I94" s="6">
        <f t="shared" ca="1" si="24"/>
        <v>37</v>
      </c>
      <c r="J94" s="6">
        <f t="shared" ca="1" si="25"/>
        <v>2</v>
      </c>
      <c r="K94" s="6">
        <f t="shared" ca="1" si="26"/>
        <v>9</v>
      </c>
      <c r="L94" s="6" t="str">
        <f t="shared" ca="1" si="27"/>
        <v>37 ans 2 mois et 9 jours</v>
      </c>
      <c r="M94" s="35">
        <v>40061.71</v>
      </c>
      <c r="N94" s="33">
        <f t="shared" ca="1" si="28"/>
        <v>0</v>
      </c>
      <c r="O94" s="3">
        <v>488852256</v>
      </c>
      <c r="P94" s="15" t="str">
        <f t="shared" si="29"/>
        <v>CDN</v>
      </c>
      <c r="Q94" s="1" t="s">
        <v>13</v>
      </c>
      <c r="R94" s="11">
        <v>6000</v>
      </c>
      <c r="S94" s="10" t="str">
        <f t="shared" si="30"/>
        <v>06</v>
      </c>
      <c r="T94" t="str">
        <f t="shared" si="33"/>
        <v/>
      </c>
      <c r="U94" t="str">
        <f t="shared" si="34"/>
        <v>a.giron@arbel.com</v>
      </c>
      <c r="V94" s="10" t="str">
        <f t="shared" ca="1" si="31"/>
        <v/>
      </c>
    </row>
    <row r="95" spans="1:22" x14ac:dyDescent="0.2">
      <c r="A95" t="s">
        <v>287</v>
      </c>
      <c r="B95" t="str">
        <f t="shared" si="32"/>
        <v>MGLST85</v>
      </c>
      <c r="C95" s="1" t="s">
        <v>130</v>
      </c>
      <c r="D95" s="2" t="s">
        <v>131</v>
      </c>
      <c r="E95" s="1" t="s">
        <v>349</v>
      </c>
      <c r="F95" s="21" t="str">
        <f t="shared" si="22"/>
        <v>F</v>
      </c>
      <c r="G95" s="12">
        <v>31222</v>
      </c>
      <c r="H95" s="9">
        <f t="shared" si="23"/>
        <v>1985</v>
      </c>
      <c r="I95" s="6">
        <f t="shared" ca="1" si="24"/>
        <v>33</v>
      </c>
      <c r="J95" s="6">
        <f t="shared" ca="1" si="25"/>
        <v>0</v>
      </c>
      <c r="K95" s="6">
        <f t="shared" ca="1" si="26"/>
        <v>23</v>
      </c>
      <c r="L95" s="6" t="str">
        <f t="shared" ca="1" si="27"/>
        <v>33 ans 0 mois et 23 jours</v>
      </c>
      <c r="M95" s="35">
        <v>33491.9</v>
      </c>
      <c r="N95" s="33">
        <f t="shared" ca="1" si="28"/>
        <v>0</v>
      </c>
      <c r="O95" s="3">
        <v>489732636</v>
      </c>
      <c r="P95" s="15" t="str">
        <f t="shared" si="29"/>
        <v>CDN</v>
      </c>
      <c r="Q95" s="1" t="s">
        <v>13</v>
      </c>
      <c r="R95" s="11">
        <v>6000</v>
      </c>
      <c r="S95" s="10" t="str">
        <f t="shared" si="30"/>
        <v>06</v>
      </c>
      <c r="T95" t="str">
        <f t="shared" si="33"/>
        <v/>
      </c>
      <c r="U95" t="str">
        <f t="shared" si="34"/>
        <v>e.glynatsis@arbel.com</v>
      </c>
      <c r="V95" s="10" t="str">
        <f t="shared" ca="1" si="31"/>
        <v/>
      </c>
    </row>
    <row r="96" spans="1:22" x14ac:dyDescent="0.2">
      <c r="A96" t="s">
        <v>288</v>
      </c>
      <c r="B96" t="str">
        <f t="shared" si="32"/>
        <v>MGOHA80</v>
      </c>
      <c r="C96" s="1" t="s">
        <v>132</v>
      </c>
      <c r="D96" s="1" t="s">
        <v>448</v>
      </c>
      <c r="E96" s="1" t="s">
        <v>361</v>
      </c>
      <c r="F96" s="21" t="str">
        <f t="shared" si="22"/>
        <v>H</v>
      </c>
      <c r="G96" s="12">
        <v>29244</v>
      </c>
      <c r="H96" s="9">
        <f t="shared" si="23"/>
        <v>1980</v>
      </c>
      <c r="I96" s="6">
        <f t="shared" ca="1" si="24"/>
        <v>38</v>
      </c>
      <c r="J96" s="6">
        <f t="shared" ca="1" si="25"/>
        <v>5</v>
      </c>
      <c r="K96" s="6">
        <f t="shared" ca="1" si="26"/>
        <v>23</v>
      </c>
      <c r="L96" s="6" t="str">
        <f t="shared" ca="1" si="27"/>
        <v>38 ans 5 mois et 23 jours</v>
      </c>
      <c r="M96" s="35">
        <v>34188.959999999999</v>
      </c>
      <c r="N96" s="33">
        <f t="shared" ca="1" si="28"/>
        <v>0</v>
      </c>
      <c r="O96" s="3">
        <v>490613016</v>
      </c>
      <c r="P96" s="15" t="str">
        <f t="shared" si="29"/>
        <v>CDN</v>
      </c>
      <c r="Q96" s="1" t="s">
        <v>13</v>
      </c>
      <c r="R96" s="11">
        <v>6000</v>
      </c>
      <c r="S96" s="10" t="str">
        <f t="shared" si="30"/>
        <v>06</v>
      </c>
      <c r="T96" t="str">
        <f t="shared" si="33"/>
        <v/>
      </c>
      <c r="U96" t="str">
        <f t="shared" si="34"/>
        <v>t.gondouin@arbel.com</v>
      </c>
      <c r="V96" s="10" t="str">
        <f t="shared" ca="1" si="31"/>
        <v/>
      </c>
    </row>
    <row r="97" spans="1:22" x14ac:dyDescent="0.2">
      <c r="A97" t="s">
        <v>289</v>
      </c>
      <c r="B97" t="str">
        <f t="shared" si="32"/>
        <v>MGODE87</v>
      </c>
      <c r="C97" s="1" t="s">
        <v>133</v>
      </c>
      <c r="D97" s="1" t="s">
        <v>176</v>
      </c>
      <c r="E97" s="1" t="s">
        <v>349</v>
      </c>
      <c r="F97" s="21" t="str">
        <f t="shared" si="22"/>
        <v>F</v>
      </c>
      <c r="G97" s="12">
        <v>32035</v>
      </c>
      <c r="H97" s="9">
        <f t="shared" si="23"/>
        <v>1987</v>
      </c>
      <c r="I97" s="6">
        <f t="shared" ca="1" si="24"/>
        <v>30</v>
      </c>
      <c r="J97" s="6">
        <f t="shared" ca="1" si="25"/>
        <v>10</v>
      </c>
      <c r="K97" s="6">
        <f t="shared" ca="1" si="26"/>
        <v>2</v>
      </c>
      <c r="L97" s="6" t="str">
        <f t="shared" ca="1" si="27"/>
        <v>30 ans 10 mois et 2 jours</v>
      </c>
      <c r="M97" s="35">
        <v>24296.48</v>
      </c>
      <c r="N97" s="33">
        <f t="shared" ca="1" si="28"/>
        <v>0</v>
      </c>
      <c r="O97" s="3">
        <v>491493396</v>
      </c>
      <c r="P97" s="15" t="str">
        <f t="shared" si="29"/>
        <v>CDN</v>
      </c>
      <c r="Q97" s="1" t="s">
        <v>13</v>
      </c>
      <c r="R97" s="11">
        <v>6000</v>
      </c>
      <c r="S97" s="10" t="str">
        <f t="shared" si="30"/>
        <v>06</v>
      </c>
      <c r="T97" t="str">
        <f t="shared" si="33"/>
        <v/>
      </c>
      <c r="U97" t="str">
        <f t="shared" si="34"/>
        <v>a.gouillon@arbel.com</v>
      </c>
      <c r="V97" s="10" t="str">
        <f t="shared" ca="1" si="31"/>
        <v/>
      </c>
    </row>
    <row r="98" spans="1:22" x14ac:dyDescent="0.2">
      <c r="A98" t="s">
        <v>290</v>
      </c>
      <c r="B98" t="str">
        <f t="shared" si="32"/>
        <v>MGORI81</v>
      </c>
      <c r="C98" s="1" t="s">
        <v>134</v>
      </c>
      <c r="D98" s="1" t="s">
        <v>12</v>
      </c>
      <c r="E98" s="1" t="s">
        <v>349</v>
      </c>
      <c r="F98" s="21" t="str">
        <f t="shared" si="22"/>
        <v>F</v>
      </c>
      <c r="G98" s="12">
        <v>29652</v>
      </c>
      <c r="H98" s="9">
        <f t="shared" si="23"/>
        <v>1981</v>
      </c>
      <c r="I98" s="6">
        <f t="shared" ca="1" si="24"/>
        <v>37</v>
      </c>
      <c r="J98" s="6">
        <f t="shared" ca="1" si="25"/>
        <v>4</v>
      </c>
      <c r="K98" s="6">
        <f t="shared" ca="1" si="26"/>
        <v>10</v>
      </c>
      <c r="L98" s="6" t="str">
        <f t="shared" ca="1" si="27"/>
        <v>37 ans 4 mois et 10 jours</v>
      </c>
      <c r="M98" s="35">
        <v>25691.51</v>
      </c>
      <c r="N98" s="33">
        <f t="shared" ca="1" si="28"/>
        <v>0</v>
      </c>
      <c r="O98" s="3">
        <v>492373776</v>
      </c>
      <c r="P98" s="15" t="str">
        <f t="shared" si="29"/>
        <v>CDN</v>
      </c>
      <c r="Q98" s="1" t="s">
        <v>13</v>
      </c>
      <c r="R98" s="11">
        <v>6000</v>
      </c>
      <c r="S98" s="10" t="str">
        <f t="shared" si="30"/>
        <v>06</v>
      </c>
      <c r="T98" t="str">
        <f t="shared" si="33"/>
        <v/>
      </c>
      <c r="U98" t="str">
        <f t="shared" si="34"/>
        <v>b.goyer@arbel.com</v>
      </c>
      <c r="V98" s="10" t="str">
        <f t="shared" ca="1" si="31"/>
        <v/>
      </c>
    </row>
    <row r="99" spans="1:22" x14ac:dyDescent="0.2">
      <c r="A99" t="s">
        <v>291</v>
      </c>
      <c r="B99" t="str">
        <f t="shared" si="32"/>
        <v>MGRAN89</v>
      </c>
      <c r="C99" s="1" t="s">
        <v>135</v>
      </c>
      <c r="D99" s="1" t="s">
        <v>362</v>
      </c>
      <c r="E99" s="1" t="s">
        <v>349</v>
      </c>
      <c r="F99" s="21" t="str">
        <f t="shared" si="22"/>
        <v>F</v>
      </c>
      <c r="G99" s="12">
        <v>32772</v>
      </c>
      <c r="H99" s="9">
        <f t="shared" si="23"/>
        <v>1989</v>
      </c>
      <c r="I99" s="6">
        <f t="shared" ca="1" si="24"/>
        <v>28</v>
      </c>
      <c r="J99" s="6">
        <f t="shared" ca="1" si="25"/>
        <v>9</v>
      </c>
      <c r="K99" s="6">
        <f t="shared" ca="1" si="26"/>
        <v>26</v>
      </c>
      <c r="L99" s="6" t="str">
        <f t="shared" ca="1" si="27"/>
        <v>28 ans 9 mois et 26 jours</v>
      </c>
      <c r="M99" s="35">
        <v>31132.660000000003</v>
      </c>
      <c r="N99" s="33">
        <f t="shared" ca="1" si="28"/>
        <v>0</v>
      </c>
      <c r="O99" s="3">
        <v>493254156</v>
      </c>
      <c r="P99" s="15" t="str">
        <f t="shared" si="29"/>
        <v>CDN</v>
      </c>
      <c r="Q99" s="1" t="s">
        <v>13</v>
      </c>
      <c r="R99" s="11">
        <v>6000</v>
      </c>
      <c r="S99" s="10" t="str">
        <f t="shared" si="30"/>
        <v>06</v>
      </c>
      <c r="T99" t="str">
        <f t="shared" si="33"/>
        <v/>
      </c>
      <c r="U99" t="str">
        <f t="shared" si="34"/>
        <v>f.grain@arbel.com</v>
      </c>
      <c r="V99" s="10" t="str">
        <f t="shared" ca="1" si="31"/>
        <v/>
      </c>
    </row>
    <row r="100" spans="1:22" x14ac:dyDescent="0.2">
      <c r="A100" t="s">
        <v>292</v>
      </c>
      <c r="B100" t="str">
        <f t="shared" si="32"/>
        <v>MGUEA71</v>
      </c>
      <c r="C100" s="1" t="s">
        <v>136</v>
      </c>
      <c r="D100" s="1" t="s">
        <v>15</v>
      </c>
      <c r="E100" s="1" t="s">
        <v>361</v>
      </c>
      <c r="F100" s="21" t="str">
        <f t="shared" si="22"/>
        <v>H</v>
      </c>
      <c r="G100" s="12">
        <v>26224</v>
      </c>
      <c r="H100" s="9">
        <f t="shared" si="23"/>
        <v>1971</v>
      </c>
      <c r="I100" s="6">
        <f t="shared" ca="1" si="24"/>
        <v>46</v>
      </c>
      <c r="J100" s="6">
        <f t="shared" ca="1" si="25"/>
        <v>8</v>
      </c>
      <c r="K100" s="6">
        <f t="shared" ca="1" si="26"/>
        <v>29</v>
      </c>
      <c r="L100" s="6" t="str">
        <f t="shared" ca="1" si="27"/>
        <v>46 ans 8 mois et 29 jours</v>
      </c>
      <c r="M100" s="35">
        <v>28142.920000000002</v>
      </c>
      <c r="N100" s="33">
        <f t="shared" ca="1" si="28"/>
        <v>0</v>
      </c>
      <c r="O100" s="3">
        <v>494134536</v>
      </c>
      <c r="P100" s="15" t="str">
        <f t="shared" si="29"/>
        <v>CDN</v>
      </c>
      <c r="Q100" s="1" t="s">
        <v>13</v>
      </c>
      <c r="R100" s="11">
        <v>6000</v>
      </c>
      <c r="S100" s="10" t="str">
        <f t="shared" si="30"/>
        <v>06</v>
      </c>
      <c r="T100" t="str">
        <f t="shared" si="33"/>
        <v/>
      </c>
      <c r="U100" t="str">
        <f t="shared" si="34"/>
        <v>j.guille@arbel.com</v>
      </c>
      <c r="V100" s="10" t="str">
        <f t="shared" ca="1" si="31"/>
        <v/>
      </c>
    </row>
    <row r="101" spans="1:22" x14ac:dyDescent="0.2">
      <c r="A101" t="s">
        <v>293</v>
      </c>
      <c r="B101" t="str">
        <f t="shared" si="32"/>
        <v>MGURA91</v>
      </c>
      <c r="C101" s="1" t="s">
        <v>137</v>
      </c>
      <c r="D101" s="1" t="s">
        <v>138</v>
      </c>
      <c r="E101" s="1" t="s">
        <v>361</v>
      </c>
      <c r="F101" s="21" t="str">
        <f t="shared" si="22"/>
        <v>H</v>
      </c>
      <c r="G101" s="12">
        <v>33252</v>
      </c>
      <c r="H101" s="9">
        <f t="shared" si="23"/>
        <v>1991</v>
      </c>
      <c r="I101" s="6">
        <f t="shared" ca="1" si="24"/>
        <v>27</v>
      </c>
      <c r="J101" s="6">
        <f t="shared" ca="1" si="25"/>
        <v>6</v>
      </c>
      <c r="K101" s="6">
        <f t="shared" ca="1" si="26"/>
        <v>3</v>
      </c>
      <c r="L101" s="6" t="str">
        <f t="shared" ca="1" si="27"/>
        <v>27 ans 6 mois et 3 jours</v>
      </c>
      <c r="M101" s="35">
        <v>19895.330000000002</v>
      </c>
      <c r="N101" s="33" t="str">
        <f t="shared" ca="1" si="28"/>
        <v>BONUS</v>
      </c>
      <c r="O101" s="3">
        <v>495014916</v>
      </c>
      <c r="P101" s="15" t="str">
        <f t="shared" si="29"/>
        <v>CDN</v>
      </c>
      <c r="Q101" s="1" t="s">
        <v>13</v>
      </c>
      <c r="R101" s="11">
        <v>6000</v>
      </c>
      <c r="S101" s="10" t="str">
        <f t="shared" si="30"/>
        <v>06</v>
      </c>
      <c r="T101" t="str">
        <f t="shared" si="33"/>
        <v/>
      </c>
      <c r="U101" t="str">
        <f t="shared" si="34"/>
        <v>f.guitton@arbel.com</v>
      </c>
      <c r="V101" s="10" t="str">
        <f t="shared" ca="1" si="31"/>
        <v/>
      </c>
    </row>
    <row r="102" spans="1:22" x14ac:dyDescent="0.2">
      <c r="A102" t="s">
        <v>294</v>
      </c>
      <c r="B102" t="str">
        <f t="shared" si="32"/>
        <v>MGUOM85</v>
      </c>
      <c r="C102" s="1" t="s">
        <v>139</v>
      </c>
      <c r="D102" s="1" t="s">
        <v>376</v>
      </c>
      <c r="E102" s="1" t="s">
        <v>361</v>
      </c>
      <c r="F102" s="21" t="str">
        <f t="shared" si="22"/>
        <v>H</v>
      </c>
      <c r="G102" s="12">
        <v>31092</v>
      </c>
      <c r="H102" s="9">
        <f t="shared" si="23"/>
        <v>1985</v>
      </c>
      <c r="I102" s="6">
        <f t="shared" ca="1" si="24"/>
        <v>33</v>
      </c>
      <c r="J102" s="6">
        <f t="shared" ca="1" si="25"/>
        <v>5</v>
      </c>
      <c r="K102" s="6">
        <f t="shared" ca="1" si="26"/>
        <v>3</v>
      </c>
      <c r="L102" s="6" t="str">
        <f t="shared" ca="1" si="27"/>
        <v>33 ans 5 mois et 3 jours</v>
      </c>
      <c r="M102" s="35">
        <v>15230.15</v>
      </c>
      <c r="N102" s="33">
        <f t="shared" ca="1" si="28"/>
        <v>0</v>
      </c>
      <c r="O102" s="3">
        <v>495895296</v>
      </c>
      <c r="P102" s="15" t="str">
        <f t="shared" si="29"/>
        <v>CDN</v>
      </c>
      <c r="Q102" s="1" t="s">
        <v>13</v>
      </c>
      <c r="R102" s="11">
        <v>6000</v>
      </c>
      <c r="S102" s="10" t="str">
        <f t="shared" si="30"/>
        <v>06</v>
      </c>
      <c r="T102" t="str">
        <f t="shared" si="33"/>
        <v/>
      </c>
      <c r="U102" t="str">
        <f t="shared" si="34"/>
        <v>r.gutfreund@arbel.com</v>
      </c>
      <c r="V102" s="10" t="str">
        <f t="shared" ca="1" si="31"/>
        <v/>
      </c>
    </row>
    <row r="103" spans="1:22" x14ac:dyDescent="0.2">
      <c r="A103" t="s">
        <v>295</v>
      </c>
      <c r="B103" t="str">
        <f t="shared" si="32"/>
        <v>MGUAT90</v>
      </c>
      <c r="C103" s="1" t="s">
        <v>140</v>
      </c>
      <c r="D103" s="1" t="s">
        <v>390</v>
      </c>
      <c r="E103" s="1" t="s">
        <v>361</v>
      </c>
      <c r="F103" s="21" t="str">
        <f t="shared" si="22"/>
        <v>H</v>
      </c>
      <c r="G103" s="12">
        <v>32881</v>
      </c>
      <c r="H103" s="9">
        <f t="shared" si="23"/>
        <v>1990</v>
      </c>
      <c r="I103" s="6">
        <f t="shared" ca="1" si="24"/>
        <v>28</v>
      </c>
      <c r="J103" s="6">
        <f t="shared" ca="1" si="25"/>
        <v>6</v>
      </c>
      <c r="K103" s="6">
        <f t="shared" ca="1" si="26"/>
        <v>9</v>
      </c>
      <c r="L103" s="6" t="str">
        <f t="shared" ca="1" si="27"/>
        <v>28 ans 6 mois et 9 jours</v>
      </c>
      <c r="M103" s="35">
        <v>23676.639999999999</v>
      </c>
      <c r="N103" s="33">
        <f t="shared" ca="1" si="28"/>
        <v>0</v>
      </c>
      <c r="O103" s="3">
        <v>103020550</v>
      </c>
      <c r="P103" s="15" t="str">
        <f t="shared" si="29"/>
        <v>CDP</v>
      </c>
      <c r="Q103" s="1" t="s">
        <v>8</v>
      </c>
      <c r="R103" s="11">
        <v>6000</v>
      </c>
      <c r="S103" s="10" t="str">
        <f t="shared" si="30"/>
        <v>06</v>
      </c>
      <c r="T103" t="str">
        <f t="shared" si="33"/>
        <v/>
      </c>
      <c r="U103" t="str">
        <f t="shared" si="34"/>
        <v>n.guyot@arbel.com</v>
      </c>
      <c r="V103" s="10" t="str">
        <f t="shared" ca="1" si="31"/>
        <v/>
      </c>
    </row>
    <row r="104" spans="1:22" x14ac:dyDescent="0.2">
      <c r="A104" t="s">
        <v>296</v>
      </c>
      <c r="B104" t="str">
        <f t="shared" si="32"/>
        <v>MHAOÏ91</v>
      </c>
      <c r="C104" s="1" t="s">
        <v>142</v>
      </c>
      <c r="D104" s="1" t="s">
        <v>143</v>
      </c>
      <c r="E104" s="1" t="s">
        <v>361</v>
      </c>
      <c r="F104" s="21" t="str">
        <f t="shared" si="22"/>
        <v>H</v>
      </c>
      <c r="G104" s="12">
        <v>33442</v>
      </c>
      <c r="H104" s="9">
        <f t="shared" si="23"/>
        <v>1991</v>
      </c>
      <c r="I104" s="6">
        <f t="shared" ca="1" si="24"/>
        <v>26</v>
      </c>
      <c r="J104" s="6">
        <f t="shared" ca="1" si="25"/>
        <v>11</v>
      </c>
      <c r="K104" s="6">
        <f t="shared" ca="1" si="26"/>
        <v>24</v>
      </c>
      <c r="L104" s="6" t="str">
        <f t="shared" ca="1" si="27"/>
        <v>26 ans 11 mois et 24 jours</v>
      </c>
      <c r="M104" s="35">
        <v>31463.380000000005</v>
      </c>
      <c r="N104" s="33">
        <f t="shared" ca="1" si="28"/>
        <v>0</v>
      </c>
      <c r="O104" s="3">
        <v>103020551</v>
      </c>
      <c r="P104" s="15" t="str">
        <f t="shared" si="29"/>
        <v>CDP</v>
      </c>
      <c r="Q104" s="1" t="s">
        <v>8</v>
      </c>
      <c r="R104" s="11">
        <v>6000</v>
      </c>
      <c r="S104" s="10" t="str">
        <f t="shared" si="30"/>
        <v>06</v>
      </c>
      <c r="T104" t="str">
        <f t="shared" si="33"/>
        <v/>
      </c>
      <c r="U104" t="str">
        <f t="shared" si="34"/>
        <v>m.habrant@arbel.com</v>
      </c>
      <c r="V104" s="10" t="str">
        <f t="shared" ca="1" si="31"/>
        <v/>
      </c>
    </row>
    <row r="105" spans="1:22" x14ac:dyDescent="0.2">
      <c r="A105" t="s">
        <v>297</v>
      </c>
      <c r="B105" t="str">
        <f t="shared" si="32"/>
        <v>MHARM79</v>
      </c>
      <c r="C105" s="1" t="s">
        <v>144</v>
      </c>
      <c r="D105" s="1" t="s">
        <v>145</v>
      </c>
      <c r="E105" s="1" t="s">
        <v>349</v>
      </c>
      <c r="F105" s="21" t="str">
        <f t="shared" si="22"/>
        <v>F</v>
      </c>
      <c r="G105" s="12">
        <v>28892</v>
      </c>
      <c r="H105" s="9">
        <f t="shared" si="23"/>
        <v>1979</v>
      </c>
      <c r="I105" s="6">
        <f t="shared" ca="1" si="24"/>
        <v>39</v>
      </c>
      <c r="J105" s="6">
        <f t="shared" ca="1" si="25"/>
        <v>5</v>
      </c>
      <c r="K105" s="6">
        <f t="shared" ca="1" si="26"/>
        <v>11</v>
      </c>
      <c r="L105" s="6" t="str">
        <f t="shared" ca="1" si="27"/>
        <v>39 ans 5 mois et 11 jours</v>
      </c>
      <c r="M105" s="35">
        <v>25944.100000000002</v>
      </c>
      <c r="N105" s="33">
        <f t="shared" ca="1" si="28"/>
        <v>0</v>
      </c>
      <c r="O105" s="3">
        <v>496775676</v>
      </c>
      <c r="P105" s="15" t="str">
        <f t="shared" si="29"/>
        <v>CDN</v>
      </c>
      <c r="Q105" s="1" t="s">
        <v>13</v>
      </c>
      <c r="R105" s="11">
        <v>75012</v>
      </c>
      <c r="S105" s="10" t="str">
        <f t="shared" si="30"/>
        <v>75</v>
      </c>
      <c r="T105" t="str">
        <f t="shared" si="33"/>
        <v/>
      </c>
      <c r="U105" t="str">
        <f t="shared" si="34"/>
        <v>a.harault@arbel.com</v>
      </c>
      <c r="V105" s="10" t="str">
        <f t="shared" ca="1" si="31"/>
        <v/>
      </c>
    </row>
    <row r="106" spans="1:22" x14ac:dyDescent="0.2">
      <c r="A106" t="s">
        <v>298</v>
      </c>
      <c r="B106" t="str">
        <f t="shared" si="32"/>
        <v>MHEYR88</v>
      </c>
      <c r="C106" s="1" t="s">
        <v>146</v>
      </c>
      <c r="D106" s="1" t="s">
        <v>7</v>
      </c>
      <c r="E106" s="1" t="s">
        <v>349</v>
      </c>
      <c r="F106" s="21" t="str">
        <f t="shared" si="22"/>
        <v>F</v>
      </c>
      <c r="G106" s="12">
        <v>32164</v>
      </c>
      <c r="H106" s="9">
        <f t="shared" si="23"/>
        <v>1988</v>
      </c>
      <c r="I106" s="6">
        <f t="shared" ca="1" si="24"/>
        <v>30</v>
      </c>
      <c r="J106" s="6">
        <f t="shared" ca="1" si="25"/>
        <v>5</v>
      </c>
      <c r="K106" s="6">
        <f t="shared" ca="1" si="26"/>
        <v>25</v>
      </c>
      <c r="L106" s="6" t="str">
        <f t="shared" ca="1" si="27"/>
        <v>30 ans 5 mois et 25 jours</v>
      </c>
      <c r="M106" s="35">
        <v>35474.660000000003</v>
      </c>
      <c r="N106" s="33">
        <f t="shared" ca="1" si="28"/>
        <v>0</v>
      </c>
      <c r="O106" s="3">
        <v>103020552</v>
      </c>
      <c r="P106" s="15" t="str">
        <f t="shared" si="29"/>
        <v>CDP</v>
      </c>
      <c r="Q106" s="1" t="s">
        <v>8</v>
      </c>
      <c r="R106" s="11">
        <v>75014</v>
      </c>
      <c r="S106" s="10" t="str">
        <f t="shared" si="30"/>
        <v>75</v>
      </c>
      <c r="T106" t="str">
        <f t="shared" si="33"/>
        <v/>
      </c>
      <c r="U106" t="str">
        <f t="shared" si="34"/>
        <v>m.herclich@arbel.com</v>
      </c>
      <c r="V106" s="10" t="str">
        <f t="shared" ca="1" si="31"/>
        <v/>
      </c>
    </row>
    <row r="107" spans="1:22" x14ac:dyDescent="0.2">
      <c r="A107" t="s">
        <v>242</v>
      </c>
      <c r="B107" t="str">
        <f t="shared" si="32"/>
        <v>MHEUG93</v>
      </c>
      <c r="C107" s="1" t="s">
        <v>71</v>
      </c>
      <c r="D107" s="1" t="s">
        <v>386</v>
      </c>
      <c r="E107" s="1" t="s">
        <v>361</v>
      </c>
      <c r="F107" s="21" t="str">
        <f t="shared" si="22"/>
        <v>H</v>
      </c>
      <c r="G107" s="12">
        <v>34274</v>
      </c>
      <c r="H107" s="9">
        <f t="shared" si="23"/>
        <v>1993</v>
      </c>
      <c r="I107" s="6">
        <f t="shared" ca="1" si="24"/>
        <v>24</v>
      </c>
      <c r="J107" s="6">
        <f t="shared" ca="1" si="25"/>
        <v>8</v>
      </c>
      <c r="K107" s="6">
        <f t="shared" ca="1" si="26"/>
        <v>16</v>
      </c>
      <c r="L107" s="6" t="str">
        <f t="shared" ca="1" si="27"/>
        <v>24 ans 8 mois et 16 jours</v>
      </c>
      <c r="M107" s="35">
        <v>41611.96</v>
      </c>
      <c r="N107" s="33">
        <f t="shared" ca="1" si="28"/>
        <v>0</v>
      </c>
      <c r="O107" s="3">
        <v>450995916</v>
      </c>
      <c r="P107" s="15" t="str">
        <f t="shared" si="29"/>
        <v>CDN</v>
      </c>
      <c r="Q107" s="1" t="s">
        <v>13</v>
      </c>
      <c r="R107" s="11">
        <v>75016</v>
      </c>
      <c r="S107" s="10" t="str">
        <f t="shared" si="30"/>
        <v>75</v>
      </c>
      <c r="T107" t="str">
        <f t="shared" si="33"/>
        <v/>
      </c>
      <c r="U107" t="str">
        <f t="shared" si="34"/>
        <v>h.hermant@arbel.com</v>
      </c>
      <c r="V107" s="10" t="str">
        <f t="shared" ca="1" si="31"/>
        <v/>
      </c>
    </row>
    <row r="108" spans="1:22" x14ac:dyDescent="0.2">
      <c r="A108" t="s">
        <v>300</v>
      </c>
      <c r="B108" t="str">
        <f t="shared" si="32"/>
        <v>MHELO91</v>
      </c>
      <c r="C108" s="1" t="s">
        <v>148</v>
      </c>
      <c r="D108" s="1" t="s">
        <v>352</v>
      </c>
      <c r="E108" s="1" t="s">
        <v>349</v>
      </c>
      <c r="F108" s="21" t="str">
        <f t="shared" si="22"/>
        <v>F</v>
      </c>
      <c r="G108" s="12">
        <v>33542</v>
      </c>
      <c r="H108" s="9">
        <f t="shared" si="23"/>
        <v>1991</v>
      </c>
      <c r="I108" s="6">
        <f t="shared" ca="1" si="24"/>
        <v>26</v>
      </c>
      <c r="J108" s="6">
        <f t="shared" ca="1" si="25"/>
        <v>8</v>
      </c>
      <c r="K108" s="6">
        <f t="shared" ca="1" si="26"/>
        <v>16</v>
      </c>
      <c r="L108" s="6" t="str">
        <f t="shared" ca="1" si="27"/>
        <v>26 ans 8 mois et 16 jours</v>
      </c>
      <c r="M108" s="35">
        <v>20634.25</v>
      </c>
      <c r="N108" s="33">
        <f t="shared" ca="1" si="28"/>
        <v>0</v>
      </c>
      <c r="O108" s="3">
        <v>498536436</v>
      </c>
      <c r="P108" s="15" t="str">
        <f t="shared" si="29"/>
        <v>CDN</v>
      </c>
      <c r="Q108" s="1" t="s">
        <v>13</v>
      </c>
      <c r="R108" s="11">
        <v>75018</v>
      </c>
      <c r="S108" s="10" t="str">
        <f t="shared" si="30"/>
        <v>75</v>
      </c>
      <c r="T108" t="str">
        <f t="shared" si="33"/>
        <v/>
      </c>
      <c r="U108" t="str">
        <f t="shared" si="34"/>
        <v>e.herselin@arbel.com</v>
      </c>
      <c r="V108" s="10" t="str">
        <f t="shared" ca="1" si="31"/>
        <v/>
      </c>
    </row>
    <row r="109" spans="1:22" x14ac:dyDescent="0.2">
      <c r="A109" t="s">
        <v>301</v>
      </c>
      <c r="B109" t="str">
        <f t="shared" si="32"/>
        <v>MHEAT75</v>
      </c>
      <c r="C109" s="1" t="s">
        <v>149</v>
      </c>
      <c r="D109" s="1" t="s">
        <v>150</v>
      </c>
      <c r="E109" s="1" t="s">
        <v>349</v>
      </c>
      <c r="F109" s="21" t="str">
        <f t="shared" ref="F109:F140" si="35">UPPER(IF(E109="monsieur","h","f"))</f>
        <v>F</v>
      </c>
      <c r="G109" s="12">
        <v>27582</v>
      </c>
      <c r="H109" s="9">
        <f t="shared" ref="H109:H140" si="36">YEAR(G109)</f>
        <v>1975</v>
      </c>
      <c r="I109" s="6">
        <f t="shared" ref="I109:I140" ca="1" si="37">DATEDIF($G109,TODAY(),"y")</f>
        <v>43</v>
      </c>
      <c r="J109" s="6">
        <f t="shared" ref="J109:J140" ca="1" si="38">DATEDIF($G109,TODAY(),"yM")</f>
        <v>0</v>
      </c>
      <c r="K109" s="6">
        <f t="shared" ref="K109:K140" ca="1" si="39">DATEDIF($G109,TODAY(),"MD")</f>
        <v>10</v>
      </c>
      <c r="L109" s="6" t="str">
        <f t="shared" ref="L109:L140" ca="1" si="40">I109&amp;" ans "&amp;J109&amp;" mois et "&amp;K109&amp;" jours"</f>
        <v>43 ans 0 mois et 10 jours</v>
      </c>
      <c r="M109" s="35">
        <v>37234.21</v>
      </c>
      <c r="N109" s="33">
        <f t="shared" ca="1" si="28"/>
        <v>0</v>
      </c>
      <c r="O109" s="3">
        <v>499416816</v>
      </c>
      <c r="P109" s="15" t="str">
        <f t="shared" ref="P109:P140" si="41">UPPER(IF(Q109="Paris","cdp",IF(Q109="Lille","dgl",IF(Q109="Nice","cdn","dfa"))))</f>
        <v>CDN</v>
      </c>
      <c r="Q109" s="1" t="s">
        <v>13</v>
      </c>
      <c r="R109" s="11">
        <v>75020</v>
      </c>
      <c r="S109" s="10" t="str">
        <f t="shared" ref="S109:S140" si="42">LEFT(TEXT(R109,"00000"),2)</f>
        <v>75</v>
      </c>
      <c r="T109" t="str">
        <f t="shared" si="33"/>
        <v/>
      </c>
      <c r="U109" t="str">
        <f t="shared" si="34"/>
        <v>c.heuraux@arbel.com</v>
      </c>
      <c r="V109" s="10" t="str">
        <f t="shared" ref="V109:V140" ca="1" si="43">IF(AND(DAY(G109)=DAY($Y$10),MONTH(G109)=MONTH($Y$10)),"Anniversaire","")</f>
        <v/>
      </c>
    </row>
    <row r="110" spans="1:22" x14ac:dyDescent="0.2">
      <c r="A110" t="s">
        <v>302</v>
      </c>
      <c r="B110" t="str">
        <f t="shared" si="32"/>
        <v>MILYL86</v>
      </c>
      <c r="C110" s="1" t="s">
        <v>151</v>
      </c>
      <c r="D110" s="1" t="s">
        <v>93</v>
      </c>
      <c r="E110" s="1" t="s">
        <v>349</v>
      </c>
      <c r="F110" s="21" t="str">
        <f t="shared" si="35"/>
        <v>F</v>
      </c>
      <c r="G110" s="12">
        <v>31691</v>
      </c>
      <c r="H110" s="9">
        <f t="shared" si="36"/>
        <v>1986</v>
      </c>
      <c r="I110" s="6">
        <f t="shared" ca="1" si="37"/>
        <v>31</v>
      </c>
      <c r="J110" s="6">
        <f t="shared" ca="1" si="38"/>
        <v>9</v>
      </c>
      <c r="K110" s="6">
        <f t="shared" ca="1" si="39"/>
        <v>11</v>
      </c>
      <c r="L110" s="6" t="str">
        <f t="shared" ca="1" si="40"/>
        <v>31 ans 9 mois et 11 jours</v>
      </c>
      <c r="M110" s="35">
        <v>36651.160000000003</v>
      </c>
      <c r="N110" s="33">
        <f t="shared" ca="1" si="28"/>
        <v>0</v>
      </c>
      <c r="O110" s="3">
        <v>103020553</v>
      </c>
      <c r="P110" s="15" t="str">
        <f t="shared" si="41"/>
        <v>CDP</v>
      </c>
      <c r="Q110" s="1" t="s">
        <v>8</v>
      </c>
      <c r="R110" s="11">
        <v>75001</v>
      </c>
      <c r="S110" s="10" t="str">
        <f t="shared" si="42"/>
        <v>75</v>
      </c>
      <c r="T110" t="str">
        <f t="shared" si="33"/>
        <v/>
      </c>
      <c r="U110" t="str">
        <f t="shared" si="34"/>
        <v>s.ilardo@arbel.com</v>
      </c>
      <c r="V110" s="10" t="str">
        <f t="shared" ca="1" si="43"/>
        <v/>
      </c>
    </row>
    <row r="111" spans="1:22" x14ac:dyDescent="0.2">
      <c r="A111" t="s">
        <v>303</v>
      </c>
      <c r="B111" t="str">
        <f t="shared" si="32"/>
        <v>MJOEN64</v>
      </c>
      <c r="C111" s="1" t="s">
        <v>152</v>
      </c>
      <c r="D111" s="1" t="s">
        <v>153</v>
      </c>
      <c r="E111" s="1" t="s">
        <v>361</v>
      </c>
      <c r="F111" s="21" t="str">
        <f t="shared" si="35"/>
        <v>H</v>
      </c>
      <c r="G111" s="12">
        <v>23464</v>
      </c>
      <c r="H111" s="9">
        <f t="shared" si="36"/>
        <v>1964</v>
      </c>
      <c r="I111" s="6">
        <f t="shared" ca="1" si="37"/>
        <v>54</v>
      </c>
      <c r="J111" s="6">
        <f t="shared" ca="1" si="38"/>
        <v>3</v>
      </c>
      <c r="K111" s="6">
        <f t="shared" ca="1" si="39"/>
        <v>19</v>
      </c>
      <c r="L111" s="6" t="str">
        <f t="shared" ca="1" si="40"/>
        <v>54 ans 3 mois et 19 jours</v>
      </c>
      <c r="M111" s="35">
        <v>40356.42</v>
      </c>
      <c r="N111" s="33">
        <f t="shared" ca="1" si="28"/>
        <v>0</v>
      </c>
      <c r="O111" s="3">
        <v>101050408</v>
      </c>
      <c r="P111" s="15" t="str">
        <f t="shared" si="41"/>
        <v>CDP</v>
      </c>
      <c r="Q111" s="1" t="s">
        <v>8</v>
      </c>
      <c r="R111" s="11">
        <v>75003</v>
      </c>
      <c r="S111" s="10" t="str">
        <f t="shared" si="42"/>
        <v>75</v>
      </c>
      <c r="T111" t="str">
        <f t="shared" si="33"/>
        <v/>
      </c>
      <c r="U111" t="str">
        <f t="shared" si="34"/>
        <v>b.joly@arbel.com</v>
      </c>
      <c r="V111" s="10" t="str">
        <f t="shared" ca="1" si="43"/>
        <v/>
      </c>
    </row>
    <row r="112" spans="1:22" x14ac:dyDescent="0.2">
      <c r="A112" t="s">
        <v>304</v>
      </c>
      <c r="B112" t="str">
        <f t="shared" si="32"/>
        <v>MJUOP90</v>
      </c>
      <c r="C112" s="1" t="s">
        <v>154</v>
      </c>
      <c r="D112" s="1" t="s">
        <v>370</v>
      </c>
      <c r="E112" s="1" t="s">
        <v>349</v>
      </c>
      <c r="F112" s="21" t="str">
        <f t="shared" si="35"/>
        <v>F</v>
      </c>
      <c r="G112" s="12">
        <v>33186</v>
      </c>
      <c r="H112" s="9">
        <f t="shared" si="36"/>
        <v>1990</v>
      </c>
      <c r="I112" s="6">
        <f t="shared" ca="1" si="37"/>
        <v>27</v>
      </c>
      <c r="J112" s="6">
        <f t="shared" ca="1" si="38"/>
        <v>8</v>
      </c>
      <c r="K112" s="6">
        <f t="shared" ca="1" si="39"/>
        <v>8</v>
      </c>
      <c r="L112" s="6" t="str">
        <f t="shared" ca="1" si="40"/>
        <v>27 ans 8 mois et 8 jours</v>
      </c>
      <c r="M112" s="35">
        <v>22270.17</v>
      </c>
      <c r="N112" s="33">
        <f t="shared" ca="1" si="28"/>
        <v>0</v>
      </c>
      <c r="O112" s="3">
        <v>120070310</v>
      </c>
      <c r="P112" s="15" t="str">
        <f t="shared" si="41"/>
        <v>CDP</v>
      </c>
      <c r="Q112" s="1" t="s">
        <v>8</v>
      </c>
      <c r="R112" s="11">
        <v>75005</v>
      </c>
      <c r="S112" s="10" t="str">
        <f t="shared" si="42"/>
        <v>75</v>
      </c>
      <c r="T112" t="str">
        <f t="shared" si="33"/>
        <v/>
      </c>
      <c r="U112" t="str">
        <f t="shared" si="34"/>
        <v>s.judith@arbel.com</v>
      </c>
      <c r="V112" s="10" t="str">
        <f t="shared" ca="1" si="43"/>
        <v/>
      </c>
    </row>
    <row r="113" spans="1:22" x14ac:dyDescent="0.2">
      <c r="A113" t="s">
        <v>305</v>
      </c>
      <c r="B113" t="str">
        <f t="shared" si="32"/>
        <v>MKAIC85</v>
      </c>
      <c r="C113" s="1" t="s">
        <v>155</v>
      </c>
      <c r="D113" s="1" t="s">
        <v>72</v>
      </c>
      <c r="E113" s="1" t="s">
        <v>361</v>
      </c>
      <c r="F113" s="21" t="str">
        <f t="shared" si="35"/>
        <v>H</v>
      </c>
      <c r="G113" s="12">
        <v>31201</v>
      </c>
      <c r="H113" s="9">
        <f t="shared" si="36"/>
        <v>1985</v>
      </c>
      <c r="I113" s="6">
        <f t="shared" ca="1" si="37"/>
        <v>33</v>
      </c>
      <c r="J113" s="6">
        <f t="shared" ca="1" si="38"/>
        <v>1</v>
      </c>
      <c r="K113" s="6">
        <f t="shared" ca="1" si="39"/>
        <v>14</v>
      </c>
      <c r="L113" s="6" t="str">
        <f t="shared" ca="1" si="40"/>
        <v>33 ans 1 mois et 14 jours</v>
      </c>
      <c r="M113" s="35">
        <v>14192.1</v>
      </c>
      <c r="N113" s="33">
        <f t="shared" ca="1" si="28"/>
        <v>0</v>
      </c>
      <c r="O113" s="3">
        <v>158110114</v>
      </c>
      <c r="P113" s="15" t="str">
        <f t="shared" si="41"/>
        <v>CDP</v>
      </c>
      <c r="Q113" s="1" t="s">
        <v>8</v>
      </c>
      <c r="R113" s="11">
        <v>75007</v>
      </c>
      <c r="S113" s="10" t="str">
        <f t="shared" si="42"/>
        <v>75</v>
      </c>
      <c r="T113" t="str">
        <f t="shared" si="33"/>
        <v/>
      </c>
      <c r="U113" t="str">
        <f t="shared" si="34"/>
        <v>v.karsenty@arbel.com</v>
      </c>
      <c r="V113" s="10" t="str">
        <f t="shared" ca="1" si="43"/>
        <v/>
      </c>
    </row>
    <row r="114" spans="1:22" x14ac:dyDescent="0.2">
      <c r="A114" t="s">
        <v>306</v>
      </c>
      <c r="B114" t="str">
        <f t="shared" si="32"/>
        <v>MKIYL88</v>
      </c>
      <c r="C114" s="1" t="s">
        <v>156</v>
      </c>
      <c r="D114" s="1" t="s">
        <v>93</v>
      </c>
      <c r="E114" s="1" t="s">
        <v>349</v>
      </c>
      <c r="F114" s="21" t="str">
        <f t="shared" si="35"/>
        <v>F</v>
      </c>
      <c r="G114" s="12">
        <v>32374</v>
      </c>
      <c r="H114" s="9">
        <f t="shared" si="36"/>
        <v>1988</v>
      </c>
      <c r="I114" s="6">
        <f t="shared" ca="1" si="37"/>
        <v>29</v>
      </c>
      <c r="J114" s="6">
        <f t="shared" ca="1" si="38"/>
        <v>10</v>
      </c>
      <c r="K114" s="6">
        <f t="shared" ca="1" si="39"/>
        <v>28</v>
      </c>
      <c r="L114" s="6" t="str">
        <f t="shared" ca="1" si="40"/>
        <v>29 ans 10 mois et 28 jours</v>
      </c>
      <c r="M114" s="35">
        <v>35547.07</v>
      </c>
      <c r="N114" s="33">
        <f t="shared" ca="1" si="28"/>
        <v>0</v>
      </c>
      <c r="O114" s="3">
        <v>103020556</v>
      </c>
      <c r="P114" s="15" t="str">
        <f t="shared" si="41"/>
        <v>CDP</v>
      </c>
      <c r="Q114" s="1" t="s">
        <v>8</v>
      </c>
      <c r="R114" s="11">
        <v>75009</v>
      </c>
      <c r="S114" s="10" t="str">
        <f t="shared" si="42"/>
        <v>75</v>
      </c>
      <c r="T114" t="str">
        <f t="shared" si="33"/>
        <v/>
      </c>
      <c r="U114" t="str">
        <f t="shared" si="34"/>
        <v>s.kilburg@arbel.com</v>
      </c>
      <c r="V114" s="10" t="str">
        <f t="shared" ca="1" si="43"/>
        <v/>
      </c>
    </row>
    <row r="115" spans="1:22" x14ac:dyDescent="0.2">
      <c r="A115" t="s">
        <v>307</v>
      </c>
      <c r="B115" t="str">
        <f t="shared" si="32"/>
        <v>MKOUL88</v>
      </c>
      <c r="C115" s="1" t="s">
        <v>157</v>
      </c>
      <c r="D115" s="1" t="s">
        <v>372</v>
      </c>
      <c r="E115" s="1" t="s">
        <v>361</v>
      </c>
      <c r="F115" s="21" t="str">
        <f t="shared" si="35"/>
        <v>H</v>
      </c>
      <c r="G115" s="12">
        <v>32218</v>
      </c>
      <c r="H115" s="9">
        <f t="shared" si="36"/>
        <v>1988</v>
      </c>
      <c r="I115" s="6">
        <f t="shared" ca="1" si="37"/>
        <v>30</v>
      </c>
      <c r="J115" s="6">
        <f t="shared" ca="1" si="38"/>
        <v>4</v>
      </c>
      <c r="K115" s="6">
        <f t="shared" ca="1" si="39"/>
        <v>1</v>
      </c>
      <c r="L115" s="6" t="str">
        <f t="shared" ca="1" si="40"/>
        <v>30 ans 4 mois et 1 jours</v>
      </c>
      <c r="M115" s="35">
        <v>14397.63</v>
      </c>
      <c r="N115" s="33">
        <f t="shared" ca="1" si="28"/>
        <v>0</v>
      </c>
      <c r="O115" s="3">
        <v>177130016</v>
      </c>
      <c r="P115" s="15" t="str">
        <f t="shared" si="41"/>
        <v>CDP</v>
      </c>
      <c r="Q115" s="1" t="s">
        <v>8</v>
      </c>
      <c r="R115" s="11">
        <v>75011</v>
      </c>
      <c r="S115" s="10" t="str">
        <f t="shared" si="42"/>
        <v>75</v>
      </c>
      <c r="T115" t="str">
        <f t="shared" si="33"/>
        <v/>
      </c>
      <c r="U115" t="str">
        <f t="shared" si="34"/>
        <v>j.kongolo@arbel.com</v>
      </c>
      <c r="V115" s="10" t="str">
        <f t="shared" ca="1" si="43"/>
        <v/>
      </c>
    </row>
    <row r="116" spans="1:22" x14ac:dyDescent="0.2">
      <c r="A116" t="s">
        <v>308</v>
      </c>
      <c r="B116" t="str">
        <f t="shared" si="32"/>
        <v>MKTUL95</v>
      </c>
      <c r="C116" s="1" t="s">
        <v>158</v>
      </c>
      <c r="D116" s="1" t="s">
        <v>159</v>
      </c>
      <c r="E116" s="1" t="s">
        <v>349</v>
      </c>
      <c r="F116" s="21" t="str">
        <f t="shared" si="35"/>
        <v>F</v>
      </c>
      <c r="G116" s="12">
        <v>34777</v>
      </c>
      <c r="H116" s="9">
        <f t="shared" si="36"/>
        <v>1995</v>
      </c>
      <c r="I116" s="6">
        <f t="shared" ca="1" si="37"/>
        <v>23</v>
      </c>
      <c r="J116" s="6">
        <f t="shared" ca="1" si="38"/>
        <v>3</v>
      </c>
      <c r="K116" s="6">
        <f t="shared" ca="1" si="39"/>
        <v>28</v>
      </c>
      <c r="L116" s="6" t="str">
        <f t="shared" ca="1" si="40"/>
        <v>23 ans 3 mois et 28 jours</v>
      </c>
      <c r="M116" s="35">
        <v>21122.53</v>
      </c>
      <c r="N116" s="33">
        <f t="shared" ca="1" si="28"/>
        <v>0</v>
      </c>
      <c r="O116" s="3">
        <v>103020542</v>
      </c>
      <c r="P116" s="15" t="str">
        <f t="shared" si="41"/>
        <v>CDP</v>
      </c>
      <c r="Q116" s="1" t="s">
        <v>8</v>
      </c>
      <c r="R116" s="11">
        <v>75013</v>
      </c>
      <c r="S116" s="10" t="str">
        <f t="shared" si="42"/>
        <v>75</v>
      </c>
      <c r="T116" t="str">
        <f t="shared" si="33"/>
        <v/>
      </c>
      <c r="U116" t="str">
        <f t="shared" si="34"/>
        <v>j.ktorza@arbel.com</v>
      </c>
      <c r="V116" s="10" t="str">
        <f t="shared" ca="1" si="43"/>
        <v/>
      </c>
    </row>
    <row r="117" spans="1:22" x14ac:dyDescent="0.2">
      <c r="A117" t="s">
        <v>309</v>
      </c>
      <c r="B117" t="str">
        <f t="shared" si="32"/>
        <v>MLANN94</v>
      </c>
      <c r="C117" s="1" t="s">
        <v>160</v>
      </c>
      <c r="D117" s="1" t="s">
        <v>161</v>
      </c>
      <c r="E117" s="1" t="s">
        <v>349</v>
      </c>
      <c r="F117" s="21" t="str">
        <f t="shared" si="35"/>
        <v>F</v>
      </c>
      <c r="G117" s="12">
        <v>34587</v>
      </c>
      <c r="H117" s="9">
        <f t="shared" si="36"/>
        <v>1994</v>
      </c>
      <c r="I117" s="6">
        <f t="shared" ca="1" si="37"/>
        <v>23</v>
      </c>
      <c r="J117" s="6">
        <f t="shared" ca="1" si="38"/>
        <v>10</v>
      </c>
      <c r="K117" s="6">
        <f t="shared" ca="1" si="39"/>
        <v>7</v>
      </c>
      <c r="L117" s="6" t="str">
        <f t="shared" ca="1" si="40"/>
        <v>23 ans 10 mois et 7 jours</v>
      </c>
      <c r="M117" s="35">
        <v>15457.779999999999</v>
      </c>
      <c r="N117" s="33" t="str">
        <f t="shared" ca="1" si="28"/>
        <v>BONUS</v>
      </c>
      <c r="O117" s="3">
        <v>103020543</v>
      </c>
      <c r="P117" s="15" t="str">
        <f t="shared" si="41"/>
        <v>CDP</v>
      </c>
      <c r="Q117" s="1" t="s">
        <v>8</v>
      </c>
      <c r="R117" s="11">
        <v>75015</v>
      </c>
      <c r="S117" s="10" t="str">
        <f t="shared" si="42"/>
        <v>75</v>
      </c>
      <c r="T117" t="str">
        <f t="shared" si="33"/>
        <v/>
      </c>
      <c r="U117" t="str">
        <f t="shared" si="34"/>
        <v>a.lachaussée@arbel.com</v>
      </c>
      <c r="V117" s="10" t="str">
        <f t="shared" ca="1" si="43"/>
        <v/>
      </c>
    </row>
    <row r="118" spans="1:22" x14ac:dyDescent="0.2">
      <c r="A118" t="s">
        <v>310</v>
      </c>
      <c r="B118" t="str">
        <f t="shared" si="32"/>
        <v>MLAAU91</v>
      </c>
      <c r="C118" s="1" t="s">
        <v>162</v>
      </c>
      <c r="D118" s="1" t="s">
        <v>163</v>
      </c>
      <c r="E118" s="1" t="s">
        <v>349</v>
      </c>
      <c r="F118" s="21" t="str">
        <f t="shared" si="35"/>
        <v>F</v>
      </c>
      <c r="G118" s="12">
        <v>33546</v>
      </c>
      <c r="H118" s="9">
        <f t="shared" si="36"/>
        <v>1991</v>
      </c>
      <c r="I118" s="6">
        <f t="shared" ca="1" si="37"/>
        <v>26</v>
      </c>
      <c r="J118" s="6">
        <f t="shared" ca="1" si="38"/>
        <v>8</v>
      </c>
      <c r="K118" s="6">
        <f t="shared" ca="1" si="39"/>
        <v>13</v>
      </c>
      <c r="L118" s="6" t="str">
        <f t="shared" ca="1" si="40"/>
        <v>26 ans 8 mois et 13 jours</v>
      </c>
      <c r="M118" s="35">
        <v>35266.53</v>
      </c>
      <c r="N118" s="33">
        <f t="shared" ca="1" si="28"/>
        <v>0</v>
      </c>
      <c r="O118" s="3">
        <v>103020557</v>
      </c>
      <c r="P118" s="15" t="str">
        <f t="shared" si="41"/>
        <v>CDP</v>
      </c>
      <c r="Q118" s="1" t="s">
        <v>8</v>
      </c>
      <c r="R118" s="11">
        <v>75017</v>
      </c>
      <c r="S118" s="10" t="str">
        <f t="shared" si="42"/>
        <v>75</v>
      </c>
      <c r="T118" t="str">
        <f t="shared" si="33"/>
        <v/>
      </c>
      <c r="U118" t="str">
        <f t="shared" si="34"/>
        <v>m.laiguillon@arbel.com</v>
      </c>
      <c r="V118" s="10" t="str">
        <f t="shared" ca="1" si="43"/>
        <v/>
      </c>
    </row>
    <row r="119" spans="1:22" x14ac:dyDescent="0.2">
      <c r="A119" t="s">
        <v>311</v>
      </c>
      <c r="B119" t="str">
        <f t="shared" si="32"/>
        <v>MLAAT87</v>
      </c>
      <c r="C119" s="1" t="s">
        <v>164</v>
      </c>
      <c r="D119" s="1" t="s">
        <v>150</v>
      </c>
      <c r="E119" s="1" t="s">
        <v>349</v>
      </c>
      <c r="F119" s="21" t="str">
        <f t="shared" si="35"/>
        <v>F</v>
      </c>
      <c r="G119" s="12">
        <v>31848</v>
      </c>
      <c r="H119" s="9">
        <f t="shared" si="36"/>
        <v>1987</v>
      </c>
      <c r="I119" s="6">
        <f t="shared" ca="1" si="37"/>
        <v>31</v>
      </c>
      <c r="J119" s="6">
        <f t="shared" ca="1" si="38"/>
        <v>4</v>
      </c>
      <c r="K119" s="6">
        <f t="shared" ca="1" si="39"/>
        <v>5</v>
      </c>
      <c r="L119" s="6" t="str">
        <f t="shared" ca="1" si="40"/>
        <v>31 ans 4 mois et 5 jours</v>
      </c>
      <c r="M119" s="35">
        <v>14922.440000000002</v>
      </c>
      <c r="N119" s="33">
        <f t="shared" ca="1" si="28"/>
        <v>0</v>
      </c>
      <c r="O119" s="3">
        <v>103020546</v>
      </c>
      <c r="P119" s="15" t="str">
        <f t="shared" si="41"/>
        <v>CDP</v>
      </c>
      <c r="Q119" s="1" t="s">
        <v>8</v>
      </c>
      <c r="R119" s="11">
        <v>75019</v>
      </c>
      <c r="S119" s="10" t="str">
        <f t="shared" si="42"/>
        <v>75</v>
      </c>
      <c r="T119" t="str">
        <f t="shared" si="33"/>
        <v/>
      </c>
      <c r="U119" t="str">
        <f t="shared" si="34"/>
        <v>c.lanlo@arbel.com</v>
      </c>
      <c r="V119" s="10" t="str">
        <f t="shared" ca="1" si="43"/>
        <v/>
      </c>
    </row>
    <row r="120" spans="1:22" x14ac:dyDescent="0.2">
      <c r="A120" t="s">
        <v>312</v>
      </c>
      <c r="B120" t="str">
        <f t="shared" si="32"/>
        <v>MLEÉL85</v>
      </c>
      <c r="C120" s="1" t="s">
        <v>165</v>
      </c>
      <c r="D120" s="1" t="s">
        <v>360</v>
      </c>
      <c r="E120" s="1" t="s">
        <v>349</v>
      </c>
      <c r="F120" s="21" t="str">
        <f t="shared" si="35"/>
        <v>F</v>
      </c>
      <c r="G120" s="12">
        <v>31283</v>
      </c>
      <c r="H120" s="9">
        <f t="shared" si="36"/>
        <v>1985</v>
      </c>
      <c r="I120" s="6">
        <f t="shared" ca="1" si="37"/>
        <v>32</v>
      </c>
      <c r="J120" s="6">
        <f t="shared" ca="1" si="38"/>
        <v>10</v>
      </c>
      <c r="K120" s="6">
        <f t="shared" ca="1" si="39"/>
        <v>23</v>
      </c>
      <c r="L120" s="6" t="str">
        <f t="shared" ca="1" si="40"/>
        <v>32 ans 10 mois et 23 jours</v>
      </c>
      <c r="M120" s="35">
        <v>29545.880000000005</v>
      </c>
      <c r="N120" s="33">
        <f t="shared" ca="1" si="28"/>
        <v>0</v>
      </c>
      <c r="O120" s="3">
        <v>103020548</v>
      </c>
      <c r="P120" s="15" t="str">
        <f t="shared" si="41"/>
        <v>CDP</v>
      </c>
      <c r="Q120" s="1" t="s">
        <v>8</v>
      </c>
      <c r="R120" s="11">
        <v>75001</v>
      </c>
      <c r="S120" s="10" t="str">
        <f t="shared" si="42"/>
        <v>75</v>
      </c>
      <c r="T120" t="str">
        <f t="shared" si="33"/>
        <v/>
      </c>
      <c r="U120" t="str">
        <f t="shared" si="34"/>
        <v>h.le hyaric@arbel.com</v>
      </c>
      <c r="V120" s="10" t="str">
        <f t="shared" ca="1" si="43"/>
        <v/>
      </c>
    </row>
    <row r="121" spans="1:22" x14ac:dyDescent="0.2">
      <c r="A121" t="s">
        <v>313</v>
      </c>
      <c r="B121" t="str">
        <f t="shared" si="32"/>
        <v>MLEON89</v>
      </c>
      <c r="C121" s="1" t="s">
        <v>166</v>
      </c>
      <c r="D121" s="1" t="s">
        <v>26</v>
      </c>
      <c r="E121" s="1" t="s">
        <v>349</v>
      </c>
      <c r="F121" s="21" t="str">
        <f t="shared" si="35"/>
        <v>F</v>
      </c>
      <c r="G121" s="12">
        <v>32827</v>
      </c>
      <c r="H121" s="9">
        <f t="shared" si="36"/>
        <v>1989</v>
      </c>
      <c r="I121" s="6">
        <f t="shared" ca="1" si="37"/>
        <v>28</v>
      </c>
      <c r="J121" s="6">
        <f t="shared" ca="1" si="38"/>
        <v>8</v>
      </c>
      <c r="K121" s="6">
        <f t="shared" ca="1" si="39"/>
        <v>2</v>
      </c>
      <c r="L121" s="6" t="str">
        <f t="shared" ca="1" si="40"/>
        <v>28 ans 8 mois et 2 jours</v>
      </c>
      <c r="M121" s="35">
        <v>18900.7</v>
      </c>
      <c r="N121" s="33" t="str">
        <f t="shared" ca="1" si="28"/>
        <v>BONUS</v>
      </c>
      <c r="O121" s="3">
        <v>103020546</v>
      </c>
      <c r="P121" s="15" t="str">
        <f t="shared" si="41"/>
        <v>CDP</v>
      </c>
      <c r="Q121" s="1" t="s">
        <v>8</v>
      </c>
      <c r="R121" s="11">
        <v>75003</v>
      </c>
      <c r="S121" s="10" t="str">
        <f t="shared" si="42"/>
        <v>75</v>
      </c>
      <c r="T121" t="str">
        <f t="shared" si="33"/>
        <v/>
      </c>
      <c r="U121" t="str">
        <f t="shared" si="34"/>
        <v>m.lee@arbel.com</v>
      </c>
      <c r="V121" s="10" t="str">
        <f t="shared" ca="1" si="43"/>
        <v/>
      </c>
    </row>
    <row r="122" spans="1:22" x14ac:dyDescent="0.2">
      <c r="A122" t="s">
        <v>314</v>
      </c>
      <c r="B122" t="str">
        <f t="shared" si="32"/>
        <v>MLEOL89</v>
      </c>
      <c r="C122" s="1" t="s">
        <v>167</v>
      </c>
      <c r="D122" s="1" t="s">
        <v>363</v>
      </c>
      <c r="E122" s="1" t="s">
        <v>349</v>
      </c>
      <c r="F122" s="21" t="str">
        <f t="shared" si="35"/>
        <v>F</v>
      </c>
      <c r="G122" s="12">
        <v>32750</v>
      </c>
      <c r="H122" s="9">
        <f t="shared" si="36"/>
        <v>1989</v>
      </c>
      <c r="I122" s="6">
        <f t="shared" ca="1" si="37"/>
        <v>28</v>
      </c>
      <c r="J122" s="6">
        <f t="shared" ca="1" si="38"/>
        <v>10</v>
      </c>
      <c r="K122" s="6">
        <f t="shared" ca="1" si="39"/>
        <v>17</v>
      </c>
      <c r="L122" s="6" t="str">
        <f t="shared" ca="1" si="40"/>
        <v>28 ans 10 mois et 17 jours</v>
      </c>
      <c r="M122" s="35">
        <v>25369.63</v>
      </c>
      <c r="N122" s="33">
        <f t="shared" ca="1" si="28"/>
        <v>0</v>
      </c>
      <c r="O122" s="3">
        <v>103020552</v>
      </c>
      <c r="P122" s="15" t="str">
        <f t="shared" si="41"/>
        <v>CDP</v>
      </c>
      <c r="Q122" s="1" t="s">
        <v>8</v>
      </c>
      <c r="R122" s="11">
        <v>75005</v>
      </c>
      <c r="S122" s="10" t="str">
        <f t="shared" si="42"/>
        <v>75</v>
      </c>
      <c r="T122" t="str">
        <f t="shared" si="33"/>
        <v/>
      </c>
      <c r="U122" t="str">
        <f t="shared" si="34"/>
        <v>l.lefort@arbel.com</v>
      </c>
      <c r="V122" s="10" t="str">
        <f t="shared" ca="1" si="43"/>
        <v/>
      </c>
    </row>
    <row r="123" spans="1:22" x14ac:dyDescent="0.2">
      <c r="A123" t="s">
        <v>315</v>
      </c>
      <c r="B123" t="str">
        <f t="shared" si="32"/>
        <v>MLEUG88</v>
      </c>
      <c r="C123" s="1" t="s">
        <v>168</v>
      </c>
      <c r="D123" s="1" t="s">
        <v>392</v>
      </c>
      <c r="E123" s="1" t="s">
        <v>361</v>
      </c>
      <c r="F123" s="21" t="str">
        <f t="shared" si="35"/>
        <v>H</v>
      </c>
      <c r="G123" s="12">
        <v>32379</v>
      </c>
      <c r="H123" s="9">
        <f t="shared" si="36"/>
        <v>1988</v>
      </c>
      <c r="I123" s="6">
        <f t="shared" ca="1" si="37"/>
        <v>29</v>
      </c>
      <c r="J123" s="6">
        <f t="shared" ca="1" si="38"/>
        <v>10</v>
      </c>
      <c r="K123" s="6">
        <f t="shared" ca="1" si="39"/>
        <v>23</v>
      </c>
      <c r="L123" s="6" t="str">
        <f t="shared" ca="1" si="40"/>
        <v>29 ans 10 mois et 23 jours</v>
      </c>
      <c r="M123" s="35">
        <v>37971.83</v>
      </c>
      <c r="N123" s="33">
        <f t="shared" ca="1" si="28"/>
        <v>0</v>
      </c>
      <c r="O123" s="3">
        <v>103020547</v>
      </c>
      <c r="P123" s="15" t="str">
        <f t="shared" si="41"/>
        <v>CDP</v>
      </c>
      <c r="Q123" s="1" t="s">
        <v>8</v>
      </c>
      <c r="R123" s="11">
        <v>75007</v>
      </c>
      <c r="S123" s="10" t="str">
        <f t="shared" si="42"/>
        <v>75</v>
      </c>
      <c r="T123" t="str">
        <f t="shared" si="33"/>
        <v/>
      </c>
      <c r="U123" t="str">
        <f t="shared" si="34"/>
        <v>a.legrand@arbel.com</v>
      </c>
      <c r="V123" s="10" t="str">
        <f t="shared" ca="1" si="43"/>
        <v/>
      </c>
    </row>
    <row r="124" spans="1:22" x14ac:dyDescent="0.2">
      <c r="A124" t="s">
        <v>316</v>
      </c>
      <c r="B124" t="str">
        <f t="shared" si="32"/>
        <v>MLEER54</v>
      </c>
      <c r="C124" s="1" t="s">
        <v>169</v>
      </c>
      <c r="D124" s="1" t="s">
        <v>170</v>
      </c>
      <c r="E124" s="1" t="s">
        <v>361</v>
      </c>
      <c r="F124" s="21" t="str">
        <f t="shared" si="35"/>
        <v>H</v>
      </c>
      <c r="G124" s="12">
        <v>19955</v>
      </c>
      <c r="H124" s="9">
        <f t="shared" si="36"/>
        <v>1954</v>
      </c>
      <c r="I124" s="6">
        <f t="shared" ca="1" si="37"/>
        <v>63</v>
      </c>
      <c r="J124" s="6">
        <f t="shared" ca="1" si="38"/>
        <v>10</v>
      </c>
      <c r="K124" s="6">
        <f t="shared" ca="1" si="39"/>
        <v>28</v>
      </c>
      <c r="L124" s="6" t="str">
        <f t="shared" ca="1" si="40"/>
        <v>63 ans 10 mois et 28 jours</v>
      </c>
      <c r="M124" s="35">
        <v>22530.17</v>
      </c>
      <c r="N124" s="33">
        <f t="shared" ca="1" si="28"/>
        <v>0</v>
      </c>
      <c r="O124" s="3">
        <v>103020554</v>
      </c>
      <c r="P124" s="15" t="str">
        <f t="shared" si="41"/>
        <v>CDP</v>
      </c>
      <c r="Q124" s="1" t="s">
        <v>8</v>
      </c>
      <c r="R124" s="11">
        <v>75009</v>
      </c>
      <c r="S124" s="10" t="str">
        <f t="shared" si="42"/>
        <v>75</v>
      </c>
      <c r="T124" t="str">
        <f t="shared" si="33"/>
        <v/>
      </c>
      <c r="U124" t="str">
        <f t="shared" si="34"/>
        <v>h.lemarié@arbel.com</v>
      </c>
      <c r="V124" s="10" t="str">
        <f t="shared" ca="1" si="43"/>
        <v/>
      </c>
    </row>
    <row r="125" spans="1:22" x14ac:dyDescent="0.2">
      <c r="A125" t="s">
        <v>317</v>
      </c>
      <c r="B125" t="str">
        <f t="shared" si="32"/>
        <v>MLOAB93</v>
      </c>
      <c r="C125" s="1" t="s">
        <v>171</v>
      </c>
      <c r="D125" s="1" t="s">
        <v>388</v>
      </c>
      <c r="E125" s="1" t="s">
        <v>361</v>
      </c>
      <c r="F125" s="21" t="str">
        <f t="shared" si="35"/>
        <v>H</v>
      </c>
      <c r="G125" s="12">
        <v>34097</v>
      </c>
      <c r="H125" s="9">
        <f t="shared" si="36"/>
        <v>1993</v>
      </c>
      <c r="I125" s="6">
        <f t="shared" ca="1" si="37"/>
        <v>25</v>
      </c>
      <c r="J125" s="6">
        <f t="shared" ca="1" si="38"/>
        <v>2</v>
      </c>
      <c r="K125" s="6">
        <f t="shared" ca="1" si="39"/>
        <v>9</v>
      </c>
      <c r="L125" s="6" t="str">
        <f t="shared" ca="1" si="40"/>
        <v>25 ans 2 mois et 9 jours</v>
      </c>
      <c r="M125" s="35">
        <v>22876.23</v>
      </c>
      <c r="N125" s="33">
        <f t="shared" ca="1" si="28"/>
        <v>0</v>
      </c>
      <c r="O125" s="3">
        <v>103020549</v>
      </c>
      <c r="P125" s="15" t="str">
        <f t="shared" si="41"/>
        <v>CDP</v>
      </c>
      <c r="Q125" s="1" t="s">
        <v>8</v>
      </c>
      <c r="R125" s="11">
        <v>75011</v>
      </c>
      <c r="S125" s="10" t="str">
        <f t="shared" si="42"/>
        <v>75</v>
      </c>
      <c r="T125" t="str">
        <f t="shared" si="33"/>
        <v/>
      </c>
      <c r="U125" t="str">
        <f t="shared" si="34"/>
        <v>g.lobjoy@arbel.com</v>
      </c>
      <c r="V125" s="10" t="str">
        <f t="shared" ca="1" si="43"/>
        <v/>
      </c>
    </row>
    <row r="126" spans="1:22" x14ac:dyDescent="0.2">
      <c r="A126" t="s">
        <v>318</v>
      </c>
      <c r="B126" t="str">
        <f t="shared" si="32"/>
        <v>MLYEA87</v>
      </c>
      <c r="C126" s="1" t="s">
        <v>172</v>
      </c>
      <c r="D126" s="1" t="s">
        <v>15</v>
      </c>
      <c r="E126" s="1" t="s">
        <v>361</v>
      </c>
      <c r="F126" s="21" t="str">
        <f t="shared" si="35"/>
        <v>H</v>
      </c>
      <c r="G126" s="12">
        <v>31955</v>
      </c>
      <c r="H126" s="9">
        <f t="shared" si="36"/>
        <v>1987</v>
      </c>
      <c r="I126" s="6">
        <f t="shared" ca="1" si="37"/>
        <v>31</v>
      </c>
      <c r="J126" s="6">
        <f t="shared" ca="1" si="38"/>
        <v>0</v>
      </c>
      <c r="K126" s="6">
        <f t="shared" ca="1" si="39"/>
        <v>20</v>
      </c>
      <c r="L126" s="6" t="str">
        <f t="shared" ca="1" si="40"/>
        <v>31 ans 0 mois et 20 jours</v>
      </c>
      <c r="M126" s="35">
        <v>30159.869999999995</v>
      </c>
      <c r="N126" s="33">
        <f t="shared" ca="1" si="28"/>
        <v>0</v>
      </c>
      <c r="O126" s="3">
        <v>103020556</v>
      </c>
      <c r="P126" s="15" t="str">
        <f t="shared" si="41"/>
        <v>CDP</v>
      </c>
      <c r="Q126" s="1" t="s">
        <v>8</v>
      </c>
      <c r="R126" s="11">
        <v>75013</v>
      </c>
      <c r="S126" s="10" t="str">
        <f t="shared" si="42"/>
        <v>75</v>
      </c>
      <c r="T126" t="str">
        <f t="shared" si="33"/>
        <v/>
      </c>
      <c r="U126" t="str">
        <f t="shared" si="34"/>
        <v>j.ly@arbel.com</v>
      </c>
      <c r="V126" s="10" t="str">
        <f t="shared" ca="1" si="43"/>
        <v/>
      </c>
    </row>
    <row r="127" spans="1:22" x14ac:dyDescent="0.2">
      <c r="A127" t="s">
        <v>319</v>
      </c>
      <c r="B127" t="str">
        <f t="shared" si="32"/>
        <v>MMAAU65</v>
      </c>
      <c r="C127" s="1" t="s">
        <v>173</v>
      </c>
      <c r="D127" s="1" t="s">
        <v>174</v>
      </c>
      <c r="E127" s="1" t="s">
        <v>361</v>
      </c>
      <c r="F127" s="21" t="str">
        <f t="shared" si="35"/>
        <v>H</v>
      </c>
      <c r="G127" s="12">
        <v>23808</v>
      </c>
      <c r="H127" s="9">
        <f t="shared" si="36"/>
        <v>1965</v>
      </c>
      <c r="I127" s="6">
        <f t="shared" ca="1" si="37"/>
        <v>53</v>
      </c>
      <c r="J127" s="6">
        <f t="shared" ca="1" si="38"/>
        <v>4</v>
      </c>
      <c r="K127" s="6">
        <f t="shared" ca="1" si="39"/>
        <v>10</v>
      </c>
      <c r="L127" s="6" t="str">
        <f t="shared" ca="1" si="40"/>
        <v>53 ans 4 mois et 10 jours</v>
      </c>
      <c r="M127" s="35">
        <v>13823.16</v>
      </c>
      <c r="N127" s="33">
        <f t="shared" ca="1" si="28"/>
        <v>0</v>
      </c>
      <c r="O127" s="3">
        <v>103020547</v>
      </c>
      <c r="P127" s="15" t="str">
        <f t="shared" si="41"/>
        <v>CDP</v>
      </c>
      <c r="Q127" s="1" t="s">
        <v>8</v>
      </c>
      <c r="R127" s="11">
        <v>75015</v>
      </c>
      <c r="S127" s="10" t="str">
        <f t="shared" si="42"/>
        <v>75</v>
      </c>
      <c r="T127" t="str">
        <f t="shared" si="33"/>
        <v/>
      </c>
      <c r="U127" t="str">
        <f t="shared" si="34"/>
        <v>l.martin@arbel.com</v>
      </c>
      <c r="V127" s="10" t="str">
        <f t="shared" ca="1" si="43"/>
        <v/>
      </c>
    </row>
    <row r="128" spans="1:22" x14ac:dyDescent="0.2">
      <c r="A128" t="s">
        <v>299</v>
      </c>
      <c r="B128" t="str">
        <f t="shared" si="32"/>
        <v>MMIRI93</v>
      </c>
      <c r="C128" s="1" t="s">
        <v>147</v>
      </c>
      <c r="D128" s="1" t="s">
        <v>377</v>
      </c>
      <c r="E128" s="1" t="s">
        <v>361</v>
      </c>
      <c r="F128" s="21" t="str">
        <f t="shared" si="35"/>
        <v>H</v>
      </c>
      <c r="G128" s="12">
        <v>34029</v>
      </c>
      <c r="H128" s="9">
        <f t="shared" si="36"/>
        <v>1993</v>
      </c>
      <c r="I128" s="6">
        <f t="shared" ca="1" si="37"/>
        <v>25</v>
      </c>
      <c r="J128" s="6">
        <f t="shared" ca="1" si="38"/>
        <v>4</v>
      </c>
      <c r="K128" s="6">
        <f t="shared" ca="1" si="39"/>
        <v>16</v>
      </c>
      <c r="L128" s="6" t="str">
        <f t="shared" ca="1" si="40"/>
        <v>25 ans 4 mois et 16 jours</v>
      </c>
      <c r="M128" s="35">
        <v>48540.049999999996</v>
      </c>
      <c r="N128" s="33">
        <f t="shared" ca="1" si="28"/>
        <v>0</v>
      </c>
      <c r="O128" s="3">
        <v>497656056</v>
      </c>
      <c r="P128" s="15" t="str">
        <f t="shared" si="41"/>
        <v>CDN</v>
      </c>
      <c r="Q128" s="1" t="s">
        <v>13</v>
      </c>
      <c r="R128" s="11">
        <v>75017</v>
      </c>
      <c r="S128" s="10" t="str">
        <f t="shared" si="42"/>
        <v>75</v>
      </c>
      <c r="T128" t="str">
        <f t="shared" si="33"/>
        <v/>
      </c>
      <c r="U128" t="str">
        <f t="shared" si="34"/>
        <v>e.mianet@arbel.com</v>
      </c>
      <c r="V128" s="10" t="str">
        <f t="shared" ca="1" si="43"/>
        <v/>
      </c>
    </row>
    <row r="129" spans="1:22" x14ac:dyDescent="0.2">
      <c r="A129" t="s">
        <v>320</v>
      </c>
      <c r="B129" t="str">
        <f t="shared" si="32"/>
        <v>MNIDE98</v>
      </c>
      <c r="C129" s="1" t="s">
        <v>175</v>
      </c>
      <c r="D129" s="1" t="s">
        <v>176</v>
      </c>
      <c r="E129" s="1" t="s">
        <v>349</v>
      </c>
      <c r="F129" s="21" t="str">
        <f t="shared" si="35"/>
        <v>F</v>
      </c>
      <c r="G129" s="12">
        <v>36003</v>
      </c>
      <c r="H129" s="9">
        <f t="shared" si="36"/>
        <v>1998</v>
      </c>
      <c r="I129" s="6">
        <f t="shared" ca="1" si="37"/>
        <v>19</v>
      </c>
      <c r="J129" s="6">
        <f t="shared" ca="1" si="38"/>
        <v>11</v>
      </c>
      <c r="K129" s="6">
        <f t="shared" ca="1" si="39"/>
        <v>20</v>
      </c>
      <c r="L129" s="6" t="str">
        <f t="shared" ca="1" si="40"/>
        <v>19 ans 11 mois et 20 jours</v>
      </c>
      <c r="M129" s="35">
        <v>24543.48</v>
      </c>
      <c r="N129" s="33">
        <f t="shared" ca="1" si="28"/>
        <v>0</v>
      </c>
      <c r="O129" s="3">
        <v>103020542</v>
      </c>
      <c r="P129" s="15" t="str">
        <f t="shared" si="41"/>
        <v>CDP</v>
      </c>
      <c r="Q129" s="1" t="s">
        <v>8</v>
      </c>
      <c r="R129" s="11">
        <v>75019</v>
      </c>
      <c r="S129" s="10" t="str">
        <f t="shared" si="42"/>
        <v>75</v>
      </c>
      <c r="T129" t="str">
        <f t="shared" si="33"/>
        <v/>
      </c>
      <c r="U129" t="str">
        <f t="shared" si="34"/>
        <v>a.nicolle@arbel.com</v>
      </c>
      <c r="V129" s="10" t="str">
        <f t="shared" ca="1" si="43"/>
        <v/>
      </c>
    </row>
    <row r="130" spans="1:22" x14ac:dyDescent="0.2">
      <c r="A130" t="s">
        <v>321</v>
      </c>
      <c r="B130" t="str">
        <f t="shared" si="32"/>
        <v>MPAUC87</v>
      </c>
      <c r="C130" s="1" t="s">
        <v>177</v>
      </c>
      <c r="D130" s="1" t="s">
        <v>182</v>
      </c>
      <c r="E130" s="1" t="s">
        <v>361</v>
      </c>
      <c r="F130" s="21" t="str">
        <f t="shared" si="35"/>
        <v>H</v>
      </c>
      <c r="G130" s="12">
        <v>31946</v>
      </c>
      <c r="H130" s="9">
        <f t="shared" si="36"/>
        <v>1987</v>
      </c>
      <c r="I130" s="6">
        <f t="shared" ca="1" si="37"/>
        <v>31</v>
      </c>
      <c r="J130" s="6">
        <f t="shared" ca="1" si="38"/>
        <v>0</v>
      </c>
      <c r="K130" s="6">
        <f t="shared" ca="1" si="39"/>
        <v>29</v>
      </c>
      <c r="L130" s="6" t="str">
        <f t="shared" ca="1" si="40"/>
        <v>31 ans 0 mois et 29 jours</v>
      </c>
      <c r="M130" s="35">
        <v>14187.809999999998</v>
      </c>
      <c r="N130" s="33">
        <f t="shared" ca="1" si="28"/>
        <v>0</v>
      </c>
      <c r="O130" s="3">
        <v>103020544</v>
      </c>
      <c r="P130" s="15" t="str">
        <f t="shared" si="41"/>
        <v>CDP</v>
      </c>
      <c r="Q130" s="1" t="s">
        <v>8</v>
      </c>
      <c r="R130" s="11">
        <v>75001</v>
      </c>
      <c r="S130" s="10" t="str">
        <f t="shared" si="42"/>
        <v>75</v>
      </c>
      <c r="T130" t="str">
        <f t="shared" si="33"/>
        <v/>
      </c>
      <c r="U130" t="str">
        <f t="shared" si="34"/>
        <v>l.parinet@arbel.com</v>
      </c>
      <c r="V130" s="10" t="str">
        <f t="shared" ca="1" si="43"/>
        <v/>
      </c>
    </row>
    <row r="131" spans="1:22" x14ac:dyDescent="0.2">
      <c r="A131" t="s">
        <v>322</v>
      </c>
      <c r="B131" t="str">
        <f t="shared" si="32"/>
        <v>MPEAU85</v>
      </c>
      <c r="C131" s="1" t="s">
        <v>178</v>
      </c>
      <c r="D131" s="1" t="s">
        <v>10</v>
      </c>
      <c r="E131" s="1" t="s">
        <v>361</v>
      </c>
      <c r="F131" s="21" t="str">
        <f t="shared" si="35"/>
        <v>H</v>
      </c>
      <c r="G131" s="12">
        <v>31203</v>
      </c>
      <c r="H131" s="9">
        <f t="shared" si="36"/>
        <v>1985</v>
      </c>
      <c r="I131" s="6">
        <f t="shared" ca="1" si="37"/>
        <v>33</v>
      </c>
      <c r="J131" s="6">
        <f t="shared" ca="1" si="38"/>
        <v>1</v>
      </c>
      <c r="K131" s="6">
        <f t="shared" ca="1" si="39"/>
        <v>12</v>
      </c>
      <c r="L131" s="6" t="str">
        <f t="shared" ca="1" si="40"/>
        <v>33 ans 1 mois et 12 jours</v>
      </c>
      <c r="M131" s="35">
        <v>16056.95</v>
      </c>
      <c r="N131" s="33">
        <f t="shared" ca="1" si="28"/>
        <v>0</v>
      </c>
      <c r="O131" s="3">
        <v>103020548</v>
      </c>
      <c r="P131" s="15" t="str">
        <f t="shared" si="41"/>
        <v>CDP</v>
      </c>
      <c r="Q131" s="1" t="s">
        <v>8</v>
      </c>
      <c r="R131" s="11">
        <v>75003</v>
      </c>
      <c r="S131" s="10" t="str">
        <f t="shared" si="42"/>
        <v>75</v>
      </c>
      <c r="T131" t="str">
        <f t="shared" si="33"/>
        <v/>
      </c>
      <c r="U131" t="str">
        <f t="shared" si="34"/>
        <v>p.perruchon@arbel.com</v>
      </c>
      <c r="V131" s="10" t="str">
        <f t="shared" ca="1" si="43"/>
        <v/>
      </c>
    </row>
    <row r="132" spans="1:22" x14ac:dyDescent="0.2">
      <c r="A132" t="s">
        <v>323</v>
      </c>
      <c r="B132" t="str">
        <f t="shared" si="32"/>
        <v>MPIMI90</v>
      </c>
      <c r="C132" s="1" t="s">
        <v>179</v>
      </c>
      <c r="D132" s="1" t="s">
        <v>54</v>
      </c>
      <c r="E132" s="1" t="s">
        <v>349</v>
      </c>
      <c r="F132" s="21" t="str">
        <f t="shared" si="35"/>
        <v>F</v>
      </c>
      <c r="G132" s="12">
        <v>33107</v>
      </c>
      <c r="H132" s="9">
        <f t="shared" si="36"/>
        <v>1990</v>
      </c>
      <c r="I132" s="6">
        <f t="shared" ca="1" si="37"/>
        <v>27</v>
      </c>
      <c r="J132" s="6">
        <f t="shared" ca="1" si="38"/>
        <v>10</v>
      </c>
      <c r="K132" s="6">
        <f t="shared" ca="1" si="39"/>
        <v>25</v>
      </c>
      <c r="L132" s="6" t="str">
        <f t="shared" ca="1" si="40"/>
        <v>27 ans 10 mois et 25 jours</v>
      </c>
      <c r="M132" s="35">
        <v>35969.700000000004</v>
      </c>
      <c r="N132" s="33">
        <f t="shared" ca="1" si="28"/>
        <v>0</v>
      </c>
      <c r="O132" s="3">
        <v>103020550</v>
      </c>
      <c r="P132" s="15" t="str">
        <f t="shared" si="41"/>
        <v>CDP</v>
      </c>
      <c r="Q132" s="1" t="s">
        <v>8</v>
      </c>
      <c r="R132" s="11">
        <v>75005</v>
      </c>
      <c r="S132" s="10" t="str">
        <f t="shared" si="42"/>
        <v>75</v>
      </c>
      <c r="T132" t="str">
        <f t="shared" si="33"/>
        <v/>
      </c>
      <c r="U132" t="str">
        <f t="shared" si="34"/>
        <v>e.piderit@arbel.com</v>
      </c>
      <c r="V132" s="10" t="str">
        <f t="shared" ca="1" si="43"/>
        <v/>
      </c>
    </row>
    <row r="133" spans="1:22" x14ac:dyDescent="0.2">
      <c r="A133" t="s">
        <v>324</v>
      </c>
      <c r="B133" t="str">
        <f t="shared" si="32"/>
        <v>MPOIE91</v>
      </c>
      <c r="C133" s="1" t="s">
        <v>180</v>
      </c>
      <c r="D133" s="1" t="s">
        <v>141</v>
      </c>
      <c r="E133" s="1" t="s">
        <v>361</v>
      </c>
      <c r="F133" s="21" t="str">
        <f t="shared" si="35"/>
        <v>H</v>
      </c>
      <c r="G133" s="12">
        <v>33554</v>
      </c>
      <c r="H133" s="9">
        <f t="shared" si="36"/>
        <v>1991</v>
      </c>
      <c r="I133" s="6">
        <f t="shared" ca="1" si="37"/>
        <v>26</v>
      </c>
      <c r="J133" s="6">
        <f t="shared" ca="1" si="38"/>
        <v>8</v>
      </c>
      <c r="K133" s="6">
        <f t="shared" ca="1" si="39"/>
        <v>5</v>
      </c>
      <c r="L133" s="6" t="str">
        <f t="shared" ca="1" si="40"/>
        <v>26 ans 8 mois et 5 jours</v>
      </c>
      <c r="M133" s="35">
        <v>27156.22</v>
      </c>
      <c r="N133" s="33">
        <f t="shared" ca="1" si="28"/>
        <v>0</v>
      </c>
      <c r="O133" s="3">
        <v>103020544</v>
      </c>
      <c r="P133" s="15" t="str">
        <f t="shared" si="41"/>
        <v>CDP</v>
      </c>
      <c r="Q133" s="1" t="s">
        <v>8</v>
      </c>
      <c r="R133" s="11">
        <v>75007</v>
      </c>
      <c r="S133" s="10" t="str">
        <f t="shared" si="42"/>
        <v>75</v>
      </c>
      <c r="T133" t="str">
        <f t="shared" si="33"/>
        <v/>
      </c>
      <c r="U133" t="str">
        <f t="shared" si="34"/>
        <v>p.poinsot@arbel.com</v>
      </c>
      <c r="V133" s="10" t="str">
        <f t="shared" ca="1" si="43"/>
        <v/>
      </c>
    </row>
    <row r="134" spans="1:22" x14ac:dyDescent="0.2">
      <c r="A134" t="s">
        <v>325</v>
      </c>
      <c r="B134" t="str">
        <f t="shared" si="32"/>
        <v>MQUAR86</v>
      </c>
      <c r="C134" s="1" t="s">
        <v>181</v>
      </c>
      <c r="D134" s="1" t="s">
        <v>56</v>
      </c>
      <c r="E134" s="1" t="s">
        <v>349</v>
      </c>
      <c r="F134" s="21" t="str">
        <f t="shared" si="35"/>
        <v>F</v>
      </c>
      <c r="G134" s="12">
        <v>31425</v>
      </c>
      <c r="H134" s="9">
        <f t="shared" si="36"/>
        <v>1986</v>
      </c>
      <c r="I134" s="6">
        <f t="shared" ca="1" si="37"/>
        <v>32</v>
      </c>
      <c r="J134" s="6">
        <f t="shared" ca="1" si="38"/>
        <v>6</v>
      </c>
      <c r="K134" s="6">
        <f t="shared" ca="1" si="39"/>
        <v>4</v>
      </c>
      <c r="L134" s="6" t="str">
        <f t="shared" ca="1" si="40"/>
        <v>32 ans 6 mois et 4 jours</v>
      </c>
      <c r="M134" s="35">
        <v>14429.09</v>
      </c>
      <c r="N134" s="33">
        <f t="shared" ca="1" si="28"/>
        <v>0</v>
      </c>
      <c r="O134" s="3">
        <v>103020543</v>
      </c>
      <c r="P134" s="15" t="str">
        <f t="shared" si="41"/>
        <v>CDP</v>
      </c>
      <c r="Q134" s="1" t="s">
        <v>8</v>
      </c>
      <c r="R134" s="11">
        <v>75009</v>
      </c>
      <c r="S134" s="10" t="str">
        <f t="shared" si="42"/>
        <v>75</v>
      </c>
      <c r="T134" t="str">
        <f t="shared" si="33"/>
        <v/>
      </c>
      <c r="U134" t="str">
        <f t="shared" si="34"/>
        <v>m.quintin@arbel.com</v>
      </c>
      <c r="V134" s="10" t="str">
        <f t="shared" ca="1" si="43"/>
        <v/>
      </c>
    </row>
    <row r="135" spans="1:22" x14ac:dyDescent="0.2">
      <c r="A135" t="s">
        <v>326</v>
      </c>
      <c r="B135" t="str">
        <f t="shared" si="32"/>
        <v>MRIAU87</v>
      </c>
      <c r="C135" s="1" t="s">
        <v>183</v>
      </c>
      <c r="D135" s="1" t="s">
        <v>10</v>
      </c>
      <c r="E135" s="1" t="s">
        <v>361</v>
      </c>
      <c r="F135" s="21" t="str">
        <f t="shared" si="35"/>
        <v>H</v>
      </c>
      <c r="G135" s="12">
        <v>31874</v>
      </c>
      <c r="H135" s="9">
        <f t="shared" si="36"/>
        <v>1987</v>
      </c>
      <c r="I135" s="6">
        <f t="shared" ca="1" si="37"/>
        <v>31</v>
      </c>
      <c r="J135" s="6">
        <f t="shared" ca="1" si="38"/>
        <v>3</v>
      </c>
      <c r="K135" s="6">
        <f t="shared" ca="1" si="39"/>
        <v>10</v>
      </c>
      <c r="L135" s="6" t="str">
        <f t="shared" ca="1" si="40"/>
        <v>31 ans 3 mois et 10 jours</v>
      </c>
      <c r="M135" s="35">
        <v>37214.839999999997</v>
      </c>
      <c r="N135" s="33">
        <f t="shared" ca="1" si="28"/>
        <v>0</v>
      </c>
      <c r="O135" s="3">
        <v>103020547</v>
      </c>
      <c r="P135" s="15" t="str">
        <f t="shared" si="41"/>
        <v>CDP</v>
      </c>
      <c r="Q135" s="1" t="s">
        <v>8</v>
      </c>
      <c r="R135" s="11">
        <v>75011</v>
      </c>
      <c r="S135" s="10" t="str">
        <f t="shared" si="42"/>
        <v>75</v>
      </c>
      <c r="T135" t="str">
        <f t="shared" si="33"/>
        <v/>
      </c>
      <c r="U135" t="str">
        <f t="shared" si="34"/>
        <v>p.rideau@arbel.com</v>
      </c>
      <c r="V135" s="10" t="str">
        <f t="shared" ca="1" si="43"/>
        <v/>
      </c>
    </row>
    <row r="136" spans="1:22" x14ac:dyDescent="0.2">
      <c r="A136" t="s">
        <v>207</v>
      </c>
      <c r="B136" t="str">
        <f t="shared" si="32"/>
        <v>MRIRA72</v>
      </c>
      <c r="C136" s="1" t="s">
        <v>20</v>
      </c>
      <c r="D136" s="1" t="s">
        <v>21</v>
      </c>
      <c r="E136" s="1" t="s">
        <v>361</v>
      </c>
      <c r="F136" s="21" t="str">
        <f t="shared" si="35"/>
        <v>H</v>
      </c>
      <c r="G136" s="12">
        <v>26587</v>
      </c>
      <c r="H136" s="9">
        <f t="shared" si="36"/>
        <v>1972</v>
      </c>
      <c r="I136" s="6">
        <f t="shared" ca="1" si="37"/>
        <v>45</v>
      </c>
      <c r="J136" s="6">
        <f t="shared" ca="1" si="38"/>
        <v>9</v>
      </c>
      <c r="K136" s="6">
        <f t="shared" ca="1" si="39"/>
        <v>2</v>
      </c>
      <c r="L136" s="6" t="str">
        <f t="shared" ca="1" si="40"/>
        <v>45 ans 9 mois et 2 jours</v>
      </c>
      <c r="M136" s="35">
        <v>46107.619999999995</v>
      </c>
      <c r="N136" s="33">
        <f t="shared" ca="1" si="28"/>
        <v>0</v>
      </c>
      <c r="O136" s="3">
        <v>401704136</v>
      </c>
      <c r="P136" s="15" t="str">
        <f t="shared" si="41"/>
        <v>CDN</v>
      </c>
      <c r="Q136" s="1" t="s">
        <v>13</v>
      </c>
      <c r="R136" s="11">
        <v>75013</v>
      </c>
      <c r="S136" s="10" t="str">
        <f t="shared" si="42"/>
        <v>75</v>
      </c>
      <c r="T136" t="str">
        <f t="shared" si="33"/>
        <v/>
      </c>
      <c r="U136" t="str">
        <f t="shared" si="34"/>
        <v>f.riesi@arbel.com</v>
      </c>
      <c r="V136" s="10" t="str">
        <f t="shared" ca="1" si="43"/>
        <v/>
      </c>
    </row>
    <row r="137" spans="1:22" x14ac:dyDescent="0.2">
      <c r="A137" t="s">
        <v>327</v>
      </c>
      <c r="B137" t="str">
        <f t="shared" si="32"/>
        <v>MROLI88</v>
      </c>
      <c r="C137" s="1" t="s">
        <v>184</v>
      </c>
      <c r="D137" s="1" t="s">
        <v>197</v>
      </c>
      <c r="E137" s="1" t="s">
        <v>349</v>
      </c>
      <c r="F137" s="21" t="str">
        <f t="shared" si="35"/>
        <v>F</v>
      </c>
      <c r="G137" s="12">
        <v>32454</v>
      </c>
      <c r="H137" s="9">
        <f t="shared" si="36"/>
        <v>1988</v>
      </c>
      <c r="I137" s="6">
        <f t="shared" ca="1" si="37"/>
        <v>29</v>
      </c>
      <c r="J137" s="6">
        <f t="shared" ca="1" si="38"/>
        <v>8</v>
      </c>
      <c r="K137" s="6">
        <f t="shared" ca="1" si="39"/>
        <v>10</v>
      </c>
      <c r="L137" s="6" t="str">
        <f t="shared" ca="1" si="40"/>
        <v>29 ans 8 mois et 10 jours</v>
      </c>
      <c r="M137" s="35">
        <v>30526.079999999998</v>
      </c>
      <c r="N137" s="33">
        <f t="shared" ca="1" si="28"/>
        <v>0</v>
      </c>
      <c r="O137" s="3">
        <v>103020542</v>
      </c>
      <c r="P137" s="15" t="str">
        <f t="shared" si="41"/>
        <v>CDP</v>
      </c>
      <c r="Q137" s="1" t="s">
        <v>8</v>
      </c>
      <c r="R137" s="11">
        <v>75015</v>
      </c>
      <c r="S137" s="10" t="str">
        <f t="shared" si="42"/>
        <v>75</v>
      </c>
      <c r="T137" t="str">
        <f t="shared" si="33"/>
        <v/>
      </c>
      <c r="U137" t="str">
        <f t="shared" si="34"/>
        <v>a.robert@arbel.com</v>
      </c>
      <c r="V137" s="10" t="str">
        <f t="shared" ca="1" si="43"/>
        <v/>
      </c>
    </row>
    <row r="138" spans="1:22" x14ac:dyDescent="0.2">
      <c r="A138" t="s">
        <v>328</v>
      </c>
      <c r="B138" t="str">
        <f t="shared" si="32"/>
        <v>MROHO87</v>
      </c>
      <c r="C138" s="1" t="s">
        <v>185</v>
      </c>
      <c r="D138" s="1" t="s">
        <v>375</v>
      </c>
      <c r="E138" s="1" t="s">
        <v>361</v>
      </c>
      <c r="F138" s="21" t="str">
        <f t="shared" si="35"/>
        <v>H</v>
      </c>
      <c r="G138" s="12">
        <v>31950</v>
      </c>
      <c r="H138" s="9">
        <f t="shared" si="36"/>
        <v>1987</v>
      </c>
      <c r="I138" s="6">
        <f t="shared" ca="1" si="37"/>
        <v>31</v>
      </c>
      <c r="J138" s="6">
        <f t="shared" ca="1" si="38"/>
        <v>0</v>
      </c>
      <c r="K138" s="6">
        <f t="shared" ca="1" si="39"/>
        <v>25</v>
      </c>
      <c r="L138" s="6" t="str">
        <f t="shared" ca="1" si="40"/>
        <v>31 ans 0 mois et 25 jours</v>
      </c>
      <c r="M138" s="35">
        <v>34807.24</v>
      </c>
      <c r="N138" s="33">
        <f t="shared" ca="1" si="28"/>
        <v>0</v>
      </c>
      <c r="O138" s="3">
        <v>103020543</v>
      </c>
      <c r="P138" s="15" t="str">
        <f t="shared" si="41"/>
        <v>CDP</v>
      </c>
      <c r="Q138" s="1" t="s">
        <v>8</v>
      </c>
      <c r="R138" s="11">
        <v>75017</v>
      </c>
      <c r="S138" s="10" t="str">
        <f t="shared" si="42"/>
        <v>75</v>
      </c>
      <c r="T138" t="str">
        <f t="shared" si="33"/>
        <v/>
      </c>
      <c r="U138" t="str">
        <f t="shared" si="34"/>
        <v>t.roguet@arbel.com</v>
      </c>
      <c r="V138" s="10" t="str">
        <f t="shared" ca="1" si="43"/>
        <v/>
      </c>
    </row>
    <row r="139" spans="1:22" x14ac:dyDescent="0.2">
      <c r="A139" t="s">
        <v>329</v>
      </c>
      <c r="B139" t="str">
        <f t="shared" si="32"/>
        <v>MROAT90</v>
      </c>
      <c r="C139" s="1" t="s">
        <v>186</v>
      </c>
      <c r="D139" s="1" t="s">
        <v>187</v>
      </c>
      <c r="E139" s="1" t="s">
        <v>349</v>
      </c>
      <c r="F139" s="21" t="str">
        <f t="shared" si="35"/>
        <v>F</v>
      </c>
      <c r="G139" s="12">
        <v>32912</v>
      </c>
      <c r="H139" s="9">
        <f t="shared" si="36"/>
        <v>1990</v>
      </c>
      <c r="I139" s="6">
        <f t="shared" ca="1" si="37"/>
        <v>28</v>
      </c>
      <c r="J139" s="6">
        <f t="shared" ca="1" si="38"/>
        <v>5</v>
      </c>
      <c r="K139" s="6">
        <f t="shared" ca="1" si="39"/>
        <v>9</v>
      </c>
      <c r="L139" s="6" t="str">
        <f t="shared" ca="1" si="40"/>
        <v>28 ans 5 mois et 9 jours</v>
      </c>
      <c r="M139" s="35">
        <v>31831.410000000003</v>
      </c>
      <c r="N139" s="33">
        <f t="shared" ca="1" si="28"/>
        <v>0</v>
      </c>
      <c r="O139" s="3">
        <v>103020551</v>
      </c>
      <c r="P139" s="15" t="str">
        <f t="shared" si="41"/>
        <v>CDP</v>
      </c>
      <c r="Q139" s="1" t="s">
        <v>8</v>
      </c>
      <c r="R139" s="11">
        <v>75019</v>
      </c>
      <c r="S139" s="10" t="str">
        <f t="shared" si="42"/>
        <v>75</v>
      </c>
      <c r="T139" t="str">
        <f t="shared" si="33"/>
        <v/>
      </c>
      <c r="U139" t="str">
        <f t="shared" si="34"/>
        <v>n.rolland@arbel.com</v>
      </c>
      <c r="V139" s="10" t="str">
        <f t="shared" ca="1" si="43"/>
        <v/>
      </c>
    </row>
    <row r="140" spans="1:22" x14ac:dyDescent="0.2">
      <c r="A140" t="s">
        <v>330</v>
      </c>
      <c r="B140" t="str">
        <f t="shared" si="32"/>
        <v>MROLI86</v>
      </c>
      <c r="C140" s="1" t="s">
        <v>189</v>
      </c>
      <c r="D140" s="1" t="s">
        <v>353</v>
      </c>
      <c r="E140" s="1" t="s">
        <v>349</v>
      </c>
      <c r="F140" s="21" t="str">
        <f t="shared" si="35"/>
        <v>F</v>
      </c>
      <c r="G140" s="12">
        <v>31660</v>
      </c>
      <c r="H140" s="9">
        <f t="shared" si="36"/>
        <v>1986</v>
      </c>
      <c r="I140" s="6">
        <f t="shared" ca="1" si="37"/>
        <v>31</v>
      </c>
      <c r="J140" s="6">
        <f t="shared" ca="1" si="38"/>
        <v>10</v>
      </c>
      <c r="K140" s="6">
        <f t="shared" ca="1" si="39"/>
        <v>12</v>
      </c>
      <c r="L140" s="6" t="str">
        <f t="shared" ca="1" si="40"/>
        <v>31 ans 10 mois et 12 jours</v>
      </c>
      <c r="M140" s="35">
        <v>17445.48</v>
      </c>
      <c r="N140" s="33">
        <f t="shared" ca="1" si="28"/>
        <v>0</v>
      </c>
      <c r="O140" s="3">
        <v>103020547</v>
      </c>
      <c r="P140" s="15" t="str">
        <f t="shared" si="41"/>
        <v>CDP</v>
      </c>
      <c r="Q140" s="1" t="s">
        <v>8</v>
      </c>
      <c r="R140" s="11">
        <v>75011</v>
      </c>
      <c r="S140" s="10" t="str">
        <f t="shared" si="42"/>
        <v>75</v>
      </c>
      <c r="T140" t="str">
        <f t="shared" si="33"/>
        <v/>
      </c>
      <c r="U140" t="str">
        <f t="shared" si="34"/>
        <v>e.roulet@arbel.com</v>
      </c>
      <c r="V140" s="10" t="str">
        <f t="shared" ca="1" si="43"/>
        <v/>
      </c>
    </row>
    <row r="141" spans="1:22" x14ac:dyDescent="0.2">
      <c r="A141" t="s">
        <v>331</v>
      </c>
      <c r="B141" t="str">
        <f t="shared" si="32"/>
        <v>MSAUL88</v>
      </c>
      <c r="C141" s="1" t="s">
        <v>190</v>
      </c>
      <c r="D141" s="1" t="s">
        <v>369</v>
      </c>
      <c r="E141" s="1" t="s">
        <v>349</v>
      </c>
      <c r="F141" s="21" t="str">
        <f t="shared" ref="F141:F150" si="44">UPPER(IF(E141="monsieur","h","f"))</f>
        <v>F</v>
      </c>
      <c r="G141" s="12">
        <v>32398</v>
      </c>
      <c r="H141" s="9">
        <f t="shared" ref="H141:H150" si="45">YEAR(G141)</f>
        <v>1988</v>
      </c>
      <c r="I141" s="6">
        <f t="shared" ref="I141:I150" ca="1" si="46">DATEDIF($G141,TODAY(),"y")</f>
        <v>29</v>
      </c>
      <c r="J141" s="6">
        <f t="shared" ref="J141:J150" ca="1" si="47">DATEDIF($G141,TODAY(),"yM")</f>
        <v>10</v>
      </c>
      <c r="K141" s="6">
        <f t="shared" ref="K141:K150" ca="1" si="48">DATEDIF($G141,TODAY(),"MD")</f>
        <v>5</v>
      </c>
      <c r="L141" s="6" t="str">
        <f t="shared" ref="L141:L150" ca="1" si="49">I141&amp;" ans "&amp;J141&amp;" mois et "&amp;K141&amp;" jours"</f>
        <v>29 ans 10 mois et 5 jours</v>
      </c>
      <c r="M141" s="35">
        <v>23099.57</v>
      </c>
      <c r="N141" s="33">
        <f t="shared" ref="N141:N150" ca="1" si="50">IF(AND(I141&gt;18,I141&lt;30,M141&lt;20000),"BONUS",0)</f>
        <v>0</v>
      </c>
      <c r="O141" s="3">
        <v>103020548</v>
      </c>
      <c r="P141" s="15" t="str">
        <f t="shared" ref="P141:P150" si="51">UPPER(IF(Q141="Paris","cdp",IF(Q141="Lille","dgl",IF(Q141="Nice","cdn","dfa"))))</f>
        <v>CDP</v>
      </c>
      <c r="Q141" s="1" t="s">
        <v>8</v>
      </c>
      <c r="R141" s="11">
        <v>75013</v>
      </c>
      <c r="S141" s="10" t="str">
        <f t="shared" ref="S141:S150" si="52">LEFT(TEXT(R141,"00000"),2)</f>
        <v>75</v>
      </c>
      <c r="T141" t="str">
        <f t="shared" si="33"/>
        <v/>
      </c>
      <c r="U141" t="str">
        <f t="shared" si="34"/>
        <v>j.saillant@arbel.com</v>
      </c>
      <c r="V141" s="10" t="str">
        <f t="shared" ref="V141:V150" ca="1" si="53">IF(AND(DAY(G141)=DAY($Y$10),MONTH(G141)=MONTH($Y$10)),"Anniversaire","")</f>
        <v/>
      </c>
    </row>
    <row r="142" spans="1:22" x14ac:dyDescent="0.2">
      <c r="A142" t="s">
        <v>332</v>
      </c>
      <c r="B142" t="str">
        <f t="shared" ref="B142:B150" si="54">LEFT(A142,1)&amp;LEFT(C142,2)&amp;UPPER(MID(D142,2,2))&amp;RIGHT(YEAR(G142),2)</f>
        <v>MSAAR88</v>
      </c>
      <c r="C142" s="1" t="s">
        <v>191</v>
      </c>
      <c r="D142" s="1" t="s">
        <v>393</v>
      </c>
      <c r="E142" s="1" t="s">
        <v>361</v>
      </c>
      <c r="F142" s="21" t="str">
        <f t="shared" si="44"/>
        <v>H</v>
      </c>
      <c r="G142" s="12">
        <v>32264</v>
      </c>
      <c r="H142" s="9">
        <f t="shared" si="45"/>
        <v>1988</v>
      </c>
      <c r="I142" s="6">
        <f t="shared" ca="1" si="46"/>
        <v>30</v>
      </c>
      <c r="J142" s="6">
        <f t="shared" ca="1" si="47"/>
        <v>2</v>
      </c>
      <c r="K142" s="6">
        <f t="shared" ca="1" si="48"/>
        <v>16</v>
      </c>
      <c r="L142" s="6" t="str">
        <f t="shared" ca="1" si="49"/>
        <v>30 ans 2 mois et 16 jours</v>
      </c>
      <c r="M142" s="35">
        <v>36825.360000000001</v>
      </c>
      <c r="N142" s="33">
        <f t="shared" ca="1" si="50"/>
        <v>0</v>
      </c>
      <c r="O142" s="3">
        <v>340616651</v>
      </c>
      <c r="P142" s="15" t="str">
        <f t="shared" si="51"/>
        <v>DGL</v>
      </c>
      <c r="Q142" s="1" t="s">
        <v>18</v>
      </c>
      <c r="R142" s="11">
        <v>75015</v>
      </c>
      <c r="S142" s="10" t="str">
        <f t="shared" si="52"/>
        <v>75</v>
      </c>
      <c r="T142" t="str">
        <f t="shared" ref="T142:T150" si="55">IF(LEN(O142)&lt;9,FALSE,"")</f>
        <v/>
      </c>
      <c r="U142" t="str">
        <f t="shared" ref="U142:U150" si="56">LOWER(LEFT(D142,1)&amp;"."&amp;C142&amp;"@arbel.com")</f>
        <v>m.sapience@arbel.com</v>
      </c>
      <c r="V142" s="10" t="str">
        <f t="shared" ca="1" si="53"/>
        <v/>
      </c>
    </row>
    <row r="143" spans="1:22" x14ac:dyDescent="0.2">
      <c r="A143" t="s">
        <v>333</v>
      </c>
      <c r="B143" t="str">
        <f t="shared" si="54"/>
        <v>MSCUR86</v>
      </c>
      <c r="C143" s="1" t="s">
        <v>192</v>
      </c>
      <c r="D143" s="1" t="s">
        <v>193</v>
      </c>
      <c r="E143" s="1" t="s">
        <v>349</v>
      </c>
      <c r="F143" s="21" t="str">
        <f t="shared" si="44"/>
        <v>F</v>
      </c>
      <c r="G143" s="12">
        <v>31496</v>
      </c>
      <c r="H143" s="9">
        <f t="shared" si="45"/>
        <v>1986</v>
      </c>
      <c r="I143" s="6">
        <f t="shared" ca="1" si="46"/>
        <v>32</v>
      </c>
      <c r="J143" s="6">
        <f t="shared" ca="1" si="47"/>
        <v>3</v>
      </c>
      <c r="K143" s="6">
        <f t="shared" ca="1" si="48"/>
        <v>22</v>
      </c>
      <c r="L143" s="6" t="str">
        <f t="shared" ca="1" si="49"/>
        <v>32 ans 3 mois et 22 jours</v>
      </c>
      <c r="M143" s="35">
        <v>26467.87</v>
      </c>
      <c r="N143" s="33">
        <f t="shared" ca="1" si="50"/>
        <v>0</v>
      </c>
      <c r="O143" s="3">
        <v>103020551</v>
      </c>
      <c r="P143" s="15" t="str">
        <f t="shared" si="51"/>
        <v>CDP</v>
      </c>
      <c r="Q143" s="1" t="s">
        <v>8</v>
      </c>
      <c r="R143" s="11">
        <v>75017</v>
      </c>
      <c r="S143" s="10" t="str">
        <f t="shared" si="52"/>
        <v>75</v>
      </c>
      <c r="T143" t="str">
        <f t="shared" si="55"/>
        <v/>
      </c>
      <c r="U143" t="str">
        <f t="shared" si="56"/>
        <v>a.scotti@arbel.com</v>
      </c>
      <c r="V143" s="10" t="str">
        <f t="shared" ca="1" si="53"/>
        <v/>
      </c>
    </row>
    <row r="144" spans="1:22" x14ac:dyDescent="0.2">
      <c r="A144" t="s">
        <v>334</v>
      </c>
      <c r="B144" t="str">
        <f t="shared" si="54"/>
        <v>MSOYR87</v>
      </c>
      <c r="C144" s="1" t="s">
        <v>195</v>
      </c>
      <c r="D144" s="1" t="s">
        <v>7</v>
      </c>
      <c r="E144" s="1" t="s">
        <v>349</v>
      </c>
      <c r="F144" s="21" t="str">
        <f t="shared" si="44"/>
        <v>F</v>
      </c>
      <c r="G144" s="12">
        <v>32031</v>
      </c>
      <c r="H144" s="9">
        <f t="shared" si="45"/>
        <v>1987</v>
      </c>
      <c r="I144" s="6">
        <f t="shared" ca="1" si="46"/>
        <v>30</v>
      </c>
      <c r="J144" s="6">
        <f t="shared" ca="1" si="47"/>
        <v>10</v>
      </c>
      <c r="K144" s="6">
        <f t="shared" ca="1" si="48"/>
        <v>6</v>
      </c>
      <c r="L144" s="6" t="str">
        <f t="shared" ca="1" si="49"/>
        <v>30 ans 10 mois et 6 jours</v>
      </c>
      <c r="M144" s="35">
        <v>38582.44</v>
      </c>
      <c r="N144" s="33">
        <f t="shared" ca="1" si="50"/>
        <v>0</v>
      </c>
      <c r="O144" s="3">
        <v>103020542</v>
      </c>
      <c r="P144" s="15" t="str">
        <f t="shared" si="51"/>
        <v>CDP</v>
      </c>
      <c r="Q144" s="1" t="s">
        <v>8</v>
      </c>
      <c r="R144" s="11">
        <v>75019</v>
      </c>
      <c r="S144" s="10" t="str">
        <f t="shared" si="52"/>
        <v>75</v>
      </c>
      <c r="T144" t="str">
        <f t="shared" si="55"/>
        <v/>
      </c>
      <c r="U144" t="str">
        <f t="shared" si="56"/>
        <v>m.sok@arbel.com</v>
      </c>
      <c r="V144" s="10" t="str">
        <f t="shared" ca="1" si="53"/>
        <v/>
      </c>
    </row>
    <row r="145" spans="1:22" x14ac:dyDescent="0.2">
      <c r="A145" t="s">
        <v>335</v>
      </c>
      <c r="B145" t="str">
        <f t="shared" si="54"/>
        <v>MSOLI81</v>
      </c>
      <c r="C145" s="1" t="s">
        <v>196</v>
      </c>
      <c r="D145" s="1" t="s">
        <v>197</v>
      </c>
      <c r="E145" s="1" t="s">
        <v>349</v>
      </c>
      <c r="F145" s="21" t="str">
        <f t="shared" si="44"/>
        <v>F</v>
      </c>
      <c r="G145" s="12">
        <v>29707</v>
      </c>
      <c r="H145" s="9">
        <f t="shared" si="45"/>
        <v>1981</v>
      </c>
      <c r="I145" s="6">
        <f t="shared" ca="1" si="46"/>
        <v>37</v>
      </c>
      <c r="J145" s="6">
        <f t="shared" ca="1" si="47"/>
        <v>2</v>
      </c>
      <c r="K145" s="6">
        <f t="shared" ca="1" si="48"/>
        <v>16</v>
      </c>
      <c r="L145" s="6" t="str">
        <f t="shared" ca="1" si="49"/>
        <v>37 ans 2 mois et 16 jours</v>
      </c>
      <c r="M145" s="35">
        <v>26766.609999999997</v>
      </c>
      <c r="N145" s="33">
        <f t="shared" ca="1" si="50"/>
        <v>0</v>
      </c>
      <c r="O145" s="3">
        <v>379349736</v>
      </c>
      <c r="P145" s="15" t="str">
        <f t="shared" si="51"/>
        <v>DGL</v>
      </c>
      <c r="Q145" s="1" t="s">
        <v>18</v>
      </c>
      <c r="R145" s="11">
        <v>75001</v>
      </c>
      <c r="S145" s="10" t="str">
        <f t="shared" si="52"/>
        <v>75</v>
      </c>
      <c r="T145" t="str">
        <f t="shared" si="55"/>
        <v/>
      </c>
      <c r="U145" t="str">
        <f t="shared" si="56"/>
        <v>a.song@arbel.com</v>
      </c>
      <c r="V145" s="10" t="str">
        <f t="shared" ca="1" si="53"/>
        <v/>
      </c>
    </row>
    <row r="146" spans="1:22" x14ac:dyDescent="0.2">
      <c r="A146" t="s">
        <v>205</v>
      </c>
      <c r="B146" t="str">
        <f t="shared" si="54"/>
        <v>MSTAM72</v>
      </c>
      <c r="C146" s="1" t="s">
        <v>16</v>
      </c>
      <c r="D146" s="1" t="s">
        <v>17</v>
      </c>
      <c r="E146" s="1" t="s">
        <v>361</v>
      </c>
      <c r="F146" s="21" t="str">
        <f t="shared" si="44"/>
        <v>H</v>
      </c>
      <c r="G146" s="12">
        <v>26647</v>
      </c>
      <c r="H146" s="9">
        <f t="shared" si="45"/>
        <v>1972</v>
      </c>
      <c r="I146" s="6">
        <f t="shared" ca="1" si="46"/>
        <v>45</v>
      </c>
      <c r="J146" s="6">
        <f t="shared" ca="1" si="47"/>
        <v>7</v>
      </c>
      <c r="K146" s="6">
        <f t="shared" ca="1" si="48"/>
        <v>3</v>
      </c>
      <c r="L146" s="6" t="str">
        <f t="shared" ca="1" si="49"/>
        <v>45 ans 7 mois et 3 jours</v>
      </c>
      <c r="M146" s="35">
        <v>42347.24</v>
      </c>
      <c r="N146" s="33">
        <f t="shared" ca="1" si="50"/>
        <v>0</v>
      </c>
      <c r="O146" s="3">
        <v>301883566</v>
      </c>
      <c r="P146" s="15" t="str">
        <f t="shared" si="51"/>
        <v>DGL</v>
      </c>
      <c r="Q146" s="1" t="s">
        <v>18</v>
      </c>
      <c r="R146" s="11">
        <v>75003</v>
      </c>
      <c r="S146" s="10" t="str">
        <f t="shared" si="52"/>
        <v>75</v>
      </c>
      <c r="T146" t="str">
        <f t="shared" si="55"/>
        <v/>
      </c>
      <c r="U146" t="str">
        <f t="shared" si="56"/>
        <v>j.stoeffler@arbel.com</v>
      </c>
      <c r="V146" s="10" t="str">
        <f t="shared" ca="1" si="53"/>
        <v/>
      </c>
    </row>
    <row r="147" spans="1:22" x14ac:dyDescent="0.2">
      <c r="A147" t="s">
        <v>336</v>
      </c>
      <c r="B147" t="str">
        <f t="shared" si="54"/>
        <v>MTAUL86</v>
      </c>
      <c r="C147" s="1" t="s">
        <v>198</v>
      </c>
      <c r="D147" s="1" t="s">
        <v>159</v>
      </c>
      <c r="E147" s="1" t="s">
        <v>349</v>
      </c>
      <c r="F147" s="21" t="str">
        <f t="shared" si="44"/>
        <v>F</v>
      </c>
      <c r="G147" s="12">
        <v>31499</v>
      </c>
      <c r="H147" s="9">
        <f t="shared" si="45"/>
        <v>1986</v>
      </c>
      <c r="I147" s="6">
        <f t="shared" ca="1" si="46"/>
        <v>32</v>
      </c>
      <c r="J147" s="6">
        <f t="shared" ca="1" si="47"/>
        <v>3</v>
      </c>
      <c r="K147" s="6">
        <f t="shared" ca="1" si="48"/>
        <v>19</v>
      </c>
      <c r="L147" s="6" t="str">
        <f t="shared" ca="1" si="49"/>
        <v>32 ans 3 mois et 19 jours</v>
      </c>
      <c r="M147" s="35">
        <v>20650.240000000002</v>
      </c>
      <c r="N147" s="33">
        <f t="shared" ca="1" si="50"/>
        <v>0</v>
      </c>
      <c r="O147" s="3">
        <v>103020555</v>
      </c>
      <c r="P147" s="15" t="str">
        <f t="shared" si="51"/>
        <v>CDP</v>
      </c>
      <c r="Q147" s="1" t="s">
        <v>8</v>
      </c>
      <c r="R147" s="11">
        <v>75005</v>
      </c>
      <c r="S147" s="10" t="str">
        <f t="shared" si="52"/>
        <v>75</v>
      </c>
      <c r="T147" t="str">
        <f t="shared" si="55"/>
        <v/>
      </c>
      <c r="U147" t="str">
        <f t="shared" si="56"/>
        <v>j.tamburrini@arbel.com</v>
      </c>
      <c r="V147" s="10" t="str">
        <f t="shared" ca="1" si="53"/>
        <v/>
      </c>
    </row>
    <row r="148" spans="1:22" x14ac:dyDescent="0.2">
      <c r="A148" t="s">
        <v>337</v>
      </c>
      <c r="B148" t="str">
        <f t="shared" si="54"/>
        <v>MTAAN93</v>
      </c>
      <c r="C148" s="1" t="s">
        <v>199</v>
      </c>
      <c r="D148" s="1" t="s">
        <v>200</v>
      </c>
      <c r="E148" s="1" t="s">
        <v>349</v>
      </c>
      <c r="F148" s="21" t="str">
        <f t="shared" si="44"/>
        <v>F</v>
      </c>
      <c r="G148" s="12">
        <v>34108</v>
      </c>
      <c r="H148" s="9">
        <f t="shared" si="45"/>
        <v>1993</v>
      </c>
      <c r="I148" s="6">
        <f t="shared" ca="1" si="46"/>
        <v>25</v>
      </c>
      <c r="J148" s="6">
        <f t="shared" ca="1" si="47"/>
        <v>1</v>
      </c>
      <c r="K148" s="6">
        <f t="shared" ca="1" si="48"/>
        <v>28</v>
      </c>
      <c r="L148" s="6" t="str">
        <f t="shared" ca="1" si="49"/>
        <v>25 ans 1 mois et 28 jours</v>
      </c>
      <c r="M148" s="35">
        <v>17928.559999999998</v>
      </c>
      <c r="N148" s="33" t="str">
        <f t="shared" ca="1" si="50"/>
        <v>BONUS</v>
      </c>
      <c r="O148" s="3">
        <v>103020556</v>
      </c>
      <c r="P148" s="15" t="str">
        <f t="shared" si="51"/>
        <v>CDP</v>
      </c>
      <c r="Q148" s="1" t="s">
        <v>8</v>
      </c>
      <c r="R148" s="11">
        <v>75007</v>
      </c>
      <c r="S148" s="10" t="str">
        <f t="shared" si="52"/>
        <v>75</v>
      </c>
      <c r="T148" t="str">
        <f t="shared" si="55"/>
        <v/>
      </c>
      <c r="U148" t="str">
        <f t="shared" si="56"/>
        <v>f.tan@arbel.com</v>
      </c>
      <c r="V148" s="10" t="str">
        <f t="shared" ca="1" si="53"/>
        <v/>
      </c>
    </row>
    <row r="149" spans="1:22" x14ac:dyDescent="0.2">
      <c r="A149" t="s">
        <v>338</v>
      </c>
      <c r="B149" t="str">
        <f t="shared" si="54"/>
        <v>MTAAT86</v>
      </c>
      <c r="C149" s="1" t="s">
        <v>199</v>
      </c>
      <c r="D149" s="1" t="s">
        <v>187</v>
      </c>
      <c r="E149" s="1" t="s">
        <v>349</v>
      </c>
      <c r="F149" s="21" t="str">
        <f t="shared" si="44"/>
        <v>F</v>
      </c>
      <c r="G149" s="12">
        <v>31488</v>
      </c>
      <c r="H149" s="9">
        <f t="shared" si="45"/>
        <v>1986</v>
      </c>
      <c r="I149" s="6">
        <f t="shared" ca="1" si="46"/>
        <v>32</v>
      </c>
      <c r="J149" s="6">
        <f t="shared" ca="1" si="47"/>
        <v>4</v>
      </c>
      <c r="K149" s="6">
        <f t="shared" ca="1" si="48"/>
        <v>0</v>
      </c>
      <c r="L149" s="6" t="str">
        <f t="shared" ca="1" si="49"/>
        <v>32 ans 4 mois et 0 jours</v>
      </c>
      <c r="M149" s="35">
        <v>23228.27</v>
      </c>
      <c r="N149" s="33">
        <f t="shared" ca="1" si="50"/>
        <v>0</v>
      </c>
      <c r="O149" s="3">
        <v>103020545</v>
      </c>
      <c r="P149" s="15" t="str">
        <f t="shared" si="51"/>
        <v>CDP</v>
      </c>
      <c r="Q149" s="1" t="s">
        <v>8</v>
      </c>
      <c r="R149" s="11">
        <v>75009</v>
      </c>
      <c r="S149" s="10" t="str">
        <f t="shared" si="52"/>
        <v>75</v>
      </c>
      <c r="T149" t="str">
        <f t="shared" si="55"/>
        <v/>
      </c>
      <c r="U149" t="str">
        <f t="shared" si="56"/>
        <v>n.tan@arbel.com</v>
      </c>
      <c r="V149" s="10" t="str">
        <f t="shared" ca="1" si="53"/>
        <v/>
      </c>
    </row>
    <row r="150" spans="1:22" x14ac:dyDescent="0.2">
      <c r="A150" t="s">
        <v>339</v>
      </c>
      <c r="B150" t="str">
        <f t="shared" si="54"/>
        <v>MZHAB95</v>
      </c>
      <c r="C150" s="1" t="s">
        <v>201</v>
      </c>
      <c r="D150" s="1" t="s">
        <v>389</v>
      </c>
      <c r="E150" s="1" t="s">
        <v>361</v>
      </c>
      <c r="F150" s="21" t="str">
        <f t="shared" si="44"/>
        <v>H</v>
      </c>
      <c r="G150" s="12">
        <v>34883</v>
      </c>
      <c r="H150" s="9">
        <f t="shared" si="45"/>
        <v>1995</v>
      </c>
      <c r="I150" s="6">
        <f t="shared" ca="1" si="46"/>
        <v>23</v>
      </c>
      <c r="J150" s="6">
        <f t="shared" ca="1" si="47"/>
        <v>0</v>
      </c>
      <c r="K150" s="6">
        <f t="shared" ca="1" si="48"/>
        <v>14</v>
      </c>
      <c r="L150" s="6" t="str">
        <f t="shared" ca="1" si="49"/>
        <v>23 ans 0 mois et 14 jours</v>
      </c>
      <c r="M150" s="35">
        <v>31100.68</v>
      </c>
      <c r="N150" s="33">
        <f t="shared" ca="1" si="50"/>
        <v>0</v>
      </c>
      <c r="O150" s="3">
        <v>103020542</v>
      </c>
      <c r="P150" s="15" t="str">
        <f t="shared" si="51"/>
        <v>CDP</v>
      </c>
      <c r="Q150" s="1" t="s">
        <v>8</v>
      </c>
      <c r="R150" s="11">
        <v>75011</v>
      </c>
      <c r="S150" s="10" t="str">
        <f t="shared" si="52"/>
        <v>75</v>
      </c>
      <c r="T150" t="str">
        <f t="shared" si="55"/>
        <v/>
      </c>
      <c r="U150" t="str">
        <f t="shared" si="56"/>
        <v>g.zhou@arbel.com</v>
      </c>
      <c r="V150" s="10" t="str">
        <f t="shared" ca="1" si="53"/>
        <v/>
      </c>
    </row>
  </sheetData>
  <autoFilter ref="A12:Q150" xr:uid="{00000000-0009-0000-0000-000000000000}">
    <sortState ref="A15:Q152">
      <sortCondition ref="C14:C152"/>
    </sortState>
  </autoFilter>
  <sortState ref="A15:S152">
    <sortCondition ref="A15:A152"/>
  </sortState>
  <mergeCells count="10">
    <mergeCell ref="C2:G2"/>
    <mergeCell ref="I2:J2"/>
    <mergeCell ref="I8:J8"/>
    <mergeCell ref="R9:T9"/>
    <mergeCell ref="V2:X2"/>
    <mergeCell ref="L5:M5"/>
    <mergeCell ref="O9:P9"/>
    <mergeCell ref="H7:J7"/>
    <mergeCell ref="H6:J6"/>
    <mergeCell ref="O6:P6"/>
  </mergeCells>
  <conditionalFormatting sqref="B13:V150">
    <cfRule type="expression" dxfId="1" priority="1">
      <formula>LEN($O13)&lt;9</formula>
    </cfRule>
    <cfRule type="expression" dxfId="0" priority="5">
      <formula>$V13="Anniversaire"</formula>
    </cfRule>
  </conditionalFormatting>
  <pageMargins left="0.7" right="0.7" top="0.75" bottom="0.75" header="0.3" footer="0.3"/>
  <pageSetup paperSize="9" orientation="landscape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C13" sqref="C13"/>
    </sheetView>
  </sheetViews>
  <sheetFormatPr baseColWidth="10" defaultRowHeight="14.25" x14ac:dyDescent="0.2"/>
  <cols>
    <col min="1" max="1" width="15.125" bestFit="1" customWidth="1"/>
  </cols>
  <sheetData>
    <row r="1" spans="1:2" s="55" customFormat="1" ht="12.75" x14ac:dyDescent="0.2">
      <c r="A1" s="55" t="s">
        <v>438</v>
      </c>
      <c r="B1" s="55" t="s">
        <v>452</v>
      </c>
    </row>
    <row r="2" spans="1:2" s="55" customFormat="1" ht="12.75" x14ac:dyDescent="0.2"/>
    <row r="3" spans="1:2" s="55" customFormat="1" ht="12.75" x14ac:dyDescent="0.2">
      <c r="A3" s="55" t="s">
        <v>450</v>
      </c>
      <c r="B3" s="56" t="s">
        <v>417</v>
      </c>
    </row>
    <row r="4" spans="1:2" s="55" customFormat="1" ht="12.75" x14ac:dyDescent="0.2"/>
    <row r="5" spans="1:2" s="55" customFormat="1" ht="12.75" x14ac:dyDescent="0.2">
      <c r="A5" s="55" t="s">
        <v>3</v>
      </c>
      <c r="B5" s="24" t="s">
        <v>414</v>
      </c>
    </row>
    <row r="6" spans="1:2" s="55" customFormat="1" ht="12.75" x14ac:dyDescent="0.2"/>
    <row r="7" spans="1:2" s="55" customFormat="1" ht="12.75" x14ac:dyDescent="0.2">
      <c r="A7" s="55" t="s">
        <v>345</v>
      </c>
      <c r="B7" s="57" t="s">
        <v>437</v>
      </c>
    </row>
    <row r="8" spans="1:2" s="55" customFormat="1" ht="12.75" x14ac:dyDescent="0.2"/>
    <row r="9" spans="1:2" s="55" customFormat="1" ht="12.75" x14ac:dyDescent="0.2">
      <c r="A9" s="55" t="s">
        <v>439</v>
      </c>
      <c r="B9" s="55" t="s">
        <v>433</v>
      </c>
    </row>
    <row r="10" spans="1:2" s="55" customFormat="1" ht="12.75" x14ac:dyDescent="0.2"/>
    <row r="11" spans="1:2" s="55" customFormat="1" ht="12.75" x14ac:dyDescent="0.2">
      <c r="A11" s="55" t="s">
        <v>429</v>
      </c>
      <c r="B11" s="4" t="s">
        <v>449</v>
      </c>
    </row>
    <row r="12" spans="1:2" s="55" customFormat="1" ht="12.75" x14ac:dyDescent="0.2"/>
    <row r="13" spans="1:2" s="55" customFormat="1" ht="12.75" x14ac:dyDescent="0.2">
      <c r="A13" s="55" t="s">
        <v>440</v>
      </c>
      <c r="B13" s="57" t="s">
        <v>442</v>
      </c>
    </row>
    <row r="14" spans="1:2" s="55" customFormat="1" ht="12.75" x14ac:dyDescent="0.2"/>
    <row r="15" spans="1:2" s="55" customFormat="1" ht="12.75" x14ac:dyDescent="0.2">
      <c r="A15" s="55" t="s">
        <v>451</v>
      </c>
      <c r="B15" s="58" t="s">
        <v>444</v>
      </c>
    </row>
    <row r="16" spans="1:2" s="55" customFormat="1" ht="12.75" x14ac:dyDescent="0.2"/>
  </sheetData>
  <pageMargins left="0.7" right="0.7" top="0.28000000000000003" bottom="0.14000000000000001" header="0.24" footer="0.3"/>
  <pageSetup paperSize="9" orientation="landscape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D21"/>
  <sheetViews>
    <sheetView showGridLines="0" workbookViewId="0">
      <selection activeCell="B11" sqref="B11"/>
    </sheetView>
  </sheetViews>
  <sheetFormatPr baseColWidth="10" defaultRowHeight="14.25" x14ac:dyDescent="0.2"/>
  <cols>
    <col min="1" max="1" width="29" customWidth="1"/>
    <col min="2" max="2" width="41.875" bestFit="1" customWidth="1"/>
  </cols>
  <sheetData>
    <row r="4" spans="1:4" ht="15" thickBot="1" x14ac:dyDescent="0.25"/>
    <row r="5" spans="1:4" s="37" customFormat="1" ht="13.9" customHeight="1" thickTop="1" x14ac:dyDescent="0.2">
      <c r="A5" s="52">
        <f ca="1">+TODAY()</f>
        <v>43298</v>
      </c>
      <c r="B5" s="63" t="str">
        <f ca="1">VLOOKUP($B$8,base,21,FALSE)</f>
        <v/>
      </c>
    </row>
    <row r="6" spans="1:4" s="37" customFormat="1" ht="13.9" customHeight="1" thickBot="1" x14ac:dyDescent="0.25">
      <c r="A6" s="53">
        <f ca="1">WEEKNUM(A5,2)</f>
        <v>29</v>
      </c>
      <c r="B6" s="64"/>
    </row>
    <row r="7" spans="1:4" ht="15.75" thickTop="1" thickBot="1" x14ac:dyDescent="0.25"/>
    <row r="8" spans="1:4" s="37" customFormat="1" ht="21" customHeight="1" thickTop="1" thickBot="1" x14ac:dyDescent="0.25">
      <c r="A8" s="39" t="s">
        <v>453</v>
      </c>
      <c r="B8" s="49" t="s">
        <v>447</v>
      </c>
      <c r="D8" s="54"/>
    </row>
    <row r="9" spans="1:4" ht="21" customHeight="1" thickTop="1" thickBot="1" x14ac:dyDescent="0.25"/>
    <row r="10" spans="1:4" s="37" customFormat="1" ht="21" customHeight="1" thickTop="1" thickBot="1" x14ac:dyDescent="0.25">
      <c r="A10" s="39" t="s">
        <v>438</v>
      </c>
      <c r="B10" s="45" t="str">
        <f>IFERROR(VLOOKUP($B$8,base,2,FALSE)&amp;" "&amp;VLOOKUP($B$8,base,3,FALSE),"")</f>
        <v>ABSCHEN Paul</v>
      </c>
    </row>
    <row r="11" spans="1:4" s="38" customFormat="1" ht="21" customHeight="1" thickTop="1" thickBot="1" x14ac:dyDescent="0.25">
      <c r="A11" s="41"/>
      <c r="B11" s="44"/>
    </row>
    <row r="12" spans="1:4" s="37" customFormat="1" ht="21" customHeight="1" thickTop="1" thickBot="1" x14ac:dyDescent="0.25">
      <c r="A12" s="40" t="s">
        <v>6</v>
      </c>
      <c r="B12" s="46" t="str">
        <f ca="1">VLOOKUP($B$8,base,11,FALSE)</f>
        <v>33 ans 2 mois et 26 jours</v>
      </c>
    </row>
    <row r="13" spans="1:4" s="38" customFormat="1" ht="21" customHeight="1" thickTop="1" thickBot="1" x14ac:dyDescent="0.25">
      <c r="A13" s="42"/>
      <c r="B13" s="43"/>
    </row>
    <row r="14" spans="1:4" s="37" customFormat="1" ht="21" customHeight="1" thickTop="1" thickBot="1" x14ac:dyDescent="0.25">
      <c r="A14" s="39" t="s">
        <v>3</v>
      </c>
      <c r="B14" s="45" t="str">
        <f>UPPER(VLOOKUP($B$8,base,15,FALSE)&amp;"-"&amp;VLOOKUP($B$8,base,16,FALSE))</f>
        <v>CDP-PARIS</v>
      </c>
    </row>
    <row r="15" spans="1:4" s="38" customFormat="1" ht="21" customHeight="1" thickTop="1" thickBot="1" x14ac:dyDescent="0.25">
      <c r="A15" s="41"/>
      <c r="B15" s="44"/>
    </row>
    <row r="16" spans="1:4" s="37" customFormat="1" ht="21" customHeight="1" thickTop="1" thickBot="1" x14ac:dyDescent="0.25">
      <c r="A16" s="39" t="s">
        <v>5</v>
      </c>
      <c r="B16" s="48">
        <f>VLOOKUP($B$8,base,12,FALSE)</f>
        <v>35703.980000000003</v>
      </c>
    </row>
    <row r="17" spans="1:2" s="38" customFormat="1" ht="21" customHeight="1" thickTop="1" thickBot="1" x14ac:dyDescent="0.25">
      <c r="A17" s="41"/>
      <c r="B17" s="44"/>
    </row>
    <row r="18" spans="1:2" s="37" customFormat="1" ht="21" customHeight="1" thickTop="1" thickBot="1" x14ac:dyDescent="0.25">
      <c r="A18" s="39" t="s">
        <v>439</v>
      </c>
      <c r="B18" s="47">
        <f>VLOOKUP($B$8,base,14,FALSE)</f>
        <v>401943376</v>
      </c>
    </row>
    <row r="19" spans="1:2" s="38" customFormat="1" ht="21" customHeight="1" thickTop="1" thickBot="1" x14ac:dyDescent="0.25">
      <c r="A19" s="41"/>
      <c r="B19" s="44"/>
    </row>
    <row r="20" spans="1:2" s="37" customFormat="1" ht="21" customHeight="1" thickTop="1" thickBot="1" x14ac:dyDescent="0.25">
      <c r="A20" s="39" t="s">
        <v>440</v>
      </c>
      <c r="B20" s="45" t="str">
        <f>VLOOKUP($B$8,base,20,FALSE)</f>
        <v>p.abschen@arbel.com</v>
      </c>
    </row>
    <row r="21" spans="1:2" ht="15" thickTop="1" x14ac:dyDescent="0.2"/>
  </sheetData>
  <mergeCells count="1">
    <mergeCell ref="B5:B6"/>
  </mergeCells>
  <dataValidations count="1">
    <dataValidation type="list" allowBlank="1" showInputMessage="1" showErrorMessage="1" sqref="B8" xr:uid="{00000000-0002-0000-0200-000000000000}">
      <formula1>MATRICULE_MODIFIE</formula1>
    </dataValidation>
  </dataValidation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23</vt:i4>
      </vt:variant>
    </vt:vector>
  </HeadingPairs>
  <TitlesOfParts>
    <vt:vector size="26" baseType="lpstr">
      <vt:lpstr>liste corrigée</vt:lpstr>
      <vt:lpstr>FORMULES</vt:lpstr>
      <vt:lpstr>Fiche salarié corrigée</vt:lpstr>
      <vt:lpstr>AGE</vt:lpstr>
      <vt:lpstr>AGE_ANNEE</vt:lpstr>
      <vt:lpstr>AGE_JOURS</vt:lpstr>
      <vt:lpstr>AGE_MOIS</vt:lpstr>
      <vt:lpstr>ANNEE_DE_NAISSANCE</vt:lpstr>
      <vt:lpstr>ANNIVERSAIRE</vt:lpstr>
      <vt:lpstr>base</vt:lpstr>
      <vt:lpstr>BONUS_SALAIRE</vt:lpstr>
      <vt:lpstr>CIVILITE</vt:lpstr>
      <vt:lpstr>CP</vt:lpstr>
      <vt:lpstr>DATE_DE_NAISSANCE</vt:lpstr>
      <vt:lpstr>DEPARTEMENT</vt:lpstr>
      <vt:lpstr>DIRECTION</vt:lpstr>
      <vt:lpstr>GENRE</vt:lpstr>
      <vt:lpstr>MAIL</vt:lpstr>
      <vt:lpstr>MATRICULE</vt:lpstr>
      <vt:lpstr>MATRICULE_MODIFIE</vt:lpstr>
      <vt:lpstr>NOM</vt:lpstr>
      <vt:lpstr>PRENOM</vt:lpstr>
      <vt:lpstr>SALAIRE</vt:lpstr>
      <vt:lpstr>SITE</vt:lpstr>
      <vt:lpstr>TEL</vt:lpstr>
      <vt:lpstr>TEST_TELEPHONE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Utilisateur</cp:lastModifiedBy>
  <cp:lastPrinted>2018-02-25T15:21:59Z</cp:lastPrinted>
  <dcterms:created xsi:type="dcterms:W3CDTF">2017-04-20T08:43:26Z</dcterms:created>
  <dcterms:modified xsi:type="dcterms:W3CDTF">2018-07-17T10:43:19Z</dcterms:modified>
</cp:coreProperties>
</file>