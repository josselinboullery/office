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XL3\RECHERCHEV\"/>
    </mc:Choice>
  </mc:AlternateContent>
  <bookViews>
    <workbookView xWindow="480" yWindow="75" windowWidth="17520" windowHeight="6990"/>
  </bookViews>
  <sheets>
    <sheet name="SEMAINE" sheetId="1" r:id="rId1"/>
    <sheet name="LIVRES" sheetId="2" r:id="rId2"/>
    <sheet name="ABONNES" sheetId="3" r:id="rId3"/>
  </sheets>
  <externalReferences>
    <externalReference r:id="rId4"/>
  </externalReferences>
  <definedNames>
    <definedName name="_xlnm._FilterDatabase" localSheetId="2" hidden="1">ABONNES!$D$1:$E$83</definedName>
    <definedName name="ABONNES">ABONNES!$A$2:$F$83</definedName>
    <definedName name="CNE">'[1]ID ETUDIANT (2)'!$A$1:$E$5</definedName>
    <definedName name="cursource" hidden="1">#N/A</definedName>
    <definedName name="DATA">[1]BDLIRE!$A$3:$C$8</definedName>
    <definedName name="int_ext_sel" hidden="1">1</definedName>
    <definedName name="LIVRES">LIVRES!$A$1:$E$133</definedName>
    <definedName name="NOTE">'[1]NOTES (2)'!$A$1:$H$5</definedName>
  </definedNames>
  <calcPr calcId="152511"/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2" i="2"/>
</calcChain>
</file>

<file path=xl/sharedStrings.xml><?xml version="1.0" encoding="utf-8"?>
<sst xmlns="http://schemas.openxmlformats.org/spreadsheetml/2006/main" count="695" uniqueCount="329">
  <si>
    <t>Récapitulatif des Prêts de la semaine</t>
  </si>
  <si>
    <t>RETOUR MENU</t>
  </si>
  <si>
    <t>Code Adhérent</t>
  </si>
  <si>
    <t>NOM</t>
  </si>
  <si>
    <t>Prénom</t>
  </si>
  <si>
    <t>Service</t>
  </si>
  <si>
    <t>code livre</t>
  </si>
  <si>
    <t>Titre</t>
  </si>
  <si>
    <t>Auteur</t>
  </si>
  <si>
    <t>Sal192</t>
  </si>
  <si>
    <t>Coo175</t>
  </si>
  <si>
    <t>Hig170</t>
  </si>
  <si>
    <t>Pea174</t>
  </si>
  <si>
    <t>Pea193</t>
  </si>
  <si>
    <t>Pea200</t>
  </si>
  <si>
    <t>Pea215</t>
  </si>
  <si>
    <t>Sai230</t>
  </si>
  <si>
    <t>Sim112</t>
  </si>
  <si>
    <t>Sim132</t>
  </si>
  <si>
    <t>Sim156</t>
  </si>
  <si>
    <t>Cos154</t>
  </si>
  <si>
    <t>Bre117</t>
  </si>
  <si>
    <t>Cul219</t>
  </si>
  <si>
    <t>Ste163</t>
  </si>
  <si>
    <t>Lud102</t>
  </si>
  <si>
    <t>Lud128</t>
  </si>
  <si>
    <t>Lud153</t>
  </si>
  <si>
    <t>Lud176</t>
  </si>
  <si>
    <t>Ham151</t>
  </si>
  <si>
    <t>Lac173</t>
  </si>
  <si>
    <t>Bal169</t>
  </si>
  <si>
    <t>Pea142</t>
  </si>
  <si>
    <t>Pea162</t>
  </si>
  <si>
    <t>Sim105</t>
  </si>
  <si>
    <t>Sim144</t>
  </si>
  <si>
    <t>Sim177</t>
  </si>
  <si>
    <r>
      <t xml:space="preserve">A partir du </t>
    </r>
    <r>
      <rPr>
        <b/>
        <sz val="10"/>
        <color indexed="10"/>
        <rFont val="Arial"/>
        <family val="2"/>
      </rPr>
      <t>code adhérent</t>
    </r>
    <r>
      <rPr>
        <sz val="10"/>
        <rFont val="Arial"/>
        <family val="2"/>
      </rPr>
      <t xml:space="preserve"> rechercher le </t>
    </r>
    <r>
      <rPr>
        <b/>
        <sz val="10"/>
        <rFont val="Arial"/>
        <family val="2"/>
      </rPr>
      <t>Nom Prénom Service</t>
    </r>
    <r>
      <rPr>
        <sz val="10"/>
        <rFont val="Arial"/>
        <family val="2"/>
      </rPr>
      <t xml:space="preserve"> à partir de la base BD service personnel</t>
    </r>
  </si>
  <si>
    <r>
      <t xml:space="preserve">A partir du </t>
    </r>
    <r>
      <rPr>
        <b/>
        <sz val="10"/>
        <color indexed="10"/>
        <rFont val="Arial"/>
        <family val="2"/>
      </rPr>
      <t>code livre</t>
    </r>
    <r>
      <rPr>
        <sz val="10"/>
        <rFont val="Arial"/>
        <family val="2"/>
      </rPr>
      <t xml:space="preserve"> rechercher le </t>
    </r>
    <r>
      <rPr>
        <b/>
        <sz val="10"/>
        <rFont val="Arial"/>
        <family val="2"/>
      </rPr>
      <t>titre et l'auteur</t>
    </r>
    <r>
      <rPr>
        <sz val="10"/>
        <rFont val="Arial"/>
        <family val="2"/>
      </rPr>
      <t xml:space="preserve"> se trouvant dans la base BD BIBLIOTHEQUE</t>
    </r>
  </si>
  <si>
    <t>référence du livre</t>
  </si>
  <si>
    <t>N°</t>
  </si>
  <si>
    <t>titre</t>
  </si>
  <si>
    <t>auteur</t>
  </si>
  <si>
    <t>Type</t>
  </si>
  <si>
    <t>A chacun ses dieux</t>
  </si>
  <si>
    <t>Simiak Clifford D</t>
  </si>
  <si>
    <t>Science fiction</t>
  </si>
  <si>
    <t>Abrégé de psychanalyse</t>
  </si>
  <si>
    <t>Berman</t>
  </si>
  <si>
    <t>Psychologie</t>
  </si>
  <si>
    <t>Agenda icare - l'</t>
  </si>
  <si>
    <t>Ludlum Robert</t>
  </si>
  <si>
    <t>Espionnage</t>
  </si>
  <si>
    <t>Ange combattant - l'</t>
  </si>
  <si>
    <t>Pearl Buck</t>
  </si>
  <si>
    <t>Roman</t>
  </si>
  <si>
    <t>Après la drogue</t>
  </si>
  <si>
    <t>Champagne Guy</t>
  </si>
  <si>
    <t>Actuels</t>
  </si>
  <si>
    <t>Au Carrefour des étoiles</t>
  </si>
  <si>
    <t>Avenir d'une illusion - l'</t>
  </si>
  <si>
    <t>Bonaparte Marie</t>
  </si>
  <si>
    <t>Bal de sceaux</t>
  </si>
  <si>
    <t>Balzac Honoré de</t>
  </si>
  <si>
    <t>Nouvelle</t>
  </si>
  <si>
    <t>Bonjour tendresse</t>
  </si>
  <si>
    <t>Salomé Jacques</t>
  </si>
  <si>
    <t>Sciences humaines</t>
  </si>
  <si>
    <t>Causes de la première mondiale - les</t>
  </si>
  <si>
    <t>Droz Jacques</t>
  </si>
  <si>
    <t>Histoire</t>
  </si>
  <si>
    <t>Ce que Freud a vraiment dit</t>
  </si>
  <si>
    <t>Stafford-Clark David</t>
  </si>
  <si>
    <t>Cercle bleu des matarèses - le</t>
  </si>
  <si>
    <t>Chaîne autour du soleil</t>
  </si>
  <si>
    <t>Cinq psychanalyses</t>
  </si>
  <si>
    <t>Clinique du docteur H - la</t>
  </si>
  <si>
    <t>Higgins Clark Mary</t>
  </si>
  <si>
    <t>Suspens</t>
  </si>
  <si>
    <t>Colonel Chabert - le</t>
  </si>
  <si>
    <t>Contes à guérir et à grandir</t>
  </si>
  <si>
    <t>Contes et légendes du pays breton</t>
  </si>
  <si>
    <t>Brekilien Yann</t>
  </si>
  <si>
    <t>Contes</t>
  </si>
  <si>
    <t>Couer fier - un</t>
  </si>
  <si>
    <t>Cri dans la nuit - un</t>
  </si>
  <si>
    <t>Curé de Tours - le</t>
  </si>
  <si>
    <t>Dans le torrent des siècles</t>
  </si>
  <si>
    <t>Danse de l'ours - la</t>
  </si>
  <si>
    <t>Crumley James</t>
  </si>
  <si>
    <t>Demain les chiens</t>
  </si>
  <si>
    <t>Démon du passé - le</t>
  </si>
  <si>
    <t>Dernier chouan - le</t>
  </si>
  <si>
    <t>Dossiers noirs de la police française</t>
  </si>
  <si>
    <t>Langlois Denis</t>
  </si>
  <si>
    <t>Double famille - la</t>
  </si>
  <si>
    <t>Echange Rhinemann - l'</t>
  </si>
  <si>
    <t>Episode sur la terreur - un</t>
  </si>
  <si>
    <t>Epouse en colère - l'</t>
  </si>
  <si>
    <t>Es-tu le maître de l'ombre</t>
  </si>
  <si>
    <t>Escarmouche</t>
  </si>
  <si>
    <t>Etede de femme</t>
  </si>
  <si>
    <t>Eterna</t>
  </si>
  <si>
    <t>Eugénie Grandet</t>
  </si>
  <si>
    <t>Exilée - l'</t>
  </si>
  <si>
    <t>Facino Cane</t>
  </si>
  <si>
    <t>Famille dispersée - la</t>
  </si>
  <si>
    <t>Ferragus</t>
  </si>
  <si>
    <t>Fièvre</t>
  </si>
  <si>
    <t>Cook Robin</t>
  </si>
  <si>
    <t>Fils de Wang Lung - les</t>
  </si>
  <si>
    <t>Fleur cachée - la</t>
  </si>
  <si>
    <t>Fleurs du mal - les</t>
  </si>
  <si>
    <t>Beaudelaire</t>
  </si>
  <si>
    <t>Fleurs pourpres - les</t>
  </si>
  <si>
    <t>Gloire et malheur</t>
  </si>
  <si>
    <t>Gobseck</t>
  </si>
  <si>
    <t>Grande Bretèche - la</t>
  </si>
  <si>
    <t>Héritage Scarlatti - l'</t>
  </si>
  <si>
    <t>Héritiers des étoiles</t>
  </si>
  <si>
    <t>Heureux qui communique</t>
  </si>
  <si>
    <t>Histoire de la pensée européenne</t>
  </si>
  <si>
    <t>Hampson Norman</t>
  </si>
  <si>
    <t>Histoire du japon et des japonais</t>
  </si>
  <si>
    <t>Edwin O. Reischauer</t>
  </si>
  <si>
    <t>Illusion scorpio - l'</t>
  </si>
  <si>
    <t>Industriels de la fraude fiscale</t>
  </si>
  <si>
    <t>Cosson Jean</t>
  </si>
  <si>
    <t>Inflation mondiale et les frmes internatinales</t>
  </si>
  <si>
    <t>Levinson Charles</t>
  </si>
  <si>
    <t>Economie</t>
  </si>
  <si>
    <t>Ingénieurs du cosmos - les</t>
  </si>
  <si>
    <t>Interprétation des rèves</t>
  </si>
  <si>
    <t>Meyerson</t>
  </si>
  <si>
    <t>Invitation pour matlock - une</t>
  </si>
  <si>
    <t>Ipératrice de chine</t>
  </si>
  <si>
    <t>J'étais un drogué</t>
  </si>
  <si>
    <t>Je m'appelle toi</t>
  </si>
  <si>
    <t>Je n'oublierai jamais</t>
  </si>
  <si>
    <t>Keynes</t>
  </si>
  <si>
    <t>Stewart Michael</t>
  </si>
  <si>
    <t>L'enfant Bouddha</t>
  </si>
  <si>
    <t>Lettres de prison</t>
  </si>
  <si>
    <t>Russier Gabrielle</t>
  </si>
  <si>
    <t>Louis Lambert</t>
  </si>
  <si>
    <t>Ma vie et la psychanalyse</t>
  </si>
  <si>
    <t>Madame Firmiani</t>
  </si>
  <si>
    <t>David</t>
  </si>
  <si>
    <t>Maison du chat qui pelote</t>
  </si>
  <si>
    <t>maison du guet -la</t>
  </si>
  <si>
    <t>Maître cornelius</t>
  </si>
  <si>
    <t>Malaise dans la civilisation</t>
  </si>
  <si>
    <t>Odier Ch</t>
  </si>
  <si>
    <t>Malraux, une vie dans le siècle</t>
  </si>
  <si>
    <t>Lacouture Jean</t>
  </si>
  <si>
    <t>Mandala</t>
  </si>
  <si>
    <t>Manipulations</t>
  </si>
  <si>
    <t>Manuscrit chancellor -le</t>
  </si>
  <si>
    <t>Mastodonia</t>
  </si>
  <si>
    <t>Mémoire dans la peau - la</t>
  </si>
  <si>
    <t>Philippe</t>
  </si>
  <si>
    <t>Mémoire de Guerre - l'appel (1940-1942)</t>
  </si>
  <si>
    <t>Général de Gaulle</t>
  </si>
  <si>
    <t>Mémoire de Guerre - le l'Unité (1942-1944)</t>
  </si>
  <si>
    <t>Mémoire de Guerre - le Salut (1944-1946)</t>
  </si>
  <si>
    <t>Mère - la</t>
  </si>
  <si>
    <t>Moïse et le monothéisme</t>
  </si>
  <si>
    <t>Berman Anne</t>
  </si>
  <si>
    <t>Mort dans la peau - la</t>
  </si>
  <si>
    <t>Mosaïque de parsifal - la</t>
  </si>
  <si>
    <t>Mouvement paysan chinois - le</t>
  </si>
  <si>
    <t>Chesneaux Jean</t>
  </si>
  <si>
    <t>Nuit du renard - la</t>
  </si>
  <si>
    <t>Or jaune et l'or noir - l'</t>
  </si>
  <si>
    <t>Carrière Jean</t>
  </si>
  <si>
    <t>Pacte Holcroft - le</t>
  </si>
  <si>
    <t>Papa, Maman écoutez moi vraiment</t>
  </si>
  <si>
    <t>Parle moi j'ai des choses à dire</t>
  </si>
  <si>
    <t>Paroles d'amour</t>
  </si>
  <si>
    <t>Patriote - le</t>
  </si>
  <si>
    <t>Pavillon de femmes</t>
  </si>
  <si>
    <t>Peau de chagrin</t>
  </si>
  <si>
    <t>Pêcheurs - les</t>
  </si>
  <si>
    <t>Père Goriot - le</t>
  </si>
  <si>
    <t>Petit Prince</t>
  </si>
  <si>
    <t>Saint Exupery</t>
  </si>
  <si>
    <t>Physiologie du mariage</t>
  </si>
  <si>
    <t>Pivoine</t>
  </si>
  <si>
    <t>Population mondiale</t>
  </si>
  <si>
    <t>Poursin Jean Marie</t>
  </si>
  <si>
    <t>Progression acquitaine - la</t>
  </si>
  <si>
    <t>Reine Margot  la</t>
  </si>
  <si>
    <t>Dumas Alexandre</t>
  </si>
  <si>
    <t>Révolution industrielle - la</t>
  </si>
  <si>
    <t>Rioux Jean Pierre</t>
  </si>
  <si>
    <t>Révolution industrielle du Moyen Age - La</t>
  </si>
  <si>
    <t>Gimpel Jean</t>
  </si>
  <si>
    <t>Roi fantôme - le</t>
  </si>
  <si>
    <t>Séraphita</t>
  </si>
  <si>
    <t>Si je m'écoutais je m'entendrais</t>
  </si>
  <si>
    <t>Siècle de lumière - le</t>
  </si>
  <si>
    <t>Société et civilisation russes au XIXème siècle</t>
  </si>
  <si>
    <t>Grunwald Constantin de</t>
  </si>
  <si>
    <t>Sur la route d'Omaha</t>
  </si>
  <si>
    <t>Sur la route de Gandolfo</t>
  </si>
  <si>
    <t>T'es toi quand tu parles</t>
  </si>
  <si>
    <t>Terre chinoise - la</t>
  </si>
  <si>
    <t>Terre créenne</t>
  </si>
  <si>
    <t>Totem et tabou</t>
  </si>
  <si>
    <t>Jankélévitch</t>
  </si>
  <si>
    <t>Tous les pièges de la terre</t>
  </si>
  <si>
    <t>Tragédie de Cronstadt</t>
  </si>
  <si>
    <t>Avrich Paul</t>
  </si>
  <si>
    <t>Travailleurs face au capitalisme - les</t>
  </si>
  <si>
    <t>Culture</t>
  </si>
  <si>
    <t>Trois filles de Madame Liang - les</t>
  </si>
  <si>
    <t>Trois mousquetaires - les</t>
  </si>
  <si>
    <t>Troubadours - les</t>
  </si>
  <si>
    <t>Marrou Henri-Irénée</t>
  </si>
  <si>
    <t>Veilleurs de l'apocalypse - les</t>
  </si>
  <si>
    <t>Vendetta - la</t>
  </si>
  <si>
    <t>Vengeance dans la peau - la</t>
  </si>
  <si>
    <t>Verdugo</t>
  </si>
  <si>
    <t>Vertiges</t>
  </si>
  <si>
    <t>Visiteurs - les</t>
  </si>
  <si>
    <t>Vocabulaire économique et financier</t>
  </si>
  <si>
    <t>Bernard &amp; Colli</t>
  </si>
  <si>
    <t>Vol de nuit</t>
  </si>
  <si>
    <t>Saint Exupéry</t>
  </si>
  <si>
    <t>Week-end Osterman - le</t>
  </si>
  <si>
    <t>Code</t>
  </si>
  <si>
    <t>Nom</t>
  </si>
  <si>
    <t>Services</t>
  </si>
  <si>
    <t>Salaire</t>
  </si>
  <si>
    <t>Date d'entrée</t>
  </si>
  <si>
    <t>Ancienneté*</t>
  </si>
  <si>
    <t>Prime ancienneté**</t>
  </si>
  <si>
    <t>Auriol</t>
  </si>
  <si>
    <t>Fabrice</t>
  </si>
  <si>
    <t>Commercial</t>
  </si>
  <si>
    <t>Barrot</t>
  </si>
  <si>
    <t>Camille</t>
  </si>
  <si>
    <t>Service comptabilité</t>
  </si>
  <si>
    <t>Robert</t>
  </si>
  <si>
    <t>Capain</t>
  </si>
  <si>
    <t>Geoffroy</t>
  </si>
  <si>
    <t>ressources humaines</t>
  </si>
  <si>
    <t>Larry</t>
  </si>
  <si>
    <t>Capin</t>
  </si>
  <si>
    <t>Norbert</t>
  </si>
  <si>
    <t>Thomas</t>
  </si>
  <si>
    <t>Champin</t>
  </si>
  <si>
    <t>Robin</t>
  </si>
  <si>
    <t>Chaperon</t>
  </si>
  <si>
    <t>Alain</t>
  </si>
  <si>
    <t>Coulon</t>
  </si>
  <si>
    <t>Pascale</t>
  </si>
  <si>
    <t>Denis</t>
  </si>
  <si>
    <t>Valéry</t>
  </si>
  <si>
    <t>Dormoy</t>
  </si>
  <si>
    <t>Yves</t>
  </si>
  <si>
    <t>Dumas</t>
  </si>
  <si>
    <t>Antoine</t>
  </si>
  <si>
    <t>Dupond</t>
  </si>
  <si>
    <t>André</t>
  </si>
  <si>
    <t>Pierre</t>
  </si>
  <si>
    <t>Dupré</t>
  </si>
  <si>
    <t>Jacques</t>
  </si>
  <si>
    <t>Fahd</t>
  </si>
  <si>
    <t>Ahmed</t>
  </si>
  <si>
    <t>Faivre</t>
  </si>
  <si>
    <t>Roland</t>
  </si>
  <si>
    <t>Denise</t>
  </si>
  <si>
    <t>Hautins</t>
  </si>
  <si>
    <t>Marc</t>
  </si>
  <si>
    <t>Hortens</t>
  </si>
  <si>
    <t>Ivoire</t>
  </si>
  <si>
    <t>Jantunen</t>
  </si>
  <si>
    <t>Janne</t>
  </si>
  <si>
    <t>Joubert</t>
  </si>
  <si>
    <t>Paul</t>
  </si>
  <si>
    <t>Jugnot</t>
  </si>
  <si>
    <t>Julot</t>
  </si>
  <si>
    <t>Bernard</t>
  </si>
  <si>
    <t>Leclerc</t>
  </si>
  <si>
    <t>Laurence</t>
  </si>
  <si>
    <t>Lejeune</t>
  </si>
  <si>
    <t>Louis</t>
  </si>
  <si>
    <t>Leroche</t>
  </si>
  <si>
    <t>Stéphane</t>
  </si>
  <si>
    <t>Levasseur</t>
  </si>
  <si>
    <t>Christian</t>
  </si>
  <si>
    <t>Marks</t>
  </si>
  <si>
    <t>Alfred</t>
  </si>
  <si>
    <t>Jack</t>
  </si>
  <si>
    <t>Marks, Jr</t>
  </si>
  <si>
    <t>Masson</t>
  </si>
  <si>
    <t>Eric</t>
  </si>
  <si>
    <t>Menier</t>
  </si>
  <si>
    <t>Stéphanie</t>
  </si>
  <si>
    <t>Meunier</t>
  </si>
  <si>
    <t>Jonathan</t>
  </si>
  <si>
    <t>Nicolas</t>
  </si>
  <si>
    <t>Molar</t>
  </si>
  <si>
    <t>Vincent</t>
  </si>
  <si>
    <t>Monroe</t>
  </si>
  <si>
    <t>Olivier</t>
  </si>
  <si>
    <t>Orsini</t>
  </si>
  <si>
    <t>Luigi</t>
  </si>
  <si>
    <t>O'sullivan</t>
  </si>
  <si>
    <t>Pelle</t>
  </si>
  <si>
    <t>Daniel</t>
  </si>
  <si>
    <t>Pivot</t>
  </si>
  <si>
    <t>Poiret</t>
  </si>
  <si>
    <t>Raoul</t>
  </si>
  <si>
    <t>Rosenwald</t>
  </si>
  <si>
    <t>Sabian</t>
  </si>
  <si>
    <t>Sablon</t>
  </si>
  <si>
    <t>Alexis</t>
  </si>
  <si>
    <t>Samson</t>
  </si>
  <si>
    <t>Samuelson</t>
  </si>
  <si>
    <t>Georges</t>
  </si>
  <si>
    <t>Simon</t>
  </si>
  <si>
    <t>Swann</t>
  </si>
  <si>
    <t>Frédéric</t>
  </si>
  <si>
    <t>Tanvier</t>
  </si>
  <si>
    <t>Sabine</t>
  </si>
  <si>
    <t>Trèves</t>
  </si>
  <si>
    <t>Wilson</t>
  </si>
  <si>
    <t>si l'ancienneté est &gt;= 30 alors salaire X 30% ; si ancienneté &gt;=20 alors salaire X 20% si ancienneté &gt;= 10 alors salaire X 10% sinon 5% du salaire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</si>
</sst>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0#"/>
    <numFmt numFmtId="165" formatCode="_-* #,##0\ _F_-;\-* #,##0\ _F_-;_-* &quot;-&quot;??\ _F_-;_-@_-"/>
    <numFmt numFmtId="166" formatCode="&quot;   &quot;@"/>
    <numFmt numFmtId="167" formatCode="_-* #,##0.00\ [$€]_-;\-* #,##0.00\ [$€]_-;_-* &quot;-&quot;??\ [$€]_-;_-@_-"/>
    <numFmt numFmtId="168" formatCode="_ * #,##0.00_)\ &quot;$&quot;_ ;_ * \(#,##0.00\)\ &quot;$&quot;_ ;_ * &quot;-&quot;??_)\ &quot;$&quot;_ ;_ @_ "/>
    <numFmt numFmtId="169" formatCode="0.0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i/>
      <sz val="14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1">
    <xf numFmtId="0" fontId="0" fillId="0" borderId="0"/>
    <xf numFmtId="0" fontId="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1" fillId="0" borderId="0"/>
    <xf numFmtId="0" fontId="12" fillId="12" borderId="2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2" borderId="0" applyNumberFormat="0" applyBorder="0" applyAlignment="0" applyProtection="0"/>
    <xf numFmtId="0" fontId="4" fillId="0" borderId="0"/>
    <xf numFmtId="0" fontId="2" fillId="0" borderId="3"/>
    <xf numFmtId="0" fontId="4" fillId="0" borderId="4"/>
    <xf numFmtId="169" fontId="12" fillId="12" borderId="5">
      <alignment horizontal="center"/>
    </xf>
    <xf numFmtId="0" fontId="14" fillId="13" borderId="6">
      <alignment horizontal="center"/>
    </xf>
    <xf numFmtId="0" fontId="15" fillId="10" borderId="0"/>
    <xf numFmtId="0" fontId="16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7"/>
  </cellStyleXfs>
  <cellXfs count="31">
    <xf numFmtId="0" fontId="0" fillId="0" borderId="0" xfId="0"/>
    <xf numFmtId="0" fontId="4" fillId="0" borderId="0" xfId="1"/>
    <xf numFmtId="0" fontId="7" fillId="8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9" borderId="1" xfId="1" applyFont="1" applyFill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8" borderId="1" xfId="1" applyFill="1" applyBorder="1"/>
    <xf numFmtId="0" fontId="4" fillId="0" borderId="1" xfId="1" applyBorder="1"/>
    <xf numFmtId="0" fontId="4" fillId="9" borderId="1" xfId="1" applyFill="1" applyBorder="1" applyAlignment="1">
      <alignment horizontal="center" vertical="center"/>
    </xf>
    <xf numFmtId="0" fontId="7" fillId="10" borderId="1" xfId="1" applyFont="1" applyFill="1" applyBorder="1" applyAlignment="1">
      <alignment horizontal="center" vertical="center" wrapText="1"/>
    </xf>
    <xf numFmtId="164" fontId="7" fillId="10" borderId="1" xfId="1" applyNumberFormat="1" applyFont="1" applyFill="1" applyBorder="1" applyAlignment="1">
      <alignment horizontal="center" vertical="center" wrapText="1"/>
    </xf>
    <xf numFmtId="0" fontId="4" fillId="0" borderId="1" xfId="1" applyBorder="1" applyAlignment="1">
      <alignment horizontal="center" vertical="center"/>
    </xf>
    <xf numFmtId="164" fontId="4" fillId="0" borderId="1" xfId="1" applyNumberFormat="1" applyBorder="1" applyAlignment="1">
      <alignment vertical="center"/>
    </xf>
    <xf numFmtId="0" fontId="4" fillId="0" borderId="1" xfId="1" applyBorder="1" applyAlignment="1">
      <alignment vertical="center"/>
    </xf>
    <xf numFmtId="0" fontId="4" fillId="0" borderId="0" xfId="1" applyAlignment="1">
      <alignment vertical="center"/>
    </xf>
    <xf numFmtId="0" fontId="4" fillId="0" borderId="0" xfId="1" applyAlignment="1">
      <alignment horizontal="center"/>
    </xf>
    <xf numFmtId="164" fontId="4" fillId="0" borderId="0" xfId="1" applyNumberFormat="1"/>
    <xf numFmtId="0" fontId="7" fillId="10" borderId="1" xfId="1" applyFont="1" applyFill="1" applyBorder="1" applyAlignment="1">
      <alignment horizontal="center" vertical="center"/>
    </xf>
    <xf numFmtId="165" fontId="7" fillId="10" borderId="1" xfId="4" applyNumberFormat="1" applyFont="1" applyFill="1" applyBorder="1" applyAlignment="1">
      <alignment horizontal="center" vertical="center"/>
    </xf>
    <xf numFmtId="0" fontId="7" fillId="11" borderId="1" xfId="1" applyFont="1" applyFill="1" applyBorder="1" applyAlignment="1">
      <alignment horizontal="center" vertical="center"/>
    </xf>
    <xf numFmtId="0" fontId="7" fillId="11" borderId="1" xfId="1" applyNumberFormat="1" applyFont="1" applyFill="1" applyBorder="1" applyAlignment="1">
      <alignment horizontal="center" vertical="center"/>
    </xf>
    <xf numFmtId="166" fontId="4" fillId="0" borderId="1" xfId="1" applyNumberFormat="1" applyBorder="1" applyAlignment="1">
      <alignment vertical="center"/>
    </xf>
    <xf numFmtId="165" fontId="0" fillId="0" borderId="1" xfId="4" applyNumberFormat="1" applyFont="1" applyBorder="1" applyAlignment="1">
      <alignment vertical="center"/>
    </xf>
    <xf numFmtId="14" fontId="4" fillId="0" borderId="1" xfId="1" applyNumberFormat="1" applyBorder="1" applyAlignment="1">
      <alignment horizontal="center" vertical="center"/>
    </xf>
    <xf numFmtId="165" fontId="0" fillId="0" borderId="1" xfId="4" applyNumberFormat="1" applyFont="1" applyBorder="1" applyAlignment="1">
      <alignment horizontal="center" vertical="center"/>
    </xf>
    <xf numFmtId="2" fontId="4" fillId="0" borderId="1" xfId="1" applyNumberFormat="1" applyBorder="1" applyAlignment="1">
      <alignment vertical="center"/>
    </xf>
    <xf numFmtId="0" fontId="4" fillId="0" borderId="0" xfId="1" applyFont="1" applyAlignment="1">
      <alignment vertical="center"/>
    </xf>
    <xf numFmtId="165" fontId="0" fillId="0" borderId="0" xfId="4" applyNumberFormat="1" applyFont="1" applyAlignment="1">
      <alignment vertical="center"/>
    </xf>
    <xf numFmtId="2" fontId="4" fillId="0" borderId="0" xfId="1" applyNumberFormat="1" applyAlignment="1">
      <alignment vertical="center"/>
    </xf>
    <xf numFmtId="0" fontId="5" fillId="0" borderId="0" xfId="1" applyFont="1" applyAlignment="1">
      <alignment horizontal="center"/>
    </xf>
    <xf numFmtId="0" fontId="6" fillId="7" borderId="0" xfId="2" applyFill="1" applyAlignment="1" applyProtection="1">
      <alignment horizontal="center" vertical="center"/>
    </xf>
  </cellXfs>
  <cellStyles count="41">
    <cellStyle name="20 % - Accent1 2" xfId="5"/>
    <cellStyle name="Accent1 2" xfId="6"/>
    <cellStyle name="Accent2 2" xfId="7"/>
    <cellStyle name="Accent3 2" xfId="8"/>
    <cellStyle name="Dezimal [0]" xfId="9"/>
    <cellStyle name="Dezimal_Tabelle1" xfId="10"/>
    <cellStyle name="Euro" xfId="11"/>
    <cellStyle name="Euro 2" xfId="12"/>
    <cellStyle name="Euro 3" xfId="13"/>
    <cellStyle name="Excel Built-in Normal" xfId="14"/>
    <cellStyle name="Lien hypertexte" xfId="2" builtinId="8"/>
    <cellStyle name="ligne" xfId="15"/>
    <cellStyle name="Milliers [0] 2" xfId="16"/>
    <cellStyle name="Milliers 2" xfId="4"/>
    <cellStyle name="Milliers 3" xfId="17"/>
    <cellStyle name="Milliers 4" xfId="18"/>
    <cellStyle name="Monétaire 2" xfId="3"/>
    <cellStyle name="Monétaire 2 2" xfId="19"/>
    <cellStyle name="Monétaire 3" xfId="20"/>
    <cellStyle name="Monétaire 4" xfId="21"/>
    <cellStyle name="Normal" xfId="0" builtinId="0"/>
    <cellStyle name="Normal 2" xfId="1"/>
    <cellStyle name="Normal 3" xfId="22"/>
    <cellStyle name="Normal 4" xfId="23"/>
    <cellStyle name="Normal 5" xfId="24"/>
    <cellStyle name="Normal 6" xfId="25"/>
    <cellStyle name="Normal 7" xfId="26"/>
    <cellStyle name="Pourcentage 2" xfId="27"/>
    <cellStyle name="Pourcentage 3" xfId="28"/>
    <cellStyle name="Pourcentage 4" xfId="29"/>
    <cellStyle name="Satisfaisant 2" xfId="30"/>
    <cellStyle name="Standard_Tabelle1" xfId="31"/>
    <cellStyle name="Style 1" xfId="32"/>
    <cellStyle name="Summen" xfId="33"/>
    <cellStyle name="table" xfId="34"/>
    <cellStyle name="TITCOL" xfId="35"/>
    <cellStyle name="Titel" xfId="36"/>
    <cellStyle name="Untertitel" xfId="37"/>
    <cellStyle name="Währung [0]" xfId="38"/>
    <cellStyle name="Währung_Tabelle1" xfId="39"/>
    <cellStyle name="Zwischensummen" xfId="4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1</xdr:row>
      <xdr:rowOff>123825</xdr:rowOff>
    </xdr:from>
    <xdr:to>
      <xdr:col>7</xdr:col>
      <xdr:colOff>590550</xdr:colOff>
      <xdr:row>15</xdr:row>
      <xdr:rowOff>133350</xdr:rowOff>
    </xdr:to>
    <xdr:sp macro="" textlink="">
      <xdr:nvSpPr>
        <xdr:cNvPr id="2" name="Line 4"/>
        <xdr:cNvSpPr>
          <a:spLocks noChangeShapeType="1"/>
        </xdr:cNvSpPr>
      </xdr:nvSpPr>
      <xdr:spPr bwMode="auto">
        <a:xfrm flipV="1">
          <a:off x="7086600" y="333375"/>
          <a:ext cx="0" cy="2943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6</xdr:col>
      <xdr:colOff>342900</xdr:colOff>
      <xdr:row>1</xdr:row>
      <xdr:rowOff>47625</xdr:rowOff>
    </xdr:from>
    <xdr:to>
      <xdr:col>6</xdr:col>
      <xdr:colOff>485775</xdr:colOff>
      <xdr:row>10</xdr:row>
      <xdr:rowOff>123825</xdr:rowOff>
    </xdr:to>
    <xdr:sp macro="" textlink="">
      <xdr:nvSpPr>
        <xdr:cNvPr id="3" name="Line 3"/>
        <xdr:cNvSpPr>
          <a:spLocks noChangeShapeType="1"/>
        </xdr:cNvSpPr>
      </xdr:nvSpPr>
      <xdr:spPr bwMode="auto">
        <a:xfrm flipV="1">
          <a:off x="5838825" y="257175"/>
          <a:ext cx="142875" cy="1962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276225</xdr:colOff>
      <xdr:row>9</xdr:row>
      <xdr:rowOff>66675</xdr:rowOff>
    </xdr:from>
    <xdr:to>
      <xdr:col>7</xdr:col>
      <xdr:colOff>238125</xdr:colOff>
      <xdr:row>11</xdr:row>
      <xdr:rowOff>161925</xdr:rowOff>
    </xdr:to>
    <xdr:sp macro="" textlink="">
      <xdr:nvSpPr>
        <xdr:cNvPr id="4" name="Rectangle 1"/>
        <xdr:cNvSpPr>
          <a:spLocks noChangeArrowheads="1"/>
        </xdr:cNvSpPr>
      </xdr:nvSpPr>
      <xdr:spPr bwMode="auto">
        <a:xfrm>
          <a:off x="4772025" y="1952625"/>
          <a:ext cx="1962150" cy="514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Calculer l'ancienneté</a:t>
          </a:r>
        </a:p>
      </xdr:txBody>
    </xdr:sp>
    <xdr:clientData/>
  </xdr:twoCellAnchor>
  <xdr:twoCellAnchor>
    <xdr:from>
      <xdr:col>6</xdr:col>
      <xdr:colOff>257175</xdr:colOff>
      <xdr:row>15</xdr:row>
      <xdr:rowOff>47625</xdr:rowOff>
    </xdr:from>
    <xdr:to>
      <xdr:col>8</xdr:col>
      <xdr:colOff>542925</xdr:colOff>
      <xdr:row>22</xdr:row>
      <xdr:rowOff>95250</xdr:rowOff>
    </xdr:to>
    <xdr:sp macro="" textlink="">
      <xdr:nvSpPr>
        <xdr:cNvPr id="5" name="Rectangle 2"/>
        <xdr:cNvSpPr>
          <a:spLocks noChangeArrowheads="1"/>
        </xdr:cNvSpPr>
      </xdr:nvSpPr>
      <xdr:spPr bwMode="auto">
        <a:xfrm>
          <a:off x="5753100" y="3190875"/>
          <a:ext cx="2486025" cy="1514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- si l'ancienneté est &gt;= 30 alors salaire X 30% ; </a:t>
          </a:r>
        </a:p>
        <a:p>
          <a:pPr algn="l" rtl="1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- si ancienneté &gt;=20 alors salaire X 20% </a:t>
          </a:r>
        </a:p>
        <a:p>
          <a:pPr algn="l" rtl="1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- si ancienneté &gt;= 10 alors salaire X 10% </a:t>
          </a:r>
        </a:p>
        <a:p>
          <a:pPr algn="l" rtl="1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sinon 5% du salaire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35"/>
  <sheetViews>
    <sheetView tabSelected="1" workbookViewId="0">
      <selection activeCell="D5" sqref="D5"/>
    </sheetView>
  </sheetViews>
  <sheetFormatPr baseColWidth="10" defaultColWidth="13.140625" defaultRowHeight="12.75"/>
  <cols>
    <col min="1" max="16384" width="13.140625" style="1"/>
  </cols>
  <sheetData>
    <row r="1" spans="1:7" ht="18.75">
      <c r="A1" s="29" t="s">
        <v>0</v>
      </c>
      <c r="B1" s="29"/>
      <c r="C1" s="29"/>
      <c r="D1" s="29"/>
      <c r="E1" s="29"/>
      <c r="F1" s="29"/>
      <c r="G1" s="29"/>
    </row>
    <row r="3" spans="1:7" s="5" customFormat="1" ht="33" customHeight="1">
      <c r="A3" s="2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3" t="s">
        <v>7</v>
      </c>
      <c r="G3" s="3" t="s">
        <v>8</v>
      </c>
    </row>
    <row r="4" spans="1:7">
      <c r="A4" s="6">
        <v>1</v>
      </c>
      <c r="B4" s="7"/>
      <c r="C4" s="7"/>
      <c r="D4" s="7"/>
      <c r="E4" s="8" t="s">
        <v>9</v>
      </c>
      <c r="F4" s="7"/>
      <c r="G4" s="7"/>
    </row>
    <row r="5" spans="1:7">
      <c r="A5" s="6">
        <v>2</v>
      </c>
      <c r="B5" s="7"/>
      <c r="C5" s="7"/>
      <c r="D5" s="7"/>
      <c r="E5" s="8" t="s">
        <v>10</v>
      </c>
      <c r="F5" s="7"/>
      <c r="G5" s="7"/>
    </row>
    <row r="6" spans="1:7">
      <c r="A6" s="6">
        <v>5</v>
      </c>
      <c r="B6" s="7"/>
      <c r="C6" s="7"/>
      <c r="D6" s="7"/>
      <c r="E6" s="8" t="s">
        <v>11</v>
      </c>
      <c r="F6" s="7"/>
      <c r="G6" s="7"/>
    </row>
    <row r="7" spans="1:7">
      <c r="A7" s="6">
        <v>7</v>
      </c>
      <c r="B7" s="7"/>
      <c r="C7" s="7"/>
      <c r="D7" s="7"/>
      <c r="E7" s="8" t="s">
        <v>12</v>
      </c>
      <c r="F7" s="7"/>
      <c r="G7" s="7"/>
    </row>
    <row r="8" spans="1:7">
      <c r="A8" s="6">
        <v>8</v>
      </c>
      <c r="B8" s="7"/>
      <c r="C8" s="7"/>
      <c r="D8" s="7"/>
      <c r="E8" s="8" t="s">
        <v>13</v>
      </c>
      <c r="F8" s="7"/>
      <c r="G8" s="7"/>
    </row>
    <row r="9" spans="1:7">
      <c r="A9" s="6">
        <v>9</v>
      </c>
      <c r="B9" s="7"/>
      <c r="C9" s="7"/>
      <c r="D9" s="7"/>
      <c r="E9" s="8" t="s">
        <v>14</v>
      </c>
      <c r="F9" s="7"/>
      <c r="G9" s="7"/>
    </row>
    <row r="10" spans="1:7">
      <c r="A10" s="6">
        <v>8</v>
      </c>
      <c r="B10" s="7"/>
      <c r="C10" s="7"/>
      <c r="D10" s="7"/>
      <c r="E10" s="8" t="s">
        <v>15</v>
      </c>
      <c r="F10" s="7"/>
      <c r="G10" s="7"/>
    </row>
    <row r="11" spans="1:7">
      <c r="A11" s="6">
        <v>4</v>
      </c>
      <c r="B11" s="7"/>
      <c r="C11" s="7"/>
      <c r="D11" s="7"/>
      <c r="E11" s="8" t="s">
        <v>16</v>
      </c>
      <c r="F11" s="7"/>
      <c r="G11" s="7"/>
    </row>
    <row r="12" spans="1:7">
      <c r="A12" s="6">
        <v>9</v>
      </c>
      <c r="B12" s="7"/>
      <c r="C12" s="7"/>
      <c r="D12" s="7"/>
      <c r="E12" s="8" t="s">
        <v>17</v>
      </c>
      <c r="F12" s="7"/>
      <c r="G12" s="7"/>
    </row>
    <row r="13" spans="1:7">
      <c r="A13" s="6">
        <v>65</v>
      </c>
      <c r="B13" s="7"/>
      <c r="C13" s="7"/>
      <c r="D13" s="7"/>
      <c r="E13" s="8" t="s">
        <v>18</v>
      </c>
      <c r="F13" s="7"/>
      <c r="G13" s="7"/>
    </row>
    <row r="14" spans="1:7">
      <c r="A14" s="6">
        <v>5</v>
      </c>
      <c r="B14" s="7"/>
      <c r="C14" s="7"/>
      <c r="D14" s="7"/>
      <c r="E14" s="8" t="s">
        <v>19</v>
      </c>
      <c r="F14" s="7"/>
      <c r="G14" s="7"/>
    </row>
    <row r="15" spans="1:7">
      <c r="A15" s="6">
        <v>5</v>
      </c>
      <c r="B15" s="7"/>
      <c r="C15" s="7"/>
      <c r="D15" s="7"/>
      <c r="E15" s="8" t="s">
        <v>20</v>
      </c>
      <c r="F15" s="7"/>
      <c r="G15" s="7"/>
    </row>
    <row r="16" spans="1:7">
      <c r="A16" s="6">
        <v>8</v>
      </c>
      <c r="B16" s="7"/>
      <c r="C16" s="7"/>
      <c r="D16" s="7"/>
      <c r="E16" s="8" t="s">
        <v>21</v>
      </c>
      <c r="F16" s="7"/>
      <c r="G16" s="7"/>
    </row>
    <row r="17" spans="1:7">
      <c r="A17" s="6">
        <v>9</v>
      </c>
      <c r="B17" s="7"/>
      <c r="C17" s="7"/>
      <c r="D17" s="7"/>
      <c r="E17" s="8" t="s">
        <v>22</v>
      </c>
      <c r="F17" s="7"/>
      <c r="G17" s="7"/>
    </row>
    <row r="18" spans="1:7">
      <c r="A18" s="6">
        <v>68</v>
      </c>
      <c r="B18" s="7"/>
      <c r="C18" s="7"/>
      <c r="D18" s="7"/>
      <c r="E18" s="8" t="s">
        <v>23</v>
      </c>
      <c r="F18" s="7"/>
      <c r="G18" s="7"/>
    </row>
    <row r="19" spans="1:7">
      <c r="A19" s="6">
        <v>88</v>
      </c>
      <c r="B19" s="7"/>
      <c r="C19" s="7"/>
      <c r="D19" s="7"/>
      <c r="E19" s="8" t="s">
        <v>24</v>
      </c>
      <c r="F19" s="7"/>
      <c r="G19" s="7"/>
    </row>
    <row r="20" spans="1:7">
      <c r="A20" s="6">
        <v>81</v>
      </c>
      <c r="B20" s="7"/>
      <c r="C20" s="7"/>
      <c r="D20" s="7"/>
      <c r="E20" s="8" t="s">
        <v>25</v>
      </c>
      <c r="F20" s="7"/>
      <c r="G20" s="7"/>
    </row>
    <row r="21" spans="1:7">
      <c r="A21" s="6">
        <v>56</v>
      </c>
      <c r="B21" s="7"/>
      <c r="C21" s="7"/>
      <c r="D21" s="7"/>
      <c r="E21" s="8" t="s">
        <v>26</v>
      </c>
      <c r="F21" s="7"/>
      <c r="G21" s="7"/>
    </row>
    <row r="22" spans="1:7">
      <c r="A22" s="6">
        <v>15</v>
      </c>
      <c r="B22" s="7"/>
      <c r="C22" s="7"/>
      <c r="D22" s="7"/>
      <c r="E22" s="8" t="s">
        <v>27</v>
      </c>
      <c r="F22" s="7"/>
      <c r="G22" s="7"/>
    </row>
    <row r="23" spans="1:7">
      <c r="A23" s="6">
        <v>18</v>
      </c>
      <c r="B23" s="7"/>
      <c r="C23" s="7"/>
      <c r="D23" s="7"/>
      <c r="E23" s="8" t="s">
        <v>28</v>
      </c>
      <c r="F23" s="7"/>
      <c r="G23" s="7"/>
    </row>
    <row r="24" spans="1:7">
      <c r="A24" s="6">
        <v>24</v>
      </c>
      <c r="B24" s="7"/>
      <c r="C24" s="7"/>
      <c r="D24" s="7"/>
      <c r="E24" s="8" t="s">
        <v>29</v>
      </c>
      <c r="F24" s="7"/>
      <c r="G24" s="7"/>
    </row>
    <row r="25" spans="1:7">
      <c r="A25" s="6">
        <v>32</v>
      </c>
      <c r="B25" s="7"/>
      <c r="C25" s="7"/>
      <c r="D25" s="7"/>
      <c r="E25" s="8" t="s">
        <v>30</v>
      </c>
      <c r="F25" s="7"/>
      <c r="G25" s="7"/>
    </row>
    <row r="26" spans="1:7">
      <c r="A26" s="6">
        <v>27</v>
      </c>
      <c r="B26" s="7"/>
      <c r="C26" s="7"/>
      <c r="D26" s="7"/>
      <c r="E26" s="8" t="s">
        <v>31</v>
      </c>
      <c r="F26" s="7"/>
      <c r="G26" s="7"/>
    </row>
    <row r="27" spans="1:7">
      <c r="A27" s="6">
        <v>31</v>
      </c>
      <c r="B27" s="7"/>
      <c r="C27" s="7"/>
      <c r="D27" s="7"/>
      <c r="E27" s="8" t="s">
        <v>32</v>
      </c>
      <c r="F27" s="7"/>
      <c r="G27" s="7"/>
    </row>
    <row r="28" spans="1:7">
      <c r="A28" s="6">
        <v>61</v>
      </c>
      <c r="B28" s="7"/>
      <c r="C28" s="7"/>
      <c r="D28" s="7"/>
      <c r="E28" s="8" t="s">
        <v>14</v>
      </c>
      <c r="F28" s="7"/>
      <c r="G28" s="7"/>
    </row>
    <row r="29" spans="1:7">
      <c r="A29" s="6">
        <v>75</v>
      </c>
      <c r="B29" s="7"/>
      <c r="C29" s="7"/>
      <c r="D29" s="7"/>
      <c r="E29" s="8" t="s">
        <v>33</v>
      </c>
      <c r="F29" s="7"/>
      <c r="G29" s="7"/>
    </row>
    <row r="30" spans="1:7">
      <c r="A30" s="6">
        <v>76</v>
      </c>
      <c r="B30" s="7"/>
      <c r="C30" s="7"/>
      <c r="D30" s="7"/>
      <c r="E30" s="8" t="s">
        <v>34</v>
      </c>
      <c r="F30" s="7"/>
      <c r="G30" s="7"/>
    </row>
    <row r="31" spans="1:7">
      <c r="A31" s="6">
        <v>77</v>
      </c>
      <c r="B31" s="7"/>
      <c r="C31" s="7"/>
      <c r="D31" s="7"/>
      <c r="E31" s="8" t="s">
        <v>35</v>
      </c>
      <c r="F31" s="7"/>
      <c r="G31" s="7"/>
    </row>
    <row r="34" spans="1:1">
      <c r="A34" s="1" t="s">
        <v>36</v>
      </c>
    </row>
    <row r="35" spans="1:1">
      <c r="A35" s="1" t="s">
        <v>37</v>
      </c>
    </row>
  </sheetData>
  <mergeCells count="1">
    <mergeCell ref="A1:G1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orientation="landscape" r:id="rId1"/>
  <headerFooter alignWithMargins="0">
    <oddHeader>&amp;LRecherchv à partir de
BD Service personnel
BD Bibliothèque&amp;C&amp;A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144"/>
  <sheetViews>
    <sheetView topLeftCell="A10" zoomScale="85" zoomScaleNormal="85" workbookViewId="0">
      <selection sqref="A1:E133"/>
    </sheetView>
  </sheetViews>
  <sheetFormatPr baseColWidth="10" defaultRowHeight="12.75"/>
  <cols>
    <col min="1" max="1" width="14.140625" style="15" customWidth="1"/>
    <col min="2" max="2" width="5.28515625" style="16" customWidth="1"/>
    <col min="3" max="3" width="39.140625" style="1" customWidth="1"/>
    <col min="4" max="4" width="20.7109375" style="1" customWidth="1"/>
    <col min="5" max="5" width="17.28515625" style="15" customWidth="1"/>
    <col min="6" max="16384" width="11.42578125" style="1"/>
  </cols>
  <sheetData>
    <row r="1" spans="1:5" ht="42" customHeight="1">
      <c r="A1" s="9" t="s">
        <v>38</v>
      </c>
      <c r="B1" s="10" t="s">
        <v>39</v>
      </c>
      <c r="C1" s="9" t="s">
        <v>40</v>
      </c>
      <c r="D1" s="9" t="s">
        <v>41</v>
      </c>
      <c r="E1" s="9" t="s">
        <v>42</v>
      </c>
    </row>
    <row r="2" spans="1:5" s="14" customFormat="1" ht="21.75" customHeight="1">
      <c r="A2" s="11" t="str">
        <f>LEFT(D2,3)&amp;B2</f>
        <v>Sim100</v>
      </c>
      <c r="B2" s="12">
        <v>100</v>
      </c>
      <c r="C2" s="13" t="s">
        <v>43</v>
      </c>
      <c r="D2" s="13" t="s">
        <v>44</v>
      </c>
      <c r="E2" s="11" t="s">
        <v>45</v>
      </c>
    </row>
    <row r="3" spans="1:5" s="14" customFormat="1" ht="21.75" customHeight="1">
      <c r="A3" s="11" t="str">
        <f t="shared" ref="A3:A66" si="0">LEFT(D3,3)&amp;B3</f>
        <v>Ber101</v>
      </c>
      <c r="B3" s="12">
        <v>101</v>
      </c>
      <c r="C3" s="13" t="s">
        <v>46</v>
      </c>
      <c r="D3" s="13" t="s">
        <v>47</v>
      </c>
      <c r="E3" s="11" t="s">
        <v>48</v>
      </c>
    </row>
    <row r="4" spans="1:5" s="14" customFormat="1" ht="21.75" customHeight="1">
      <c r="A4" s="11" t="str">
        <f t="shared" si="0"/>
        <v>Lud102</v>
      </c>
      <c r="B4" s="12">
        <v>102</v>
      </c>
      <c r="C4" s="13" t="s">
        <v>49</v>
      </c>
      <c r="D4" s="13" t="s">
        <v>50</v>
      </c>
      <c r="E4" s="11" t="s">
        <v>51</v>
      </c>
    </row>
    <row r="5" spans="1:5" s="14" customFormat="1" ht="21.75" customHeight="1">
      <c r="A5" s="11" t="str">
        <f t="shared" si="0"/>
        <v>Pea103</v>
      </c>
      <c r="B5" s="12">
        <v>103</v>
      </c>
      <c r="C5" s="13" t="s">
        <v>52</v>
      </c>
      <c r="D5" s="13" t="s">
        <v>53</v>
      </c>
      <c r="E5" s="11" t="s">
        <v>54</v>
      </c>
    </row>
    <row r="6" spans="1:5" s="14" customFormat="1" ht="21.75" customHeight="1">
      <c r="A6" s="11" t="str">
        <f t="shared" si="0"/>
        <v>Cha104</v>
      </c>
      <c r="B6" s="12">
        <v>104</v>
      </c>
      <c r="C6" s="13" t="s">
        <v>55</v>
      </c>
      <c r="D6" s="13" t="s">
        <v>56</v>
      </c>
      <c r="E6" s="11" t="s">
        <v>57</v>
      </c>
    </row>
    <row r="7" spans="1:5" s="14" customFormat="1" ht="21.75" customHeight="1">
      <c r="A7" s="11" t="str">
        <f t="shared" si="0"/>
        <v>Sim105</v>
      </c>
      <c r="B7" s="12">
        <v>105</v>
      </c>
      <c r="C7" s="13" t="s">
        <v>58</v>
      </c>
      <c r="D7" s="13" t="s">
        <v>44</v>
      </c>
      <c r="E7" s="11" t="s">
        <v>45</v>
      </c>
    </row>
    <row r="8" spans="1:5" s="14" customFormat="1" ht="21.75" customHeight="1">
      <c r="A8" s="11" t="str">
        <f t="shared" si="0"/>
        <v>Bon106</v>
      </c>
      <c r="B8" s="12">
        <v>106</v>
      </c>
      <c r="C8" s="13" t="s">
        <v>59</v>
      </c>
      <c r="D8" s="13" t="s">
        <v>60</v>
      </c>
      <c r="E8" s="11" t="s">
        <v>48</v>
      </c>
    </row>
    <row r="9" spans="1:5" s="14" customFormat="1" ht="21.75" customHeight="1">
      <c r="A9" s="11" t="str">
        <f t="shared" si="0"/>
        <v>Bal107</v>
      </c>
      <c r="B9" s="12">
        <v>107</v>
      </c>
      <c r="C9" s="13" t="s">
        <v>61</v>
      </c>
      <c r="D9" s="13" t="s">
        <v>62</v>
      </c>
      <c r="E9" s="11" t="s">
        <v>63</v>
      </c>
    </row>
    <row r="10" spans="1:5" s="14" customFormat="1" ht="21.75" customHeight="1">
      <c r="A10" s="11" t="str">
        <f t="shared" si="0"/>
        <v>Sal108</v>
      </c>
      <c r="B10" s="12">
        <v>108</v>
      </c>
      <c r="C10" s="13" t="s">
        <v>64</v>
      </c>
      <c r="D10" s="13" t="s">
        <v>65</v>
      </c>
      <c r="E10" s="11" t="s">
        <v>66</v>
      </c>
    </row>
    <row r="11" spans="1:5" s="14" customFormat="1" ht="21.75" customHeight="1">
      <c r="A11" s="11" t="str">
        <f t="shared" si="0"/>
        <v>Dro109</v>
      </c>
      <c r="B11" s="12">
        <v>109</v>
      </c>
      <c r="C11" s="13" t="s">
        <v>67</v>
      </c>
      <c r="D11" s="13" t="s">
        <v>68</v>
      </c>
      <c r="E11" s="11" t="s">
        <v>69</v>
      </c>
    </row>
    <row r="12" spans="1:5" s="14" customFormat="1" ht="21.75" customHeight="1">
      <c r="A12" s="11" t="str">
        <f t="shared" si="0"/>
        <v>Sta110</v>
      </c>
      <c r="B12" s="12">
        <v>110</v>
      </c>
      <c r="C12" s="13" t="s">
        <v>70</v>
      </c>
      <c r="D12" s="13" t="s">
        <v>71</v>
      </c>
      <c r="E12" s="11" t="s">
        <v>48</v>
      </c>
    </row>
    <row r="13" spans="1:5" s="14" customFormat="1" ht="21.75" customHeight="1">
      <c r="A13" s="11" t="str">
        <f t="shared" si="0"/>
        <v>Lud111</v>
      </c>
      <c r="B13" s="12">
        <v>111</v>
      </c>
      <c r="C13" s="13" t="s">
        <v>72</v>
      </c>
      <c r="D13" s="13" t="s">
        <v>50</v>
      </c>
      <c r="E13" s="11" t="s">
        <v>51</v>
      </c>
    </row>
    <row r="14" spans="1:5" s="14" customFormat="1" ht="21.75" customHeight="1">
      <c r="A14" s="11" t="str">
        <f t="shared" si="0"/>
        <v>Sim112</v>
      </c>
      <c r="B14" s="12">
        <v>112</v>
      </c>
      <c r="C14" s="13" t="s">
        <v>73</v>
      </c>
      <c r="D14" s="13" t="s">
        <v>44</v>
      </c>
      <c r="E14" s="11" t="s">
        <v>45</v>
      </c>
    </row>
    <row r="15" spans="1:5" s="14" customFormat="1" ht="21.75" customHeight="1">
      <c r="A15" s="11" t="str">
        <f t="shared" si="0"/>
        <v>Bon113</v>
      </c>
      <c r="B15" s="12">
        <v>113</v>
      </c>
      <c r="C15" s="13" t="s">
        <v>74</v>
      </c>
      <c r="D15" s="13" t="s">
        <v>60</v>
      </c>
      <c r="E15" s="11" t="s">
        <v>48</v>
      </c>
    </row>
    <row r="16" spans="1:5" s="14" customFormat="1" ht="21.75" customHeight="1">
      <c r="A16" s="11" t="str">
        <f t="shared" si="0"/>
        <v>Hig114</v>
      </c>
      <c r="B16" s="12">
        <v>114</v>
      </c>
      <c r="C16" s="13" t="s">
        <v>75</v>
      </c>
      <c r="D16" s="13" t="s">
        <v>76</v>
      </c>
      <c r="E16" s="11" t="s">
        <v>77</v>
      </c>
    </row>
    <row r="17" spans="1:5" s="14" customFormat="1" ht="21.75" customHeight="1">
      <c r="A17" s="11" t="str">
        <f t="shared" si="0"/>
        <v>Bal115</v>
      </c>
      <c r="B17" s="12">
        <v>115</v>
      </c>
      <c r="C17" s="13" t="s">
        <v>78</v>
      </c>
      <c r="D17" s="13" t="s">
        <v>62</v>
      </c>
      <c r="E17" s="11" t="s">
        <v>54</v>
      </c>
    </row>
    <row r="18" spans="1:5" s="14" customFormat="1" ht="21.75" customHeight="1">
      <c r="A18" s="11" t="str">
        <f t="shared" si="0"/>
        <v>Sal116</v>
      </c>
      <c r="B18" s="12">
        <v>116</v>
      </c>
      <c r="C18" s="13" t="s">
        <v>79</v>
      </c>
      <c r="D18" s="13" t="s">
        <v>65</v>
      </c>
      <c r="E18" s="11" t="s">
        <v>66</v>
      </c>
    </row>
    <row r="19" spans="1:5" s="14" customFormat="1" ht="21.75" customHeight="1">
      <c r="A19" s="11" t="str">
        <f t="shared" si="0"/>
        <v>Bre117</v>
      </c>
      <c r="B19" s="12">
        <v>117</v>
      </c>
      <c r="C19" s="13" t="s">
        <v>80</v>
      </c>
      <c r="D19" s="13" t="s">
        <v>81</v>
      </c>
      <c r="E19" s="11" t="s">
        <v>82</v>
      </c>
    </row>
    <row r="20" spans="1:5" s="14" customFormat="1" ht="21.75" customHeight="1">
      <c r="A20" s="11" t="str">
        <f t="shared" si="0"/>
        <v>Pea118</v>
      </c>
      <c r="B20" s="12">
        <v>118</v>
      </c>
      <c r="C20" s="13" t="s">
        <v>83</v>
      </c>
      <c r="D20" s="13" t="s">
        <v>53</v>
      </c>
      <c r="E20" s="11" t="s">
        <v>54</v>
      </c>
    </row>
    <row r="21" spans="1:5" s="14" customFormat="1" ht="21.75" customHeight="1">
      <c r="A21" s="11" t="str">
        <f t="shared" si="0"/>
        <v>Hig119</v>
      </c>
      <c r="B21" s="12">
        <v>119</v>
      </c>
      <c r="C21" s="13" t="s">
        <v>84</v>
      </c>
      <c r="D21" s="13" t="s">
        <v>76</v>
      </c>
      <c r="E21" s="11" t="s">
        <v>77</v>
      </c>
    </row>
    <row r="22" spans="1:5" s="14" customFormat="1" ht="21.75" customHeight="1">
      <c r="A22" s="11" t="str">
        <f t="shared" si="0"/>
        <v>Bal120</v>
      </c>
      <c r="B22" s="12">
        <v>120</v>
      </c>
      <c r="C22" s="13" t="s">
        <v>85</v>
      </c>
      <c r="D22" s="13" t="s">
        <v>62</v>
      </c>
      <c r="E22" s="11" t="s">
        <v>54</v>
      </c>
    </row>
    <row r="23" spans="1:5" s="14" customFormat="1" ht="21.75" customHeight="1">
      <c r="A23" s="11" t="str">
        <f t="shared" si="0"/>
        <v>Sim121</v>
      </c>
      <c r="B23" s="12">
        <v>121</v>
      </c>
      <c r="C23" s="13" t="s">
        <v>86</v>
      </c>
      <c r="D23" s="13" t="s">
        <v>44</v>
      </c>
      <c r="E23" s="11" t="s">
        <v>45</v>
      </c>
    </row>
    <row r="24" spans="1:5" s="14" customFormat="1" ht="21.75" customHeight="1">
      <c r="A24" s="11" t="str">
        <f t="shared" si="0"/>
        <v>Cru122</v>
      </c>
      <c r="B24" s="12">
        <v>122</v>
      </c>
      <c r="C24" s="13" t="s">
        <v>87</v>
      </c>
      <c r="D24" s="13" t="s">
        <v>88</v>
      </c>
      <c r="E24" s="11" t="s">
        <v>77</v>
      </c>
    </row>
    <row r="25" spans="1:5" s="14" customFormat="1" ht="21.75" customHeight="1">
      <c r="A25" s="11" t="str">
        <f t="shared" si="0"/>
        <v>Sim123</v>
      </c>
      <c r="B25" s="12">
        <v>123</v>
      </c>
      <c r="C25" s="13" t="s">
        <v>89</v>
      </c>
      <c r="D25" s="13" t="s">
        <v>44</v>
      </c>
      <c r="E25" s="11" t="s">
        <v>45</v>
      </c>
    </row>
    <row r="26" spans="1:5" s="14" customFormat="1" ht="21.75" customHeight="1">
      <c r="A26" s="11" t="str">
        <f t="shared" si="0"/>
        <v>Hig124</v>
      </c>
      <c r="B26" s="12">
        <v>124</v>
      </c>
      <c r="C26" s="13" t="s">
        <v>90</v>
      </c>
      <c r="D26" s="13" t="s">
        <v>76</v>
      </c>
      <c r="E26" s="11" t="s">
        <v>77</v>
      </c>
    </row>
    <row r="27" spans="1:5" s="14" customFormat="1" ht="21.75" customHeight="1">
      <c r="A27" s="11" t="str">
        <f t="shared" si="0"/>
        <v>Bal125</v>
      </c>
      <c r="B27" s="12">
        <v>125</v>
      </c>
      <c r="C27" s="13" t="s">
        <v>91</v>
      </c>
      <c r="D27" s="13" t="s">
        <v>62</v>
      </c>
      <c r="E27" s="11" t="s">
        <v>54</v>
      </c>
    </row>
    <row r="28" spans="1:5" s="14" customFormat="1" ht="21.75" customHeight="1">
      <c r="A28" s="11" t="str">
        <f t="shared" si="0"/>
        <v>Lan126</v>
      </c>
      <c r="B28" s="12">
        <v>126</v>
      </c>
      <c r="C28" s="13" t="s">
        <v>92</v>
      </c>
      <c r="D28" s="13" t="s">
        <v>93</v>
      </c>
      <c r="E28" s="11" t="s">
        <v>57</v>
      </c>
    </row>
    <row r="29" spans="1:5" s="14" customFormat="1" ht="21.75" customHeight="1">
      <c r="A29" s="11" t="str">
        <f t="shared" si="0"/>
        <v>Bal127</v>
      </c>
      <c r="B29" s="12">
        <v>127</v>
      </c>
      <c r="C29" s="13" t="s">
        <v>94</v>
      </c>
      <c r="D29" s="13" t="s">
        <v>62</v>
      </c>
      <c r="E29" s="11" t="s">
        <v>54</v>
      </c>
    </row>
    <row r="30" spans="1:5" s="14" customFormat="1" ht="21.75" customHeight="1">
      <c r="A30" s="11" t="str">
        <f t="shared" si="0"/>
        <v>Lud128</v>
      </c>
      <c r="B30" s="12">
        <v>128</v>
      </c>
      <c r="C30" s="13" t="s">
        <v>95</v>
      </c>
      <c r="D30" s="13" t="s">
        <v>50</v>
      </c>
      <c r="E30" s="11" t="s">
        <v>51</v>
      </c>
    </row>
    <row r="31" spans="1:5" s="14" customFormat="1" ht="21.75" customHeight="1">
      <c r="A31" s="11" t="str">
        <f t="shared" si="0"/>
        <v>Bal129</v>
      </c>
      <c r="B31" s="12">
        <v>129</v>
      </c>
      <c r="C31" s="13" t="s">
        <v>96</v>
      </c>
      <c r="D31" s="13" t="s">
        <v>62</v>
      </c>
      <c r="E31" s="11" t="s">
        <v>54</v>
      </c>
    </row>
    <row r="32" spans="1:5" s="14" customFormat="1" ht="21.75" customHeight="1">
      <c r="A32" s="11" t="str">
        <f t="shared" si="0"/>
        <v>Pea130</v>
      </c>
      <c r="B32" s="12">
        <v>130</v>
      </c>
      <c r="C32" s="13" t="s">
        <v>97</v>
      </c>
      <c r="D32" s="13" t="s">
        <v>53</v>
      </c>
      <c r="E32" s="11" t="s">
        <v>54</v>
      </c>
    </row>
    <row r="33" spans="1:5" s="14" customFormat="1" ht="21.75" customHeight="1">
      <c r="A33" s="11" t="str">
        <f t="shared" si="0"/>
        <v>Pea131</v>
      </c>
      <c r="B33" s="12">
        <v>131</v>
      </c>
      <c r="C33" s="13" t="s">
        <v>98</v>
      </c>
      <c r="D33" s="13" t="s">
        <v>53</v>
      </c>
      <c r="E33" s="11" t="s">
        <v>54</v>
      </c>
    </row>
    <row r="34" spans="1:5" s="14" customFormat="1" ht="21.75" customHeight="1">
      <c r="A34" s="11" t="str">
        <f t="shared" si="0"/>
        <v>Sim132</v>
      </c>
      <c r="B34" s="12">
        <v>132</v>
      </c>
      <c r="C34" s="13" t="s">
        <v>99</v>
      </c>
      <c r="D34" s="13" t="s">
        <v>44</v>
      </c>
      <c r="E34" s="11" t="s">
        <v>45</v>
      </c>
    </row>
    <row r="35" spans="1:5" s="14" customFormat="1" ht="21.75" customHeight="1">
      <c r="A35" s="11" t="str">
        <f t="shared" si="0"/>
        <v>Bal133</v>
      </c>
      <c r="B35" s="12">
        <v>133</v>
      </c>
      <c r="C35" s="13" t="s">
        <v>100</v>
      </c>
      <c r="D35" s="13" t="s">
        <v>62</v>
      </c>
      <c r="E35" s="11" t="s">
        <v>54</v>
      </c>
    </row>
    <row r="36" spans="1:5" s="14" customFormat="1" ht="21.75" customHeight="1">
      <c r="A36" s="11" t="str">
        <f t="shared" si="0"/>
        <v>Sim134</v>
      </c>
      <c r="B36" s="12">
        <v>134</v>
      </c>
      <c r="C36" s="13" t="s">
        <v>101</v>
      </c>
      <c r="D36" s="13" t="s">
        <v>44</v>
      </c>
      <c r="E36" s="11" t="s">
        <v>45</v>
      </c>
    </row>
    <row r="37" spans="1:5" s="14" customFormat="1" ht="21.75" customHeight="1">
      <c r="A37" s="11" t="str">
        <f t="shared" si="0"/>
        <v>Bal135</v>
      </c>
      <c r="B37" s="12">
        <v>135</v>
      </c>
      <c r="C37" s="13" t="s">
        <v>102</v>
      </c>
      <c r="D37" s="13" t="s">
        <v>62</v>
      </c>
      <c r="E37" s="11" t="s">
        <v>54</v>
      </c>
    </row>
    <row r="38" spans="1:5" s="14" customFormat="1" ht="21.75" customHeight="1">
      <c r="A38" s="11" t="str">
        <f t="shared" si="0"/>
        <v>Pea136</v>
      </c>
      <c r="B38" s="12">
        <v>136</v>
      </c>
      <c r="C38" s="13" t="s">
        <v>103</v>
      </c>
      <c r="D38" s="13" t="s">
        <v>53</v>
      </c>
      <c r="E38" s="11" t="s">
        <v>54</v>
      </c>
    </row>
    <row r="39" spans="1:5" s="14" customFormat="1" ht="21.75" customHeight="1">
      <c r="A39" s="11" t="str">
        <f t="shared" si="0"/>
        <v>Bal137</v>
      </c>
      <c r="B39" s="12">
        <v>137</v>
      </c>
      <c r="C39" s="13" t="s">
        <v>104</v>
      </c>
      <c r="D39" s="13" t="s">
        <v>62</v>
      </c>
      <c r="E39" s="11" t="s">
        <v>54</v>
      </c>
    </row>
    <row r="40" spans="1:5" s="14" customFormat="1" ht="21.75" customHeight="1">
      <c r="A40" s="11" t="str">
        <f t="shared" si="0"/>
        <v>Pea138</v>
      </c>
      <c r="B40" s="12">
        <v>138</v>
      </c>
      <c r="C40" s="13" t="s">
        <v>105</v>
      </c>
      <c r="D40" s="13" t="s">
        <v>53</v>
      </c>
      <c r="E40" s="11" t="s">
        <v>54</v>
      </c>
    </row>
    <row r="41" spans="1:5" s="14" customFormat="1" ht="21.75" customHeight="1">
      <c r="A41" s="11" t="str">
        <f t="shared" si="0"/>
        <v>Bal139</v>
      </c>
      <c r="B41" s="12">
        <v>139</v>
      </c>
      <c r="C41" s="13" t="s">
        <v>106</v>
      </c>
      <c r="D41" s="13" t="s">
        <v>62</v>
      </c>
      <c r="E41" s="11" t="s">
        <v>54</v>
      </c>
    </row>
    <row r="42" spans="1:5" s="14" customFormat="1" ht="21.75" customHeight="1">
      <c r="A42" s="11" t="str">
        <f t="shared" si="0"/>
        <v>Coo140</v>
      </c>
      <c r="B42" s="12">
        <v>140</v>
      </c>
      <c r="C42" s="13" t="s">
        <v>107</v>
      </c>
      <c r="D42" s="13" t="s">
        <v>108</v>
      </c>
      <c r="E42" s="11" t="s">
        <v>77</v>
      </c>
    </row>
    <row r="43" spans="1:5" s="14" customFormat="1" ht="21.75" customHeight="1">
      <c r="A43" s="11" t="str">
        <f t="shared" si="0"/>
        <v>Pea141</v>
      </c>
      <c r="B43" s="12">
        <v>141</v>
      </c>
      <c r="C43" s="13" t="s">
        <v>109</v>
      </c>
      <c r="D43" s="13" t="s">
        <v>53</v>
      </c>
      <c r="E43" s="11" t="s">
        <v>54</v>
      </c>
    </row>
    <row r="44" spans="1:5" s="14" customFormat="1" ht="21.75" customHeight="1">
      <c r="A44" s="11" t="str">
        <f t="shared" si="0"/>
        <v>Pea142</v>
      </c>
      <c r="B44" s="12">
        <v>142</v>
      </c>
      <c r="C44" s="13" t="s">
        <v>110</v>
      </c>
      <c r="D44" s="13" t="s">
        <v>53</v>
      </c>
      <c r="E44" s="11" t="s">
        <v>54</v>
      </c>
    </row>
    <row r="45" spans="1:5" s="14" customFormat="1" ht="21.75" customHeight="1">
      <c r="A45" s="11" t="str">
        <f t="shared" si="0"/>
        <v>Bea143</v>
      </c>
      <c r="B45" s="12">
        <v>143</v>
      </c>
      <c r="C45" s="13" t="s">
        <v>111</v>
      </c>
      <c r="D45" s="13" t="s">
        <v>112</v>
      </c>
      <c r="E45" s="11" t="s">
        <v>54</v>
      </c>
    </row>
    <row r="46" spans="1:5" s="14" customFormat="1" ht="21.75" customHeight="1">
      <c r="A46" s="11" t="str">
        <f t="shared" si="0"/>
        <v>Sim144</v>
      </c>
      <c r="B46" s="12">
        <v>144</v>
      </c>
      <c r="C46" s="13" t="s">
        <v>113</v>
      </c>
      <c r="D46" s="13" t="s">
        <v>44</v>
      </c>
      <c r="E46" s="11" t="s">
        <v>45</v>
      </c>
    </row>
    <row r="47" spans="1:5" s="14" customFormat="1" ht="21.75" customHeight="1">
      <c r="A47" s="11" t="str">
        <f t="shared" si="0"/>
        <v>Bal145</v>
      </c>
      <c r="B47" s="12">
        <v>145</v>
      </c>
      <c r="C47" s="13" t="s">
        <v>114</v>
      </c>
      <c r="D47" s="13" t="s">
        <v>62</v>
      </c>
      <c r="E47" s="11" t="s">
        <v>63</v>
      </c>
    </row>
    <row r="48" spans="1:5" s="14" customFormat="1" ht="21.75" customHeight="1">
      <c r="A48" s="11" t="str">
        <f t="shared" si="0"/>
        <v>Bal146</v>
      </c>
      <c r="B48" s="12">
        <v>146</v>
      </c>
      <c r="C48" s="13" t="s">
        <v>115</v>
      </c>
      <c r="D48" s="13" t="s">
        <v>62</v>
      </c>
      <c r="E48" s="11" t="s">
        <v>54</v>
      </c>
    </row>
    <row r="49" spans="1:5" s="14" customFormat="1" ht="21.75" customHeight="1">
      <c r="A49" s="11" t="str">
        <f t="shared" si="0"/>
        <v>Bal147</v>
      </c>
      <c r="B49" s="12">
        <v>147</v>
      </c>
      <c r="C49" s="13" t="s">
        <v>116</v>
      </c>
      <c r="D49" s="13" t="s">
        <v>62</v>
      </c>
      <c r="E49" s="11" t="s">
        <v>54</v>
      </c>
    </row>
    <row r="50" spans="1:5" s="14" customFormat="1" ht="21.75" customHeight="1">
      <c r="A50" s="11" t="str">
        <f t="shared" si="0"/>
        <v>Lud148</v>
      </c>
      <c r="B50" s="12">
        <v>148</v>
      </c>
      <c r="C50" s="13" t="s">
        <v>117</v>
      </c>
      <c r="D50" s="13" t="s">
        <v>50</v>
      </c>
      <c r="E50" s="11" t="s">
        <v>51</v>
      </c>
    </row>
    <row r="51" spans="1:5" s="14" customFormat="1" ht="21.75" customHeight="1">
      <c r="A51" s="11" t="str">
        <f t="shared" si="0"/>
        <v>Sim149</v>
      </c>
      <c r="B51" s="12">
        <v>149</v>
      </c>
      <c r="C51" s="13" t="s">
        <v>118</v>
      </c>
      <c r="D51" s="13" t="s">
        <v>44</v>
      </c>
      <c r="E51" s="11" t="s">
        <v>45</v>
      </c>
    </row>
    <row r="52" spans="1:5" s="14" customFormat="1" ht="21.75" customHeight="1">
      <c r="A52" s="11" t="str">
        <f t="shared" si="0"/>
        <v>Sal150</v>
      </c>
      <c r="B52" s="12">
        <v>150</v>
      </c>
      <c r="C52" s="13" t="s">
        <v>119</v>
      </c>
      <c r="D52" s="13" t="s">
        <v>65</v>
      </c>
      <c r="E52" s="11" t="s">
        <v>66</v>
      </c>
    </row>
    <row r="53" spans="1:5" s="14" customFormat="1" ht="21.75" customHeight="1">
      <c r="A53" s="11" t="str">
        <f t="shared" si="0"/>
        <v>Ham151</v>
      </c>
      <c r="B53" s="12">
        <v>151</v>
      </c>
      <c r="C53" s="13" t="s">
        <v>120</v>
      </c>
      <c r="D53" s="13" t="s">
        <v>121</v>
      </c>
      <c r="E53" s="11" t="s">
        <v>69</v>
      </c>
    </row>
    <row r="54" spans="1:5" s="14" customFormat="1" ht="21.75" customHeight="1">
      <c r="A54" s="11" t="str">
        <f t="shared" si="0"/>
        <v>Edw152</v>
      </c>
      <c r="B54" s="12">
        <v>152</v>
      </c>
      <c r="C54" s="13" t="s">
        <v>122</v>
      </c>
      <c r="D54" s="13" t="s">
        <v>123</v>
      </c>
      <c r="E54" s="11" t="s">
        <v>69</v>
      </c>
    </row>
    <row r="55" spans="1:5" s="14" customFormat="1" ht="21.75" customHeight="1">
      <c r="A55" s="11" t="str">
        <f t="shared" si="0"/>
        <v>Lud153</v>
      </c>
      <c r="B55" s="12">
        <v>153</v>
      </c>
      <c r="C55" s="13" t="s">
        <v>124</v>
      </c>
      <c r="D55" s="13" t="s">
        <v>50</v>
      </c>
      <c r="E55" s="11" t="s">
        <v>51</v>
      </c>
    </row>
    <row r="56" spans="1:5" s="14" customFormat="1" ht="21.75" customHeight="1">
      <c r="A56" s="11" t="str">
        <f t="shared" si="0"/>
        <v>Cos154</v>
      </c>
      <c r="B56" s="12">
        <v>154</v>
      </c>
      <c r="C56" s="13" t="s">
        <v>125</v>
      </c>
      <c r="D56" s="13" t="s">
        <v>126</v>
      </c>
      <c r="E56" s="11" t="s">
        <v>57</v>
      </c>
    </row>
    <row r="57" spans="1:5" s="14" customFormat="1" ht="21.75" customHeight="1">
      <c r="A57" s="11" t="str">
        <f t="shared" si="0"/>
        <v>Lev155</v>
      </c>
      <c r="B57" s="12">
        <v>155</v>
      </c>
      <c r="C57" s="13" t="s">
        <v>127</v>
      </c>
      <c r="D57" s="13" t="s">
        <v>128</v>
      </c>
      <c r="E57" s="11" t="s">
        <v>129</v>
      </c>
    </row>
    <row r="58" spans="1:5" s="14" customFormat="1" ht="21.75" customHeight="1">
      <c r="A58" s="11" t="str">
        <f t="shared" si="0"/>
        <v>Sim156</v>
      </c>
      <c r="B58" s="12">
        <v>156</v>
      </c>
      <c r="C58" s="13" t="s">
        <v>130</v>
      </c>
      <c r="D58" s="13" t="s">
        <v>44</v>
      </c>
      <c r="E58" s="11" t="s">
        <v>45</v>
      </c>
    </row>
    <row r="59" spans="1:5" s="14" customFormat="1" ht="21.75" customHeight="1">
      <c r="A59" s="11" t="str">
        <f t="shared" si="0"/>
        <v>Mey157</v>
      </c>
      <c r="B59" s="12">
        <v>157</v>
      </c>
      <c r="C59" s="13" t="s">
        <v>131</v>
      </c>
      <c r="D59" s="13" t="s">
        <v>132</v>
      </c>
      <c r="E59" s="11" t="s">
        <v>48</v>
      </c>
    </row>
    <row r="60" spans="1:5" s="14" customFormat="1" ht="21.75" customHeight="1">
      <c r="A60" s="11" t="str">
        <f t="shared" si="0"/>
        <v>Lud158</v>
      </c>
      <c r="B60" s="12">
        <v>158</v>
      </c>
      <c r="C60" s="13" t="s">
        <v>133</v>
      </c>
      <c r="D60" s="13" t="s">
        <v>50</v>
      </c>
      <c r="E60" s="11" t="s">
        <v>51</v>
      </c>
    </row>
    <row r="61" spans="1:5" s="14" customFormat="1" ht="21.75" customHeight="1">
      <c r="A61" s="11" t="str">
        <f t="shared" si="0"/>
        <v>Pea159</v>
      </c>
      <c r="B61" s="12">
        <v>159</v>
      </c>
      <c r="C61" s="13" t="s">
        <v>134</v>
      </c>
      <c r="D61" s="13" t="s">
        <v>53</v>
      </c>
      <c r="E61" s="11" t="s">
        <v>54</v>
      </c>
    </row>
    <row r="62" spans="1:5" s="14" customFormat="1" ht="21.75" customHeight="1">
      <c r="A62" s="11" t="str">
        <f t="shared" si="0"/>
        <v>Cha160</v>
      </c>
      <c r="B62" s="12">
        <v>160</v>
      </c>
      <c r="C62" s="13" t="s">
        <v>135</v>
      </c>
      <c r="D62" s="13" t="s">
        <v>56</v>
      </c>
      <c r="E62" s="11" t="s">
        <v>57</v>
      </c>
    </row>
    <row r="63" spans="1:5" s="14" customFormat="1" ht="21.75" customHeight="1">
      <c r="A63" s="11" t="str">
        <f t="shared" si="0"/>
        <v>Sal161</v>
      </c>
      <c r="B63" s="12">
        <v>161</v>
      </c>
      <c r="C63" s="13" t="s">
        <v>136</v>
      </c>
      <c r="D63" s="13" t="s">
        <v>65</v>
      </c>
      <c r="E63" s="11" t="s">
        <v>66</v>
      </c>
    </row>
    <row r="64" spans="1:5" s="14" customFormat="1" ht="21.75" customHeight="1">
      <c r="A64" s="11" t="str">
        <f t="shared" si="0"/>
        <v>Pea162</v>
      </c>
      <c r="B64" s="12">
        <v>162</v>
      </c>
      <c r="C64" s="13" t="s">
        <v>137</v>
      </c>
      <c r="D64" s="13" t="s">
        <v>53</v>
      </c>
      <c r="E64" s="11" t="s">
        <v>54</v>
      </c>
    </row>
    <row r="65" spans="1:5" s="14" customFormat="1" ht="21.75" customHeight="1">
      <c r="A65" s="11" t="str">
        <f t="shared" si="0"/>
        <v>Ste163</v>
      </c>
      <c r="B65" s="12">
        <v>163</v>
      </c>
      <c r="C65" s="13" t="s">
        <v>138</v>
      </c>
      <c r="D65" s="13" t="s">
        <v>139</v>
      </c>
      <c r="E65" s="11" t="s">
        <v>129</v>
      </c>
    </row>
    <row r="66" spans="1:5" s="14" customFormat="1" ht="21.75" customHeight="1">
      <c r="A66" s="11" t="str">
        <f t="shared" si="0"/>
        <v>Sal164</v>
      </c>
      <c r="B66" s="12">
        <v>164</v>
      </c>
      <c r="C66" s="13" t="s">
        <v>140</v>
      </c>
      <c r="D66" s="13" t="s">
        <v>65</v>
      </c>
      <c r="E66" s="11" t="s">
        <v>66</v>
      </c>
    </row>
    <row r="67" spans="1:5" s="14" customFormat="1" ht="21.75" customHeight="1">
      <c r="A67" s="11" t="str">
        <f t="shared" ref="A67:A130" si="1">LEFT(D67,3)&amp;B67</f>
        <v>Rus165</v>
      </c>
      <c r="B67" s="12">
        <v>165</v>
      </c>
      <c r="C67" s="13" t="s">
        <v>141</v>
      </c>
      <c r="D67" s="13" t="s">
        <v>142</v>
      </c>
      <c r="E67" s="11" t="s">
        <v>57</v>
      </c>
    </row>
    <row r="68" spans="1:5" s="14" customFormat="1" ht="21.75" customHeight="1">
      <c r="A68" s="11" t="str">
        <f t="shared" si="1"/>
        <v>Bal166</v>
      </c>
      <c r="B68" s="12">
        <v>166</v>
      </c>
      <c r="C68" s="13" t="s">
        <v>143</v>
      </c>
      <c r="D68" s="13" t="s">
        <v>62</v>
      </c>
      <c r="E68" s="11" t="s">
        <v>54</v>
      </c>
    </row>
    <row r="69" spans="1:5" s="14" customFormat="1" ht="21.75" customHeight="1">
      <c r="A69" s="11" t="str">
        <f t="shared" si="1"/>
        <v>Bon167</v>
      </c>
      <c r="B69" s="12">
        <v>167</v>
      </c>
      <c r="C69" s="13" t="s">
        <v>144</v>
      </c>
      <c r="D69" s="13" t="s">
        <v>60</v>
      </c>
      <c r="E69" s="11" t="s">
        <v>48</v>
      </c>
    </row>
    <row r="70" spans="1:5" s="14" customFormat="1" ht="21.75" customHeight="1">
      <c r="A70" s="11" t="str">
        <f t="shared" si="1"/>
        <v>Bal168</v>
      </c>
      <c r="B70" s="12">
        <v>168</v>
      </c>
      <c r="C70" s="13" t="s">
        <v>145</v>
      </c>
      <c r="D70" s="13" t="s">
        <v>62</v>
      </c>
      <c r="E70" s="11" t="s">
        <v>54</v>
      </c>
    </row>
    <row r="71" spans="1:5" s="14" customFormat="1" ht="21.75" customHeight="1">
      <c r="A71" s="11" t="str">
        <f t="shared" si="1"/>
        <v>Bal169</v>
      </c>
      <c r="B71" s="12">
        <v>169</v>
      </c>
      <c r="C71" s="13" t="s">
        <v>147</v>
      </c>
      <c r="D71" s="13" t="s">
        <v>62</v>
      </c>
      <c r="E71" s="11" t="s">
        <v>63</v>
      </c>
    </row>
    <row r="72" spans="1:5" s="14" customFormat="1" ht="21.75" customHeight="1">
      <c r="A72" s="11" t="str">
        <f t="shared" si="1"/>
        <v>Hig170</v>
      </c>
      <c r="B72" s="12">
        <v>170</v>
      </c>
      <c r="C72" s="13" t="s">
        <v>148</v>
      </c>
      <c r="D72" s="13" t="s">
        <v>76</v>
      </c>
      <c r="E72" s="11" t="s">
        <v>77</v>
      </c>
    </row>
    <row r="73" spans="1:5" s="14" customFormat="1" ht="21.75" customHeight="1">
      <c r="A73" s="11" t="str">
        <f t="shared" si="1"/>
        <v>Bal171</v>
      </c>
      <c r="B73" s="12">
        <v>171</v>
      </c>
      <c r="C73" s="13" t="s">
        <v>149</v>
      </c>
      <c r="D73" s="13" t="s">
        <v>62</v>
      </c>
      <c r="E73" s="11" t="s">
        <v>54</v>
      </c>
    </row>
    <row r="74" spans="1:5" s="14" customFormat="1" ht="21.75" customHeight="1">
      <c r="A74" s="11" t="str">
        <f t="shared" si="1"/>
        <v>Odi172</v>
      </c>
      <c r="B74" s="12">
        <v>172</v>
      </c>
      <c r="C74" s="13" t="s">
        <v>150</v>
      </c>
      <c r="D74" s="13" t="s">
        <v>151</v>
      </c>
      <c r="E74" s="11" t="s">
        <v>48</v>
      </c>
    </row>
    <row r="75" spans="1:5" s="14" customFormat="1" ht="21.75" customHeight="1">
      <c r="A75" s="11" t="str">
        <f t="shared" si="1"/>
        <v>Lac173</v>
      </c>
      <c r="B75" s="12">
        <v>173</v>
      </c>
      <c r="C75" s="13" t="s">
        <v>152</v>
      </c>
      <c r="D75" s="13" t="s">
        <v>153</v>
      </c>
      <c r="E75" s="11" t="s">
        <v>69</v>
      </c>
    </row>
    <row r="76" spans="1:5" s="14" customFormat="1" ht="21.75" customHeight="1">
      <c r="A76" s="11" t="str">
        <f t="shared" si="1"/>
        <v>Pea174</v>
      </c>
      <c r="B76" s="12">
        <v>174</v>
      </c>
      <c r="C76" s="13" t="s">
        <v>154</v>
      </c>
      <c r="D76" s="13" t="s">
        <v>53</v>
      </c>
      <c r="E76" s="11" t="s">
        <v>54</v>
      </c>
    </row>
    <row r="77" spans="1:5" s="14" customFormat="1" ht="21.75" customHeight="1">
      <c r="A77" s="11" t="str">
        <f t="shared" si="1"/>
        <v>Coo175</v>
      </c>
      <c r="B77" s="12">
        <v>175</v>
      </c>
      <c r="C77" s="13" t="s">
        <v>155</v>
      </c>
      <c r="D77" s="13" t="s">
        <v>108</v>
      </c>
      <c r="E77" s="11" t="s">
        <v>77</v>
      </c>
    </row>
    <row r="78" spans="1:5" s="14" customFormat="1" ht="21.75" customHeight="1">
      <c r="A78" s="11" t="str">
        <f t="shared" si="1"/>
        <v>Lud176</v>
      </c>
      <c r="B78" s="12">
        <v>176</v>
      </c>
      <c r="C78" s="13" t="s">
        <v>156</v>
      </c>
      <c r="D78" s="13" t="s">
        <v>50</v>
      </c>
      <c r="E78" s="11" t="s">
        <v>51</v>
      </c>
    </row>
    <row r="79" spans="1:5" s="14" customFormat="1" ht="21.75" customHeight="1">
      <c r="A79" s="11" t="str">
        <f t="shared" si="1"/>
        <v>Sim177</v>
      </c>
      <c r="B79" s="12">
        <v>177</v>
      </c>
      <c r="C79" s="13" t="s">
        <v>157</v>
      </c>
      <c r="D79" s="13" t="s">
        <v>44</v>
      </c>
      <c r="E79" s="11" t="s">
        <v>45</v>
      </c>
    </row>
    <row r="80" spans="1:5" s="14" customFormat="1" ht="21.75" customHeight="1">
      <c r="A80" s="11" t="str">
        <f t="shared" si="1"/>
        <v>Lud178</v>
      </c>
      <c r="B80" s="12">
        <v>178</v>
      </c>
      <c r="C80" s="13" t="s">
        <v>158</v>
      </c>
      <c r="D80" s="13" t="s">
        <v>50</v>
      </c>
      <c r="E80" s="11" t="s">
        <v>51</v>
      </c>
    </row>
    <row r="81" spans="1:5" s="14" customFormat="1" ht="21.75" customHeight="1">
      <c r="A81" s="11" t="str">
        <f t="shared" si="1"/>
        <v>Gén179</v>
      </c>
      <c r="B81" s="12">
        <v>179</v>
      </c>
      <c r="C81" s="13" t="s">
        <v>160</v>
      </c>
      <c r="D81" s="13" t="s">
        <v>161</v>
      </c>
      <c r="E81" s="11" t="s">
        <v>69</v>
      </c>
    </row>
    <row r="82" spans="1:5" s="14" customFormat="1" ht="21.75" customHeight="1">
      <c r="A82" s="11" t="str">
        <f t="shared" si="1"/>
        <v>Gén180</v>
      </c>
      <c r="B82" s="12">
        <v>180</v>
      </c>
      <c r="C82" s="13" t="s">
        <v>162</v>
      </c>
      <c r="D82" s="13" t="s">
        <v>161</v>
      </c>
      <c r="E82" s="11" t="s">
        <v>69</v>
      </c>
    </row>
    <row r="83" spans="1:5" s="14" customFormat="1" ht="21.75" customHeight="1">
      <c r="A83" s="11" t="str">
        <f t="shared" si="1"/>
        <v>Gén181</v>
      </c>
      <c r="B83" s="12">
        <v>181</v>
      </c>
      <c r="C83" s="13" t="s">
        <v>163</v>
      </c>
      <c r="D83" s="13" t="s">
        <v>161</v>
      </c>
      <c r="E83" s="11" t="s">
        <v>69</v>
      </c>
    </row>
    <row r="84" spans="1:5" s="14" customFormat="1" ht="21.75" customHeight="1">
      <c r="A84" s="11" t="str">
        <f t="shared" si="1"/>
        <v>Pea182</v>
      </c>
      <c r="B84" s="12">
        <v>182</v>
      </c>
      <c r="C84" s="13" t="s">
        <v>164</v>
      </c>
      <c r="D84" s="13" t="s">
        <v>53</v>
      </c>
      <c r="E84" s="11" t="s">
        <v>54</v>
      </c>
    </row>
    <row r="85" spans="1:5" s="14" customFormat="1" ht="21.75" customHeight="1">
      <c r="A85" s="11" t="str">
        <f t="shared" si="1"/>
        <v>Ber183</v>
      </c>
      <c r="B85" s="12">
        <v>183</v>
      </c>
      <c r="C85" s="13" t="s">
        <v>165</v>
      </c>
      <c r="D85" s="13" t="s">
        <v>166</v>
      </c>
      <c r="E85" s="11" t="s">
        <v>48</v>
      </c>
    </row>
    <row r="86" spans="1:5" s="14" customFormat="1" ht="21.75" customHeight="1">
      <c r="A86" s="11" t="str">
        <f t="shared" si="1"/>
        <v>Lud184</v>
      </c>
      <c r="B86" s="12">
        <v>184</v>
      </c>
      <c r="C86" s="13" t="s">
        <v>167</v>
      </c>
      <c r="D86" s="13" t="s">
        <v>50</v>
      </c>
      <c r="E86" s="11" t="s">
        <v>51</v>
      </c>
    </row>
    <row r="87" spans="1:5" s="14" customFormat="1" ht="21.75" customHeight="1">
      <c r="A87" s="11" t="str">
        <f t="shared" si="1"/>
        <v>Lud185</v>
      </c>
      <c r="B87" s="12">
        <v>185</v>
      </c>
      <c r="C87" s="13" t="s">
        <v>168</v>
      </c>
      <c r="D87" s="13" t="s">
        <v>50</v>
      </c>
      <c r="E87" s="11" t="s">
        <v>51</v>
      </c>
    </row>
    <row r="88" spans="1:5" s="14" customFormat="1" ht="21.75" customHeight="1">
      <c r="A88" s="11" t="str">
        <f t="shared" si="1"/>
        <v>Che186</v>
      </c>
      <c r="B88" s="12">
        <v>186</v>
      </c>
      <c r="C88" s="13" t="s">
        <v>169</v>
      </c>
      <c r="D88" s="13" t="s">
        <v>170</v>
      </c>
      <c r="E88" s="11" t="s">
        <v>69</v>
      </c>
    </row>
    <row r="89" spans="1:5" s="14" customFormat="1" ht="21.75" customHeight="1">
      <c r="A89" s="11" t="str">
        <f t="shared" si="1"/>
        <v>Hig187</v>
      </c>
      <c r="B89" s="12">
        <v>187</v>
      </c>
      <c r="C89" s="13" t="s">
        <v>171</v>
      </c>
      <c r="D89" s="13" t="s">
        <v>76</v>
      </c>
      <c r="E89" s="11" t="s">
        <v>77</v>
      </c>
    </row>
    <row r="90" spans="1:5" s="14" customFormat="1" ht="21.75" customHeight="1">
      <c r="A90" s="11" t="str">
        <f t="shared" si="1"/>
        <v>Car188</v>
      </c>
      <c r="B90" s="12">
        <v>188</v>
      </c>
      <c r="C90" s="13" t="s">
        <v>172</v>
      </c>
      <c r="D90" s="13" t="s">
        <v>173</v>
      </c>
      <c r="E90" s="11" t="s">
        <v>129</v>
      </c>
    </row>
    <row r="91" spans="1:5" s="14" customFormat="1" ht="21.75" customHeight="1">
      <c r="A91" s="11" t="str">
        <f t="shared" si="1"/>
        <v>Lud189</v>
      </c>
      <c r="B91" s="12">
        <v>189</v>
      </c>
      <c r="C91" s="13" t="s">
        <v>174</v>
      </c>
      <c r="D91" s="13" t="s">
        <v>50</v>
      </c>
      <c r="E91" s="11" t="s">
        <v>51</v>
      </c>
    </row>
    <row r="92" spans="1:5" s="14" customFormat="1" ht="21.75" customHeight="1">
      <c r="A92" s="11" t="str">
        <f t="shared" si="1"/>
        <v>Sal190</v>
      </c>
      <c r="B92" s="12">
        <v>190</v>
      </c>
      <c r="C92" s="13" t="s">
        <v>175</v>
      </c>
      <c r="D92" s="13" t="s">
        <v>65</v>
      </c>
      <c r="E92" s="11" t="s">
        <v>66</v>
      </c>
    </row>
    <row r="93" spans="1:5" s="14" customFormat="1" ht="21.75" customHeight="1">
      <c r="A93" s="11" t="str">
        <f t="shared" si="1"/>
        <v>Sal191</v>
      </c>
      <c r="B93" s="12">
        <v>191</v>
      </c>
      <c r="C93" s="13" t="s">
        <v>176</v>
      </c>
      <c r="D93" s="13" t="s">
        <v>65</v>
      </c>
      <c r="E93" s="11" t="s">
        <v>66</v>
      </c>
    </row>
    <row r="94" spans="1:5" s="14" customFormat="1" ht="21.75" customHeight="1">
      <c r="A94" s="11" t="str">
        <f t="shared" si="1"/>
        <v>Sal192</v>
      </c>
      <c r="B94" s="12">
        <v>192</v>
      </c>
      <c r="C94" s="13" t="s">
        <v>177</v>
      </c>
      <c r="D94" s="13" t="s">
        <v>65</v>
      </c>
      <c r="E94" s="11" t="s">
        <v>66</v>
      </c>
    </row>
    <row r="95" spans="1:5" s="14" customFormat="1" ht="21.75" customHeight="1">
      <c r="A95" s="11" t="str">
        <f t="shared" si="1"/>
        <v>Pea193</v>
      </c>
      <c r="B95" s="12">
        <v>193</v>
      </c>
      <c r="C95" s="13" t="s">
        <v>178</v>
      </c>
      <c r="D95" s="13" t="s">
        <v>53</v>
      </c>
      <c r="E95" s="11" t="s">
        <v>54</v>
      </c>
    </row>
    <row r="96" spans="1:5" s="14" customFormat="1" ht="21.75" customHeight="1">
      <c r="A96" s="11" t="str">
        <f t="shared" si="1"/>
        <v>Pea194</v>
      </c>
      <c r="B96" s="12">
        <v>194</v>
      </c>
      <c r="C96" s="13" t="s">
        <v>179</v>
      </c>
      <c r="D96" s="13" t="s">
        <v>53</v>
      </c>
      <c r="E96" s="11" t="s">
        <v>54</v>
      </c>
    </row>
    <row r="97" spans="1:5" s="14" customFormat="1" ht="21.75" customHeight="1">
      <c r="A97" s="11" t="str">
        <f t="shared" si="1"/>
        <v>Bal195</v>
      </c>
      <c r="B97" s="12">
        <v>195</v>
      </c>
      <c r="C97" s="13" t="s">
        <v>180</v>
      </c>
      <c r="D97" s="13" t="s">
        <v>62</v>
      </c>
      <c r="E97" s="11" t="s">
        <v>63</v>
      </c>
    </row>
    <row r="98" spans="1:5" s="14" customFormat="1" ht="21.75" customHeight="1">
      <c r="A98" s="11" t="str">
        <f t="shared" si="1"/>
        <v>Sim196</v>
      </c>
      <c r="B98" s="12">
        <v>196</v>
      </c>
      <c r="C98" s="13" t="s">
        <v>181</v>
      </c>
      <c r="D98" s="13" t="s">
        <v>44</v>
      </c>
      <c r="E98" s="11" t="s">
        <v>45</v>
      </c>
    </row>
    <row r="99" spans="1:5" s="14" customFormat="1" ht="21.75" customHeight="1">
      <c r="A99" s="11" t="str">
        <f t="shared" si="1"/>
        <v>Bal197</v>
      </c>
      <c r="B99" s="12">
        <v>197</v>
      </c>
      <c r="C99" s="13" t="s">
        <v>182</v>
      </c>
      <c r="D99" s="13" t="s">
        <v>62</v>
      </c>
      <c r="E99" s="11" t="s">
        <v>54</v>
      </c>
    </row>
    <row r="100" spans="1:5" s="14" customFormat="1" ht="21.75" customHeight="1">
      <c r="A100" s="11" t="str">
        <f t="shared" si="1"/>
        <v>Sai198</v>
      </c>
      <c r="B100" s="12">
        <v>198</v>
      </c>
      <c r="C100" s="13" t="s">
        <v>183</v>
      </c>
      <c r="D100" s="13" t="s">
        <v>184</v>
      </c>
      <c r="E100" s="11" t="s">
        <v>54</v>
      </c>
    </row>
    <row r="101" spans="1:5" s="14" customFormat="1" ht="21.75" customHeight="1">
      <c r="A101" s="11" t="str">
        <f t="shared" si="1"/>
        <v>Bal199</v>
      </c>
      <c r="B101" s="12">
        <v>199</v>
      </c>
      <c r="C101" s="13" t="s">
        <v>185</v>
      </c>
      <c r="D101" s="13" t="s">
        <v>62</v>
      </c>
      <c r="E101" s="11" t="s">
        <v>54</v>
      </c>
    </row>
    <row r="102" spans="1:5" s="14" customFormat="1" ht="21.75" customHeight="1">
      <c r="A102" s="11" t="str">
        <f t="shared" si="1"/>
        <v>Pea200</v>
      </c>
      <c r="B102" s="12">
        <v>200</v>
      </c>
      <c r="C102" s="13" t="s">
        <v>186</v>
      </c>
      <c r="D102" s="13" t="s">
        <v>53</v>
      </c>
      <c r="E102" s="11" t="s">
        <v>54</v>
      </c>
    </row>
    <row r="103" spans="1:5" s="14" customFormat="1" ht="21.75" customHeight="1">
      <c r="A103" s="11" t="str">
        <f t="shared" si="1"/>
        <v>Pou201</v>
      </c>
      <c r="B103" s="12">
        <v>201</v>
      </c>
      <c r="C103" s="13" t="s">
        <v>187</v>
      </c>
      <c r="D103" s="13" t="s">
        <v>188</v>
      </c>
      <c r="E103" s="11" t="s">
        <v>129</v>
      </c>
    </row>
    <row r="104" spans="1:5" s="14" customFormat="1" ht="21.75" customHeight="1">
      <c r="A104" s="11" t="str">
        <f t="shared" si="1"/>
        <v>Lud202</v>
      </c>
      <c r="B104" s="12">
        <v>202</v>
      </c>
      <c r="C104" s="13" t="s">
        <v>189</v>
      </c>
      <c r="D104" s="13" t="s">
        <v>50</v>
      </c>
      <c r="E104" s="11" t="s">
        <v>51</v>
      </c>
    </row>
    <row r="105" spans="1:5" s="14" customFormat="1" ht="21.75" customHeight="1">
      <c r="A105" s="11" t="str">
        <f t="shared" si="1"/>
        <v>Dum203</v>
      </c>
      <c r="B105" s="12">
        <v>203</v>
      </c>
      <c r="C105" s="13" t="s">
        <v>190</v>
      </c>
      <c r="D105" s="13" t="s">
        <v>191</v>
      </c>
      <c r="E105" s="11" t="s">
        <v>54</v>
      </c>
    </row>
    <row r="106" spans="1:5" s="14" customFormat="1" ht="21.75" customHeight="1">
      <c r="A106" s="11" t="str">
        <f t="shared" si="1"/>
        <v>Rio204</v>
      </c>
      <c r="B106" s="12">
        <v>204</v>
      </c>
      <c r="C106" s="13" t="s">
        <v>192</v>
      </c>
      <c r="D106" s="13" t="s">
        <v>193</v>
      </c>
      <c r="E106" s="11" t="s">
        <v>69</v>
      </c>
    </row>
    <row r="107" spans="1:5" s="14" customFormat="1" ht="21.75" customHeight="1">
      <c r="A107" s="11" t="str">
        <f t="shared" si="1"/>
        <v>Gim205</v>
      </c>
      <c r="B107" s="12">
        <v>205</v>
      </c>
      <c r="C107" s="13" t="s">
        <v>194</v>
      </c>
      <c r="D107" s="13" t="s">
        <v>195</v>
      </c>
      <c r="E107" s="11" t="s">
        <v>69</v>
      </c>
    </row>
    <row r="108" spans="1:5" s="14" customFormat="1" ht="21.75" customHeight="1">
      <c r="A108" s="11" t="str">
        <f t="shared" si="1"/>
        <v>Pea206</v>
      </c>
      <c r="B108" s="12">
        <v>206</v>
      </c>
      <c r="C108" s="13" t="s">
        <v>196</v>
      </c>
      <c r="D108" s="13" t="s">
        <v>53</v>
      </c>
      <c r="E108" s="11" t="s">
        <v>54</v>
      </c>
    </row>
    <row r="109" spans="1:5" s="14" customFormat="1" ht="21.75" customHeight="1">
      <c r="A109" s="11" t="str">
        <f t="shared" si="1"/>
        <v>Bal207</v>
      </c>
      <c r="B109" s="12">
        <v>207</v>
      </c>
      <c r="C109" s="13" t="s">
        <v>197</v>
      </c>
      <c r="D109" s="13" t="s">
        <v>62</v>
      </c>
      <c r="E109" s="11" t="s">
        <v>54</v>
      </c>
    </row>
    <row r="110" spans="1:5" s="14" customFormat="1" ht="21.75" customHeight="1">
      <c r="A110" s="11" t="str">
        <f t="shared" si="1"/>
        <v>Sal208</v>
      </c>
      <c r="B110" s="12">
        <v>208</v>
      </c>
      <c r="C110" s="13" t="s">
        <v>198</v>
      </c>
      <c r="D110" s="13" t="s">
        <v>65</v>
      </c>
      <c r="E110" s="11" t="s">
        <v>66</v>
      </c>
    </row>
    <row r="111" spans="1:5" s="14" customFormat="1" ht="21.75" customHeight="1">
      <c r="A111" s="11" t="str">
        <f t="shared" si="1"/>
        <v>Ham209</v>
      </c>
      <c r="B111" s="12">
        <v>209</v>
      </c>
      <c r="C111" s="13" t="s">
        <v>199</v>
      </c>
      <c r="D111" s="13" t="s">
        <v>121</v>
      </c>
      <c r="E111" s="11" t="s">
        <v>69</v>
      </c>
    </row>
    <row r="112" spans="1:5" s="14" customFormat="1" ht="21.75" customHeight="1">
      <c r="A112" s="11" t="str">
        <f t="shared" si="1"/>
        <v>Gru210</v>
      </c>
      <c r="B112" s="12">
        <v>210</v>
      </c>
      <c r="C112" s="13" t="s">
        <v>200</v>
      </c>
      <c r="D112" s="13" t="s">
        <v>201</v>
      </c>
      <c r="E112" s="11" t="s">
        <v>69</v>
      </c>
    </row>
    <row r="113" spans="1:5" s="14" customFormat="1" ht="21.75" customHeight="1">
      <c r="A113" s="11" t="str">
        <f t="shared" si="1"/>
        <v>Lud211</v>
      </c>
      <c r="B113" s="12">
        <v>211</v>
      </c>
      <c r="C113" s="13" t="s">
        <v>202</v>
      </c>
      <c r="D113" s="13" t="s">
        <v>50</v>
      </c>
      <c r="E113" s="11" t="s">
        <v>51</v>
      </c>
    </row>
    <row r="114" spans="1:5" s="14" customFormat="1" ht="21.75" customHeight="1">
      <c r="A114" s="11" t="str">
        <f t="shared" si="1"/>
        <v>Lud212</v>
      </c>
      <c r="B114" s="12">
        <v>212</v>
      </c>
      <c r="C114" s="13" t="s">
        <v>203</v>
      </c>
      <c r="D114" s="13" t="s">
        <v>50</v>
      </c>
      <c r="E114" s="11" t="s">
        <v>51</v>
      </c>
    </row>
    <row r="115" spans="1:5" s="14" customFormat="1" ht="21.75" customHeight="1">
      <c r="A115" s="11" t="str">
        <f t="shared" si="1"/>
        <v>Sal213</v>
      </c>
      <c r="B115" s="12">
        <v>213</v>
      </c>
      <c r="C115" s="13" t="s">
        <v>204</v>
      </c>
      <c r="D115" s="13" t="s">
        <v>65</v>
      </c>
      <c r="E115" s="11" t="s">
        <v>66</v>
      </c>
    </row>
    <row r="116" spans="1:5" s="14" customFormat="1" ht="21.75" customHeight="1">
      <c r="A116" s="11" t="str">
        <f t="shared" si="1"/>
        <v>Pea214</v>
      </c>
      <c r="B116" s="12">
        <v>214</v>
      </c>
      <c r="C116" s="13" t="s">
        <v>205</v>
      </c>
      <c r="D116" s="13" t="s">
        <v>53</v>
      </c>
      <c r="E116" s="11" t="s">
        <v>54</v>
      </c>
    </row>
    <row r="117" spans="1:5" s="14" customFormat="1" ht="21.75" customHeight="1">
      <c r="A117" s="11" t="str">
        <f t="shared" si="1"/>
        <v>Pea215</v>
      </c>
      <c r="B117" s="12">
        <v>215</v>
      </c>
      <c r="C117" s="13" t="s">
        <v>206</v>
      </c>
      <c r="D117" s="13" t="s">
        <v>53</v>
      </c>
      <c r="E117" s="11" t="s">
        <v>54</v>
      </c>
    </row>
    <row r="118" spans="1:5" s="14" customFormat="1" ht="21.75" customHeight="1">
      <c r="A118" s="11" t="str">
        <f t="shared" si="1"/>
        <v>Jan216</v>
      </c>
      <c r="B118" s="12">
        <v>216</v>
      </c>
      <c r="C118" s="13" t="s">
        <v>207</v>
      </c>
      <c r="D118" s="13" t="s">
        <v>208</v>
      </c>
      <c r="E118" s="11" t="s">
        <v>48</v>
      </c>
    </row>
    <row r="119" spans="1:5" s="14" customFormat="1" ht="21.75" customHeight="1">
      <c r="A119" s="11" t="str">
        <f t="shared" si="1"/>
        <v>Sim217</v>
      </c>
      <c r="B119" s="12">
        <v>217</v>
      </c>
      <c r="C119" s="13" t="s">
        <v>209</v>
      </c>
      <c r="D119" s="13" t="s">
        <v>44</v>
      </c>
      <c r="E119" s="11" t="s">
        <v>45</v>
      </c>
    </row>
    <row r="120" spans="1:5" s="14" customFormat="1" ht="21.75" customHeight="1">
      <c r="A120" s="11" t="str">
        <f t="shared" si="1"/>
        <v>Avr218</v>
      </c>
      <c r="B120" s="12">
        <v>218</v>
      </c>
      <c r="C120" s="13" t="s">
        <v>210</v>
      </c>
      <c r="D120" s="13" t="s">
        <v>211</v>
      </c>
      <c r="E120" s="11" t="s">
        <v>69</v>
      </c>
    </row>
    <row r="121" spans="1:5" s="14" customFormat="1" ht="21.75" customHeight="1">
      <c r="A121" s="11" t="str">
        <f t="shared" si="1"/>
        <v>Cul219</v>
      </c>
      <c r="B121" s="12">
        <v>219</v>
      </c>
      <c r="C121" s="13" t="s">
        <v>212</v>
      </c>
      <c r="D121" s="13" t="s">
        <v>213</v>
      </c>
      <c r="E121" s="11" t="s">
        <v>129</v>
      </c>
    </row>
    <row r="122" spans="1:5" s="14" customFormat="1" ht="21.75" customHeight="1">
      <c r="A122" s="11" t="str">
        <f t="shared" si="1"/>
        <v>Pea220</v>
      </c>
      <c r="B122" s="12">
        <v>220</v>
      </c>
      <c r="C122" s="13" t="s">
        <v>214</v>
      </c>
      <c r="D122" s="13" t="s">
        <v>53</v>
      </c>
      <c r="E122" s="11" t="s">
        <v>54</v>
      </c>
    </row>
    <row r="123" spans="1:5" s="14" customFormat="1" ht="21.75" customHeight="1">
      <c r="A123" s="11" t="str">
        <f t="shared" si="1"/>
        <v>Dum221</v>
      </c>
      <c r="B123" s="12">
        <v>221</v>
      </c>
      <c r="C123" s="13" t="s">
        <v>215</v>
      </c>
      <c r="D123" s="13" t="s">
        <v>191</v>
      </c>
      <c r="E123" s="11" t="s">
        <v>54</v>
      </c>
    </row>
    <row r="124" spans="1:5" s="14" customFormat="1" ht="21.75" customHeight="1">
      <c r="A124" s="11" t="str">
        <f t="shared" si="1"/>
        <v>Mar222</v>
      </c>
      <c r="B124" s="12">
        <v>222</v>
      </c>
      <c r="C124" s="13" t="s">
        <v>216</v>
      </c>
      <c r="D124" s="13" t="s">
        <v>217</v>
      </c>
      <c r="E124" s="11" t="s">
        <v>69</v>
      </c>
    </row>
    <row r="125" spans="1:5" s="14" customFormat="1" ht="21.75" customHeight="1">
      <c r="A125" s="11" t="str">
        <f t="shared" si="1"/>
        <v>Lud223</v>
      </c>
      <c r="B125" s="12">
        <v>223</v>
      </c>
      <c r="C125" s="13" t="s">
        <v>218</v>
      </c>
      <c r="D125" s="13" t="s">
        <v>50</v>
      </c>
      <c r="E125" s="11" t="s">
        <v>51</v>
      </c>
    </row>
    <row r="126" spans="1:5" s="14" customFormat="1" ht="21.75" customHeight="1">
      <c r="A126" s="11" t="str">
        <f t="shared" si="1"/>
        <v>Bal224</v>
      </c>
      <c r="B126" s="12">
        <v>224</v>
      </c>
      <c r="C126" s="13" t="s">
        <v>219</v>
      </c>
      <c r="D126" s="13" t="s">
        <v>62</v>
      </c>
      <c r="E126" s="11" t="s">
        <v>54</v>
      </c>
    </row>
    <row r="127" spans="1:5" s="14" customFormat="1" ht="21.75" customHeight="1">
      <c r="A127" s="11" t="str">
        <f t="shared" si="1"/>
        <v>Lud225</v>
      </c>
      <c r="B127" s="12">
        <v>225</v>
      </c>
      <c r="C127" s="13" t="s">
        <v>220</v>
      </c>
      <c r="D127" s="13" t="s">
        <v>50</v>
      </c>
      <c r="E127" s="11" t="s">
        <v>51</v>
      </c>
    </row>
    <row r="128" spans="1:5" s="14" customFormat="1" ht="21.75" customHeight="1">
      <c r="A128" s="11" t="str">
        <f t="shared" si="1"/>
        <v>Bal226</v>
      </c>
      <c r="B128" s="12">
        <v>226</v>
      </c>
      <c r="C128" s="13" t="s">
        <v>221</v>
      </c>
      <c r="D128" s="13" t="s">
        <v>62</v>
      </c>
      <c r="E128" s="11" t="s">
        <v>63</v>
      </c>
    </row>
    <row r="129" spans="1:5" s="14" customFormat="1" ht="21.75" customHeight="1">
      <c r="A129" s="11" t="str">
        <f t="shared" si="1"/>
        <v>Coo227</v>
      </c>
      <c r="B129" s="12">
        <v>227</v>
      </c>
      <c r="C129" s="13" t="s">
        <v>222</v>
      </c>
      <c r="D129" s="13" t="s">
        <v>108</v>
      </c>
      <c r="E129" s="11" t="s">
        <v>77</v>
      </c>
    </row>
    <row r="130" spans="1:5" s="14" customFormat="1" ht="23.25" customHeight="1">
      <c r="A130" s="11" t="str">
        <f t="shared" si="1"/>
        <v>Sim228</v>
      </c>
      <c r="B130" s="12">
        <v>228</v>
      </c>
      <c r="C130" s="13" t="s">
        <v>223</v>
      </c>
      <c r="D130" s="13" t="s">
        <v>44</v>
      </c>
      <c r="E130" s="11" t="s">
        <v>45</v>
      </c>
    </row>
    <row r="131" spans="1:5" s="14" customFormat="1" ht="23.25" customHeight="1">
      <c r="A131" s="11" t="str">
        <f t="shared" ref="A131:A133" si="2">LEFT(D131,3)&amp;B131</f>
        <v>Ber229</v>
      </c>
      <c r="B131" s="12">
        <v>229</v>
      </c>
      <c r="C131" s="13" t="s">
        <v>224</v>
      </c>
      <c r="D131" s="13" t="s">
        <v>225</v>
      </c>
      <c r="E131" s="11" t="s">
        <v>129</v>
      </c>
    </row>
    <row r="132" spans="1:5" ht="23.25" customHeight="1">
      <c r="A132" s="11" t="str">
        <f t="shared" si="2"/>
        <v>Sai230</v>
      </c>
      <c r="B132" s="12">
        <v>230</v>
      </c>
      <c r="C132" s="13" t="s">
        <v>226</v>
      </c>
      <c r="D132" s="13" t="s">
        <v>227</v>
      </c>
      <c r="E132" s="11" t="s">
        <v>54</v>
      </c>
    </row>
    <row r="133" spans="1:5" ht="23.25" customHeight="1">
      <c r="A133" s="11" t="str">
        <f t="shared" si="2"/>
        <v>Lud231</v>
      </c>
      <c r="B133" s="12">
        <v>231</v>
      </c>
      <c r="C133" s="13" t="s">
        <v>228</v>
      </c>
      <c r="D133" s="13" t="s">
        <v>50</v>
      </c>
      <c r="E133" s="11" t="s">
        <v>51</v>
      </c>
    </row>
    <row r="134" spans="1:5" ht="23.25" customHeight="1"/>
    <row r="135" spans="1:5" ht="23.25" customHeight="1"/>
    <row r="136" spans="1:5" ht="23.25" customHeight="1"/>
    <row r="137" spans="1:5" ht="23.25" customHeight="1"/>
    <row r="138" spans="1:5" ht="23.25" customHeight="1"/>
    <row r="139" spans="1:5" ht="23.25" customHeight="1"/>
    <row r="140" spans="1:5" ht="23.25" customHeight="1"/>
    <row r="141" spans="1:5" ht="23.25" customHeight="1"/>
    <row r="142" spans="1:5" ht="23.25" customHeight="1"/>
    <row r="143" spans="1:5" ht="23.25" customHeight="1"/>
    <row r="144" spans="1:5" ht="23.25" customHeight="1"/>
  </sheetData>
  <pageMargins left="0.35" right="0.35" top="0.6" bottom="0.48" header="0.25" footer="0.26"/>
  <pageSetup paperSize="9" scale="71" fitToHeight="10" orientation="landscape" horizontalDpi="1200" verticalDpi="1200" r:id="rId1"/>
  <headerFooter alignWithMargins="0">
    <oddHeader>&amp;LConcatener-gauche-si simple&amp;C&amp;"Arial,Gras italique"&amp;16Bibliothèque de l'association J &amp;&amp; A</oddHeader>
    <oddFooter>&amp;L&amp;"Arial,Italique"&amp;12Etat du &amp;D&amp;R&amp;"Arial,Italique"&amp;12page &amp;P sur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87"/>
  <sheetViews>
    <sheetView topLeftCell="A47" workbookViewId="0">
      <selection activeCell="A2" sqref="A2:F83"/>
    </sheetView>
  </sheetViews>
  <sheetFormatPr baseColWidth="10" defaultRowHeight="16.7" customHeight="1"/>
  <cols>
    <col min="1" max="1" width="5.28515625" style="14" bestFit="1" customWidth="1"/>
    <col min="2" max="2" width="21.140625" style="14" customWidth="1"/>
    <col min="3" max="3" width="11" style="14" bestFit="1" customWidth="1"/>
    <col min="4" max="4" width="20.5703125" style="14" bestFit="1" customWidth="1"/>
    <col min="5" max="5" width="9.42578125" style="27" bestFit="1" customWidth="1"/>
    <col min="6" max="7" width="15" style="5" customWidth="1"/>
    <col min="8" max="8" width="18" style="28" bestFit="1" customWidth="1"/>
    <col min="9" max="16384" width="11.42578125" style="14"/>
  </cols>
  <sheetData>
    <row r="1" spans="1:12" ht="16.7" customHeight="1">
      <c r="A1" s="17" t="s">
        <v>229</v>
      </c>
      <c r="B1" s="17" t="s">
        <v>230</v>
      </c>
      <c r="C1" s="17" t="s">
        <v>4</v>
      </c>
      <c r="D1" s="17" t="s">
        <v>231</v>
      </c>
      <c r="E1" s="18" t="s">
        <v>232</v>
      </c>
      <c r="F1" s="17" t="s">
        <v>233</v>
      </c>
      <c r="G1" s="19" t="s">
        <v>234</v>
      </c>
      <c r="H1" s="20" t="s">
        <v>235</v>
      </c>
      <c r="K1" s="30" t="s">
        <v>1</v>
      </c>
      <c r="L1" s="30"/>
    </row>
    <row r="2" spans="1:12" ht="16.7" customHeight="1">
      <c r="A2" s="21">
        <v>1</v>
      </c>
      <c r="B2" s="21" t="s">
        <v>236</v>
      </c>
      <c r="C2" s="21" t="s">
        <v>237</v>
      </c>
      <c r="D2" s="21" t="s">
        <v>238</v>
      </c>
      <c r="E2" s="22">
        <v>6800</v>
      </c>
      <c r="F2" s="23">
        <v>33647</v>
      </c>
      <c r="G2" s="24"/>
      <c r="H2" s="25"/>
    </row>
    <row r="3" spans="1:12" ht="16.7" customHeight="1">
      <c r="A3" s="21">
        <v>2</v>
      </c>
      <c r="B3" s="21" t="s">
        <v>239</v>
      </c>
      <c r="C3" s="21" t="s">
        <v>240</v>
      </c>
      <c r="D3" s="21" t="s">
        <v>241</v>
      </c>
      <c r="E3" s="22">
        <v>6400</v>
      </c>
      <c r="F3" s="23">
        <v>35504</v>
      </c>
      <c r="G3" s="24"/>
      <c r="H3" s="25"/>
    </row>
    <row r="4" spans="1:12" ht="16.7" customHeight="1">
      <c r="A4" s="21">
        <v>3</v>
      </c>
      <c r="B4" s="21" t="s">
        <v>239</v>
      </c>
      <c r="C4" s="21" t="s">
        <v>242</v>
      </c>
      <c r="D4" s="21" t="s">
        <v>241</v>
      </c>
      <c r="E4" s="22">
        <v>15674</v>
      </c>
      <c r="F4" s="23">
        <v>33037</v>
      </c>
      <c r="G4" s="24"/>
      <c r="H4" s="25"/>
    </row>
    <row r="5" spans="1:12" ht="16.7" customHeight="1">
      <c r="A5" s="21">
        <v>4</v>
      </c>
      <c r="B5" s="21" t="s">
        <v>243</v>
      </c>
      <c r="C5" s="21" t="s">
        <v>244</v>
      </c>
      <c r="D5" s="21" t="s">
        <v>245</v>
      </c>
      <c r="E5" s="22">
        <v>7500</v>
      </c>
      <c r="F5" s="23">
        <v>35536</v>
      </c>
      <c r="G5" s="24"/>
      <c r="H5" s="25"/>
    </row>
    <row r="6" spans="1:12" ht="16.7" customHeight="1">
      <c r="A6" s="21">
        <v>5</v>
      </c>
      <c r="B6" s="21" t="s">
        <v>243</v>
      </c>
      <c r="C6" s="21" t="s">
        <v>246</v>
      </c>
      <c r="D6" s="21" t="s">
        <v>238</v>
      </c>
      <c r="E6" s="22">
        <v>8229.9999999999909</v>
      </c>
      <c r="F6" s="23">
        <v>33987</v>
      </c>
      <c r="G6" s="24"/>
      <c r="H6" s="25"/>
    </row>
    <row r="7" spans="1:12" ht="16.7" customHeight="1">
      <c r="A7" s="21">
        <v>6</v>
      </c>
      <c r="B7" s="21" t="s">
        <v>247</v>
      </c>
      <c r="C7" s="21" t="s">
        <v>248</v>
      </c>
      <c r="D7" s="21" t="s">
        <v>238</v>
      </c>
      <c r="E7" s="22">
        <v>13533.333333333334</v>
      </c>
      <c r="F7" s="23">
        <v>26717</v>
      </c>
      <c r="G7" s="24"/>
      <c r="H7" s="25"/>
    </row>
    <row r="8" spans="1:12" ht="16.7" customHeight="1">
      <c r="A8" s="21">
        <v>7</v>
      </c>
      <c r="B8" s="21" t="s">
        <v>247</v>
      </c>
      <c r="C8" s="21" t="s">
        <v>249</v>
      </c>
      <c r="D8" s="21" t="s">
        <v>238</v>
      </c>
      <c r="E8" s="22">
        <v>45451</v>
      </c>
      <c r="F8" s="23">
        <v>26726</v>
      </c>
      <c r="G8" s="24"/>
      <c r="H8" s="25"/>
    </row>
    <row r="9" spans="1:12" ht="16.7" customHeight="1">
      <c r="A9" s="21">
        <v>8</v>
      </c>
      <c r="B9" s="21" t="s">
        <v>250</v>
      </c>
      <c r="C9" s="21" t="s">
        <v>251</v>
      </c>
      <c r="D9" s="21" t="s">
        <v>238</v>
      </c>
      <c r="E9" s="22">
        <v>12600</v>
      </c>
      <c r="F9" s="23">
        <v>33834</v>
      </c>
      <c r="G9" s="24"/>
      <c r="H9" s="25"/>
    </row>
    <row r="10" spans="1:12" ht="16.7" customHeight="1">
      <c r="A10" s="21">
        <v>9</v>
      </c>
      <c r="B10" s="21" t="s">
        <v>250</v>
      </c>
      <c r="C10" s="21" t="s">
        <v>159</v>
      </c>
      <c r="D10" s="21" t="s">
        <v>238</v>
      </c>
      <c r="E10" s="22">
        <v>6800</v>
      </c>
      <c r="F10" s="23">
        <v>29382</v>
      </c>
      <c r="G10" s="24"/>
      <c r="H10" s="25"/>
    </row>
    <row r="11" spans="1:12" ht="16.7" customHeight="1">
      <c r="A11" s="21">
        <v>10</v>
      </c>
      <c r="B11" s="21" t="s">
        <v>252</v>
      </c>
      <c r="C11" s="21" t="s">
        <v>253</v>
      </c>
      <c r="D11" s="21" t="s">
        <v>245</v>
      </c>
      <c r="E11" s="22">
        <v>7500</v>
      </c>
      <c r="F11" s="23">
        <v>35477</v>
      </c>
      <c r="G11" s="24"/>
      <c r="H11" s="25"/>
    </row>
    <row r="12" spans="1:12" ht="16.7" customHeight="1">
      <c r="A12" s="21">
        <v>11</v>
      </c>
      <c r="B12" s="21" t="s">
        <v>254</v>
      </c>
      <c r="C12" s="21" t="s">
        <v>255</v>
      </c>
      <c r="D12" s="21" t="s">
        <v>238</v>
      </c>
      <c r="E12" s="22">
        <v>10333.333333333334</v>
      </c>
      <c r="F12" s="23">
        <v>26710</v>
      </c>
      <c r="G12" s="24"/>
      <c r="H12" s="25"/>
    </row>
    <row r="13" spans="1:12" ht="16.7" customHeight="1">
      <c r="A13" s="21">
        <v>12</v>
      </c>
      <c r="B13" s="21" t="s">
        <v>254</v>
      </c>
      <c r="C13" s="21" t="s">
        <v>240</v>
      </c>
      <c r="D13" s="21" t="s">
        <v>238</v>
      </c>
      <c r="E13" s="22">
        <v>11552</v>
      </c>
      <c r="F13" s="23">
        <v>26714</v>
      </c>
      <c r="G13" s="24"/>
      <c r="H13" s="25"/>
    </row>
    <row r="14" spans="1:12" ht="16.7" customHeight="1">
      <c r="A14" s="21">
        <v>13</v>
      </c>
      <c r="B14" s="21" t="s">
        <v>256</v>
      </c>
      <c r="C14" s="21" t="s">
        <v>257</v>
      </c>
      <c r="D14" s="21" t="s">
        <v>238</v>
      </c>
      <c r="E14" s="22">
        <v>8239.9999999999909</v>
      </c>
      <c r="F14" s="23">
        <v>34018</v>
      </c>
      <c r="G14" s="24"/>
      <c r="H14" s="25"/>
    </row>
    <row r="15" spans="1:12" ht="16.7" customHeight="1">
      <c r="A15" s="21">
        <v>14</v>
      </c>
      <c r="B15" s="21" t="s">
        <v>256</v>
      </c>
      <c r="C15" s="21" t="s">
        <v>159</v>
      </c>
      <c r="D15" s="21" t="s">
        <v>238</v>
      </c>
      <c r="E15" s="22">
        <v>14874</v>
      </c>
      <c r="F15" s="23">
        <v>26720</v>
      </c>
      <c r="G15" s="24"/>
      <c r="H15" s="25"/>
    </row>
    <row r="16" spans="1:12" ht="16.7" customHeight="1">
      <c r="A16" s="21">
        <v>15</v>
      </c>
      <c r="B16" s="21" t="s">
        <v>258</v>
      </c>
      <c r="C16" s="21" t="s">
        <v>259</v>
      </c>
      <c r="D16" s="21" t="s">
        <v>241</v>
      </c>
      <c r="E16" s="22">
        <v>6400</v>
      </c>
      <c r="F16" s="23">
        <v>34380</v>
      </c>
      <c r="G16" s="24"/>
      <c r="H16" s="25"/>
    </row>
    <row r="17" spans="1:8" ht="16.7" customHeight="1">
      <c r="A17" s="21">
        <v>16</v>
      </c>
      <c r="B17" s="21" t="s">
        <v>260</v>
      </c>
      <c r="C17" s="21" t="s">
        <v>261</v>
      </c>
      <c r="D17" s="21" t="s">
        <v>238</v>
      </c>
      <c r="E17" s="22">
        <v>12600</v>
      </c>
      <c r="F17" s="23">
        <v>33865</v>
      </c>
      <c r="G17" s="24"/>
      <c r="H17" s="25"/>
    </row>
    <row r="18" spans="1:8" ht="16.7" customHeight="1">
      <c r="A18" s="21">
        <v>17</v>
      </c>
      <c r="B18" s="21" t="s">
        <v>262</v>
      </c>
      <c r="C18" s="21" t="s">
        <v>159</v>
      </c>
      <c r="D18" s="21" t="s">
        <v>241</v>
      </c>
      <c r="E18" s="22">
        <v>6400</v>
      </c>
      <c r="F18" s="23">
        <v>35565</v>
      </c>
      <c r="G18" s="24"/>
      <c r="H18" s="25"/>
    </row>
    <row r="19" spans="1:8" ht="16.7" customHeight="1">
      <c r="A19" s="21">
        <v>18</v>
      </c>
      <c r="B19" s="21" t="s">
        <v>262</v>
      </c>
      <c r="C19" s="21" t="s">
        <v>263</v>
      </c>
      <c r="D19" s="21" t="s">
        <v>245</v>
      </c>
      <c r="E19" s="22">
        <v>7500</v>
      </c>
      <c r="F19" s="23">
        <v>33650</v>
      </c>
      <c r="G19" s="24"/>
      <c r="H19" s="25"/>
    </row>
    <row r="20" spans="1:8" ht="16.7" customHeight="1">
      <c r="A20" s="21">
        <v>19</v>
      </c>
      <c r="B20" s="21" t="s">
        <v>262</v>
      </c>
      <c r="C20" s="21" t="s">
        <v>263</v>
      </c>
      <c r="D20" s="21" t="s">
        <v>241</v>
      </c>
      <c r="E20" s="22">
        <v>14333.333333333334</v>
      </c>
      <c r="F20" s="23">
        <v>33649</v>
      </c>
      <c r="G20" s="24"/>
      <c r="H20" s="25"/>
    </row>
    <row r="21" spans="1:8" ht="16.7" customHeight="1">
      <c r="A21" s="21">
        <v>20</v>
      </c>
      <c r="B21" s="21" t="s">
        <v>262</v>
      </c>
      <c r="C21" s="21" t="s">
        <v>264</v>
      </c>
      <c r="D21" s="21" t="s">
        <v>245</v>
      </c>
      <c r="E21" s="22">
        <v>6800</v>
      </c>
      <c r="F21" s="23">
        <v>29386</v>
      </c>
      <c r="G21" s="24"/>
      <c r="H21" s="25"/>
    </row>
    <row r="22" spans="1:8" ht="16.7" customHeight="1">
      <c r="A22" s="21">
        <v>21</v>
      </c>
      <c r="B22" s="21" t="s">
        <v>265</v>
      </c>
      <c r="C22" s="21" t="s">
        <v>266</v>
      </c>
      <c r="D22" s="21" t="s">
        <v>238</v>
      </c>
      <c r="E22" s="22">
        <v>12600</v>
      </c>
      <c r="F22" s="23">
        <v>33652</v>
      </c>
      <c r="G22" s="24"/>
      <c r="H22" s="25"/>
    </row>
    <row r="23" spans="1:8" ht="16.7" customHeight="1">
      <c r="A23" s="21">
        <v>22</v>
      </c>
      <c r="B23" s="21" t="s">
        <v>265</v>
      </c>
      <c r="C23" s="21" t="s">
        <v>248</v>
      </c>
      <c r="D23" s="21" t="s">
        <v>245</v>
      </c>
      <c r="E23" s="22">
        <v>6800</v>
      </c>
      <c r="F23" s="23">
        <v>29751</v>
      </c>
      <c r="G23" s="24"/>
      <c r="H23" s="25"/>
    </row>
    <row r="24" spans="1:8" ht="16.7" customHeight="1">
      <c r="A24" s="21">
        <v>23</v>
      </c>
      <c r="B24" s="21" t="s">
        <v>267</v>
      </c>
      <c r="C24" s="21" t="s">
        <v>268</v>
      </c>
      <c r="D24" s="21" t="s">
        <v>241</v>
      </c>
      <c r="E24" s="22">
        <v>6400</v>
      </c>
      <c r="F24" s="23">
        <v>34745</v>
      </c>
      <c r="G24" s="24"/>
      <c r="H24" s="25"/>
    </row>
    <row r="25" spans="1:8" ht="16.7" customHeight="1">
      <c r="A25" s="21">
        <v>24</v>
      </c>
      <c r="B25" s="21" t="s">
        <v>269</v>
      </c>
      <c r="C25" s="21" t="s">
        <v>270</v>
      </c>
      <c r="D25" s="21" t="s">
        <v>241</v>
      </c>
      <c r="E25" s="22">
        <v>6400</v>
      </c>
      <c r="F25" s="23">
        <v>35626</v>
      </c>
      <c r="G25" s="24"/>
      <c r="H25" s="25"/>
    </row>
    <row r="26" spans="1:8" ht="16.7" customHeight="1">
      <c r="A26" s="21">
        <v>25</v>
      </c>
      <c r="B26" s="21" t="s">
        <v>269</v>
      </c>
      <c r="C26" s="21" t="s">
        <v>271</v>
      </c>
      <c r="D26" s="21" t="s">
        <v>238</v>
      </c>
      <c r="E26" s="22">
        <v>6800</v>
      </c>
      <c r="F26" s="23">
        <v>29443</v>
      </c>
      <c r="G26" s="24"/>
      <c r="H26" s="25"/>
    </row>
    <row r="27" spans="1:8" ht="16.7" customHeight="1">
      <c r="A27" s="21">
        <v>26</v>
      </c>
      <c r="B27" s="21" t="s">
        <v>272</v>
      </c>
      <c r="C27" s="21" t="s">
        <v>273</v>
      </c>
      <c r="D27" s="21" t="s">
        <v>241</v>
      </c>
      <c r="E27" s="22">
        <v>6800</v>
      </c>
      <c r="F27" s="23">
        <v>33037</v>
      </c>
      <c r="G27" s="24"/>
      <c r="H27" s="25"/>
    </row>
    <row r="28" spans="1:8" ht="16.7" customHeight="1">
      <c r="A28" s="21">
        <v>27</v>
      </c>
      <c r="B28" s="21" t="s">
        <v>272</v>
      </c>
      <c r="C28" s="21" t="s">
        <v>146</v>
      </c>
      <c r="D28" s="21" t="s">
        <v>245</v>
      </c>
      <c r="E28" s="22">
        <v>14333.333333333334</v>
      </c>
      <c r="F28" s="23">
        <v>27439</v>
      </c>
      <c r="G28" s="24"/>
      <c r="H28" s="25"/>
    </row>
    <row r="29" spans="1:8" ht="16.7" customHeight="1">
      <c r="A29" s="21">
        <v>28</v>
      </c>
      <c r="B29" s="21" t="s">
        <v>274</v>
      </c>
      <c r="C29" s="21" t="s">
        <v>159</v>
      </c>
      <c r="D29" s="21" t="s">
        <v>238</v>
      </c>
      <c r="E29" s="22">
        <v>8249.9999999999909</v>
      </c>
      <c r="F29" s="23">
        <v>34046</v>
      </c>
      <c r="G29" s="24"/>
      <c r="H29" s="25"/>
    </row>
    <row r="30" spans="1:8" ht="16.7" customHeight="1">
      <c r="A30" s="21">
        <v>29</v>
      </c>
      <c r="B30" s="21" t="s">
        <v>274</v>
      </c>
      <c r="C30" s="21" t="s">
        <v>266</v>
      </c>
      <c r="D30" s="21" t="s">
        <v>245</v>
      </c>
      <c r="E30" s="22">
        <v>6800</v>
      </c>
      <c r="F30" s="23">
        <v>30481</v>
      </c>
      <c r="G30" s="24"/>
      <c r="H30" s="25"/>
    </row>
    <row r="31" spans="1:8" ht="16.7" customHeight="1">
      <c r="A31" s="21">
        <v>30</v>
      </c>
      <c r="B31" s="21" t="s">
        <v>275</v>
      </c>
      <c r="C31" s="21" t="s">
        <v>251</v>
      </c>
      <c r="D31" s="21" t="s">
        <v>245</v>
      </c>
      <c r="E31" s="22">
        <v>7500</v>
      </c>
      <c r="F31" s="23">
        <v>34746</v>
      </c>
      <c r="G31" s="24"/>
      <c r="H31" s="25"/>
    </row>
    <row r="32" spans="1:8" ht="16.7" customHeight="1">
      <c r="A32" s="21">
        <v>31</v>
      </c>
      <c r="B32" s="21" t="s">
        <v>275</v>
      </c>
      <c r="C32" s="21" t="s">
        <v>248</v>
      </c>
      <c r="D32" s="21" t="s">
        <v>245</v>
      </c>
      <c r="E32" s="22">
        <v>7500</v>
      </c>
      <c r="F32" s="23">
        <v>34381</v>
      </c>
      <c r="G32" s="24"/>
      <c r="H32" s="25"/>
    </row>
    <row r="33" spans="1:8" ht="16.7" customHeight="1">
      <c r="A33" s="21">
        <v>32</v>
      </c>
      <c r="B33" s="21" t="s">
        <v>276</v>
      </c>
      <c r="C33" s="21" t="s">
        <v>277</v>
      </c>
      <c r="D33" s="21" t="s">
        <v>238</v>
      </c>
      <c r="E33" s="22">
        <v>12600</v>
      </c>
      <c r="F33" s="23">
        <v>33773</v>
      </c>
      <c r="G33" s="24"/>
      <c r="H33" s="25"/>
    </row>
    <row r="34" spans="1:8" ht="16.7" customHeight="1">
      <c r="A34" s="21">
        <v>33</v>
      </c>
      <c r="B34" s="21" t="s">
        <v>278</v>
      </c>
      <c r="C34" s="21" t="s">
        <v>279</v>
      </c>
      <c r="D34" s="21" t="s">
        <v>241</v>
      </c>
      <c r="E34" s="22">
        <v>6500</v>
      </c>
      <c r="F34" s="23">
        <v>35688</v>
      </c>
      <c r="G34" s="24"/>
      <c r="H34" s="25"/>
    </row>
    <row r="35" spans="1:8" ht="16.7" customHeight="1">
      <c r="A35" s="21">
        <v>34</v>
      </c>
      <c r="B35" s="21" t="s">
        <v>280</v>
      </c>
      <c r="C35" s="21" t="s">
        <v>244</v>
      </c>
      <c r="D35" s="21" t="s">
        <v>241</v>
      </c>
      <c r="E35" s="22">
        <v>7000</v>
      </c>
      <c r="F35" s="23">
        <v>33190</v>
      </c>
      <c r="G35" s="24"/>
      <c r="H35" s="25"/>
    </row>
    <row r="36" spans="1:8" ht="16.7" customHeight="1">
      <c r="A36" s="21">
        <v>35</v>
      </c>
      <c r="B36" s="21" t="s">
        <v>280</v>
      </c>
      <c r="C36" s="21" t="s">
        <v>146</v>
      </c>
      <c r="D36" s="21" t="s">
        <v>241</v>
      </c>
      <c r="E36" s="22">
        <v>11133.333333333334</v>
      </c>
      <c r="F36" s="23">
        <v>33402</v>
      </c>
      <c r="G36" s="24"/>
      <c r="H36" s="25"/>
    </row>
    <row r="37" spans="1:8" ht="16.7" customHeight="1">
      <c r="A37" s="21">
        <v>36</v>
      </c>
      <c r="B37" s="21" t="s">
        <v>281</v>
      </c>
      <c r="C37" s="21" t="s">
        <v>282</v>
      </c>
      <c r="D37" s="21" t="s">
        <v>241</v>
      </c>
      <c r="E37" s="22">
        <v>22000</v>
      </c>
      <c r="F37" s="23">
        <v>26727</v>
      </c>
      <c r="G37" s="24"/>
      <c r="H37" s="25"/>
    </row>
    <row r="38" spans="1:8" ht="16.7" customHeight="1">
      <c r="A38" s="21">
        <v>37</v>
      </c>
      <c r="B38" s="21" t="s">
        <v>283</v>
      </c>
      <c r="C38" s="21" t="s">
        <v>284</v>
      </c>
      <c r="D38" s="21" t="s">
        <v>241</v>
      </c>
      <c r="E38" s="22">
        <v>6400</v>
      </c>
      <c r="F38" s="23">
        <v>35596</v>
      </c>
      <c r="G38" s="24"/>
      <c r="H38" s="25"/>
    </row>
    <row r="39" spans="1:8" ht="16.7" customHeight="1">
      <c r="A39" s="21">
        <v>38</v>
      </c>
      <c r="B39" s="21" t="s">
        <v>285</v>
      </c>
      <c r="C39" s="21" t="s">
        <v>286</v>
      </c>
      <c r="D39" s="21" t="s">
        <v>241</v>
      </c>
      <c r="E39" s="22">
        <v>6400</v>
      </c>
      <c r="F39" s="23">
        <v>35535</v>
      </c>
      <c r="G39" s="24"/>
      <c r="H39" s="25"/>
    </row>
    <row r="40" spans="1:8" ht="16.7" customHeight="1">
      <c r="A40" s="21">
        <v>39</v>
      </c>
      <c r="B40" s="21" t="s">
        <v>287</v>
      </c>
      <c r="C40" s="21" t="s">
        <v>251</v>
      </c>
      <c r="D40" s="21" t="s">
        <v>241</v>
      </c>
      <c r="E40" s="22">
        <v>8733.3333333333339</v>
      </c>
      <c r="F40" s="23">
        <v>33220</v>
      </c>
      <c r="G40" s="24"/>
      <c r="H40" s="25"/>
    </row>
    <row r="41" spans="1:8" ht="16.7" customHeight="1">
      <c r="A41" s="21">
        <v>40</v>
      </c>
      <c r="B41" s="21" t="s">
        <v>287</v>
      </c>
      <c r="C41" s="21" t="s">
        <v>288</v>
      </c>
      <c r="D41" s="21" t="s">
        <v>238</v>
      </c>
      <c r="E41" s="22">
        <v>6800</v>
      </c>
      <c r="F41" s="23">
        <v>29321</v>
      </c>
      <c r="G41" s="24"/>
      <c r="H41" s="25"/>
    </row>
    <row r="42" spans="1:8" ht="16.7" customHeight="1">
      <c r="A42" s="21">
        <v>41</v>
      </c>
      <c r="B42" s="21" t="s">
        <v>289</v>
      </c>
      <c r="C42" s="21" t="s">
        <v>146</v>
      </c>
      <c r="D42" s="21" t="s">
        <v>241</v>
      </c>
      <c r="E42" s="22">
        <v>6400</v>
      </c>
      <c r="F42" s="23">
        <v>34015</v>
      </c>
      <c r="G42" s="24"/>
      <c r="H42" s="25"/>
    </row>
    <row r="43" spans="1:8" ht="16.7" customHeight="1">
      <c r="A43" s="21">
        <v>42</v>
      </c>
      <c r="B43" s="21" t="s">
        <v>289</v>
      </c>
      <c r="C43" s="21" t="s">
        <v>290</v>
      </c>
      <c r="D43" s="21" t="s">
        <v>238</v>
      </c>
      <c r="E43" s="22">
        <v>12600</v>
      </c>
      <c r="F43" s="23">
        <v>33742</v>
      </c>
      <c r="G43" s="24"/>
      <c r="H43" s="25"/>
    </row>
    <row r="44" spans="1:8" ht="16.7" customHeight="1">
      <c r="A44" s="21">
        <v>43</v>
      </c>
      <c r="B44" s="21" t="s">
        <v>291</v>
      </c>
      <c r="C44" s="21" t="s">
        <v>292</v>
      </c>
      <c r="D44" s="21" t="s">
        <v>245</v>
      </c>
      <c r="E44" s="22">
        <v>14333.333333333334</v>
      </c>
      <c r="F44" s="23">
        <v>28170</v>
      </c>
      <c r="G44" s="24"/>
      <c r="H44" s="25"/>
    </row>
    <row r="45" spans="1:8" ht="16.7" customHeight="1">
      <c r="A45" s="21">
        <v>44</v>
      </c>
      <c r="B45" s="21" t="s">
        <v>291</v>
      </c>
      <c r="C45" s="21" t="s">
        <v>293</v>
      </c>
      <c r="D45" s="21" t="s">
        <v>245</v>
      </c>
      <c r="E45" s="22">
        <v>14333.333333333334</v>
      </c>
      <c r="F45" s="23">
        <v>27804</v>
      </c>
      <c r="G45" s="24"/>
      <c r="H45" s="25"/>
    </row>
    <row r="46" spans="1:8" ht="16.7" customHeight="1">
      <c r="A46" s="21">
        <v>45</v>
      </c>
      <c r="B46" s="21" t="s">
        <v>294</v>
      </c>
      <c r="C46" s="21" t="s">
        <v>290</v>
      </c>
      <c r="D46" s="21" t="s">
        <v>238</v>
      </c>
      <c r="E46" s="22">
        <v>8210</v>
      </c>
      <c r="F46" s="23">
        <v>33926</v>
      </c>
      <c r="G46" s="24"/>
      <c r="H46" s="25"/>
    </row>
    <row r="47" spans="1:8" ht="16.7" customHeight="1">
      <c r="A47" s="21">
        <v>46</v>
      </c>
      <c r="B47" s="21" t="s">
        <v>294</v>
      </c>
      <c r="C47" s="21" t="s">
        <v>293</v>
      </c>
      <c r="D47" s="21" t="s">
        <v>238</v>
      </c>
      <c r="E47" s="22">
        <v>6800</v>
      </c>
      <c r="F47" s="23">
        <v>29290</v>
      </c>
      <c r="G47" s="24"/>
      <c r="H47" s="25"/>
    </row>
    <row r="48" spans="1:8" ht="16.7" customHeight="1">
      <c r="A48" s="21">
        <v>47</v>
      </c>
      <c r="B48" s="21" t="s">
        <v>295</v>
      </c>
      <c r="C48" s="21" t="s">
        <v>296</v>
      </c>
      <c r="D48" s="21" t="s">
        <v>241</v>
      </c>
      <c r="E48" s="22">
        <v>6800</v>
      </c>
      <c r="F48" s="23">
        <v>33129</v>
      </c>
      <c r="G48" s="24"/>
      <c r="H48" s="25"/>
    </row>
    <row r="49" spans="1:8" ht="16.7" customHeight="1">
      <c r="A49" s="21">
        <v>48</v>
      </c>
      <c r="B49" s="21" t="s">
        <v>295</v>
      </c>
      <c r="C49" s="21" t="s">
        <v>251</v>
      </c>
      <c r="D49" s="21" t="s">
        <v>238</v>
      </c>
      <c r="E49" s="22">
        <v>78259</v>
      </c>
      <c r="F49" s="23">
        <v>26731</v>
      </c>
      <c r="G49" s="24"/>
      <c r="H49" s="25"/>
    </row>
    <row r="50" spans="1:8" ht="16.7" customHeight="1">
      <c r="A50" s="21">
        <v>49</v>
      </c>
      <c r="B50" s="21" t="s">
        <v>297</v>
      </c>
      <c r="C50" s="21" t="s">
        <v>293</v>
      </c>
      <c r="D50" s="21" t="s">
        <v>245</v>
      </c>
      <c r="E50" s="22">
        <v>7933.3333333333339</v>
      </c>
      <c r="F50" s="23">
        <v>33687</v>
      </c>
      <c r="G50" s="24"/>
      <c r="H50" s="25"/>
    </row>
    <row r="51" spans="1:8" ht="16.7" customHeight="1">
      <c r="A51" s="21">
        <v>50</v>
      </c>
      <c r="B51" s="21" t="s">
        <v>297</v>
      </c>
      <c r="C51" s="21" t="s">
        <v>298</v>
      </c>
      <c r="D51" s="21" t="s">
        <v>238</v>
      </c>
      <c r="E51" s="22">
        <v>15674</v>
      </c>
      <c r="F51" s="23">
        <v>26724</v>
      </c>
      <c r="G51" s="24"/>
      <c r="H51" s="25"/>
    </row>
    <row r="52" spans="1:8" ht="16.7" customHeight="1">
      <c r="A52" s="21">
        <v>51</v>
      </c>
      <c r="B52" s="21" t="s">
        <v>299</v>
      </c>
      <c r="C52" s="21" t="s">
        <v>300</v>
      </c>
      <c r="D52" s="21" t="s">
        <v>241</v>
      </c>
      <c r="E52" s="22">
        <v>15133.333333333334</v>
      </c>
      <c r="F52" s="23">
        <v>33524</v>
      </c>
      <c r="G52" s="24"/>
      <c r="H52" s="25"/>
    </row>
    <row r="53" spans="1:8" ht="16.7" customHeight="1">
      <c r="A53" s="21">
        <v>52</v>
      </c>
      <c r="B53" s="21" t="s">
        <v>299</v>
      </c>
      <c r="C53" s="21" t="s">
        <v>301</v>
      </c>
      <c r="D53" s="21" t="s">
        <v>245</v>
      </c>
      <c r="E53" s="22">
        <v>6800</v>
      </c>
      <c r="F53" s="23">
        <v>30116</v>
      </c>
      <c r="G53" s="24"/>
      <c r="H53" s="25"/>
    </row>
    <row r="54" spans="1:8" ht="16.7" customHeight="1">
      <c r="A54" s="21">
        <v>53</v>
      </c>
      <c r="B54" s="21" t="s">
        <v>302</v>
      </c>
      <c r="C54" s="21" t="s">
        <v>303</v>
      </c>
      <c r="D54" s="21" t="s">
        <v>238</v>
      </c>
      <c r="E54" s="22">
        <v>12600</v>
      </c>
      <c r="F54" s="23">
        <v>33681</v>
      </c>
      <c r="G54" s="24"/>
      <c r="H54" s="25"/>
    </row>
    <row r="55" spans="1:8" ht="16.7" customHeight="1">
      <c r="A55" s="21">
        <v>54</v>
      </c>
      <c r="B55" s="21" t="s">
        <v>304</v>
      </c>
      <c r="C55" s="21" t="s">
        <v>270</v>
      </c>
      <c r="D55" s="21" t="s">
        <v>241</v>
      </c>
      <c r="E55" s="22">
        <v>5533.3333333333339</v>
      </c>
      <c r="F55" s="23">
        <v>35657</v>
      </c>
      <c r="G55" s="24"/>
      <c r="H55" s="25"/>
    </row>
    <row r="56" spans="1:8" ht="16.7" customHeight="1">
      <c r="A56" s="21">
        <v>55</v>
      </c>
      <c r="B56" s="21" t="s">
        <v>304</v>
      </c>
      <c r="C56" s="21" t="s">
        <v>300</v>
      </c>
      <c r="D56" s="21" t="s">
        <v>241</v>
      </c>
      <c r="E56" s="22">
        <v>11933.333333333334</v>
      </c>
      <c r="F56" s="23">
        <v>33463</v>
      </c>
      <c r="G56" s="24"/>
      <c r="H56" s="25"/>
    </row>
    <row r="57" spans="1:8" ht="16.7" customHeight="1">
      <c r="A57" s="21">
        <v>56</v>
      </c>
      <c r="B57" s="21" t="s">
        <v>305</v>
      </c>
      <c r="C57" s="21" t="s">
        <v>240</v>
      </c>
      <c r="D57" s="21" t="s">
        <v>238</v>
      </c>
      <c r="E57" s="22">
        <v>8220</v>
      </c>
      <c r="F57" s="23">
        <v>33956</v>
      </c>
      <c r="G57" s="24"/>
      <c r="H57" s="25"/>
    </row>
    <row r="58" spans="1:8" ht="16.7" customHeight="1">
      <c r="A58" s="21">
        <v>57</v>
      </c>
      <c r="B58" s="21" t="s">
        <v>305</v>
      </c>
      <c r="C58" s="21" t="s">
        <v>290</v>
      </c>
      <c r="D58" s="21" t="s">
        <v>238</v>
      </c>
      <c r="E58" s="22">
        <v>12600</v>
      </c>
      <c r="F58" s="23">
        <v>33803</v>
      </c>
      <c r="G58" s="24"/>
      <c r="H58" s="25"/>
    </row>
    <row r="59" spans="1:8" ht="16.7" customHeight="1">
      <c r="A59" s="21">
        <v>58</v>
      </c>
      <c r="B59" s="21" t="s">
        <v>306</v>
      </c>
      <c r="C59" s="21" t="s">
        <v>300</v>
      </c>
      <c r="D59" s="21" t="s">
        <v>245</v>
      </c>
      <c r="E59" s="22">
        <v>7500</v>
      </c>
      <c r="F59" s="23">
        <v>34016</v>
      </c>
      <c r="G59" s="24"/>
      <c r="H59" s="25"/>
    </row>
    <row r="60" spans="1:8" ht="16.7" customHeight="1">
      <c r="A60" s="21">
        <v>59</v>
      </c>
      <c r="B60" s="21" t="s">
        <v>306</v>
      </c>
      <c r="C60" s="21" t="s">
        <v>307</v>
      </c>
      <c r="D60" s="21" t="s">
        <v>238</v>
      </c>
      <c r="E60" s="22">
        <v>12600</v>
      </c>
      <c r="F60" s="23">
        <v>33651</v>
      </c>
      <c r="G60" s="24"/>
      <c r="H60" s="25"/>
    </row>
    <row r="61" spans="1:8" ht="16.7" customHeight="1">
      <c r="A61" s="21">
        <v>60</v>
      </c>
      <c r="B61" s="21" t="s">
        <v>308</v>
      </c>
      <c r="C61" s="21" t="s">
        <v>293</v>
      </c>
      <c r="D61" s="21" t="s">
        <v>245</v>
      </c>
      <c r="E61" s="22">
        <v>7500</v>
      </c>
      <c r="F61" s="23">
        <v>35505</v>
      </c>
      <c r="G61" s="24"/>
      <c r="H61" s="25"/>
    </row>
    <row r="62" spans="1:8" ht="16.7" customHeight="1">
      <c r="A62" s="21">
        <v>61</v>
      </c>
      <c r="B62" s="21" t="s">
        <v>308</v>
      </c>
      <c r="C62" s="21" t="s">
        <v>307</v>
      </c>
      <c r="D62" s="21" t="s">
        <v>245</v>
      </c>
      <c r="E62" s="22">
        <v>7500</v>
      </c>
      <c r="F62" s="23">
        <v>35111</v>
      </c>
      <c r="G62" s="24"/>
      <c r="H62" s="25"/>
    </row>
    <row r="63" spans="1:8" ht="16.7" customHeight="1">
      <c r="A63" s="21">
        <v>62</v>
      </c>
      <c r="B63" s="21" t="s">
        <v>309</v>
      </c>
      <c r="C63" s="21" t="s">
        <v>310</v>
      </c>
      <c r="D63" s="21" t="s">
        <v>238</v>
      </c>
      <c r="E63" s="22">
        <v>6800</v>
      </c>
      <c r="F63" s="23">
        <v>29412</v>
      </c>
      <c r="G63" s="24"/>
      <c r="H63" s="25"/>
    </row>
    <row r="64" spans="1:8" ht="16.7" customHeight="1">
      <c r="A64" s="21">
        <v>63</v>
      </c>
      <c r="B64" s="21" t="s">
        <v>309</v>
      </c>
      <c r="C64" s="21" t="s">
        <v>290</v>
      </c>
      <c r="D64" s="21" t="s">
        <v>245</v>
      </c>
      <c r="E64" s="22">
        <v>9533.3333333333339</v>
      </c>
      <c r="F64" s="23">
        <v>26709</v>
      </c>
      <c r="G64" s="24"/>
      <c r="H64" s="25"/>
    </row>
    <row r="65" spans="1:8" ht="16.7" customHeight="1">
      <c r="A65" s="21">
        <v>64</v>
      </c>
      <c r="B65" s="21" t="s">
        <v>311</v>
      </c>
      <c r="C65" s="21" t="s">
        <v>266</v>
      </c>
      <c r="D65" s="21" t="s">
        <v>241</v>
      </c>
      <c r="E65" s="22">
        <v>6800</v>
      </c>
      <c r="F65" s="23">
        <v>33159</v>
      </c>
      <c r="G65" s="24"/>
      <c r="H65" s="25"/>
    </row>
    <row r="66" spans="1:8" ht="16.7" customHeight="1">
      <c r="A66" s="21">
        <v>65</v>
      </c>
      <c r="B66" s="21" t="s">
        <v>311</v>
      </c>
      <c r="C66" s="21" t="s">
        <v>266</v>
      </c>
      <c r="D66" s="21" t="s">
        <v>238</v>
      </c>
      <c r="E66" s="22">
        <v>78259</v>
      </c>
      <c r="F66" s="23">
        <v>26730</v>
      </c>
      <c r="G66" s="24"/>
      <c r="H66" s="25"/>
    </row>
    <row r="67" spans="1:8" ht="16.7" customHeight="1">
      <c r="A67" s="21">
        <v>66</v>
      </c>
      <c r="B67" s="21" t="s">
        <v>312</v>
      </c>
      <c r="C67" s="21" t="s">
        <v>307</v>
      </c>
      <c r="D67" s="21" t="s">
        <v>245</v>
      </c>
      <c r="E67" s="22">
        <v>6800</v>
      </c>
      <c r="F67" s="23">
        <v>30847</v>
      </c>
      <c r="G67" s="24"/>
      <c r="H67" s="25"/>
    </row>
    <row r="68" spans="1:8" ht="16.7" customHeight="1">
      <c r="A68" s="21">
        <v>67</v>
      </c>
      <c r="B68" s="21" t="s">
        <v>312</v>
      </c>
      <c r="C68" s="21" t="s">
        <v>313</v>
      </c>
      <c r="D68" s="21" t="s">
        <v>238</v>
      </c>
      <c r="E68" s="22">
        <v>6800</v>
      </c>
      <c r="F68" s="23">
        <v>29351</v>
      </c>
      <c r="G68" s="24"/>
      <c r="H68" s="25"/>
    </row>
    <row r="69" spans="1:8" ht="16.7" customHeight="1">
      <c r="A69" s="21">
        <v>68</v>
      </c>
      <c r="B69" s="21" t="s">
        <v>314</v>
      </c>
      <c r="C69" s="21" t="s">
        <v>273</v>
      </c>
      <c r="D69" s="21" t="s">
        <v>238</v>
      </c>
      <c r="E69" s="22">
        <v>8200</v>
      </c>
      <c r="F69" s="23">
        <v>33895</v>
      </c>
      <c r="G69" s="24"/>
      <c r="H69" s="25"/>
    </row>
    <row r="70" spans="1:8" ht="16.7" customHeight="1">
      <c r="A70" s="21">
        <v>69</v>
      </c>
      <c r="B70" s="21" t="s">
        <v>315</v>
      </c>
      <c r="C70" s="21" t="s">
        <v>263</v>
      </c>
      <c r="D70" s="21" t="s">
        <v>245</v>
      </c>
      <c r="E70" s="22">
        <v>7500</v>
      </c>
      <c r="F70" s="23">
        <v>29020</v>
      </c>
      <c r="G70" s="24"/>
      <c r="H70" s="25"/>
    </row>
    <row r="71" spans="1:8" ht="16.7" customHeight="1">
      <c r="A71" s="21">
        <v>70</v>
      </c>
      <c r="B71" s="21" t="s">
        <v>316</v>
      </c>
      <c r="C71" s="21" t="s">
        <v>317</v>
      </c>
      <c r="D71" s="21" t="s">
        <v>238</v>
      </c>
      <c r="E71" s="22">
        <v>12600</v>
      </c>
      <c r="F71" s="23">
        <v>33712</v>
      </c>
      <c r="G71" s="24"/>
      <c r="H71" s="25"/>
    </row>
    <row r="72" spans="1:8" ht="16.7" customHeight="1">
      <c r="A72" s="21">
        <v>71</v>
      </c>
      <c r="B72" s="21" t="s">
        <v>318</v>
      </c>
      <c r="C72" s="21" t="s">
        <v>248</v>
      </c>
      <c r="D72" s="21" t="s">
        <v>241</v>
      </c>
      <c r="E72" s="22">
        <v>14874</v>
      </c>
      <c r="F72" s="23">
        <v>33494</v>
      </c>
      <c r="G72" s="24"/>
      <c r="H72" s="25"/>
    </row>
    <row r="73" spans="1:8" ht="16.7" customHeight="1">
      <c r="A73" s="21">
        <v>72</v>
      </c>
      <c r="B73" s="21" t="s">
        <v>318</v>
      </c>
      <c r="C73" s="21" t="s">
        <v>242</v>
      </c>
      <c r="D73" s="21" t="s">
        <v>238</v>
      </c>
      <c r="E73" s="22">
        <v>15674</v>
      </c>
      <c r="F73" s="23">
        <v>26725</v>
      </c>
      <c r="G73" s="24"/>
      <c r="H73" s="25"/>
    </row>
    <row r="74" spans="1:8" ht="16.7" customHeight="1">
      <c r="A74" s="21">
        <v>73</v>
      </c>
      <c r="B74" s="21" t="s">
        <v>319</v>
      </c>
      <c r="C74" s="21" t="s">
        <v>320</v>
      </c>
      <c r="D74" s="21" t="s">
        <v>241</v>
      </c>
      <c r="E74" s="22">
        <v>11552</v>
      </c>
      <c r="F74" s="23">
        <v>33432</v>
      </c>
      <c r="G74" s="24"/>
      <c r="H74" s="25"/>
    </row>
    <row r="75" spans="1:8" ht="16.7" customHeight="1">
      <c r="A75" s="21">
        <v>74</v>
      </c>
      <c r="B75" s="21" t="s">
        <v>321</v>
      </c>
      <c r="C75" s="21" t="s">
        <v>240</v>
      </c>
      <c r="D75" s="21" t="s">
        <v>238</v>
      </c>
      <c r="E75" s="22">
        <v>7133.3333333333339</v>
      </c>
      <c r="F75" s="23">
        <v>33686</v>
      </c>
      <c r="G75" s="24"/>
      <c r="H75" s="25"/>
    </row>
    <row r="76" spans="1:8" ht="16.7" customHeight="1">
      <c r="A76" s="21">
        <v>75</v>
      </c>
      <c r="B76" s="21" t="s">
        <v>321</v>
      </c>
      <c r="C76" s="21" t="s">
        <v>244</v>
      </c>
      <c r="D76" s="21" t="s">
        <v>241</v>
      </c>
      <c r="E76" s="22">
        <v>6800</v>
      </c>
      <c r="F76" s="23">
        <v>33098</v>
      </c>
      <c r="G76" s="24"/>
      <c r="H76" s="25"/>
    </row>
    <row r="77" spans="1:8" ht="16.7" customHeight="1">
      <c r="A77" s="21">
        <v>76</v>
      </c>
      <c r="B77" s="21" t="s">
        <v>322</v>
      </c>
      <c r="C77" s="21" t="s">
        <v>323</v>
      </c>
      <c r="D77" s="21" t="s">
        <v>238</v>
      </c>
      <c r="E77" s="22">
        <v>6800</v>
      </c>
      <c r="F77" s="23">
        <v>29261</v>
      </c>
      <c r="G77" s="24"/>
      <c r="H77" s="25"/>
    </row>
    <row r="78" spans="1:8" ht="16.7" customHeight="1">
      <c r="A78" s="21">
        <v>77</v>
      </c>
      <c r="B78" s="21" t="s">
        <v>322</v>
      </c>
      <c r="C78" s="21" t="s">
        <v>307</v>
      </c>
      <c r="D78" s="21" t="s">
        <v>238</v>
      </c>
      <c r="E78" s="22">
        <v>12733.333333333334</v>
      </c>
      <c r="F78" s="23">
        <v>26716</v>
      </c>
      <c r="G78" s="24"/>
      <c r="H78" s="25"/>
    </row>
    <row r="79" spans="1:8" ht="16.7" customHeight="1">
      <c r="A79" s="21">
        <v>78</v>
      </c>
      <c r="B79" s="21" t="s">
        <v>324</v>
      </c>
      <c r="C79" s="21" t="s">
        <v>325</v>
      </c>
      <c r="D79" s="21" t="s">
        <v>238</v>
      </c>
      <c r="E79" s="22">
        <v>14874</v>
      </c>
      <c r="F79" s="23">
        <v>26719</v>
      </c>
      <c r="G79" s="24"/>
      <c r="H79" s="25"/>
    </row>
    <row r="80" spans="1:8" ht="16.7" customHeight="1">
      <c r="A80" s="21">
        <v>79</v>
      </c>
      <c r="B80" s="21" t="s">
        <v>326</v>
      </c>
      <c r="C80" s="21" t="s">
        <v>293</v>
      </c>
      <c r="D80" s="21" t="s">
        <v>241</v>
      </c>
      <c r="E80" s="22">
        <v>6400</v>
      </c>
      <c r="F80" s="23">
        <v>35476</v>
      </c>
      <c r="G80" s="24"/>
      <c r="H80" s="25"/>
    </row>
    <row r="81" spans="1:8" ht="16.7" customHeight="1">
      <c r="A81" s="21">
        <v>80</v>
      </c>
      <c r="B81" s="21" t="s">
        <v>326</v>
      </c>
      <c r="C81" s="21" t="s">
        <v>270</v>
      </c>
      <c r="D81" s="21" t="s">
        <v>245</v>
      </c>
      <c r="E81" s="22">
        <v>11552</v>
      </c>
      <c r="F81" s="23">
        <v>27074</v>
      </c>
      <c r="G81" s="24"/>
      <c r="H81" s="25"/>
    </row>
    <row r="82" spans="1:8" ht="16.7" customHeight="1">
      <c r="A82" s="21">
        <v>81</v>
      </c>
      <c r="B82" s="21" t="s">
        <v>327</v>
      </c>
      <c r="C82" s="21" t="s">
        <v>282</v>
      </c>
      <c r="D82" s="21" t="s">
        <v>241</v>
      </c>
      <c r="E82" s="22">
        <v>6400</v>
      </c>
      <c r="F82" s="23">
        <v>35110</v>
      </c>
      <c r="G82" s="24"/>
      <c r="H82" s="25"/>
    </row>
    <row r="83" spans="1:8" ht="16.7" customHeight="1">
      <c r="A83" s="21">
        <v>82</v>
      </c>
      <c r="B83" s="21" t="s">
        <v>327</v>
      </c>
      <c r="C83" s="21" t="s">
        <v>270</v>
      </c>
      <c r="D83" s="21" t="s">
        <v>241</v>
      </c>
      <c r="E83" s="22">
        <v>6800</v>
      </c>
      <c r="F83" s="23">
        <v>33067</v>
      </c>
      <c r="G83" s="24"/>
      <c r="H83" s="25"/>
    </row>
    <row r="86" spans="1:8" ht="16.7" customHeight="1">
      <c r="A86" s="26"/>
      <c r="B86" s="26"/>
    </row>
    <row r="87" spans="1:8" ht="16.7" customHeight="1">
      <c r="A87" s="26"/>
      <c r="B87" s="26" t="s">
        <v>328</v>
      </c>
    </row>
  </sheetData>
  <mergeCells count="1">
    <mergeCell ref="K1:L1"/>
  </mergeCells>
  <hyperlinks>
    <hyperlink ref="K1:L1" location="MENU!A1" display="RETOUR MENU"/>
  </hyperlinks>
  <printOptions horizontalCentered="1" gridLines="1" gridLinesSet="0"/>
  <pageMargins left="0.78740157480314965" right="0.78740157480314965" top="0.78740157480314965" bottom="0.78740157480314965" header="0.51181102362204722" footer="0.51181102362204722"/>
  <pageSetup paperSize="9" scale="65" orientation="portrait" r:id="rId1"/>
  <headerFooter alignWithMargins="0">
    <oddHeader xml:space="preserve">&amp;LCalcul ancienneté - Si imbriqué&amp;R&amp;"Arial,Italique"&amp;22Base de données </oddHeader>
    <oddFooter>&amp;L&amp;"Arial,Italique"&amp;11Sandrine Sieffert&amp;C&amp;P / &amp;N&amp;R&amp;"Arial,Italique"&amp;11&amp;F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SEMAINE</vt:lpstr>
      <vt:lpstr>LIVRES</vt:lpstr>
      <vt:lpstr>ABONNES</vt:lpstr>
      <vt:lpstr>ABONNES</vt:lpstr>
      <vt:lpstr>LIVRES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Sandrine</cp:lastModifiedBy>
  <dcterms:created xsi:type="dcterms:W3CDTF">2013-06-20T13:11:39Z</dcterms:created>
  <dcterms:modified xsi:type="dcterms:W3CDTF">2017-03-24T20:59:49Z</dcterms:modified>
</cp:coreProperties>
</file>