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fi\Desktop\"/>
    </mc:Choice>
  </mc:AlternateContent>
  <bookViews>
    <workbookView xWindow="240" yWindow="30" windowWidth="15480" windowHeight="11640"/>
  </bookViews>
  <sheets>
    <sheet name="factures" sheetId="1" r:id="rId1"/>
    <sheet name="Paiements" sheetId="2" r:id="rId2"/>
  </sheets>
  <definedNames>
    <definedName name="Paiments">Paiements!$A$2:$C$1498</definedName>
  </definedNames>
  <calcPr calcId="152511"/>
</workbook>
</file>

<file path=xl/calcChain.xml><?xml version="1.0" encoding="utf-8"?>
<calcChain xmlns="http://schemas.openxmlformats.org/spreadsheetml/2006/main">
  <c r="F10" i="1" l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2" i="1"/>
</calcChain>
</file>

<file path=xl/sharedStrings.xml><?xml version="1.0" encoding="utf-8"?>
<sst xmlns="http://schemas.openxmlformats.org/spreadsheetml/2006/main" count="3014" uniqueCount="106">
  <si>
    <t>Vins et alcools Chevalier</t>
  </si>
  <si>
    <t>Toms Spezialitäten</t>
  </si>
  <si>
    <t>Hanari Carnes</t>
  </si>
  <si>
    <t>Victuailles en stock</t>
  </si>
  <si>
    <t>Suprêmes délices</t>
  </si>
  <si>
    <t>Chop-suey Chinese</t>
  </si>
  <si>
    <t>Richter Supermarkt</t>
  </si>
  <si>
    <t>Wellington Importadora</t>
  </si>
  <si>
    <t>HILARIÓN-Abastos</t>
  </si>
  <si>
    <t>Ernst Handel</t>
  </si>
  <si>
    <t>Centro comercial Moctezuma</t>
  </si>
  <si>
    <t>Ottilies Käseladen</t>
  </si>
  <si>
    <t>Que Delícia</t>
  </si>
  <si>
    <t>Rattlesnake Canyon Grocery</t>
  </si>
  <si>
    <t>Folk och fä HB</t>
  </si>
  <si>
    <t>Blondel père et fils</t>
  </si>
  <si>
    <t>Wartian Herkku</t>
  </si>
  <si>
    <t>Frankenversand</t>
  </si>
  <si>
    <t>GROSELLA-Restaurante</t>
  </si>
  <si>
    <t>White Clover Markets</t>
  </si>
  <si>
    <t>Split Rail Beer &amp; Ale</t>
  </si>
  <si>
    <t>QUICK-Stop</t>
  </si>
  <si>
    <t>Magazzini Alimentari Riuniti</t>
  </si>
  <si>
    <t>Tortuga Restaurante</t>
  </si>
  <si>
    <t>Morgenstern Gesundkost</t>
  </si>
  <si>
    <t>Berglunds snabbköp</t>
  </si>
  <si>
    <t>Lehmanns Marktstand</t>
  </si>
  <si>
    <t>Romero y tomillo</t>
  </si>
  <si>
    <t>LILA-Supermercado</t>
  </si>
  <si>
    <t>Ricardo Adocicados</t>
  </si>
  <si>
    <t>Reggiani Caseifici</t>
  </si>
  <si>
    <t>B's Beverages</t>
  </si>
  <si>
    <t>Comércio Mineiro</t>
  </si>
  <si>
    <t>Tradição Hipermercados</t>
  </si>
  <si>
    <t>Hungry Owl All-Night Grocers</t>
  </si>
  <si>
    <t>Die Wandernde Kuh</t>
  </si>
  <si>
    <t>Godos Cocina Típica</t>
  </si>
  <si>
    <t>Old World Delicatessen</t>
  </si>
  <si>
    <t>Lonesome Pine Restaurant</t>
  </si>
  <si>
    <t>Ana Trujillo Emparedados y helados</t>
  </si>
  <si>
    <t>The Big Cheese</t>
  </si>
  <si>
    <t>Du monde entier</t>
  </si>
  <si>
    <t>Island Trading</t>
  </si>
  <si>
    <t>Pericles Comidas clásicas</t>
  </si>
  <si>
    <t>Königlich Essen</t>
  </si>
  <si>
    <t>Save-a-lot Markets</t>
  </si>
  <si>
    <t>Bólido Comidas preparadas</t>
  </si>
  <si>
    <t>Furia Bacalhau e Frutos do Mar</t>
  </si>
  <si>
    <t>Bon app'</t>
  </si>
  <si>
    <t>Mère Paillarde</t>
  </si>
  <si>
    <t>Princesa Isabel Vinhos</t>
  </si>
  <si>
    <t>Simons bistro</t>
  </si>
  <si>
    <t>Familia Arquibaldo</t>
  </si>
  <si>
    <t>La maison d'Asie</t>
  </si>
  <si>
    <t>Piccolo und mehr</t>
  </si>
  <si>
    <t>Around the Horn</t>
  </si>
  <si>
    <t>Seven Seas Imports</t>
  </si>
  <si>
    <t>Drachenblut Delikatessen</t>
  </si>
  <si>
    <t>Eastern Connection</t>
  </si>
  <si>
    <t>Antonio Moreno Taquería</t>
  </si>
  <si>
    <t>Vaffeljernet</t>
  </si>
  <si>
    <t>Queen Cozinha</t>
  </si>
  <si>
    <t>Hungry Coyote Import Store</t>
  </si>
  <si>
    <t>Santé Gourmet</t>
  </si>
  <si>
    <t>Bottom-Dollar Markets</t>
  </si>
  <si>
    <t>LINO-Delicateses</t>
  </si>
  <si>
    <t>Folies gourmandes</t>
  </si>
  <si>
    <t>Océano Atlántico Ltda.</t>
  </si>
  <si>
    <t>Franchi S.p.A.</t>
  </si>
  <si>
    <t>Gourmet Lanchonetes</t>
  </si>
  <si>
    <t>Consolidated Holdings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</si>
  <si>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</si>
  <si>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</si>
  <si>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</si>
  <si>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</si>
  <si>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</si>
  <si>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</si>
  <si>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</si>
  <si>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</si>
  <si>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</si>
  <si>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</si>
  <si>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Wilman Kala</t>
  </si>
  <si>
    <t>The Cracker Box</t>
  </si>
  <si>
    <t>France restauration</t>
  </si>
  <si>
    <t>Spécialités du monde</t>
  </si>
  <si>
    <t>La corne d'abondance</t>
  </si>
  <si>
    <t>CODE</t>
  </si>
  <si>
    <t>DATE</t>
  </si>
  <si>
    <t>MONTANT</t>
  </si>
  <si>
    <t>Buchanan</t>
  </si>
  <si>
    <t>Suyama</t>
  </si>
  <si>
    <t>Peacock</t>
  </si>
  <si>
    <t>Leverling</t>
  </si>
  <si>
    <t>Dodsworth</t>
  </si>
  <si>
    <t>Davolio</t>
  </si>
  <si>
    <t>Callahan</t>
  </si>
  <si>
    <t>Fuller</t>
  </si>
  <si>
    <t>King</t>
  </si>
  <si>
    <t>Galería del gastrónomo</t>
  </si>
  <si>
    <t>Wolski  Zajazd</t>
  </si>
  <si>
    <t>Alfreds Futterkiste</t>
  </si>
  <si>
    <t>SOCIETE</t>
  </si>
  <si>
    <t>VENDEUR</t>
  </si>
  <si>
    <t>RESTE DU</t>
  </si>
  <si>
    <t>MONTANT HT</t>
  </si>
  <si>
    <t>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</si>
</sst>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€&quot;#,##0.00_);\(&quot;€&quot;#,##0.00\)"/>
  </numFmts>
  <fonts count="4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2" borderId="2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5" fontId="1" fillId="0" borderId="1" xfId="1" applyNumberFormat="1" applyFont="1" applyFill="1" applyBorder="1" applyAlignment="1">
      <alignment horizontal="right" wrapText="1"/>
    </xf>
    <xf numFmtId="164" fontId="1" fillId="0" borderId="1" xfId="1" applyNumberFormat="1" applyFont="1" applyFill="1" applyBorder="1" applyAlignment="1">
      <alignment horizontal="right" wrapText="1"/>
    </xf>
    <xf numFmtId="0" fontId="1" fillId="2" borderId="3" xfId="1" applyFont="1" applyFill="1" applyBorder="1" applyAlignment="1">
      <alignment horizontal="center"/>
    </xf>
    <xf numFmtId="164" fontId="0" fillId="0" borderId="0" xfId="0" applyNumberFormat="1"/>
    <xf numFmtId="14" fontId="1" fillId="2" borderId="2" xfId="1" applyNumberFormat="1" applyFont="1" applyFill="1" applyBorder="1" applyAlignment="1">
      <alignment horizontal="center"/>
    </xf>
    <xf numFmtId="14" fontId="1" fillId="0" borderId="1" xfId="1" applyNumberFormat="1" applyFont="1" applyFill="1" applyBorder="1" applyAlignment="1">
      <alignment horizontal="right" wrapText="1"/>
    </xf>
    <xf numFmtId="14" fontId="0" fillId="0" borderId="0" xfId="0" applyNumberFormat="1"/>
    <xf numFmtId="0" fontId="1" fillId="2" borderId="4" xfId="1" applyFont="1" applyFill="1" applyBorder="1" applyAlignment="1">
      <alignment horizontal="center"/>
    </xf>
    <xf numFmtId="0" fontId="1" fillId="0" borderId="5" xfId="1" applyFont="1" applyFill="1" applyBorder="1" applyAlignment="1">
      <alignment horizontal="right" wrapText="1"/>
    </xf>
    <xf numFmtId="15" fontId="1" fillId="0" borderId="5" xfId="1" applyNumberFormat="1" applyFont="1" applyFill="1" applyBorder="1" applyAlignment="1">
      <alignment horizontal="right" wrapText="1"/>
    </xf>
    <xf numFmtId="164" fontId="1" fillId="0" borderId="5" xfId="1" applyNumberFormat="1" applyFont="1" applyFill="1" applyBorder="1" applyAlignment="1">
      <alignment horizontal="right" wrapText="1"/>
    </xf>
    <xf numFmtId="0" fontId="3" fillId="0" borderId="5" xfId="1" applyFont="1" applyFill="1" applyBorder="1" applyAlignment="1">
      <alignment horizontal="right" wrapText="1"/>
    </xf>
    <xf numFmtId="15" fontId="3" fillId="0" borderId="5" xfId="1" applyNumberFormat="1" applyFont="1" applyFill="1" applyBorder="1" applyAlignment="1">
      <alignment horizontal="right" wrapText="1"/>
    </xf>
    <xf numFmtId="164" fontId="3" fillId="0" borderId="5" xfId="1" applyNumberFormat="1" applyFont="1" applyFill="1" applyBorder="1" applyAlignment="1">
      <alignment horizontal="right" wrapText="1"/>
    </xf>
  </cellXfs>
  <cellStyles count="2">
    <cellStyle name="Normal" xfId="0" builtinId="0"/>
    <cellStyle name="Normal_Feuil1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&quot;€&quot;#,##0.00_);\(&quot;€&quot;#,##0.00\)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aiments2" displayName="paiments2" ref="A1:C1498" totalsRowShown="0" headerRowDxfId="0" headerRowBorderDxfId="5" tableBorderDxfId="6" totalsRowBorderDxfId="4" headerRowCellStyle="Normal_Feuil1">
  <autoFilter ref="A1:C1498"/>
  <tableColumns count="3">
    <tableColumn id="1" name="CODE" dataDxfId="3" dataCellStyle="Normal_Feuil1"/>
    <tableColumn id="2" name="DATE" dataDxfId="2" dataCellStyle="Normal_Feuil1"/>
    <tableColumn id="3" name="MONTANT HT" dataDxfId="1" dataCellStyle="Normal_Feuil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3"/>
  <sheetViews>
    <sheetView tabSelected="1" zoomScale="110" zoomScaleNormal="110" workbookViewId="0">
      <selection activeCell="H12" sqref="H12"/>
    </sheetView>
  </sheetViews>
  <sheetFormatPr baseColWidth="10" defaultColWidth="12.7109375" defaultRowHeight="12.75" x14ac:dyDescent="0.2"/>
  <cols>
    <col min="1" max="1" width="9.85546875" bestFit="1" customWidth="1"/>
    <col min="2" max="2" width="44.5703125" customWidth="1"/>
    <col min="3" max="3" width="9.7109375" bestFit="1" customWidth="1"/>
    <col min="4" max="4" width="10.28515625" style="10" bestFit="1" customWidth="1"/>
    <col min="5" max="5" width="13.42578125" bestFit="1" customWidth="1"/>
  </cols>
  <sheetData>
    <row r="1" spans="1:7" x14ac:dyDescent="0.2">
      <c r="A1" s="1" t="s">
        <v>86</v>
      </c>
      <c r="B1" s="1" t="s">
        <v>101</v>
      </c>
      <c r="C1" s="1" t="s">
        <v>102</v>
      </c>
      <c r="D1" s="8" t="s">
        <v>87</v>
      </c>
      <c r="E1" s="1" t="s">
        <v>88</v>
      </c>
      <c r="F1" s="6" t="s">
        <v>105</v>
      </c>
      <c r="G1" s="6" t="s">
        <v>103</v>
      </c>
    </row>
    <row r="2" spans="1:7" x14ac:dyDescent="0.2">
      <c r="A2" s="2">
        <v>10248</v>
      </c>
      <c r="B2" s="3" t="s">
        <v>0</v>
      </c>
      <c r="C2" s="3" t="s">
        <v>89</v>
      </c>
      <c r="D2" s="9">
        <v>38880</v>
      </c>
      <c r="E2" s="5">
        <v>320</v>
      </c>
      <c r="F2">
        <f>VLOOKUP(A2,paiments2[],3,FALSE)</f>
        <v>320</v>
      </c>
      <c r="G2" s="7"/>
    </row>
    <row r="3" spans="1:7" x14ac:dyDescent="0.2">
      <c r="A3" s="2">
        <v>10249</v>
      </c>
      <c r="B3" s="3" t="s">
        <v>1</v>
      </c>
      <c r="C3" s="3" t="s">
        <v>90</v>
      </c>
      <c r="D3" s="9">
        <v>38881</v>
      </c>
      <c r="E3" s="5">
        <v>1406</v>
      </c>
      <c r="F3">
        <f>VLOOKUP(A3,paiments2[],3,FALSE)</f>
        <v>1406</v>
      </c>
      <c r="G3" s="7"/>
    </row>
    <row r="4" spans="1:7" x14ac:dyDescent="0.2">
      <c r="A4" s="2">
        <v>10250</v>
      </c>
      <c r="B4" s="3" t="s">
        <v>2</v>
      </c>
      <c r="C4" s="3" t="s">
        <v>91</v>
      </c>
      <c r="D4" s="9">
        <v>38884</v>
      </c>
      <c r="E4" s="5">
        <v>1350</v>
      </c>
      <c r="F4">
        <f>VLOOKUP(A4,paiments2[],3,FALSE)</f>
        <v>1350</v>
      </c>
      <c r="G4" s="7"/>
    </row>
    <row r="5" spans="1:7" x14ac:dyDescent="0.2">
      <c r="A5" s="2">
        <v>10251</v>
      </c>
      <c r="B5" s="3" t="s">
        <v>3</v>
      </c>
      <c r="C5" s="3" t="s">
        <v>92</v>
      </c>
      <c r="D5" s="9">
        <v>38884</v>
      </c>
      <c r="E5" s="5">
        <v>477</v>
      </c>
      <c r="F5">
        <f>VLOOKUP(A5,paiments2[],3,FALSE)</f>
        <v>477</v>
      </c>
      <c r="G5" s="7"/>
    </row>
    <row r="6" spans="1:7" x14ac:dyDescent="0.2">
      <c r="A6" s="2">
        <v>10252</v>
      </c>
      <c r="B6" s="3" t="s">
        <v>4</v>
      </c>
      <c r="C6" s="3" t="s">
        <v>91</v>
      </c>
      <c r="D6" s="9">
        <v>38885</v>
      </c>
      <c r="E6" s="5">
        <v>2785</v>
      </c>
      <c r="F6">
        <f>VLOOKUP(A6,paiments2[],3,FALSE)</f>
        <v>2785</v>
      </c>
      <c r="G6" s="7"/>
    </row>
    <row r="7" spans="1:7" x14ac:dyDescent="0.2">
      <c r="A7" s="2">
        <v>10253</v>
      </c>
      <c r="B7" s="3" t="s">
        <v>2</v>
      </c>
      <c r="C7" s="3" t="s">
        <v>92</v>
      </c>
      <c r="D7" s="9">
        <v>38886</v>
      </c>
      <c r="E7" s="5">
        <v>1040</v>
      </c>
      <c r="F7">
        <f>VLOOKUP(A7,paiments2[],3,FALSE)</f>
        <v>1040</v>
      </c>
      <c r="G7" s="7"/>
    </row>
    <row r="8" spans="1:7" x14ac:dyDescent="0.2">
      <c r="A8" s="2">
        <v>10254</v>
      </c>
      <c r="B8" s="3" t="s">
        <v>5</v>
      </c>
      <c r="C8" s="3" t="s">
        <v>89</v>
      </c>
      <c r="D8" s="9">
        <v>38887</v>
      </c>
      <c r="E8" s="5">
        <v>450</v>
      </c>
      <c r="F8">
        <f>VLOOKUP(A8,paiments2[],3,FALSE)</f>
        <v>450</v>
      </c>
      <c r="G8" s="7"/>
    </row>
    <row r="9" spans="1:7" x14ac:dyDescent="0.2">
      <c r="A9" s="2">
        <v>10255</v>
      </c>
      <c r="B9" s="3" t="s">
        <v>6</v>
      </c>
      <c r="C9" s="3" t="s">
        <v>93</v>
      </c>
      <c r="D9" s="9">
        <v>38888</v>
      </c>
      <c r="E9" s="5">
        <v>1835</v>
      </c>
      <c r="F9">
        <f>VLOOKUP(A9,paiments2[],3,FALSE)</f>
        <v>1835</v>
      </c>
      <c r="G9" s="7"/>
    </row>
    <row r="10" spans="1:7" x14ac:dyDescent="0.2">
      <c r="A10" s="2">
        <v>10256</v>
      </c>
      <c r="B10" s="3" t="s">
        <v>7</v>
      </c>
      <c r="C10" s="3" t="s">
        <v>92</v>
      </c>
      <c r="D10" s="9">
        <v>38891</v>
      </c>
      <c r="E10" s="5">
        <v>369</v>
      </c>
      <c r="F10">
        <f>VLOOKUP(A10,paiments2[],3,F16)</f>
        <v>1835</v>
      </c>
      <c r="G10" s="7"/>
    </row>
    <row r="11" spans="1:7" x14ac:dyDescent="0.2">
      <c r="A11" s="2">
        <v>10257</v>
      </c>
      <c r="B11" s="3" t="s">
        <v>8</v>
      </c>
      <c r="C11" s="3" t="s">
        <v>91</v>
      </c>
      <c r="D11" s="9">
        <v>38892</v>
      </c>
      <c r="E11" s="5">
        <v>815</v>
      </c>
      <c r="F11" t="e">
        <f>VLOOKUP(A11,paiments2[],3,FALSE)</f>
        <v>#N/A</v>
      </c>
      <c r="G11" s="7"/>
    </row>
    <row r="12" spans="1:7" x14ac:dyDescent="0.2">
      <c r="A12" s="2">
        <v>10258</v>
      </c>
      <c r="B12" s="3" t="s">
        <v>9</v>
      </c>
      <c r="C12" s="3" t="s">
        <v>94</v>
      </c>
      <c r="D12" s="9">
        <v>38893</v>
      </c>
      <c r="E12" s="5">
        <v>1444</v>
      </c>
      <c r="F12">
        <f>VLOOKUP(A12,paiments2[],3,FALSE)</f>
        <v>1444</v>
      </c>
      <c r="G12" s="7"/>
    </row>
    <row r="13" spans="1:7" x14ac:dyDescent="0.2">
      <c r="A13" s="2">
        <v>10259</v>
      </c>
      <c r="B13" s="3" t="s">
        <v>10</v>
      </c>
      <c r="C13" s="3" t="s">
        <v>91</v>
      </c>
      <c r="D13" s="9">
        <v>38894</v>
      </c>
      <c r="E13" s="5">
        <v>75</v>
      </c>
      <c r="F13">
        <f>VLOOKUP(A13,paiments2[],3,FALSE)</f>
        <v>75</v>
      </c>
      <c r="G13" s="7"/>
    </row>
    <row r="14" spans="1:7" x14ac:dyDescent="0.2">
      <c r="A14" s="2">
        <v>10260</v>
      </c>
      <c r="B14" s="3" t="s">
        <v>11</v>
      </c>
      <c r="C14" s="3" t="s">
        <v>91</v>
      </c>
      <c r="D14" s="9">
        <v>38895</v>
      </c>
      <c r="E14" s="5">
        <v>1269</v>
      </c>
      <c r="F14">
        <f>VLOOKUP(A14,paiments2[],3,FALSE)</f>
        <v>1269</v>
      </c>
      <c r="G14" s="7"/>
    </row>
    <row r="15" spans="1:7" x14ac:dyDescent="0.2">
      <c r="A15" s="2">
        <v>10261</v>
      </c>
      <c r="B15" s="3" t="s">
        <v>12</v>
      </c>
      <c r="C15" s="3" t="s">
        <v>91</v>
      </c>
      <c r="D15" s="9">
        <v>38895</v>
      </c>
      <c r="E15" s="5">
        <v>320</v>
      </c>
      <c r="F15">
        <f>VLOOKUP(A15,paiments2[],3,FALSE)</f>
        <v>320</v>
      </c>
      <c r="G15" s="7"/>
    </row>
    <row r="16" spans="1:7" x14ac:dyDescent="0.2">
      <c r="A16" s="2">
        <v>10262</v>
      </c>
      <c r="B16" s="3" t="s">
        <v>13</v>
      </c>
      <c r="C16" s="3" t="s">
        <v>95</v>
      </c>
      <c r="D16" s="9">
        <v>38898</v>
      </c>
      <c r="E16" s="5">
        <v>460</v>
      </c>
      <c r="F16">
        <f>VLOOKUP(A16,paiments2[],3,FALSE)</f>
        <v>460</v>
      </c>
      <c r="G16" s="7"/>
    </row>
    <row r="17" spans="1:7" x14ac:dyDescent="0.2">
      <c r="A17" s="2">
        <v>10263</v>
      </c>
      <c r="B17" s="3" t="s">
        <v>9</v>
      </c>
      <c r="C17" s="3" t="s">
        <v>93</v>
      </c>
      <c r="D17" s="9">
        <v>38899</v>
      </c>
      <c r="E17" s="5">
        <v>1772</v>
      </c>
      <c r="F17">
        <f>VLOOKUP(A17,paiments2[],3,FALSE)</f>
        <v>1772</v>
      </c>
      <c r="G17" s="7"/>
    </row>
    <row r="18" spans="1:7" x14ac:dyDescent="0.2">
      <c r="A18" s="2">
        <v>10264</v>
      </c>
      <c r="B18" s="3" t="s">
        <v>14</v>
      </c>
      <c r="C18" s="3" t="s">
        <v>90</v>
      </c>
      <c r="D18" s="9">
        <v>38900</v>
      </c>
      <c r="E18" s="5">
        <v>510</v>
      </c>
      <c r="F18">
        <f>VLOOKUP(A18,paiments2[],3,FALSE)</f>
        <v>509</v>
      </c>
      <c r="G18" s="7"/>
    </row>
    <row r="19" spans="1:7" x14ac:dyDescent="0.2">
      <c r="A19" s="2">
        <v>10265</v>
      </c>
      <c r="B19" s="3" t="s">
        <v>15</v>
      </c>
      <c r="C19" s="3" t="s">
        <v>96</v>
      </c>
      <c r="D19" s="9">
        <v>38901</v>
      </c>
      <c r="E19" s="5">
        <v>870</v>
      </c>
      <c r="F19">
        <f>VLOOKUP(A19,paiments2[],3,FALSE)</f>
        <v>870</v>
      </c>
      <c r="G19" s="7"/>
    </row>
    <row r="20" spans="1:7" x14ac:dyDescent="0.2">
      <c r="A20" s="2">
        <v>10266</v>
      </c>
      <c r="B20" s="3" t="s">
        <v>16</v>
      </c>
      <c r="C20" s="3" t="s">
        <v>92</v>
      </c>
      <c r="D20" s="9">
        <v>38902</v>
      </c>
      <c r="E20" s="5">
        <v>276</v>
      </c>
      <c r="F20">
        <f>VLOOKUP(A20,paiments2[],3,FALSE)</f>
        <v>276</v>
      </c>
      <c r="G20" s="7"/>
    </row>
    <row r="21" spans="1:7" x14ac:dyDescent="0.2">
      <c r="A21" s="2">
        <v>10267</v>
      </c>
      <c r="B21" s="3" t="s">
        <v>17</v>
      </c>
      <c r="C21" s="3" t="s">
        <v>91</v>
      </c>
      <c r="D21" s="9">
        <v>38905</v>
      </c>
      <c r="E21" s="5">
        <v>3010</v>
      </c>
      <c r="F21">
        <f>VLOOKUP(A21,paiments2[],3,FALSE)</f>
        <v>3010</v>
      </c>
      <c r="G21" s="7"/>
    </row>
    <row r="22" spans="1:7" x14ac:dyDescent="0.2">
      <c r="A22" s="2">
        <v>10268</v>
      </c>
      <c r="B22" s="3" t="s">
        <v>18</v>
      </c>
      <c r="C22" s="3" t="s">
        <v>95</v>
      </c>
      <c r="D22" s="9">
        <v>38906</v>
      </c>
      <c r="E22" s="5">
        <v>834</v>
      </c>
      <c r="F22">
        <f>VLOOKUP(A22,paiments2[],3,FALSE)</f>
        <v>834</v>
      </c>
      <c r="G22" s="7"/>
    </row>
    <row r="23" spans="1:7" x14ac:dyDescent="0.2">
      <c r="A23" s="2">
        <v>10269</v>
      </c>
      <c r="B23" s="3" t="s">
        <v>19</v>
      </c>
      <c r="C23" s="3" t="s">
        <v>89</v>
      </c>
      <c r="D23" s="9">
        <v>38907</v>
      </c>
      <c r="E23" s="5">
        <v>480</v>
      </c>
      <c r="F23">
        <f>VLOOKUP(A23,paiments2[],3,FALSE)</f>
        <v>480</v>
      </c>
      <c r="G23" s="7"/>
    </row>
    <row r="24" spans="1:7" x14ac:dyDescent="0.2">
      <c r="A24" s="2">
        <v>10270</v>
      </c>
      <c r="B24" s="3" t="s">
        <v>16</v>
      </c>
      <c r="C24" s="3" t="s">
        <v>94</v>
      </c>
      <c r="D24" s="9">
        <v>38908</v>
      </c>
      <c r="E24" s="5">
        <v>1030</v>
      </c>
      <c r="F24" t="e">
        <f>VLOOKUP(A24,paiments2[],3,FALSE)</f>
        <v>#N/A</v>
      </c>
      <c r="G24" s="7"/>
    </row>
    <row r="25" spans="1:7" x14ac:dyDescent="0.2">
      <c r="A25" s="2">
        <v>10271</v>
      </c>
      <c r="B25" s="3" t="s">
        <v>20</v>
      </c>
      <c r="C25" s="3" t="s">
        <v>90</v>
      </c>
      <c r="D25" s="9">
        <v>38908</v>
      </c>
      <c r="E25" s="5">
        <v>24</v>
      </c>
      <c r="F25" t="e">
        <f>VLOOKUP(A25,paiments2[],3,FALSE)</f>
        <v>#N/A</v>
      </c>
      <c r="G25" s="7"/>
    </row>
    <row r="26" spans="1:7" x14ac:dyDescent="0.2">
      <c r="A26" s="2">
        <v>10272</v>
      </c>
      <c r="B26" s="3" t="s">
        <v>13</v>
      </c>
      <c r="C26" s="3" t="s">
        <v>90</v>
      </c>
      <c r="D26" s="9">
        <v>38909</v>
      </c>
      <c r="E26" s="5">
        <v>47000</v>
      </c>
      <c r="F26">
        <f>VLOOKUP(A26,paiments2[],3,FALSE)</f>
        <v>42500</v>
      </c>
      <c r="G26" s="7"/>
    </row>
    <row r="27" spans="1:7" x14ac:dyDescent="0.2">
      <c r="A27" s="2">
        <v>10273</v>
      </c>
      <c r="B27" s="3" t="s">
        <v>21</v>
      </c>
      <c r="C27" s="3" t="s">
        <v>92</v>
      </c>
      <c r="D27" s="9">
        <v>38912</v>
      </c>
      <c r="E27" s="5">
        <v>1547</v>
      </c>
      <c r="F27">
        <f>VLOOKUP(A27,paiments2[],3,FALSE)</f>
        <v>1547</v>
      </c>
      <c r="G27" s="7"/>
    </row>
    <row r="28" spans="1:7" x14ac:dyDescent="0.2">
      <c r="A28" s="2">
        <v>10274</v>
      </c>
      <c r="B28" s="3" t="s">
        <v>0</v>
      </c>
      <c r="C28" s="3" t="s">
        <v>90</v>
      </c>
      <c r="D28" s="9">
        <v>38913</v>
      </c>
      <c r="E28" s="5">
        <v>407</v>
      </c>
      <c r="F28">
        <f>VLOOKUP(A28,paiments2[],3,FALSE)</f>
        <v>407</v>
      </c>
      <c r="G28" s="7"/>
    </row>
    <row r="29" spans="1:7" x14ac:dyDescent="0.2">
      <c r="A29" s="2">
        <v>10275</v>
      </c>
      <c r="B29" s="3" t="s">
        <v>22</v>
      </c>
      <c r="C29" s="3" t="s">
        <v>94</v>
      </c>
      <c r="D29" s="9">
        <v>38914</v>
      </c>
      <c r="E29" s="5">
        <v>222</v>
      </c>
      <c r="F29">
        <f>VLOOKUP(A29,paiments2[],3,FALSE)</f>
        <v>222</v>
      </c>
      <c r="G29" s="7"/>
    </row>
    <row r="30" spans="1:7" x14ac:dyDescent="0.2">
      <c r="A30" s="2">
        <v>10276</v>
      </c>
      <c r="B30" s="3" t="s">
        <v>23</v>
      </c>
      <c r="C30" s="3" t="s">
        <v>95</v>
      </c>
      <c r="D30" s="9">
        <v>38915</v>
      </c>
      <c r="E30" s="5">
        <v>300</v>
      </c>
      <c r="F30">
        <f>VLOOKUP(A30,paiments2[],3,FALSE)</f>
        <v>300</v>
      </c>
      <c r="G30" s="7"/>
    </row>
    <row r="31" spans="1:7" x14ac:dyDescent="0.2">
      <c r="A31" s="2">
        <v>10277</v>
      </c>
      <c r="B31" s="3" t="s">
        <v>24</v>
      </c>
      <c r="C31" s="3" t="s">
        <v>96</v>
      </c>
      <c r="D31" s="9">
        <v>38916</v>
      </c>
      <c r="E31" s="5">
        <v>900</v>
      </c>
      <c r="F31">
        <f>VLOOKUP(A31,paiments2[],3,FALSE)</f>
        <v>900</v>
      </c>
      <c r="G31" s="7"/>
    </row>
    <row r="32" spans="1:7" x14ac:dyDescent="0.2">
      <c r="A32" s="2">
        <v>10278</v>
      </c>
      <c r="B32" s="3" t="s">
        <v>25</v>
      </c>
      <c r="C32" s="3" t="s">
        <v>95</v>
      </c>
      <c r="D32" s="9">
        <v>38919</v>
      </c>
      <c r="E32" s="5">
        <v>1104</v>
      </c>
      <c r="F32">
        <f>VLOOKUP(A32,paiments2[],3,FALSE)</f>
        <v>1104</v>
      </c>
      <c r="G32" s="7"/>
    </row>
    <row r="33" spans="1:7" x14ac:dyDescent="0.2">
      <c r="A33" s="2">
        <v>10279</v>
      </c>
      <c r="B33" s="3" t="s">
        <v>26</v>
      </c>
      <c r="C33" s="3" t="s">
        <v>95</v>
      </c>
      <c r="D33" s="9">
        <v>38920</v>
      </c>
      <c r="E33" s="5">
        <v>345</v>
      </c>
      <c r="F33">
        <f>VLOOKUP(A33,paiments2[],3,FALSE)</f>
        <v>345</v>
      </c>
      <c r="G33" s="7"/>
    </row>
    <row r="34" spans="1:7" x14ac:dyDescent="0.2">
      <c r="A34" s="2">
        <v>10280</v>
      </c>
      <c r="B34" s="3" t="s">
        <v>25</v>
      </c>
      <c r="C34" s="3" t="s">
        <v>96</v>
      </c>
      <c r="D34" s="9">
        <v>38921</v>
      </c>
      <c r="E34" s="5">
        <v>424</v>
      </c>
      <c r="F34">
        <f>VLOOKUP(A34,paiments2[],3,FALSE)</f>
        <v>424</v>
      </c>
      <c r="G34" s="7"/>
    </row>
    <row r="35" spans="1:7" x14ac:dyDescent="0.2">
      <c r="A35" s="2">
        <v>10281</v>
      </c>
      <c r="B35" s="3" t="s">
        <v>27</v>
      </c>
      <c r="C35" s="3" t="s">
        <v>91</v>
      </c>
      <c r="D35" s="9">
        <v>38921</v>
      </c>
      <c r="E35" s="5">
        <v>57</v>
      </c>
      <c r="F35" t="e">
        <f>VLOOKUP(A35,paiments2[],3,FALSE)</f>
        <v>#N/A</v>
      </c>
      <c r="G35" s="7"/>
    </row>
    <row r="36" spans="1:7" x14ac:dyDescent="0.2">
      <c r="A36" s="2">
        <v>10282</v>
      </c>
      <c r="B36" s="3" t="s">
        <v>27</v>
      </c>
      <c r="C36" s="3" t="s">
        <v>91</v>
      </c>
      <c r="D36" s="9">
        <v>38922</v>
      </c>
      <c r="E36" s="5">
        <v>112</v>
      </c>
      <c r="F36" t="e">
        <f>VLOOKUP(A36,paiments2[],3,FALSE)</f>
        <v>#N/A</v>
      </c>
      <c r="G36" s="7"/>
    </row>
    <row r="37" spans="1:7" x14ac:dyDescent="0.2">
      <c r="A37" s="2">
        <v>10283</v>
      </c>
      <c r="B37" s="3" t="s">
        <v>28</v>
      </c>
      <c r="C37" s="3" t="s">
        <v>92</v>
      </c>
      <c r="D37" s="9">
        <v>38923</v>
      </c>
      <c r="E37" s="5">
        <v>1033</v>
      </c>
      <c r="F37">
        <f>VLOOKUP(A37,paiments2[],3,FALSE)</f>
        <v>1033</v>
      </c>
      <c r="G37" s="7"/>
    </row>
    <row r="38" spans="1:7" x14ac:dyDescent="0.2">
      <c r="A38" s="2">
        <v>10284</v>
      </c>
      <c r="B38" s="3" t="s">
        <v>26</v>
      </c>
      <c r="C38" s="3" t="s">
        <v>91</v>
      </c>
      <c r="D38" s="9">
        <v>38926</v>
      </c>
      <c r="E38" s="5">
        <v>1061</v>
      </c>
      <c r="F38">
        <f>VLOOKUP(A38,paiments2[],3,FALSE)</f>
        <v>1061</v>
      </c>
      <c r="G38" s="7"/>
    </row>
    <row r="39" spans="1:7" x14ac:dyDescent="0.2">
      <c r="A39" s="2">
        <v>10285</v>
      </c>
      <c r="B39" s="3" t="s">
        <v>21</v>
      </c>
      <c r="C39" s="3" t="s">
        <v>94</v>
      </c>
      <c r="D39" s="9">
        <v>38927</v>
      </c>
      <c r="E39" s="5">
        <v>1574</v>
      </c>
      <c r="F39">
        <f>VLOOKUP(A39,paiments2[],3,FALSE)</f>
        <v>1574</v>
      </c>
      <c r="G39" s="7"/>
    </row>
    <row r="40" spans="1:7" x14ac:dyDescent="0.2">
      <c r="A40" s="2">
        <v>10286</v>
      </c>
      <c r="B40" s="3" t="s">
        <v>21</v>
      </c>
      <c r="C40" s="3" t="s">
        <v>95</v>
      </c>
      <c r="D40" s="9">
        <v>38928</v>
      </c>
      <c r="E40" s="5">
        <v>2200</v>
      </c>
      <c r="F40">
        <f>VLOOKUP(A40,paiments2[],3,FALSE)</f>
        <v>2200</v>
      </c>
      <c r="G40" s="7"/>
    </row>
    <row r="41" spans="1:7" x14ac:dyDescent="0.2">
      <c r="A41" s="2">
        <v>10287</v>
      </c>
      <c r="B41" s="3" t="s">
        <v>29</v>
      </c>
      <c r="C41" s="3" t="s">
        <v>95</v>
      </c>
      <c r="D41" s="9">
        <v>38929</v>
      </c>
      <c r="E41" s="5">
        <v>665</v>
      </c>
      <c r="F41">
        <f>VLOOKUP(A41,paiments2[],3,FALSE)</f>
        <v>665</v>
      </c>
      <c r="G41" s="7"/>
    </row>
    <row r="42" spans="1:7" x14ac:dyDescent="0.2">
      <c r="A42" s="2">
        <v>10288</v>
      </c>
      <c r="B42" s="3" t="s">
        <v>30</v>
      </c>
      <c r="C42" s="3" t="s">
        <v>91</v>
      </c>
      <c r="D42" s="9">
        <v>38930</v>
      </c>
      <c r="E42" s="5">
        <v>61</v>
      </c>
      <c r="F42">
        <f>VLOOKUP(A42,paiments2[],3,FALSE)</f>
        <v>60</v>
      </c>
      <c r="G42" s="7"/>
    </row>
    <row r="43" spans="1:7" x14ac:dyDescent="0.2">
      <c r="A43" s="2">
        <v>10289</v>
      </c>
      <c r="B43" s="3" t="s">
        <v>31</v>
      </c>
      <c r="C43" s="3" t="s">
        <v>97</v>
      </c>
      <c r="D43" s="9">
        <v>38933</v>
      </c>
      <c r="E43" s="5">
        <v>360</v>
      </c>
      <c r="F43">
        <f>VLOOKUP(A43,paiments2[],3,FALSE)</f>
        <v>360</v>
      </c>
      <c r="G43" s="7"/>
    </row>
    <row r="44" spans="1:7" x14ac:dyDescent="0.2">
      <c r="A44" s="2">
        <v>10290</v>
      </c>
      <c r="B44" s="3" t="s">
        <v>32</v>
      </c>
      <c r="C44" s="3" t="s">
        <v>95</v>
      </c>
      <c r="D44" s="9">
        <v>38934</v>
      </c>
      <c r="E44" s="5">
        <v>1615</v>
      </c>
      <c r="F44">
        <f>VLOOKUP(A44,paiments2[],3,FALSE)</f>
        <v>1615</v>
      </c>
      <c r="G44" s="7"/>
    </row>
    <row r="45" spans="1:7" x14ac:dyDescent="0.2">
      <c r="A45" s="2">
        <v>10291</v>
      </c>
      <c r="B45" s="3" t="s">
        <v>12</v>
      </c>
      <c r="C45" s="3" t="s">
        <v>90</v>
      </c>
      <c r="D45" s="9">
        <v>38934</v>
      </c>
      <c r="E45" s="5">
        <v>388</v>
      </c>
      <c r="F45">
        <f>VLOOKUP(A45,paiments2[],3,FALSE)</f>
        <v>388</v>
      </c>
      <c r="G45" s="7"/>
    </row>
    <row r="46" spans="1:7" x14ac:dyDescent="0.2">
      <c r="A46" s="2">
        <v>10292</v>
      </c>
      <c r="B46" s="3" t="s">
        <v>33</v>
      </c>
      <c r="C46" s="3" t="s">
        <v>94</v>
      </c>
      <c r="D46" s="9">
        <v>38935</v>
      </c>
      <c r="E46" s="5">
        <v>980</v>
      </c>
      <c r="F46">
        <f>VLOOKUP(A46,paiments2[],3,FALSE)</f>
        <v>980</v>
      </c>
      <c r="G46" s="7"/>
    </row>
    <row r="47" spans="1:7" x14ac:dyDescent="0.2">
      <c r="A47" s="2">
        <v>10293</v>
      </c>
      <c r="B47" s="3" t="s">
        <v>23</v>
      </c>
      <c r="C47" s="3" t="s">
        <v>94</v>
      </c>
      <c r="D47" s="9">
        <v>38936</v>
      </c>
      <c r="E47" s="5">
        <v>630</v>
      </c>
      <c r="F47">
        <f>VLOOKUP(A47,paiments2[],3,FALSE)</f>
        <v>630</v>
      </c>
      <c r="G47" s="7"/>
    </row>
    <row r="48" spans="1:7" x14ac:dyDescent="0.2">
      <c r="A48" s="2">
        <v>10294</v>
      </c>
      <c r="B48" s="3" t="s">
        <v>13</v>
      </c>
      <c r="C48" s="3" t="s">
        <v>91</v>
      </c>
      <c r="D48" s="9">
        <v>38937</v>
      </c>
      <c r="E48" s="5">
        <v>1389</v>
      </c>
      <c r="F48">
        <f>VLOOKUP(A48,paiments2[],3,FALSE)</f>
        <v>1389</v>
      </c>
      <c r="G48" s="7"/>
    </row>
    <row r="49" spans="1:7" x14ac:dyDescent="0.2">
      <c r="A49" s="2">
        <v>10295</v>
      </c>
      <c r="B49" s="3" t="s">
        <v>0</v>
      </c>
      <c r="C49" s="3" t="s">
        <v>96</v>
      </c>
      <c r="D49" s="9">
        <v>38940</v>
      </c>
      <c r="E49" s="5">
        <v>92</v>
      </c>
      <c r="F49">
        <f>VLOOKUP(A49,paiments2[],3,FALSE)</f>
        <v>92</v>
      </c>
      <c r="G49" s="7"/>
    </row>
    <row r="50" spans="1:7" x14ac:dyDescent="0.2">
      <c r="A50" s="2">
        <v>10296</v>
      </c>
      <c r="B50" s="3" t="s">
        <v>28</v>
      </c>
      <c r="C50" s="3" t="s">
        <v>90</v>
      </c>
      <c r="D50" s="9">
        <v>38941</v>
      </c>
      <c r="E50" s="5">
        <v>759</v>
      </c>
      <c r="F50">
        <f>VLOOKUP(A50,paiments2[],3,FALSE)</f>
        <v>759</v>
      </c>
      <c r="G50" s="7"/>
    </row>
    <row r="51" spans="1:7" x14ac:dyDescent="0.2">
      <c r="A51" s="2">
        <v>10297</v>
      </c>
      <c r="B51" s="3" t="s">
        <v>15</v>
      </c>
      <c r="C51" s="3" t="s">
        <v>89</v>
      </c>
      <c r="D51" s="9">
        <v>38942</v>
      </c>
      <c r="E51" s="5">
        <v>1020</v>
      </c>
      <c r="F51">
        <f>VLOOKUP(A51,paiments2[],3,FALSE)</f>
        <v>1020</v>
      </c>
      <c r="G51" s="7"/>
    </row>
    <row r="52" spans="1:7" x14ac:dyDescent="0.2">
      <c r="A52" s="2">
        <v>10298</v>
      </c>
      <c r="B52" s="3" t="s">
        <v>34</v>
      </c>
      <c r="C52" s="3" t="s">
        <v>90</v>
      </c>
      <c r="D52" s="9">
        <v>38943</v>
      </c>
      <c r="E52" s="5">
        <v>2320</v>
      </c>
      <c r="F52">
        <f>VLOOKUP(A52,paiments2[],3,FALSE)</f>
        <v>2320</v>
      </c>
      <c r="G52" s="7"/>
    </row>
    <row r="53" spans="1:7" x14ac:dyDescent="0.2">
      <c r="A53" s="2">
        <v>10299</v>
      </c>
      <c r="B53" s="3" t="s">
        <v>29</v>
      </c>
      <c r="C53" s="3" t="s">
        <v>91</v>
      </c>
      <c r="D53" s="9">
        <v>38944</v>
      </c>
      <c r="E53" s="5">
        <v>255</v>
      </c>
      <c r="F53">
        <f>VLOOKUP(A53,paiments2[],3,FALSE)</f>
        <v>255</v>
      </c>
      <c r="G53" s="7"/>
    </row>
    <row r="54" spans="1:7" x14ac:dyDescent="0.2">
      <c r="A54" s="2">
        <v>10300</v>
      </c>
      <c r="B54" s="3" t="s">
        <v>22</v>
      </c>
      <c r="C54" s="3" t="s">
        <v>96</v>
      </c>
      <c r="D54" s="9">
        <v>38947</v>
      </c>
      <c r="E54" s="5">
        <v>440</v>
      </c>
      <c r="F54">
        <f>VLOOKUP(A54,paiments2[],3,FALSE)</f>
        <v>440</v>
      </c>
      <c r="G54" s="7"/>
    </row>
    <row r="55" spans="1:7" x14ac:dyDescent="0.2">
      <c r="A55" s="2">
        <v>10301</v>
      </c>
      <c r="B55" s="3" t="s">
        <v>35</v>
      </c>
      <c r="C55" s="3" t="s">
        <v>95</v>
      </c>
      <c r="D55" s="9">
        <v>38947</v>
      </c>
      <c r="E55" s="5">
        <v>570</v>
      </c>
      <c r="F55">
        <f>VLOOKUP(A55,paiments2[],3,FALSE)</f>
        <v>570</v>
      </c>
      <c r="G55" s="7"/>
    </row>
    <row r="56" spans="1:7" x14ac:dyDescent="0.2">
      <c r="A56" s="2">
        <v>10302</v>
      </c>
      <c r="B56" s="3" t="s">
        <v>4</v>
      </c>
      <c r="C56" s="3" t="s">
        <v>91</v>
      </c>
      <c r="D56" s="9">
        <v>38948</v>
      </c>
      <c r="E56" s="5">
        <v>2012</v>
      </c>
      <c r="F56">
        <f>VLOOKUP(A56,paiments2[],3,FALSE)</f>
        <v>2012</v>
      </c>
      <c r="G56" s="7"/>
    </row>
    <row r="57" spans="1:7" x14ac:dyDescent="0.2">
      <c r="A57" s="2">
        <v>10303</v>
      </c>
      <c r="B57" s="3" t="s">
        <v>36</v>
      </c>
      <c r="C57" s="3" t="s">
        <v>97</v>
      </c>
      <c r="D57" s="9">
        <v>38949</v>
      </c>
      <c r="E57" s="5">
        <v>905</v>
      </c>
      <c r="F57">
        <f>VLOOKUP(A57,paiments2[],3,FALSE)</f>
        <v>905</v>
      </c>
      <c r="G57" s="7"/>
    </row>
    <row r="58" spans="1:7" x14ac:dyDescent="0.2">
      <c r="A58" s="2">
        <v>10304</v>
      </c>
      <c r="B58" s="3" t="s">
        <v>23</v>
      </c>
      <c r="C58" s="3" t="s">
        <v>94</v>
      </c>
      <c r="D58" s="9">
        <v>38950</v>
      </c>
      <c r="E58" s="5">
        <v>716</v>
      </c>
      <c r="F58">
        <f>VLOOKUP(A58,paiments2[],3,FALSE)</f>
        <v>716</v>
      </c>
      <c r="G58" s="7"/>
    </row>
    <row r="59" spans="1:7" x14ac:dyDescent="0.2">
      <c r="A59" s="2">
        <v>10305</v>
      </c>
      <c r="B59" s="3" t="s">
        <v>37</v>
      </c>
      <c r="C59" s="3" t="s">
        <v>95</v>
      </c>
      <c r="D59" s="9">
        <v>38951</v>
      </c>
      <c r="E59" s="5">
        <v>3125</v>
      </c>
      <c r="F59">
        <f>VLOOKUP(A59,paiments2[],3,FALSE)</f>
        <v>3125</v>
      </c>
      <c r="G59" s="7"/>
    </row>
    <row r="60" spans="1:7" x14ac:dyDescent="0.2">
      <c r="A60" s="2">
        <v>10306</v>
      </c>
      <c r="B60" s="3" t="s">
        <v>27</v>
      </c>
      <c r="C60" s="3" t="s">
        <v>94</v>
      </c>
      <c r="D60" s="9">
        <v>38954</v>
      </c>
      <c r="E60" s="5">
        <v>360</v>
      </c>
      <c r="F60">
        <f>VLOOKUP(A60,paiments2[],3,FALSE)</f>
        <v>360</v>
      </c>
      <c r="G60" s="7"/>
    </row>
    <row r="61" spans="1:7" x14ac:dyDescent="0.2">
      <c r="A61" s="2">
        <v>10307</v>
      </c>
      <c r="B61" s="3" t="s">
        <v>38</v>
      </c>
      <c r="C61" s="3" t="s">
        <v>96</v>
      </c>
      <c r="D61" s="9">
        <v>38955</v>
      </c>
      <c r="E61" s="5">
        <v>321</v>
      </c>
      <c r="F61">
        <f>VLOOKUP(A61,paiments2[],3,FALSE)</f>
        <v>321</v>
      </c>
      <c r="G61" s="7"/>
    </row>
    <row r="62" spans="1:7" x14ac:dyDescent="0.2">
      <c r="A62" s="2">
        <v>10308</v>
      </c>
      <c r="B62" s="3" t="s">
        <v>39</v>
      </c>
      <c r="C62" s="3" t="s">
        <v>97</v>
      </c>
      <c r="D62" s="9">
        <v>38956</v>
      </c>
      <c r="E62" s="5">
        <v>66</v>
      </c>
      <c r="F62">
        <f>VLOOKUP(A62,paiments2[],3,FALSE)</f>
        <v>66</v>
      </c>
      <c r="G62" s="7"/>
    </row>
    <row r="63" spans="1:7" x14ac:dyDescent="0.2">
      <c r="A63" s="2">
        <v>10309</v>
      </c>
      <c r="B63" s="3" t="s">
        <v>34</v>
      </c>
      <c r="C63" s="3" t="s">
        <v>92</v>
      </c>
      <c r="D63" s="9">
        <v>38957</v>
      </c>
      <c r="E63" s="5">
        <v>1325</v>
      </c>
      <c r="F63">
        <f>VLOOKUP(A63,paiments2[],3,FALSE)</f>
        <v>1325</v>
      </c>
      <c r="G63" s="7"/>
    </row>
    <row r="64" spans="1:7" x14ac:dyDescent="0.2">
      <c r="A64" s="2">
        <v>10310</v>
      </c>
      <c r="B64" s="3" t="s">
        <v>40</v>
      </c>
      <c r="C64" s="3" t="s">
        <v>95</v>
      </c>
      <c r="D64" s="9">
        <v>38958</v>
      </c>
      <c r="E64" s="5">
        <v>250</v>
      </c>
      <c r="F64">
        <f>VLOOKUP(A64,paiments2[],3,FALSE)</f>
        <v>250</v>
      </c>
      <c r="G64" s="7"/>
    </row>
    <row r="65" spans="1:7" x14ac:dyDescent="0.2">
      <c r="A65" s="2">
        <v>10311</v>
      </c>
      <c r="B65" s="3" t="s">
        <v>41</v>
      </c>
      <c r="C65" s="3" t="s">
        <v>94</v>
      </c>
      <c r="D65" s="9">
        <v>38958</v>
      </c>
      <c r="E65" s="5">
        <v>195</v>
      </c>
      <c r="F65">
        <f>VLOOKUP(A65,paiments2[],3,FALSE)</f>
        <v>195</v>
      </c>
      <c r="G65" s="7"/>
    </row>
    <row r="66" spans="1:7" x14ac:dyDescent="0.2">
      <c r="A66" s="2">
        <v>10312</v>
      </c>
      <c r="B66" s="3" t="s">
        <v>35</v>
      </c>
      <c r="C66" s="3" t="s">
        <v>96</v>
      </c>
      <c r="D66" s="9">
        <v>38961</v>
      </c>
      <c r="E66" s="5">
        <v>1200</v>
      </c>
      <c r="F66">
        <f>VLOOKUP(A66,paiments2[],3,FALSE)</f>
        <v>1200</v>
      </c>
      <c r="G66" s="7"/>
    </row>
    <row r="67" spans="1:7" x14ac:dyDescent="0.2">
      <c r="A67" s="2">
        <v>10313</v>
      </c>
      <c r="B67" s="3" t="s">
        <v>21</v>
      </c>
      <c r="C67" s="3" t="s">
        <v>96</v>
      </c>
      <c r="D67" s="9">
        <v>38962</v>
      </c>
      <c r="E67" s="5">
        <v>132</v>
      </c>
      <c r="F67">
        <f>VLOOKUP(A67,paiments2[],3,FALSE)</f>
        <v>132</v>
      </c>
      <c r="G67" s="7"/>
    </row>
    <row r="68" spans="1:7" x14ac:dyDescent="0.2">
      <c r="A68" s="2">
        <v>10314</v>
      </c>
      <c r="B68" s="3" t="s">
        <v>13</v>
      </c>
      <c r="C68" s="3" t="s">
        <v>94</v>
      </c>
      <c r="D68" s="9">
        <v>38963</v>
      </c>
      <c r="E68" s="5">
        <v>1750</v>
      </c>
      <c r="F68">
        <f>VLOOKUP(A68,paiments2[],3,FALSE)</f>
        <v>1750</v>
      </c>
      <c r="G68" s="7"/>
    </row>
    <row r="69" spans="1:7" x14ac:dyDescent="0.2">
      <c r="A69" s="2">
        <v>10315</v>
      </c>
      <c r="B69" s="3" t="s">
        <v>42</v>
      </c>
      <c r="C69" s="3" t="s">
        <v>91</v>
      </c>
      <c r="D69" s="9">
        <v>38964</v>
      </c>
      <c r="E69" s="5">
        <v>382</v>
      </c>
      <c r="F69">
        <f>VLOOKUP(A69,paiments2[],3,FALSE)</f>
        <v>382</v>
      </c>
      <c r="G69" s="7"/>
    </row>
    <row r="70" spans="1:7" x14ac:dyDescent="0.2">
      <c r="A70" s="2">
        <v>10316</v>
      </c>
      <c r="B70" s="3" t="s">
        <v>13</v>
      </c>
      <c r="C70" s="3" t="s">
        <v>94</v>
      </c>
      <c r="D70" s="9">
        <v>38965</v>
      </c>
      <c r="E70" s="5">
        <v>2150</v>
      </c>
      <c r="F70">
        <f>VLOOKUP(A70,paiments2[],3,FALSE)</f>
        <v>2150</v>
      </c>
      <c r="G70" s="7"/>
    </row>
    <row r="71" spans="1:7" x14ac:dyDescent="0.2">
      <c r="A71" s="2">
        <v>10317</v>
      </c>
      <c r="B71" s="3" t="s">
        <v>38</v>
      </c>
      <c r="C71" s="3" t="s">
        <v>90</v>
      </c>
      <c r="D71" s="9">
        <v>38968</v>
      </c>
      <c r="E71" s="5">
        <v>200</v>
      </c>
      <c r="F71">
        <f>VLOOKUP(A71,paiments2[],3,FALSE)</f>
        <v>200</v>
      </c>
      <c r="G71" s="7"/>
    </row>
    <row r="72" spans="1:7" x14ac:dyDescent="0.2">
      <c r="A72" s="2">
        <v>10318</v>
      </c>
      <c r="B72" s="3" t="s">
        <v>42</v>
      </c>
      <c r="C72" s="3" t="s">
        <v>95</v>
      </c>
      <c r="D72" s="9">
        <v>38969</v>
      </c>
      <c r="E72" s="5">
        <v>160</v>
      </c>
      <c r="F72">
        <f>VLOOKUP(A72,paiments2[],3,FALSE)</f>
        <v>160</v>
      </c>
      <c r="G72" s="7"/>
    </row>
    <row r="73" spans="1:7" x14ac:dyDescent="0.2">
      <c r="A73" s="2">
        <v>10319</v>
      </c>
      <c r="B73" s="3" t="s">
        <v>23</v>
      </c>
      <c r="C73" s="3" t="s">
        <v>97</v>
      </c>
      <c r="D73" s="9">
        <v>38970</v>
      </c>
      <c r="E73" s="5">
        <v>862</v>
      </c>
      <c r="F73">
        <f>VLOOKUP(A73,paiments2[],3,FALSE)</f>
        <v>862</v>
      </c>
      <c r="G73" s="7"/>
    </row>
    <row r="74" spans="1:7" x14ac:dyDescent="0.2">
      <c r="A74" s="2">
        <v>10320</v>
      </c>
      <c r="B74" s="3" t="s">
        <v>16</v>
      </c>
      <c r="C74" s="3" t="s">
        <v>89</v>
      </c>
      <c r="D74" s="9">
        <v>38971</v>
      </c>
      <c r="E74" s="5">
        <v>390</v>
      </c>
      <c r="F74">
        <f>VLOOKUP(A74,paiments2[],3,FALSE)</f>
        <v>390</v>
      </c>
      <c r="G74" s="7"/>
    </row>
    <row r="75" spans="1:7" x14ac:dyDescent="0.2">
      <c r="A75" s="2">
        <v>10321</v>
      </c>
      <c r="B75" s="3" t="s">
        <v>42</v>
      </c>
      <c r="C75" s="3" t="s">
        <v>92</v>
      </c>
      <c r="D75" s="9">
        <v>38971</v>
      </c>
      <c r="E75" s="5">
        <v>100</v>
      </c>
      <c r="F75">
        <f>VLOOKUP(A75,paiments2[],3,FALSE)</f>
        <v>100</v>
      </c>
      <c r="G75" s="7"/>
    </row>
    <row r="76" spans="1:7" x14ac:dyDescent="0.2">
      <c r="A76" s="2">
        <v>10322</v>
      </c>
      <c r="B76" s="3" t="s">
        <v>43</v>
      </c>
      <c r="C76" s="3" t="s">
        <v>97</v>
      </c>
      <c r="D76" s="9">
        <v>38972</v>
      </c>
      <c r="E76" s="5">
        <v>80</v>
      </c>
      <c r="F76">
        <f>VLOOKUP(A76,paiments2[],3,FALSE)</f>
        <v>80</v>
      </c>
      <c r="G76" s="7"/>
    </row>
    <row r="77" spans="1:7" x14ac:dyDescent="0.2">
      <c r="A77" s="2">
        <v>10323</v>
      </c>
      <c r="B77" s="3" t="s">
        <v>44</v>
      </c>
      <c r="C77" s="3" t="s">
        <v>91</v>
      </c>
      <c r="D77" s="9">
        <v>38975</v>
      </c>
      <c r="E77" s="5">
        <v>117</v>
      </c>
      <c r="F77">
        <f>VLOOKUP(A77,paiments2[],3,FALSE)</f>
        <v>117</v>
      </c>
      <c r="G77" s="7"/>
    </row>
    <row r="78" spans="1:7" x14ac:dyDescent="0.2">
      <c r="A78" s="2">
        <v>10324</v>
      </c>
      <c r="B78" s="3" t="s">
        <v>45</v>
      </c>
      <c r="C78" s="3" t="s">
        <v>93</v>
      </c>
      <c r="D78" s="9">
        <v>38976</v>
      </c>
      <c r="E78" s="5">
        <v>4520</v>
      </c>
      <c r="F78">
        <f>VLOOKUP(A78,paiments2[],3,FALSE)</f>
        <v>4520</v>
      </c>
      <c r="G78" s="7"/>
    </row>
    <row r="79" spans="1:7" x14ac:dyDescent="0.2">
      <c r="A79" s="2">
        <v>10325</v>
      </c>
      <c r="B79" s="3" t="s">
        <v>44</v>
      </c>
      <c r="C79" s="3" t="s">
        <v>94</v>
      </c>
      <c r="D79" s="9">
        <v>38977</v>
      </c>
      <c r="E79" s="5">
        <v>1120</v>
      </c>
      <c r="F79">
        <f>VLOOKUP(A79,paiments2[],3,FALSE)</f>
        <v>1120</v>
      </c>
      <c r="G79" s="7"/>
    </row>
    <row r="80" spans="1:7" x14ac:dyDescent="0.2">
      <c r="A80" s="2">
        <v>10326</v>
      </c>
      <c r="B80" s="3" t="s">
        <v>46</v>
      </c>
      <c r="C80" s="3" t="s">
        <v>91</v>
      </c>
      <c r="D80" s="9">
        <v>38978</v>
      </c>
      <c r="E80" s="5">
        <v>688</v>
      </c>
      <c r="F80">
        <f>VLOOKUP(A80,paiments2[],3,FALSE)</f>
        <v>688</v>
      </c>
      <c r="G80" s="7"/>
    </row>
    <row r="81" spans="1:7" x14ac:dyDescent="0.2">
      <c r="A81" s="2">
        <v>10327</v>
      </c>
      <c r="B81" s="3" t="s">
        <v>14</v>
      </c>
      <c r="C81" s="3" t="s">
        <v>96</v>
      </c>
      <c r="D81" s="9">
        <v>38979</v>
      </c>
      <c r="E81" s="5">
        <v>1640</v>
      </c>
      <c r="F81">
        <f>VLOOKUP(A81,paiments2[],3,FALSE)</f>
        <v>1640</v>
      </c>
      <c r="G81" s="7"/>
    </row>
    <row r="82" spans="1:7" x14ac:dyDescent="0.2">
      <c r="A82" s="2">
        <v>10328</v>
      </c>
      <c r="B82" s="3" t="s">
        <v>47</v>
      </c>
      <c r="C82" s="3" t="s">
        <v>91</v>
      </c>
      <c r="D82" s="9">
        <v>38982</v>
      </c>
      <c r="E82" s="5">
        <v>847</v>
      </c>
      <c r="F82">
        <f>VLOOKUP(A82,paiments2[],3,FALSE)</f>
        <v>847</v>
      </c>
      <c r="G82" s="7"/>
    </row>
    <row r="83" spans="1:7" x14ac:dyDescent="0.2">
      <c r="A83" s="2">
        <v>10329</v>
      </c>
      <c r="B83" s="3" t="s">
        <v>20</v>
      </c>
      <c r="C83" s="3" t="s">
        <v>91</v>
      </c>
      <c r="D83" s="9">
        <v>38983</v>
      </c>
      <c r="E83" s="5">
        <v>3646</v>
      </c>
      <c r="F83">
        <f>VLOOKUP(A83,paiments2[],3,FALSE)</f>
        <v>3646</v>
      </c>
      <c r="G83" s="7"/>
    </row>
    <row r="84" spans="1:7" x14ac:dyDescent="0.2">
      <c r="A84" s="2">
        <v>10330</v>
      </c>
      <c r="B84" s="3" t="s">
        <v>28</v>
      </c>
      <c r="C84" s="3" t="s">
        <v>92</v>
      </c>
      <c r="D84" s="9">
        <v>38984</v>
      </c>
      <c r="E84" s="5">
        <v>1425</v>
      </c>
      <c r="F84">
        <f>VLOOKUP(A84,paiments2[],3,FALSE)</f>
        <v>1425</v>
      </c>
      <c r="G84" s="7"/>
    </row>
    <row r="85" spans="1:7" x14ac:dyDescent="0.2">
      <c r="A85" s="2">
        <v>10331</v>
      </c>
      <c r="B85" s="3" t="s">
        <v>48</v>
      </c>
      <c r="C85" s="3" t="s">
        <v>93</v>
      </c>
      <c r="D85" s="9">
        <v>38984</v>
      </c>
      <c r="E85" s="5">
        <v>60</v>
      </c>
      <c r="F85">
        <f>VLOOKUP(A85,paiments2[],3,FALSE)</f>
        <v>60</v>
      </c>
      <c r="G85" s="7"/>
    </row>
    <row r="86" spans="1:7" x14ac:dyDescent="0.2">
      <c r="A86" s="2">
        <v>10332</v>
      </c>
      <c r="B86" s="3" t="s">
        <v>49</v>
      </c>
      <c r="C86" s="3" t="s">
        <v>92</v>
      </c>
      <c r="D86" s="9">
        <v>38985</v>
      </c>
      <c r="E86" s="5">
        <v>1680</v>
      </c>
      <c r="F86">
        <f>VLOOKUP(A86,paiments2[],3,FALSE)</f>
        <v>1680</v>
      </c>
      <c r="G86" s="7"/>
    </row>
    <row r="87" spans="1:7" x14ac:dyDescent="0.2">
      <c r="A87" s="2">
        <v>10333</v>
      </c>
      <c r="B87" s="3" t="s">
        <v>16</v>
      </c>
      <c r="C87" s="3" t="s">
        <v>89</v>
      </c>
      <c r="D87" s="9">
        <v>38986</v>
      </c>
      <c r="E87" s="5">
        <v>720</v>
      </c>
      <c r="F87">
        <f>VLOOKUP(A87,paiments2[],3,FALSE)</f>
        <v>720</v>
      </c>
      <c r="G87" s="7"/>
    </row>
    <row r="88" spans="1:7" x14ac:dyDescent="0.2">
      <c r="A88" s="2">
        <v>10334</v>
      </c>
      <c r="B88" s="3" t="s">
        <v>3</v>
      </c>
      <c r="C88" s="3" t="s">
        <v>95</v>
      </c>
      <c r="D88" s="9">
        <v>38989</v>
      </c>
      <c r="E88" s="5">
        <v>102</v>
      </c>
      <c r="F88">
        <f>VLOOKUP(A88,paiments2[],3,FALSE)</f>
        <v>102</v>
      </c>
      <c r="G88" s="7"/>
    </row>
    <row r="89" spans="1:7" x14ac:dyDescent="0.2">
      <c r="A89" s="2">
        <v>10335</v>
      </c>
      <c r="B89" s="3" t="s">
        <v>34</v>
      </c>
      <c r="C89" s="3" t="s">
        <v>97</v>
      </c>
      <c r="D89" s="9">
        <v>38990</v>
      </c>
      <c r="E89" s="5">
        <v>1902</v>
      </c>
      <c r="F89">
        <f>VLOOKUP(A89,paiments2[],3,FALSE)</f>
        <v>1902</v>
      </c>
      <c r="G89" s="7"/>
    </row>
    <row r="90" spans="1:7" x14ac:dyDescent="0.2">
      <c r="A90" s="2">
        <v>10336</v>
      </c>
      <c r="B90" s="3" t="s">
        <v>50</v>
      </c>
      <c r="C90" s="3" t="s">
        <v>97</v>
      </c>
      <c r="D90" s="9">
        <v>38991</v>
      </c>
      <c r="E90" s="5">
        <v>234</v>
      </c>
      <c r="F90">
        <f>VLOOKUP(A90,paiments2[],3,FALSE)</f>
        <v>234</v>
      </c>
      <c r="G90" s="7"/>
    </row>
    <row r="91" spans="1:7" x14ac:dyDescent="0.2">
      <c r="A91" s="2">
        <v>10337</v>
      </c>
      <c r="B91" s="3" t="s">
        <v>17</v>
      </c>
      <c r="C91" s="3" t="s">
        <v>91</v>
      </c>
      <c r="D91" s="9">
        <v>38992</v>
      </c>
      <c r="E91" s="5">
        <v>1797</v>
      </c>
      <c r="F91">
        <f>VLOOKUP(A91,paiments2[],3,FALSE)</f>
        <v>1797</v>
      </c>
      <c r="G91" s="7"/>
    </row>
    <row r="92" spans="1:7" x14ac:dyDescent="0.2">
      <c r="A92" s="2">
        <v>10338</v>
      </c>
      <c r="B92" s="3" t="s">
        <v>37</v>
      </c>
      <c r="C92" s="3" t="s">
        <v>91</v>
      </c>
      <c r="D92" s="9">
        <v>38993</v>
      </c>
      <c r="E92" s="5">
        <v>685</v>
      </c>
      <c r="F92">
        <f>VLOOKUP(A92,paiments2[],3,FALSE)</f>
        <v>685</v>
      </c>
      <c r="G92" s="7"/>
    </row>
    <row r="93" spans="1:7" x14ac:dyDescent="0.2">
      <c r="A93" s="2">
        <v>10339</v>
      </c>
      <c r="B93" s="3" t="s">
        <v>49</v>
      </c>
      <c r="C93" s="3" t="s">
        <v>96</v>
      </c>
      <c r="D93" s="9">
        <v>38996</v>
      </c>
      <c r="E93" s="5">
        <v>2580</v>
      </c>
      <c r="F93">
        <f>VLOOKUP(A93,paiments2[],3,FALSE)</f>
        <v>2580</v>
      </c>
      <c r="G93" s="7"/>
    </row>
    <row r="94" spans="1:7" x14ac:dyDescent="0.2">
      <c r="A94" s="2">
        <v>10340</v>
      </c>
      <c r="B94" s="3" t="s">
        <v>48</v>
      </c>
      <c r="C94" s="3" t="s">
        <v>94</v>
      </c>
      <c r="D94" s="9">
        <v>38997</v>
      </c>
      <c r="E94" s="5">
        <v>1940</v>
      </c>
      <c r="F94">
        <f>VLOOKUP(A94,paiments2[],3,FALSE)</f>
        <v>1940</v>
      </c>
      <c r="G94" s="7"/>
    </row>
    <row r="95" spans="1:7" x14ac:dyDescent="0.2">
      <c r="A95" s="2">
        <v>10341</v>
      </c>
      <c r="B95" s="3" t="s">
        <v>51</v>
      </c>
      <c r="C95" s="3" t="s">
        <v>97</v>
      </c>
      <c r="D95" s="9">
        <v>38997</v>
      </c>
      <c r="E95" s="5">
        <v>305</v>
      </c>
      <c r="F95">
        <f>VLOOKUP(A95,paiments2[],3,FALSE)</f>
        <v>305</v>
      </c>
      <c r="G95" s="7"/>
    </row>
    <row r="96" spans="1:7" x14ac:dyDescent="0.2">
      <c r="A96" s="2">
        <v>10342</v>
      </c>
      <c r="B96" s="3" t="s">
        <v>17</v>
      </c>
      <c r="C96" s="3" t="s">
        <v>91</v>
      </c>
      <c r="D96" s="9">
        <v>38998</v>
      </c>
      <c r="E96" s="5">
        <v>1656</v>
      </c>
      <c r="F96">
        <f>VLOOKUP(A96,paiments2[],3,FALSE)</f>
        <v>1656</v>
      </c>
      <c r="G96" s="7"/>
    </row>
    <row r="97" spans="1:7" x14ac:dyDescent="0.2">
      <c r="A97" s="2">
        <v>10343</v>
      </c>
      <c r="B97" s="3" t="s">
        <v>26</v>
      </c>
      <c r="C97" s="3" t="s">
        <v>91</v>
      </c>
      <c r="D97" s="9">
        <v>38999</v>
      </c>
      <c r="E97" s="5">
        <v>1178</v>
      </c>
      <c r="F97">
        <f>VLOOKUP(A97,paiments2[],3,FALSE)</f>
        <v>1178</v>
      </c>
      <c r="G97" s="7"/>
    </row>
    <row r="98" spans="1:7" x14ac:dyDescent="0.2">
      <c r="A98" s="2">
        <v>10344</v>
      </c>
      <c r="B98" s="3" t="s">
        <v>19</v>
      </c>
      <c r="C98" s="3" t="s">
        <v>91</v>
      </c>
      <c r="D98" s="9">
        <v>39000</v>
      </c>
      <c r="E98" s="5">
        <v>2135</v>
      </c>
      <c r="F98">
        <f>VLOOKUP(A98,paiments2[],3,FALSE)</f>
        <v>2135</v>
      </c>
      <c r="G98" s="7"/>
    </row>
    <row r="99" spans="1:7" x14ac:dyDescent="0.2">
      <c r="A99" s="2">
        <v>10345</v>
      </c>
      <c r="B99" s="3" t="s">
        <v>21</v>
      </c>
      <c r="C99" s="3" t="s">
        <v>96</v>
      </c>
      <c r="D99" s="9">
        <v>39003</v>
      </c>
      <c r="E99" s="5">
        <v>2152</v>
      </c>
      <c r="F99">
        <f>VLOOKUP(A99,paiments2[],3,FALSE)</f>
        <v>2152</v>
      </c>
      <c r="G99" s="7"/>
    </row>
    <row r="100" spans="1:7" x14ac:dyDescent="0.2">
      <c r="A100" s="2">
        <v>10346</v>
      </c>
      <c r="B100" s="3" t="s">
        <v>13</v>
      </c>
      <c r="C100" s="3" t="s">
        <v>92</v>
      </c>
      <c r="D100" s="9">
        <v>39004</v>
      </c>
      <c r="E100" s="5">
        <v>1288</v>
      </c>
      <c r="F100">
        <f>VLOOKUP(A100,paiments2[],3,FALSE)</f>
        <v>1288</v>
      </c>
      <c r="G100" s="7"/>
    </row>
    <row r="101" spans="1:7" x14ac:dyDescent="0.2">
      <c r="A101" s="2">
        <v>10347</v>
      </c>
      <c r="B101" s="3" t="s">
        <v>52</v>
      </c>
      <c r="C101" s="3" t="s">
        <v>91</v>
      </c>
      <c r="D101" s="9">
        <v>39005</v>
      </c>
      <c r="E101" s="5">
        <v>648</v>
      </c>
      <c r="F101">
        <f>VLOOKUP(A101,paiments2[],3,FALSE)</f>
        <v>648</v>
      </c>
      <c r="G101" s="7"/>
    </row>
    <row r="102" spans="1:7" x14ac:dyDescent="0.2">
      <c r="A102" s="2">
        <v>10348</v>
      </c>
      <c r="B102" s="3" t="s">
        <v>35</v>
      </c>
      <c r="C102" s="3" t="s">
        <v>91</v>
      </c>
      <c r="D102" s="9">
        <v>39006</v>
      </c>
      <c r="E102" s="5">
        <v>275</v>
      </c>
      <c r="F102">
        <f>VLOOKUP(A102,paiments2[],3,FALSE)</f>
        <v>275</v>
      </c>
      <c r="G102" s="7"/>
    </row>
    <row r="103" spans="1:7" x14ac:dyDescent="0.2">
      <c r="A103" s="2">
        <v>10349</v>
      </c>
      <c r="B103" s="3" t="s">
        <v>20</v>
      </c>
      <c r="C103" s="3" t="s">
        <v>97</v>
      </c>
      <c r="D103" s="9">
        <v>39007</v>
      </c>
      <c r="E103" s="5">
        <v>96</v>
      </c>
      <c r="F103">
        <f>VLOOKUP(A103,paiments2[],3,FALSE)</f>
        <v>96</v>
      </c>
      <c r="G103" s="7"/>
    </row>
    <row r="104" spans="1:7" x14ac:dyDescent="0.2">
      <c r="A104" s="2">
        <v>10350</v>
      </c>
      <c r="B104" s="3" t="s">
        <v>53</v>
      </c>
      <c r="C104" s="3" t="s">
        <v>90</v>
      </c>
      <c r="D104" s="9">
        <v>39010</v>
      </c>
      <c r="E104" s="5">
        <v>513</v>
      </c>
      <c r="F104">
        <f>VLOOKUP(A104,paiments2[],3,FALSE)</f>
        <v>513</v>
      </c>
      <c r="G104" s="7"/>
    </row>
    <row r="105" spans="1:7" x14ac:dyDescent="0.2">
      <c r="A105" s="2">
        <v>10351</v>
      </c>
      <c r="B105" s="3" t="s">
        <v>9</v>
      </c>
      <c r="C105" s="3" t="s">
        <v>94</v>
      </c>
      <c r="D105" s="9">
        <v>39010</v>
      </c>
      <c r="E105" s="5">
        <v>4232</v>
      </c>
      <c r="F105">
        <f>VLOOKUP(A105,paiments2[],3,FALSE)</f>
        <v>4232</v>
      </c>
      <c r="G105" s="7"/>
    </row>
    <row r="106" spans="1:7" x14ac:dyDescent="0.2">
      <c r="A106" s="2">
        <v>10352</v>
      </c>
      <c r="B106" s="3" t="s">
        <v>47</v>
      </c>
      <c r="C106" s="3" t="s">
        <v>92</v>
      </c>
      <c r="D106" s="9">
        <v>39011</v>
      </c>
      <c r="E106" s="5">
        <v>100</v>
      </c>
      <c r="F106">
        <f>VLOOKUP(A106,paiments2[],3,FALSE)</f>
        <v>100</v>
      </c>
      <c r="G106" s="7"/>
    </row>
    <row r="107" spans="1:7" x14ac:dyDescent="0.2">
      <c r="A107" s="2">
        <v>10353</v>
      </c>
      <c r="B107" s="3" t="s">
        <v>54</v>
      </c>
      <c r="C107" s="3" t="s">
        <v>97</v>
      </c>
      <c r="D107" s="9">
        <v>39012</v>
      </c>
      <c r="E107" s="5">
        <v>8144</v>
      </c>
      <c r="F107">
        <f>VLOOKUP(A107,paiments2[],3,FALSE)</f>
        <v>8144</v>
      </c>
      <c r="G107" s="7"/>
    </row>
    <row r="108" spans="1:7" x14ac:dyDescent="0.2">
      <c r="A108" s="2">
        <v>10354</v>
      </c>
      <c r="B108" s="3" t="s">
        <v>43</v>
      </c>
      <c r="C108" s="3" t="s">
        <v>95</v>
      </c>
      <c r="D108" s="9">
        <v>39013</v>
      </c>
      <c r="E108" s="5">
        <v>420</v>
      </c>
      <c r="F108">
        <f>VLOOKUP(A108,paiments2[],3,FALSE)</f>
        <v>420</v>
      </c>
      <c r="G108" s="7"/>
    </row>
    <row r="109" spans="1:7" x14ac:dyDescent="0.2">
      <c r="A109" s="2">
        <v>10355</v>
      </c>
      <c r="B109" s="3" t="s">
        <v>55</v>
      </c>
      <c r="C109" s="3" t="s">
        <v>90</v>
      </c>
      <c r="D109" s="9">
        <v>39014</v>
      </c>
      <c r="E109" s="5">
        <v>325</v>
      </c>
      <c r="F109">
        <f>VLOOKUP(A109,paiments2[],3,FALSE)</f>
        <v>325</v>
      </c>
      <c r="G109" s="7"/>
    </row>
    <row r="110" spans="1:7" x14ac:dyDescent="0.2">
      <c r="A110" s="2">
        <v>10356</v>
      </c>
      <c r="B110" s="3" t="s">
        <v>35</v>
      </c>
      <c r="C110" s="3" t="s">
        <v>90</v>
      </c>
      <c r="D110" s="9">
        <v>39017</v>
      </c>
      <c r="E110" s="5">
        <v>798</v>
      </c>
      <c r="F110">
        <f>VLOOKUP(A110,paiments2[],3,FALSE)</f>
        <v>798</v>
      </c>
      <c r="G110" s="7"/>
    </row>
    <row r="111" spans="1:7" x14ac:dyDescent="0.2">
      <c r="A111" s="2">
        <v>10357</v>
      </c>
      <c r="B111" s="3" t="s">
        <v>28</v>
      </c>
      <c r="C111" s="3" t="s">
        <v>94</v>
      </c>
      <c r="D111" s="9">
        <v>39018</v>
      </c>
      <c r="E111" s="5">
        <v>988</v>
      </c>
      <c r="F111">
        <f>VLOOKUP(A111,paiments2[],3,FALSE)</f>
        <v>988</v>
      </c>
      <c r="G111" s="7"/>
    </row>
    <row r="112" spans="1:7" x14ac:dyDescent="0.2">
      <c r="A112" s="2">
        <v>10358</v>
      </c>
      <c r="B112" s="3" t="s">
        <v>53</v>
      </c>
      <c r="C112" s="3" t="s">
        <v>89</v>
      </c>
      <c r="D112" s="9">
        <v>39019</v>
      </c>
      <c r="E112" s="5">
        <v>320</v>
      </c>
      <c r="F112">
        <f>VLOOKUP(A112,paiments2[],3,FALSE)</f>
        <v>320</v>
      </c>
      <c r="G112" s="7"/>
    </row>
    <row r="113" spans="1:7" x14ac:dyDescent="0.2">
      <c r="A113" s="2">
        <v>10359</v>
      </c>
      <c r="B113" s="3" t="s">
        <v>56</v>
      </c>
      <c r="C113" s="3" t="s">
        <v>89</v>
      </c>
      <c r="D113" s="9">
        <v>39020</v>
      </c>
      <c r="E113" s="5">
        <v>2650</v>
      </c>
      <c r="F113">
        <f>VLOOKUP(A113,paiments2[],3,FALSE)</f>
        <v>2650</v>
      </c>
      <c r="G113" s="7"/>
    </row>
    <row r="114" spans="1:7" x14ac:dyDescent="0.2">
      <c r="A114" s="2">
        <v>10360</v>
      </c>
      <c r="B114" s="3" t="s">
        <v>15</v>
      </c>
      <c r="C114" s="3" t="s">
        <v>91</v>
      </c>
      <c r="D114" s="9">
        <v>39021</v>
      </c>
      <c r="E114" s="5">
        <v>5567</v>
      </c>
      <c r="F114">
        <f>VLOOKUP(A114,paiments2[],3,FALSE)</f>
        <v>5567</v>
      </c>
      <c r="G114" s="7"/>
    </row>
    <row r="115" spans="1:7" x14ac:dyDescent="0.2">
      <c r="A115" s="2">
        <v>10361</v>
      </c>
      <c r="B115" s="3" t="s">
        <v>21</v>
      </c>
      <c r="C115" s="3" t="s">
        <v>94</v>
      </c>
      <c r="D115" s="9">
        <v>39021</v>
      </c>
      <c r="E115" s="5">
        <v>1640</v>
      </c>
      <c r="F115">
        <f>VLOOKUP(A115,paiments2[],3,FALSE)</f>
        <v>1640</v>
      </c>
      <c r="G115" s="7"/>
    </row>
    <row r="116" spans="1:7" x14ac:dyDescent="0.2">
      <c r="A116" s="2">
        <v>10362</v>
      </c>
      <c r="B116" s="3" t="s">
        <v>48</v>
      </c>
      <c r="C116" s="3" t="s">
        <v>92</v>
      </c>
      <c r="D116" s="9">
        <v>39024</v>
      </c>
      <c r="E116" s="5">
        <v>1136</v>
      </c>
      <c r="F116">
        <f>VLOOKUP(A116,paiments2[],3,FALSE)</f>
        <v>1136</v>
      </c>
      <c r="G116" s="7"/>
    </row>
    <row r="117" spans="1:7" x14ac:dyDescent="0.2">
      <c r="A117" s="2">
        <v>10363</v>
      </c>
      <c r="B117" s="3" t="s">
        <v>57</v>
      </c>
      <c r="C117" s="3" t="s">
        <v>91</v>
      </c>
      <c r="D117" s="9">
        <v>39025</v>
      </c>
      <c r="E117" s="5">
        <v>308</v>
      </c>
      <c r="F117">
        <f>VLOOKUP(A117,paiments2[],3,FALSE)</f>
        <v>308</v>
      </c>
      <c r="G117" s="7"/>
    </row>
    <row r="118" spans="1:7" x14ac:dyDescent="0.2">
      <c r="A118" s="2">
        <v>10364</v>
      </c>
      <c r="B118" s="3" t="s">
        <v>58</v>
      </c>
      <c r="C118" s="3" t="s">
        <v>94</v>
      </c>
      <c r="D118" s="9">
        <v>39025</v>
      </c>
      <c r="E118" s="5">
        <v>695</v>
      </c>
      <c r="F118">
        <f>VLOOKUP(A118,paiments2[],3,FALSE)</f>
        <v>695</v>
      </c>
      <c r="G118" s="7"/>
    </row>
    <row r="119" spans="1:7" x14ac:dyDescent="0.2">
      <c r="A119" s="2">
        <v>10365</v>
      </c>
      <c r="B119" s="3" t="s">
        <v>59</v>
      </c>
      <c r="C119" s="3" t="s">
        <v>92</v>
      </c>
      <c r="D119" s="9">
        <v>39026</v>
      </c>
      <c r="E119" s="5">
        <v>288</v>
      </c>
      <c r="F119">
        <f>VLOOKUP(A119,paiments2[],3,FALSE)</f>
        <v>288</v>
      </c>
      <c r="G119" s="7"/>
    </row>
    <row r="120" spans="1:7" x14ac:dyDescent="0.2">
      <c r="A120" s="2">
        <v>10366</v>
      </c>
      <c r="B120" s="3" t="s">
        <v>98</v>
      </c>
      <c r="C120" s="3" t="s">
        <v>95</v>
      </c>
      <c r="D120" s="9">
        <v>39027</v>
      </c>
      <c r="E120" s="5">
        <v>95</v>
      </c>
      <c r="F120">
        <f>VLOOKUP(A120,paiments2[],3,FALSE)</f>
        <v>95</v>
      </c>
      <c r="G120" s="7"/>
    </row>
    <row r="121" spans="1:7" x14ac:dyDescent="0.2">
      <c r="A121" s="2">
        <v>10367</v>
      </c>
      <c r="B121" s="3" t="s">
        <v>60</v>
      </c>
      <c r="C121" s="3" t="s">
        <v>97</v>
      </c>
      <c r="D121" s="9">
        <v>39027</v>
      </c>
      <c r="E121" s="5">
        <v>589</v>
      </c>
      <c r="F121">
        <f>VLOOKUP(A121,paiments2[],3,FALSE)</f>
        <v>589</v>
      </c>
      <c r="G121" s="7"/>
    </row>
    <row r="122" spans="1:7" x14ac:dyDescent="0.2">
      <c r="A122" s="2">
        <v>10368</v>
      </c>
      <c r="B122" s="3" t="s">
        <v>9</v>
      </c>
      <c r="C122" s="3" t="s">
        <v>96</v>
      </c>
      <c r="D122" s="9">
        <v>39028</v>
      </c>
      <c r="E122" s="5">
        <v>1356</v>
      </c>
      <c r="F122">
        <f>VLOOKUP(A122,paiments2[],3,FALSE)</f>
        <v>1356</v>
      </c>
      <c r="G122" s="7"/>
    </row>
    <row r="123" spans="1:7" x14ac:dyDescent="0.2">
      <c r="A123" s="2">
        <v>10369</v>
      </c>
      <c r="B123" s="3" t="s">
        <v>20</v>
      </c>
      <c r="C123" s="3" t="s">
        <v>95</v>
      </c>
      <c r="D123" s="9">
        <v>39031</v>
      </c>
      <c r="E123" s="5">
        <v>1914</v>
      </c>
      <c r="F123">
        <f>VLOOKUP(A123,paiments2[],3,FALSE)</f>
        <v>1914</v>
      </c>
      <c r="G123" s="7"/>
    </row>
    <row r="124" spans="1:7" x14ac:dyDescent="0.2">
      <c r="A124" s="2">
        <v>10370</v>
      </c>
      <c r="B124" s="3" t="s">
        <v>5</v>
      </c>
      <c r="C124" s="3" t="s">
        <v>90</v>
      </c>
      <c r="D124" s="9">
        <v>39032</v>
      </c>
      <c r="E124" s="5">
        <v>870</v>
      </c>
      <c r="F124">
        <f>VLOOKUP(A124,paiments2[],3,FALSE)</f>
        <v>870</v>
      </c>
      <c r="G124" s="7"/>
    </row>
    <row r="125" spans="1:7" x14ac:dyDescent="0.2">
      <c r="A125" s="2">
        <v>10371</v>
      </c>
      <c r="B125" s="3" t="s">
        <v>53</v>
      </c>
      <c r="C125" s="3" t="s">
        <v>94</v>
      </c>
      <c r="D125" s="9">
        <v>39032</v>
      </c>
      <c r="E125" s="5">
        <v>66</v>
      </c>
      <c r="F125">
        <f>VLOOKUP(A125,paiments2[],3,FALSE)</f>
        <v>66</v>
      </c>
      <c r="G125" s="7"/>
    </row>
    <row r="126" spans="1:7" x14ac:dyDescent="0.2">
      <c r="A126" s="2">
        <v>10372</v>
      </c>
      <c r="B126" s="3" t="s">
        <v>61</v>
      </c>
      <c r="C126" s="3" t="s">
        <v>89</v>
      </c>
      <c r="D126" s="9">
        <v>39033</v>
      </c>
      <c r="E126" s="5">
        <v>9270</v>
      </c>
      <c r="F126">
        <f>VLOOKUP(A126,paiments2[],3,FALSE)</f>
        <v>9270</v>
      </c>
      <c r="G126" s="7"/>
    </row>
    <row r="127" spans="1:7" x14ac:dyDescent="0.2">
      <c r="A127" s="2">
        <v>10373</v>
      </c>
      <c r="B127" s="3" t="s">
        <v>34</v>
      </c>
      <c r="C127" s="3" t="s">
        <v>91</v>
      </c>
      <c r="D127" s="9">
        <v>39034</v>
      </c>
      <c r="E127" s="5">
        <v>1290</v>
      </c>
      <c r="F127">
        <f>VLOOKUP(A127,paiments2[],3,FALSE)</f>
        <v>1290</v>
      </c>
      <c r="G127" s="7"/>
    </row>
    <row r="128" spans="1:7" x14ac:dyDescent="0.2">
      <c r="A128" s="2">
        <v>10374</v>
      </c>
      <c r="B128" s="3" t="s">
        <v>99</v>
      </c>
      <c r="C128" s="3" t="s">
        <v>94</v>
      </c>
      <c r="D128" s="9">
        <v>39034</v>
      </c>
      <c r="E128" s="5">
        <v>330</v>
      </c>
      <c r="F128">
        <f>VLOOKUP(A128,paiments2[],3,FALSE)</f>
        <v>330</v>
      </c>
      <c r="G128" s="7"/>
    </row>
    <row r="129" spans="1:7" x14ac:dyDescent="0.2">
      <c r="A129" s="2">
        <v>10375</v>
      </c>
      <c r="B129" s="3" t="s">
        <v>62</v>
      </c>
      <c r="C129" s="3" t="s">
        <v>92</v>
      </c>
      <c r="D129" s="9">
        <v>39035</v>
      </c>
      <c r="E129" s="5">
        <v>250</v>
      </c>
      <c r="F129">
        <f>VLOOKUP(A129,paiments2[],3,FALSE)</f>
        <v>250</v>
      </c>
      <c r="G129" s="7"/>
    </row>
    <row r="130" spans="1:7" x14ac:dyDescent="0.2">
      <c r="A130" s="2">
        <v>10376</v>
      </c>
      <c r="B130" s="3" t="s">
        <v>49</v>
      </c>
      <c r="C130" s="3" t="s">
        <v>94</v>
      </c>
      <c r="D130" s="9">
        <v>39038</v>
      </c>
      <c r="E130" s="5">
        <v>294</v>
      </c>
      <c r="F130">
        <f>VLOOKUP(A130,paiments2[],3,FALSE)</f>
        <v>294</v>
      </c>
      <c r="G130" s="7"/>
    </row>
    <row r="131" spans="1:7" x14ac:dyDescent="0.2">
      <c r="A131" s="2">
        <v>10377</v>
      </c>
      <c r="B131" s="3" t="s">
        <v>56</v>
      </c>
      <c r="C131" s="3" t="s">
        <v>94</v>
      </c>
      <c r="D131" s="9">
        <v>39038</v>
      </c>
      <c r="E131" s="5">
        <v>740</v>
      </c>
      <c r="F131">
        <f>VLOOKUP(A131,paiments2[],3,FALSE)</f>
        <v>740</v>
      </c>
      <c r="G131" s="7"/>
    </row>
    <row r="132" spans="1:7" x14ac:dyDescent="0.2">
      <c r="A132" s="2">
        <v>10378</v>
      </c>
      <c r="B132" s="3" t="s">
        <v>14</v>
      </c>
      <c r="C132" s="3" t="s">
        <v>89</v>
      </c>
      <c r="D132" s="9">
        <v>39039</v>
      </c>
      <c r="E132" s="5">
        <v>78</v>
      </c>
      <c r="F132">
        <f>VLOOKUP(A132,paiments2[],3,FALSE)</f>
        <v>78</v>
      </c>
      <c r="G132" s="7"/>
    </row>
    <row r="133" spans="1:7" x14ac:dyDescent="0.2">
      <c r="A133" s="2">
        <v>10379</v>
      </c>
      <c r="B133" s="3" t="s">
        <v>12</v>
      </c>
      <c r="C133" s="3" t="s">
        <v>96</v>
      </c>
      <c r="D133" s="9">
        <v>39040</v>
      </c>
      <c r="E133" s="5">
        <v>696</v>
      </c>
      <c r="F133">
        <f>VLOOKUP(A133,paiments2[],3,FALSE)</f>
        <v>696</v>
      </c>
      <c r="G133" s="7"/>
    </row>
    <row r="134" spans="1:7" x14ac:dyDescent="0.2">
      <c r="A134" s="2">
        <v>10380</v>
      </c>
      <c r="B134" s="3" t="s">
        <v>34</v>
      </c>
      <c r="C134" s="3" t="s">
        <v>95</v>
      </c>
      <c r="D134" s="9">
        <v>39041</v>
      </c>
      <c r="E134" s="5">
        <v>1040</v>
      </c>
      <c r="F134">
        <f>VLOOKUP(A134,paiments2[],3,FALSE)</f>
        <v>1040</v>
      </c>
      <c r="G134" s="7"/>
    </row>
    <row r="135" spans="1:7" x14ac:dyDescent="0.2">
      <c r="A135" s="2">
        <v>10381</v>
      </c>
      <c r="B135" s="3" t="s">
        <v>28</v>
      </c>
      <c r="C135" s="3" t="s">
        <v>92</v>
      </c>
      <c r="D135" s="9">
        <v>39041</v>
      </c>
      <c r="E135" s="5">
        <v>84</v>
      </c>
      <c r="F135">
        <f>VLOOKUP(A135,paiments2[],3,FALSE)</f>
        <v>84</v>
      </c>
      <c r="G135" s="7"/>
    </row>
    <row r="136" spans="1:7" x14ac:dyDescent="0.2">
      <c r="A136" s="2">
        <v>10382</v>
      </c>
      <c r="B136" s="3" t="s">
        <v>9</v>
      </c>
      <c r="C136" s="3" t="s">
        <v>91</v>
      </c>
      <c r="D136" s="9">
        <v>39042</v>
      </c>
      <c r="E136" s="5">
        <v>2136</v>
      </c>
      <c r="F136">
        <f>VLOOKUP(A136,paiments2[],3,FALSE)</f>
        <v>2136</v>
      </c>
      <c r="G136" s="7"/>
    </row>
    <row r="137" spans="1:7" x14ac:dyDescent="0.2">
      <c r="A137" s="2">
        <v>10383</v>
      </c>
      <c r="B137" s="3" t="s">
        <v>55</v>
      </c>
      <c r="C137" s="3" t="s">
        <v>95</v>
      </c>
      <c r="D137" s="9">
        <v>39045</v>
      </c>
      <c r="E137" s="5">
        <v>655</v>
      </c>
      <c r="F137">
        <f>VLOOKUP(A137,paiments2[],3,FALSE)</f>
        <v>655</v>
      </c>
      <c r="G137" s="7"/>
    </row>
    <row r="138" spans="1:7" x14ac:dyDescent="0.2">
      <c r="A138" s="2">
        <v>10384</v>
      </c>
      <c r="B138" s="3" t="s">
        <v>25</v>
      </c>
      <c r="C138" s="3" t="s">
        <v>92</v>
      </c>
      <c r="D138" s="9">
        <v>39045</v>
      </c>
      <c r="E138" s="5">
        <v>1672</v>
      </c>
      <c r="F138">
        <f>VLOOKUP(A138,paiments2[],3,FALSE)</f>
        <v>1672</v>
      </c>
      <c r="G138" s="7"/>
    </row>
    <row r="139" spans="1:7" x14ac:dyDescent="0.2">
      <c r="A139" s="2">
        <v>10385</v>
      </c>
      <c r="B139" s="3" t="s">
        <v>20</v>
      </c>
      <c r="C139" s="3" t="s">
        <v>94</v>
      </c>
      <c r="D139" s="9">
        <v>39046</v>
      </c>
      <c r="E139" s="5">
        <v>636</v>
      </c>
      <c r="F139">
        <f>VLOOKUP(A139,paiments2[],3,FALSE)</f>
        <v>636</v>
      </c>
      <c r="G139" s="7"/>
    </row>
    <row r="140" spans="1:7" x14ac:dyDescent="0.2">
      <c r="A140" s="2">
        <v>10386</v>
      </c>
      <c r="B140" s="3" t="s">
        <v>52</v>
      </c>
      <c r="C140" s="3" t="s">
        <v>93</v>
      </c>
      <c r="D140" s="9">
        <v>39047</v>
      </c>
      <c r="E140" s="5">
        <v>110</v>
      </c>
      <c r="F140">
        <f>VLOOKUP(A140,paiments2[],3,FALSE)</f>
        <v>110</v>
      </c>
      <c r="G140" s="7"/>
    </row>
    <row r="141" spans="1:7" x14ac:dyDescent="0.2">
      <c r="A141" s="2">
        <v>10387</v>
      </c>
      <c r="B141" s="3" t="s">
        <v>63</v>
      </c>
      <c r="C141" s="3" t="s">
        <v>94</v>
      </c>
      <c r="D141" s="9">
        <v>39047</v>
      </c>
      <c r="E141" s="5">
        <v>783</v>
      </c>
      <c r="F141">
        <f>VLOOKUP(A141,paiments2[],3,FALSE)</f>
        <v>783</v>
      </c>
      <c r="G141" s="7"/>
    </row>
    <row r="142" spans="1:7" x14ac:dyDescent="0.2">
      <c r="A142" s="2">
        <v>10388</v>
      </c>
      <c r="B142" s="3" t="s">
        <v>56</v>
      </c>
      <c r="C142" s="3" t="s">
        <v>96</v>
      </c>
      <c r="D142" s="9">
        <v>39048</v>
      </c>
      <c r="E142" s="5">
        <v>915</v>
      </c>
      <c r="F142">
        <f>VLOOKUP(A142,paiments2[],3,FALSE)</f>
        <v>915</v>
      </c>
      <c r="G142" s="7"/>
    </row>
    <row r="143" spans="1:7" x14ac:dyDescent="0.2">
      <c r="A143" s="2">
        <v>10389</v>
      </c>
      <c r="B143" s="3" t="s">
        <v>64</v>
      </c>
      <c r="C143" s="3" t="s">
        <v>91</v>
      </c>
      <c r="D143" s="9">
        <v>39049</v>
      </c>
      <c r="E143" s="5">
        <v>1368</v>
      </c>
      <c r="F143">
        <f>VLOOKUP(A143,paiments2[],3,FALSE)</f>
        <v>1368</v>
      </c>
      <c r="G143" s="7"/>
    </row>
    <row r="144" spans="1:7" x14ac:dyDescent="0.2">
      <c r="A144" s="2">
        <v>10390</v>
      </c>
      <c r="B144" s="3" t="s">
        <v>9</v>
      </c>
      <c r="C144" s="3" t="s">
        <v>90</v>
      </c>
      <c r="D144" s="9">
        <v>39052</v>
      </c>
      <c r="E144" s="5">
        <v>1639</v>
      </c>
      <c r="F144">
        <f>VLOOKUP(A144,paiments2[],3,FALSE)</f>
        <v>1639</v>
      </c>
      <c r="G144" s="7"/>
    </row>
    <row r="145" spans="1:7" x14ac:dyDescent="0.2">
      <c r="A145" s="2">
        <v>10391</v>
      </c>
      <c r="B145" s="3" t="s">
        <v>57</v>
      </c>
      <c r="C145" s="3" t="s">
        <v>92</v>
      </c>
      <c r="D145" s="9">
        <v>39052</v>
      </c>
      <c r="E145" s="5">
        <v>54</v>
      </c>
      <c r="F145">
        <f>VLOOKUP(A145,paiments2[],3,FALSE)</f>
        <v>54</v>
      </c>
      <c r="G145" s="7"/>
    </row>
    <row r="146" spans="1:7" x14ac:dyDescent="0.2">
      <c r="A146" s="2">
        <v>10392</v>
      </c>
      <c r="B146" s="3" t="s">
        <v>54</v>
      </c>
      <c r="C146" s="3" t="s">
        <v>96</v>
      </c>
      <c r="D146" s="9">
        <v>39053</v>
      </c>
      <c r="E146" s="5">
        <v>1050</v>
      </c>
      <c r="F146">
        <f>VLOOKUP(A146,paiments2[],3,FALSE)</f>
        <v>1050</v>
      </c>
      <c r="G146" s="7"/>
    </row>
    <row r="147" spans="1:7" x14ac:dyDescent="0.2">
      <c r="A147" s="2">
        <v>10393</v>
      </c>
      <c r="B147" s="3" t="s">
        <v>45</v>
      </c>
      <c r="C147" s="3" t="s">
        <v>94</v>
      </c>
      <c r="D147" s="9">
        <v>39054</v>
      </c>
      <c r="E147" s="5">
        <v>2403</v>
      </c>
      <c r="F147">
        <f>VLOOKUP(A147,paiments2[],3,FALSE)</f>
        <v>2403</v>
      </c>
      <c r="G147" s="7"/>
    </row>
    <row r="148" spans="1:7" x14ac:dyDescent="0.2">
      <c r="A148" s="2">
        <v>10394</v>
      </c>
      <c r="B148" s="3" t="s">
        <v>62</v>
      </c>
      <c r="C148" s="3" t="s">
        <v>94</v>
      </c>
      <c r="D148" s="9">
        <v>39054</v>
      </c>
      <c r="E148" s="5">
        <v>330</v>
      </c>
      <c r="F148">
        <f>VLOOKUP(A148,paiments2[],3,FALSE)</f>
        <v>330</v>
      </c>
      <c r="G148" s="7"/>
    </row>
    <row r="149" spans="1:7" x14ac:dyDescent="0.2">
      <c r="A149" s="2">
        <v>10395</v>
      </c>
      <c r="B149" s="3" t="s">
        <v>8</v>
      </c>
      <c r="C149" s="3" t="s">
        <v>90</v>
      </c>
      <c r="D149" s="9">
        <v>39055</v>
      </c>
      <c r="E149" s="5">
        <v>1694</v>
      </c>
      <c r="F149">
        <f>VLOOKUP(A149,paiments2[],3,FALSE)</f>
        <v>1694</v>
      </c>
      <c r="G149" s="7"/>
    </row>
    <row r="150" spans="1:7" x14ac:dyDescent="0.2">
      <c r="A150" s="2">
        <v>10396</v>
      </c>
      <c r="B150" s="3" t="s">
        <v>17</v>
      </c>
      <c r="C150" s="3" t="s">
        <v>94</v>
      </c>
      <c r="D150" s="9">
        <v>39056</v>
      </c>
      <c r="E150" s="5">
        <v>1421</v>
      </c>
      <c r="F150">
        <f>VLOOKUP(A150,paiments2[],3,FALSE)</f>
        <v>1421</v>
      </c>
      <c r="G150" s="7"/>
    </row>
    <row r="151" spans="1:7" x14ac:dyDescent="0.2">
      <c r="A151" s="2">
        <v>10397</v>
      </c>
      <c r="B151" s="3" t="s">
        <v>50</v>
      </c>
      <c r="C151" s="3" t="s">
        <v>89</v>
      </c>
      <c r="D151" s="9">
        <v>39056</v>
      </c>
      <c r="E151" s="5">
        <v>636</v>
      </c>
      <c r="F151">
        <f>VLOOKUP(A151,paiments2[],3,FALSE)</f>
        <v>636</v>
      </c>
      <c r="G151" s="7"/>
    </row>
    <row r="152" spans="1:7" x14ac:dyDescent="0.2">
      <c r="A152" s="2">
        <v>10398</v>
      </c>
      <c r="B152" s="3" t="s">
        <v>45</v>
      </c>
      <c r="C152" s="3" t="s">
        <v>96</v>
      </c>
      <c r="D152" s="9">
        <v>39059</v>
      </c>
      <c r="E152" s="5">
        <v>1980</v>
      </c>
      <c r="F152">
        <f>VLOOKUP(A152,paiments2[],3,FALSE)</f>
        <v>1980</v>
      </c>
      <c r="G152" s="7"/>
    </row>
    <row r="153" spans="1:7" x14ac:dyDescent="0.2">
      <c r="A153" s="2">
        <v>10399</v>
      </c>
      <c r="B153" s="3" t="s">
        <v>60</v>
      </c>
      <c r="C153" s="3" t="s">
        <v>95</v>
      </c>
      <c r="D153" s="9">
        <v>39060</v>
      </c>
      <c r="E153" s="5">
        <v>1258</v>
      </c>
      <c r="F153">
        <f>VLOOKUP(A153,paiments2[],3,FALSE)</f>
        <v>1258</v>
      </c>
      <c r="G153" s="7"/>
    </row>
    <row r="154" spans="1:7" x14ac:dyDescent="0.2">
      <c r="A154" s="2">
        <v>10400</v>
      </c>
      <c r="B154" s="3" t="s">
        <v>58</v>
      </c>
      <c r="C154" s="3" t="s">
        <v>94</v>
      </c>
      <c r="D154" s="9">
        <v>39061</v>
      </c>
      <c r="E154" s="5">
        <v>2285</v>
      </c>
      <c r="F154">
        <f>VLOOKUP(A154,paiments2[],3,FALSE)</f>
        <v>2285</v>
      </c>
      <c r="G154" s="7"/>
    </row>
    <row r="155" spans="1:7" x14ac:dyDescent="0.2">
      <c r="A155" s="2">
        <v>10401</v>
      </c>
      <c r="B155" s="3" t="s">
        <v>13</v>
      </c>
      <c r="C155" s="3" t="s">
        <v>94</v>
      </c>
      <c r="D155" s="9">
        <v>39061</v>
      </c>
      <c r="E155" s="5">
        <v>2900</v>
      </c>
      <c r="F155">
        <f>VLOOKUP(A155,paiments2[],3,FALSE)</f>
        <v>2900</v>
      </c>
      <c r="G155" s="7"/>
    </row>
    <row r="156" spans="1:7" x14ac:dyDescent="0.2">
      <c r="A156" s="2">
        <v>10402</v>
      </c>
      <c r="B156" s="3" t="s">
        <v>9</v>
      </c>
      <c r="C156" s="3" t="s">
        <v>95</v>
      </c>
      <c r="D156" s="9">
        <v>39062</v>
      </c>
      <c r="E156" s="5">
        <v>1990</v>
      </c>
      <c r="F156">
        <f>VLOOKUP(A156,paiments2[],3,FALSE)</f>
        <v>1990</v>
      </c>
      <c r="G156" s="7"/>
    </row>
    <row r="157" spans="1:7" x14ac:dyDescent="0.2">
      <c r="A157" s="2">
        <v>10403</v>
      </c>
      <c r="B157" s="3" t="s">
        <v>9</v>
      </c>
      <c r="C157" s="3" t="s">
        <v>91</v>
      </c>
      <c r="D157" s="9">
        <v>39063</v>
      </c>
      <c r="E157" s="5">
        <v>700</v>
      </c>
      <c r="F157">
        <f>VLOOKUP(A157,paiments2[],3,FALSE)</f>
        <v>700</v>
      </c>
      <c r="G157" s="7"/>
    </row>
    <row r="158" spans="1:7" x14ac:dyDescent="0.2">
      <c r="A158" s="2">
        <v>10404</v>
      </c>
      <c r="B158" s="3" t="s">
        <v>22</v>
      </c>
      <c r="C158" s="3" t="s">
        <v>96</v>
      </c>
      <c r="D158" s="9">
        <v>39063</v>
      </c>
      <c r="E158" s="5">
        <v>1220</v>
      </c>
      <c r="F158">
        <f>VLOOKUP(A158,paiments2[],3,FALSE)</f>
        <v>1220</v>
      </c>
      <c r="G158" s="7"/>
    </row>
    <row r="159" spans="1:7" x14ac:dyDescent="0.2">
      <c r="A159" s="2">
        <v>10405</v>
      </c>
      <c r="B159" s="3" t="s">
        <v>65</v>
      </c>
      <c r="C159" s="3" t="s">
        <v>94</v>
      </c>
      <c r="D159" s="9">
        <v>39066</v>
      </c>
      <c r="E159" s="5">
        <v>300</v>
      </c>
      <c r="F159">
        <f>VLOOKUP(A159,paiments2[],3,FALSE)</f>
        <v>300</v>
      </c>
      <c r="G159" s="7"/>
    </row>
    <row r="160" spans="1:7" x14ac:dyDescent="0.2">
      <c r="A160" s="2">
        <v>10406</v>
      </c>
      <c r="B160" s="3" t="s">
        <v>61</v>
      </c>
      <c r="C160" s="3" t="s">
        <v>97</v>
      </c>
      <c r="D160" s="9">
        <v>39067</v>
      </c>
      <c r="E160" s="5">
        <v>1491</v>
      </c>
      <c r="F160">
        <f>VLOOKUP(A160,paiments2[],3,FALSE)</f>
        <v>1491</v>
      </c>
      <c r="G160" s="7"/>
    </row>
    <row r="161" spans="1:7" x14ac:dyDescent="0.2">
      <c r="A161" s="2">
        <v>10407</v>
      </c>
      <c r="B161" s="3" t="s">
        <v>11</v>
      </c>
      <c r="C161" s="3" t="s">
        <v>96</v>
      </c>
      <c r="D161" s="9">
        <v>39067</v>
      </c>
      <c r="E161" s="5">
        <v>870</v>
      </c>
      <c r="F161">
        <f>VLOOKUP(A161,paiments2[],3,FALSE)</f>
        <v>870</v>
      </c>
      <c r="G161" s="7"/>
    </row>
    <row r="162" spans="1:7" x14ac:dyDescent="0.2">
      <c r="A162" s="2">
        <v>10408</v>
      </c>
      <c r="B162" s="3" t="s">
        <v>66</v>
      </c>
      <c r="C162" s="3" t="s">
        <v>95</v>
      </c>
      <c r="D162" s="9">
        <v>39068</v>
      </c>
      <c r="E162" s="5">
        <v>1224</v>
      </c>
      <c r="F162">
        <f>VLOOKUP(A162,paiments2[],3,FALSE)</f>
        <v>1224</v>
      </c>
      <c r="G162" s="7"/>
    </row>
    <row r="163" spans="1:7" x14ac:dyDescent="0.2">
      <c r="A163" s="2">
        <v>10409</v>
      </c>
      <c r="B163" s="3" t="s">
        <v>67</v>
      </c>
      <c r="C163" s="3" t="s">
        <v>92</v>
      </c>
      <c r="D163" s="9">
        <v>39069</v>
      </c>
      <c r="E163" s="5">
        <v>240</v>
      </c>
      <c r="F163">
        <f>VLOOKUP(A163,paiments2[],3,FALSE)</f>
        <v>240</v>
      </c>
      <c r="G163" s="7"/>
    </row>
    <row r="164" spans="1:7" x14ac:dyDescent="0.2">
      <c r="A164" s="2">
        <v>10410</v>
      </c>
      <c r="B164" s="3" t="s">
        <v>64</v>
      </c>
      <c r="C164" s="3" t="s">
        <v>92</v>
      </c>
      <c r="D164" s="9">
        <v>39070</v>
      </c>
      <c r="E164" s="5">
        <v>577</v>
      </c>
      <c r="F164">
        <f>VLOOKUP(A164,paiments2[],3,FALSE)</f>
        <v>577</v>
      </c>
      <c r="G164" s="7"/>
    </row>
    <row r="165" spans="1:7" x14ac:dyDescent="0.2">
      <c r="A165" s="2">
        <v>10411</v>
      </c>
      <c r="B165" s="3" t="s">
        <v>64</v>
      </c>
      <c r="C165" s="3" t="s">
        <v>93</v>
      </c>
      <c r="D165" s="9">
        <v>39070</v>
      </c>
      <c r="E165" s="5">
        <v>862</v>
      </c>
      <c r="F165">
        <f>VLOOKUP(A165,paiments2[],3,FALSE)</f>
        <v>862</v>
      </c>
      <c r="G165" s="7"/>
    </row>
    <row r="166" spans="1:7" x14ac:dyDescent="0.2">
      <c r="A166" s="2">
        <v>10412</v>
      </c>
      <c r="B166" s="3" t="s">
        <v>16</v>
      </c>
      <c r="C166" s="3" t="s">
        <v>95</v>
      </c>
      <c r="D166" s="9">
        <v>39073</v>
      </c>
      <c r="E166" s="5">
        <v>280</v>
      </c>
      <c r="F166">
        <f>VLOOKUP(A166,paiments2[],3,FALSE)</f>
        <v>280</v>
      </c>
      <c r="G166" s="7"/>
    </row>
    <row r="167" spans="1:7" x14ac:dyDescent="0.2">
      <c r="A167" s="2">
        <v>10413</v>
      </c>
      <c r="B167" s="3" t="s">
        <v>53</v>
      </c>
      <c r="C167" s="3" t="s">
        <v>92</v>
      </c>
      <c r="D167" s="9">
        <v>39074</v>
      </c>
      <c r="E167" s="5">
        <v>1580</v>
      </c>
      <c r="F167">
        <f>VLOOKUP(A167,paiments2[],3,FALSE)</f>
        <v>1580</v>
      </c>
      <c r="G167" s="7"/>
    </row>
    <row r="168" spans="1:7" x14ac:dyDescent="0.2">
      <c r="A168" s="2">
        <v>10414</v>
      </c>
      <c r="B168" s="3" t="s">
        <v>52</v>
      </c>
      <c r="C168" s="3" t="s">
        <v>96</v>
      </c>
      <c r="D168" s="9">
        <v>39074</v>
      </c>
      <c r="E168" s="5">
        <v>140</v>
      </c>
      <c r="F168">
        <f>VLOOKUP(A168,paiments2[],3,FALSE)</f>
        <v>140</v>
      </c>
      <c r="G168" s="7"/>
    </row>
    <row r="169" spans="1:7" x14ac:dyDescent="0.2">
      <c r="A169" s="2">
        <v>10415</v>
      </c>
      <c r="B169" s="3" t="s">
        <v>62</v>
      </c>
      <c r="C169" s="3" t="s">
        <v>92</v>
      </c>
      <c r="D169" s="9">
        <v>39075</v>
      </c>
      <c r="E169" s="5">
        <v>66</v>
      </c>
      <c r="F169">
        <f>VLOOKUP(A169,paiments2[],3,FALSE)</f>
        <v>66</v>
      </c>
      <c r="G169" s="7"/>
    </row>
    <row r="170" spans="1:7" x14ac:dyDescent="0.2">
      <c r="A170" s="2">
        <v>10416</v>
      </c>
      <c r="B170" s="3" t="s">
        <v>16</v>
      </c>
      <c r="C170" s="3" t="s">
        <v>95</v>
      </c>
      <c r="D170" s="9">
        <v>39076</v>
      </c>
      <c r="E170" s="5">
        <v>510</v>
      </c>
      <c r="F170">
        <f>VLOOKUP(A170,paiments2[],3,FALSE)</f>
        <v>510</v>
      </c>
      <c r="G170" s="7"/>
    </row>
    <row r="171" spans="1:7" x14ac:dyDescent="0.2">
      <c r="A171" s="2">
        <v>10417</v>
      </c>
      <c r="B171" s="3" t="s">
        <v>51</v>
      </c>
      <c r="C171" s="3" t="s">
        <v>91</v>
      </c>
      <c r="D171" s="9">
        <v>39076</v>
      </c>
      <c r="E171" s="5">
        <v>8511</v>
      </c>
      <c r="F171">
        <f>VLOOKUP(A171,paiments2[],3,FALSE)</f>
        <v>8511</v>
      </c>
      <c r="G171" s="7"/>
    </row>
    <row r="172" spans="1:7" x14ac:dyDescent="0.2">
      <c r="A172" s="2">
        <v>10418</v>
      </c>
      <c r="B172" s="3" t="s">
        <v>21</v>
      </c>
      <c r="C172" s="3" t="s">
        <v>91</v>
      </c>
      <c r="D172" s="9">
        <v>39077</v>
      </c>
      <c r="E172" s="5">
        <v>1297</v>
      </c>
      <c r="F172">
        <f>VLOOKUP(A172,paiments2[],3,FALSE)</f>
        <v>1297</v>
      </c>
      <c r="G172" s="7"/>
    </row>
    <row r="173" spans="1:7" x14ac:dyDescent="0.2">
      <c r="A173" s="2">
        <v>10419</v>
      </c>
      <c r="B173" s="3" t="s">
        <v>6</v>
      </c>
      <c r="C173" s="3" t="s">
        <v>91</v>
      </c>
      <c r="D173" s="9">
        <v>39080</v>
      </c>
      <c r="E173" s="5">
        <v>1620</v>
      </c>
      <c r="F173">
        <f>VLOOKUP(A173,paiments2[],3,FALSE)</f>
        <v>1620</v>
      </c>
      <c r="G173" s="7"/>
    </row>
    <row r="174" spans="1:7" x14ac:dyDescent="0.2">
      <c r="A174" s="2">
        <v>10420</v>
      </c>
      <c r="B174" s="3" t="s">
        <v>7</v>
      </c>
      <c r="C174" s="3" t="s">
        <v>92</v>
      </c>
      <c r="D174" s="9">
        <v>39081</v>
      </c>
      <c r="E174" s="5">
        <v>1438</v>
      </c>
      <c r="F174">
        <f>VLOOKUP(A174,paiments2[],3,FALSE)</f>
        <v>1438</v>
      </c>
      <c r="G174" s="7"/>
    </row>
    <row r="175" spans="1:7" x14ac:dyDescent="0.2">
      <c r="A175" s="2">
        <v>10421</v>
      </c>
      <c r="B175" s="3" t="s">
        <v>12</v>
      </c>
      <c r="C175" s="3" t="s">
        <v>95</v>
      </c>
      <c r="D175" s="9">
        <v>39081</v>
      </c>
      <c r="E175" s="5">
        <v>915</v>
      </c>
      <c r="F175">
        <f>VLOOKUP(A175,paiments2[],3,FALSE)</f>
        <v>915</v>
      </c>
      <c r="G175" s="7"/>
    </row>
    <row r="176" spans="1:7" x14ac:dyDescent="0.2">
      <c r="A176" s="2">
        <v>10422</v>
      </c>
      <c r="B176" s="3" t="s">
        <v>68</v>
      </c>
      <c r="C176" s="3" t="s">
        <v>96</v>
      </c>
      <c r="D176" s="9">
        <v>39082</v>
      </c>
      <c r="E176" s="5">
        <v>36</v>
      </c>
      <c r="F176">
        <f>VLOOKUP(A176,paiments2[],3,FALSE)</f>
        <v>36</v>
      </c>
      <c r="G176" s="7"/>
    </row>
    <row r="177" spans="1:7" x14ac:dyDescent="0.2">
      <c r="A177" s="2">
        <v>10423</v>
      </c>
      <c r="B177" s="3" t="s">
        <v>69</v>
      </c>
      <c r="C177" s="3" t="s">
        <v>90</v>
      </c>
      <c r="D177" s="9">
        <v>39083</v>
      </c>
      <c r="E177" s="5">
        <v>758</v>
      </c>
      <c r="F177">
        <f>VLOOKUP(A177,paiments2[],3,FALSE)</f>
        <v>758</v>
      </c>
      <c r="G177" s="7"/>
    </row>
    <row r="178" spans="1:7" x14ac:dyDescent="0.2">
      <c r="A178" s="2">
        <v>10424</v>
      </c>
      <c r="B178" s="3" t="s">
        <v>49</v>
      </c>
      <c r="C178" s="3" t="s">
        <v>97</v>
      </c>
      <c r="D178" s="9">
        <v>39083</v>
      </c>
      <c r="E178" s="5">
        <v>8650</v>
      </c>
      <c r="F178">
        <f>VLOOKUP(A178,paiments2[],3,FALSE)</f>
        <v>8650</v>
      </c>
      <c r="G178" s="7"/>
    </row>
    <row r="179" spans="1:7" x14ac:dyDescent="0.2">
      <c r="A179" s="2">
        <v>10425</v>
      </c>
      <c r="B179" s="3" t="s">
        <v>53</v>
      </c>
      <c r="C179" s="3" t="s">
        <v>90</v>
      </c>
      <c r="D179" s="9">
        <v>39084</v>
      </c>
      <c r="E179" s="5">
        <v>340</v>
      </c>
      <c r="F179">
        <f>VLOOKUP(A179,paiments2[],3,FALSE)</f>
        <v>340</v>
      </c>
      <c r="G179" s="7"/>
    </row>
    <row r="180" spans="1:7" x14ac:dyDescent="0.2">
      <c r="A180" s="2">
        <v>10426</v>
      </c>
      <c r="B180" s="3" t="s">
        <v>98</v>
      </c>
      <c r="C180" s="3" t="s">
        <v>91</v>
      </c>
      <c r="D180" s="9">
        <v>39087</v>
      </c>
      <c r="E180" s="5">
        <v>255</v>
      </c>
      <c r="F180">
        <f>VLOOKUP(A180,paiments2[],3,FALSE)</f>
        <v>255</v>
      </c>
      <c r="G180" s="7"/>
    </row>
    <row r="181" spans="1:7" x14ac:dyDescent="0.2">
      <c r="A181" s="2">
        <v>10427</v>
      </c>
      <c r="B181" s="3" t="s">
        <v>54</v>
      </c>
      <c r="C181" s="3" t="s">
        <v>91</v>
      </c>
      <c r="D181" s="9">
        <v>39087</v>
      </c>
      <c r="E181" s="5">
        <v>490</v>
      </c>
      <c r="F181">
        <f>VLOOKUP(A181,paiments2[],3,FALSE)</f>
        <v>490</v>
      </c>
      <c r="G181" s="7"/>
    </row>
    <row r="182" spans="1:7" x14ac:dyDescent="0.2">
      <c r="A182" s="2">
        <v>10428</v>
      </c>
      <c r="B182" s="3" t="s">
        <v>30</v>
      </c>
      <c r="C182" s="3" t="s">
        <v>97</v>
      </c>
      <c r="D182" s="9">
        <v>39088</v>
      </c>
      <c r="E182" s="5">
        <v>140</v>
      </c>
      <c r="F182">
        <f>VLOOKUP(A182,paiments2[],3,FALSE)</f>
        <v>140</v>
      </c>
      <c r="G182" s="7"/>
    </row>
    <row r="183" spans="1:7" x14ac:dyDescent="0.2">
      <c r="A183" s="2">
        <v>10429</v>
      </c>
      <c r="B183" s="3" t="s">
        <v>34</v>
      </c>
      <c r="C183" s="3" t="s">
        <v>92</v>
      </c>
      <c r="D183" s="9">
        <v>39089</v>
      </c>
      <c r="E183" s="5">
        <v>1270</v>
      </c>
      <c r="F183">
        <f>VLOOKUP(A183,paiments2[],3,FALSE)</f>
        <v>1270</v>
      </c>
      <c r="G183" s="7"/>
    </row>
    <row r="184" spans="1:7" x14ac:dyDescent="0.2">
      <c r="A184" s="2">
        <v>10430</v>
      </c>
      <c r="B184" s="3" t="s">
        <v>9</v>
      </c>
      <c r="C184" s="3" t="s">
        <v>91</v>
      </c>
      <c r="D184" s="9">
        <v>39090</v>
      </c>
      <c r="E184" s="5">
        <v>4335</v>
      </c>
      <c r="F184">
        <f>VLOOKUP(A184,paiments2[],3,FALSE)</f>
        <v>4335</v>
      </c>
      <c r="G184" s="7"/>
    </row>
    <row r="185" spans="1:7" x14ac:dyDescent="0.2">
      <c r="A185" s="2">
        <v>10431</v>
      </c>
      <c r="B185" s="3" t="s">
        <v>64</v>
      </c>
      <c r="C185" s="3" t="s">
        <v>91</v>
      </c>
      <c r="D185" s="9">
        <v>39090</v>
      </c>
      <c r="E185" s="5">
        <v>1850</v>
      </c>
      <c r="F185">
        <f>VLOOKUP(A185,paiments2[],3,FALSE)</f>
        <v>1850</v>
      </c>
      <c r="G185" s="7"/>
    </row>
    <row r="186" spans="1:7" x14ac:dyDescent="0.2">
      <c r="A186" s="2">
        <v>10432</v>
      </c>
      <c r="B186" s="3" t="s">
        <v>20</v>
      </c>
      <c r="C186" s="3" t="s">
        <v>92</v>
      </c>
      <c r="D186" s="9">
        <v>39091</v>
      </c>
      <c r="E186" s="5">
        <v>340</v>
      </c>
      <c r="F186">
        <f>VLOOKUP(A186,paiments2[],3,FALSE)</f>
        <v>340</v>
      </c>
      <c r="G186" s="7"/>
    </row>
    <row r="187" spans="1:7" x14ac:dyDescent="0.2">
      <c r="A187" s="2">
        <v>10433</v>
      </c>
      <c r="B187" s="3" t="s">
        <v>50</v>
      </c>
      <c r="C187" s="3" t="s">
        <v>92</v>
      </c>
      <c r="D187" s="9">
        <v>39094</v>
      </c>
      <c r="E187" s="5">
        <v>644</v>
      </c>
      <c r="F187">
        <f>VLOOKUP(A187,paiments2[],3,FALSE)</f>
        <v>644</v>
      </c>
      <c r="G187" s="7"/>
    </row>
    <row r="188" spans="1:7" x14ac:dyDescent="0.2">
      <c r="A188" s="2">
        <v>10434</v>
      </c>
      <c r="B188" s="3" t="s">
        <v>14</v>
      </c>
      <c r="C188" s="3" t="s">
        <v>92</v>
      </c>
      <c r="D188" s="9">
        <v>39094</v>
      </c>
      <c r="E188" s="5">
        <v>252</v>
      </c>
      <c r="F188">
        <f>VLOOKUP(A188,paiments2[],3,FALSE)</f>
        <v>252</v>
      </c>
      <c r="G188" s="7"/>
    </row>
    <row r="189" spans="1:7" x14ac:dyDescent="0.2">
      <c r="A189" s="2">
        <v>10435</v>
      </c>
      <c r="B189" s="3" t="s">
        <v>70</v>
      </c>
      <c r="C189" s="3" t="s">
        <v>95</v>
      </c>
      <c r="D189" s="9">
        <v>39095</v>
      </c>
      <c r="E189" s="5">
        <v>464</v>
      </c>
      <c r="F189">
        <f>VLOOKUP(A189,paiments2[],3,FALSE)</f>
        <v>464</v>
      </c>
      <c r="G189" s="7"/>
    </row>
    <row r="190" spans="1:7" x14ac:dyDescent="0.2">
      <c r="A190" s="2">
        <v>10436</v>
      </c>
      <c r="B190" s="3" t="s">
        <v>15</v>
      </c>
      <c r="C190" s="3" t="s">
        <v>92</v>
      </c>
      <c r="D190" s="9">
        <v>39096</v>
      </c>
      <c r="E190" s="5">
        <v>1651</v>
      </c>
      <c r="F190">
        <f>VLOOKUP(A190,paiments2[],3,FALSE)</f>
        <v>1651</v>
      </c>
      <c r="G190" s="7"/>
    </row>
    <row r="191" spans="1:7" x14ac:dyDescent="0.2">
      <c r="A191" s="2">
        <v>10437</v>
      </c>
      <c r="B191" s="3" t="s">
        <v>16</v>
      </c>
      <c r="C191" s="3" t="s">
        <v>95</v>
      </c>
      <c r="D191" s="9">
        <v>39096</v>
      </c>
      <c r="E191" s="5">
        <v>285</v>
      </c>
      <c r="F191">
        <f>VLOOKUP(A191,paiments2[],3,FALSE)</f>
        <v>285</v>
      </c>
      <c r="G191" s="7"/>
    </row>
    <row r="192" spans="1:7" x14ac:dyDescent="0.2">
      <c r="A192" s="2">
        <v>10438</v>
      </c>
      <c r="B192" s="3" t="s">
        <v>1</v>
      </c>
      <c r="C192" s="3" t="s">
        <v>92</v>
      </c>
      <c r="D192" s="9">
        <v>39097</v>
      </c>
      <c r="E192" s="5">
        <v>400</v>
      </c>
      <c r="F192">
        <f>VLOOKUP(A192,paiments2[],3,FALSE)</f>
        <v>400</v>
      </c>
      <c r="G192" s="7"/>
    </row>
    <row r="193" spans="1:7" x14ac:dyDescent="0.2">
      <c r="A193" s="2">
        <v>10439</v>
      </c>
      <c r="B193" s="3" t="s">
        <v>49</v>
      </c>
      <c r="C193" s="3" t="s">
        <v>90</v>
      </c>
      <c r="D193" s="9">
        <v>39098</v>
      </c>
      <c r="E193" s="5">
        <v>805</v>
      </c>
      <c r="F193">
        <f>VLOOKUP(A193,paiments2[],3,FALSE)</f>
        <v>805</v>
      </c>
      <c r="G193" s="7"/>
    </row>
    <row r="194" spans="1:7" x14ac:dyDescent="0.2">
      <c r="A194" s="2">
        <v>10440</v>
      </c>
      <c r="B194" s="3" t="s">
        <v>45</v>
      </c>
      <c r="C194" s="3" t="s">
        <v>91</v>
      </c>
      <c r="D194" s="9">
        <v>39101</v>
      </c>
      <c r="E194" s="5">
        <v>4315</v>
      </c>
      <c r="F194">
        <f>VLOOKUP(A194,paiments2[],3,FALSE)</f>
        <v>4315</v>
      </c>
      <c r="G194" s="7"/>
    </row>
    <row r="195" spans="1:7" x14ac:dyDescent="0.2">
      <c r="A195" s="2">
        <v>10441</v>
      </c>
      <c r="B195" s="3" t="s">
        <v>37</v>
      </c>
      <c r="C195" s="3" t="s">
        <v>92</v>
      </c>
      <c r="D195" s="9">
        <v>39101</v>
      </c>
      <c r="E195" s="5">
        <v>1300</v>
      </c>
      <c r="F195">
        <f>VLOOKUP(A195,paiments2[],3,FALSE)</f>
        <v>1300</v>
      </c>
      <c r="G195" s="7"/>
    </row>
    <row r="196" spans="1:7" x14ac:dyDescent="0.2">
      <c r="A196" s="2">
        <v>10442</v>
      </c>
      <c r="B196" s="3" t="s">
        <v>9</v>
      </c>
      <c r="C196" s="3" t="s">
        <v>92</v>
      </c>
      <c r="D196" s="9">
        <v>39102</v>
      </c>
      <c r="E196" s="5">
        <v>1280</v>
      </c>
      <c r="F196">
        <f>VLOOKUP(A196,paiments2[],3,FALSE)</f>
        <v>1280</v>
      </c>
      <c r="G196" s="7"/>
    </row>
    <row r="197" spans="1:7" x14ac:dyDescent="0.2">
      <c r="A197" s="2">
        <v>10443</v>
      </c>
      <c r="B197" s="3" t="s">
        <v>30</v>
      </c>
      <c r="C197" s="3" t="s">
        <v>95</v>
      </c>
      <c r="D197" s="9">
        <v>39103</v>
      </c>
      <c r="E197" s="5">
        <v>396</v>
      </c>
      <c r="F197">
        <f>VLOOKUP(A197,paiments2[],3,FALSE)</f>
        <v>396</v>
      </c>
      <c r="G197" s="7"/>
    </row>
    <row r="198" spans="1:7" x14ac:dyDescent="0.2">
      <c r="A198" s="2">
        <v>10444</v>
      </c>
      <c r="B198" s="3" t="s">
        <v>25</v>
      </c>
      <c r="C198" s="3" t="s">
        <v>92</v>
      </c>
      <c r="D198" s="9">
        <v>39103</v>
      </c>
      <c r="E198" s="5">
        <v>730</v>
      </c>
      <c r="F198">
        <f>VLOOKUP(A198,paiments2[],3,FALSE)</f>
        <v>730</v>
      </c>
      <c r="G198" s="7"/>
    </row>
    <row r="199" spans="1:7" x14ac:dyDescent="0.2">
      <c r="A199" s="2">
        <v>10445</v>
      </c>
      <c r="B199" s="3" t="s">
        <v>25</v>
      </c>
      <c r="C199" s="3" t="s">
        <v>92</v>
      </c>
      <c r="D199" s="9">
        <v>39104</v>
      </c>
      <c r="E199" s="5">
        <v>120</v>
      </c>
      <c r="F199">
        <f>VLOOKUP(A199,paiments2[],3,FALSE)</f>
        <v>120</v>
      </c>
      <c r="G199" s="7"/>
    </row>
    <row r="200" spans="1:7" x14ac:dyDescent="0.2">
      <c r="A200" s="2">
        <v>10446</v>
      </c>
      <c r="B200" s="3" t="s">
        <v>1</v>
      </c>
      <c r="C200" s="3" t="s">
        <v>90</v>
      </c>
      <c r="D200" s="9">
        <v>39105</v>
      </c>
      <c r="E200" s="5">
        <v>181</v>
      </c>
      <c r="F200">
        <f>VLOOKUP(A200,paiments2[],3,FALSE)</f>
        <v>181</v>
      </c>
      <c r="G200" s="7"/>
    </row>
    <row r="201" spans="1:7" x14ac:dyDescent="0.2">
      <c r="A201" s="2">
        <v>10447</v>
      </c>
      <c r="B201" s="3" t="s">
        <v>29</v>
      </c>
      <c r="C201" s="3" t="s">
        <v>91</v>
      </c>
      <c r="D201" s="9">
        <v>39105</v>
      </c>
      <c r="E201" s="5">
        <v>646</v>
      </c>
      <c r="F201">
        <f>VLOOKUP(A201,paiments2[],3,FALSE)</f>
        <v>646</v>
      </c>
      <c r="G201" s="7"/>
    </row>
    <row r="202" spans="1:7" x14ac:dyDescent="0.2">
      <c r="A202" s="2">
        <v>10448</v>
      </c>
      <c r="B202" s="3" t="s">
        <v>71</v>
      </c>
      <c r="C202" s="3" t="s">
        <v>91</v>
      </c>
      <c r="D202" s="9">
        <v>39108</v>
      </c>
      <c r="E202" s="5">
        <v>328</v>
      </c>
      <c r="F202">
        <f>VLOOKUP(A202,paiments2[],3,FALSE)</f>
        <v>328</v>
      </c>
      <c r="G202" s="7"/>
    </row>
    <row r="203" spans="1:7" x14ac:dyDescent="0.2">
      <c r="A203" s="2">
        <v>10449</v>
      </c>
      <c r="B203" s="3" t="s">
        <v>15</v>
      </c>
      <c r="C203" s="3" t="s">
        <v>92</v>
      </c>
      <c r="D203" s="9">
        <v>39409</v>
      </c>
      <c r="E203" s="5">
        <v>1382</v>
      </c>
      <c r="F203">
        <f>VLOOKUP(A203,paiments2[],3,FALSE)</f>
        <v>1382</v>
      </c>
      <c r="G203" s="7"/>
    </row>
    <row r="204" spans="1:7" x14ac:dyDescent="0.2">
      <c r="A204" s="2">
        <v>10450</v>
      </c>
      <c r="B204" s="3" t="s">
        <v>3</v>
      </c>
      <c r="C204" s="3" t="s">
        <v>95</v>
      </c>
      <c r="D204" s="9">
        <v>39410</v>
      </c>
      <c r="E204" s="5">
        <v>384</v>
      </c>
      <c r="F204">
        <f>VLOOKUP(A204,paiments2[],3,FALSE)</f>
        <v>384</v>
      </c>
      <c r="G204" s="7"/>
    </row>
    <row r="205" spans="1:7" x14ac:dyDescent="0.2">
      <c r="A205" s="2">
        <v>10451</v>
      </c>
      <c r="B205" s="3" t="s">
        <v>21</v>
      </c>
      <c r="C205" s="3" t="s">
        <v>91</v>
      </c>
      <c r="D205" s="9">
        <v>39410</v>
      </c>
      <c r="E205" s="5">
        <v>3101</v>
      </c>
      <c r="F205">
        <f>VLOOKUP(A205,paiments2[],3,FALSE)</f>
        <v>3101</v>
      </c>
      <c r="G205" s="7"/>
    </row>
    <row r="206" spans="1:7" x14ac:dyDescent="0.2">
      <c r="A206" s="2">
        <v>10452</v>
      </c>
      <c r="B206" s="3" t="s">
        <v>45</v>
      </c>
      <c r="C206" s="3" t="s">
        <v>95</v>
      </c>
      <c r="D206" s="9">
        <v>39411</v>
      </c>
      <c r="E206" s="5">
        <v>1505</v>
      </c>
      <c r="F206">
        <f>VLOOKUP(A206,paiments2[],3,FALSE)</f>
        <v>1505</v>
      </c>
      <c r="G206" s="7"/>
    </row>
    <row r="207" spans="1:7" x14ac:dyDescent="0.2">
      <c r="A207" s="2">
        <v>10453</v>
      </c>
      <c r="B207" s="3" t="s">
        <v>55</v>
      </c>
      <c r="C207" s="3" t="s">
        <v>94</v>
      </c>
      <c r="D207" s="9">
        <v>39412</v>
      </c>
      <c r="E207" s="5">
        <v>330</v>
      </c>
      <c r="F207">
        <f>VLOOKUP(A207,paiments2[],3,FALSE)</f>
        <v>330</v>
      </c>
      <c r="G207" s="7"/>
    </row>
    <row r="208" spans="1:7" x14ac:dyDescent="0.2">
      <c r="A208" s="2">
        <v>10454</v>
      </c>
      <c r="B208" s="3" t="s">
        <v>53</v>
      </c>
      <c r="C208" s="3" t="s">
        <v>91</v>
      </c>
      <c r="D208" s="9">
        <v>39412</v>
      </c>
      <c r="E208" s="5">
        <v>290</v>
      </c>
      <c r="F208">
        <f>VLOOKUP(A208,paiments2[],3,FALSE)</f>
        <v>290</v>
      </c>
      <c r="G208" s="7"/>
    </row>
    <row r="209" spans="1:7" x14ac:dyDescent="0.2">
      <c r="A209" s="2">
        <v>10455</v>
      </c>
      <c r="B209" s="3" t="s">
        <v>16</v>
      </c>
      <c r="C209" s="3" t="s">
        <v>95</v>
      </c>
      <c r="D209" s="9">
        <v>39415</v>
      </c>
      <c r="E209" s="5">
        <v>1965</v>
      </c>
      <c r="F209">
        <f>VLOOKUP(A209,paiments2[],3,FALSE)</f>
        <v>1965</v>
      </c>
      <c r="G209" s="7"/>
    </row>
    <row r="210" spans="1:7" x14ac:dyDescent="0.2">
      <c r="A210" s="2">
        <v>10456</v>
      </c>
      <c r="B210" s="3" t="s">
        <v>44</v>
      </c>
      <c r="C210" s="3" t="s">
        <v>95</v>
      </c>
      <c r="D210" s="9">
        <v>39416</v>
      </c>
      <c r="E210" s="5">
        <v>492</v>
      </c>
      <c r="F210">
        <f>VLOOKUP(A210,paiments2[],3,FALSE)</f>
        <v>492</v>
      </c>
      <c r="G210" s="7"/>
    </row>
    <row r="211" spans="1:7" x14ac:dyDescent="0.2">
      <c r="A211" s="2">
        <v>10457</v>
      </c>
      <c r="B211" s="3" t="s">
        <v>44</v>
      </c>
      <c r="C211" s="3" t="s">
        <v>96</v>
      </c>
      <c r="D211" s="9">
        <v>39416</v>
      </c>
      <c r="E211" s="5">
        <v>1188</v>
      </c>
      <c r="F211">
        <f>VLOOKUP(A211,paiments2[],3,FALSE)</f>
        <v>1188</v>
      </c>
      <c r="G211" s="7"/>
    </row>
    <row r="212" spans="1:7" x14ac:dyDescent="0.2">
      <c r="A212" s="2">
        <v>10458</v>
      </c>
      <c r="B212" s="3" t="s">
        <v>4</v>
      </c>
      <c r="C212" s="3" t="s">
        <v>97</v>
      </c>
      <c r="D212" s="9">
        <v>39417</v>
      </c>
      <c r="E212" s="5">
        <v>2905</v>
      </c>
      <c r="F212">
        <f>VLOOKUP(A212,paiments2[],3,FALSE)</f>
        <v>2905</v>
      </c>
      <c r="G212" s="7"/>
    </row>
    <row r="213" spans="1:7" x14ac:dyDescent="0.2">
      <c r="A213" s="2">
        <v>10459</v>
      </c>
      <c r="B213" s="3" t="s">
        <v>3</v>
      </c>
      <c r="C213" s="3" t="s">
        <v>91</v>
      </c>
      <c r="D213" s="9">
        <v>39418</v>
      </c>
      <c r="E213" s="5">
        <v>1268</v>
      </c>
      <c r="F213">
        <f>VLOOKUP(A213,paiments2[],3,FALSE)</f>
        <v>1268</v>
      </c>
      <c r="G213" s="7"/>
    </row>
    <row r="214" spans="1:7" x14ac:dyDescent="0.2">
      <c r="A214" s="2">
        <v>10460</v>
      </c>
      <c r="B214" s="3" t="s">
        <v>14</v>
      </c>
      <c r="C214" s="3" t="s">
        <v>95</v>
      </c>
      <c r="D214" s="9">
        <v>39419</v>
      </c>
      <c r="E214" s="5">
        <v>163</v>
      </c>
      <c r="F214">
        <f>VLOOKUP(A214,paiments2[],3,FALSE)</f>
        <v>163</v>
      </c>
      <c r="G214" s="7"/>
    </row>
    <row r="215" spans="1:7" x14ac:dyDescent="0.2">
      <c r="A215" s="2">
        <v>10461</v>
      </c>
      <c r="B215" s="3" t="s">
        <v>28</v>
      </c>
      <c r="C215" s="3" t="s">
        <v>94</v>
      </c>
      <c r="D215" s="9">
        <v>39419</v>
      </c>
      <c r="E215" s="5">
        <v>1500</v>
      </c>
      <c r="F215">
        <f>VLOOKUP(A215,paiments2[],3,FALSE)</f>
        <v>1500</v>
      </c>
      <c r="G215" s="7"/>
    </row>
    <row r="216" spans="1:7" x14ac:dyDescent="0.2">
      <c r="A216" s="2">
        <v>10462</v>
      </c>
      <c r="B216" s="3" t="s">
        <v>70</v>
      </c>
      <c r="C216" s="3" t="s">
        <v>96</v>
      </c>
      <c r="D216" s="9">
        <v>39422</v>
      </c>
      <c r="E216" s="5">
        <v>108</v>
      </c>
      <c r="F216">
        <f>VLOOKUP(A216,paiments2[],3,FALSE)</f>
        <v>108</v>
      </c>
      <c r="G216" s="7"/>
    </row>
    <row r="217" spans="1:7" x14ac:dyDescent="0.2">
      <c r="A217" s="2">
        <v>10463</v>
      </c>
      <c r="B217" s="3" t="s">
        <v>4</v>
      </c>
      <c r="C217" s="3" t="s">
        <v>89</v>
      </c>
      <c r="D217" s="9">
        <v>39423</v>
      </c>
      <c r="E217" s="5">
        <v>505</v>
      </c>
      <c r="F217">
        <f>VLOOKUP(A217,paiments2[],3,FALSE)</f>
        <v>505</v>
      </c>
      <c r="G217" s="7"/>
    </row>
    <row r="218" spans="1:7" x14ac:dyDescent="0.2">
      <c r="A218" s="2">
        <v>10464</v>
      </c>
      <c r="B218" s="3" t="s">
        <v>47</v>
      </c>
      <c r="C218" s="3" t="s">
        <v>91</v>
      </c>
      <c r="D218" s="9">
        <v>39423</v>
      </c>
      <c r="E218" s="5">
        <v>1382</v>
      </c>
      <c r="F218">
        <f>VLOOKUP(A218,paiments2[],3,FALSE)</f>
        <v>1382</v>
      </c>
      <c r="G218" s="7"/>
    </row>
    <row r="219" spans="1:7" x14ac:dyDescent="0.2">
      <c r="A219" s="2">
        <v>10465</v>
      </c>
      <c r="B219" s="3" t="s">
        <v>60</v>
      </c>
      <c r="C219" s="3" t="s">
        <v>94</v>
      </c>
      <c r="D219" s="9">
        <v>39424</v>
      </c>
      <c r="E219" s="5">
        <v>1995</v>
      </c>
      <c r="F219">
        <f>VLOOKUP(A219,paiments2[],3,FALSE)</f>
        <v>1995</v>
      </c>
      <c r="G219" s="7"/>
    </row>
    <row r="220" spans="1:7" x14ac:dyDescent="0.2">
      <c r="A220" s="2">
        <v>10466</v>
      </c>
      <c r="B220" s="3" t="s">
        <v>32</v>
      </c>
      <c r="C220" s="3" t="s">
        <v>91</v>
      </c>
      <c r="D220" s="9">
        <v>39425</v>
      </c>
      <c r="E220" s="5">
        <v>155</v>
      </c>
      <c r="F220">
        <f>VLOOKUP(A220,paiments2[],3,FALSE)</f>
        <v>155</v>
      </c>
      <c r="G220" s="7"/>
    </row>
    <row r="221" spans="1:7" x14ac:dyDescent="0.2">
      <c r="A221" s="2">
        <v>10467</v>
      </c>
      <c r="B221" s="3" t="s">
        <v>22</v>
      </c>
      <c r="C221" s="3" t="s">
        <v>95</v>
      </c>
      <c r="D221" s="9">
        <v>39425</v>
      </c>
      <c r="E221" s="5">
        <v>152</v>
      </c>
      <c r="F221">
        <f>VLOOKUP(A221,paiments2[],3,FALSE)</f>
        <v>152</v>
      </c>
      <c r="G221" s="7"/>
    </row>
    <row r="222" spans="1:7" x14ac:dyDescent="0.2">
      <c r="A222" s="2">
        <v>10468</v>
      </c>
      <c r="B222" s="3" t="s">
        <v>44</v>
      </c>
      <c r="C222" s="3" t="s">
        <v>92</v>
      </c>
      <c r="D222" s="9">
        <v>39426</v>
      </c>
      <c r="E222" s="5">
        <v>540</v>
      </c>
      <c r="F222">
        <f>VLOOKUP(A222,paiments2[],3,FALSE)</f>
        <v>540</v>
      </c>
      <c r="G222" s="7"/>
    </row>
    <row r="223" spans="1:7" x14ac:dyDescent="0.2">
      <c r="A223" s="2">
        <v>10469</v>
      </c>
      <c r="B223" s="3" t="s">
        <v>19</v>
      </c>
      <c r="C223" s="3" t="s">
        <v>94</v>
      </c>
      <c r="D223" s="9">
        <v>39429</v>
      </c>
      <c r="E223" s="5">
        <v>812</v>
      </c>
      <c r="F223">
        <f>VLOOKUP(A223,paiments2[],3,FALSE)</f>
        <v>812</v>
      </c>
      <c r="G223" s="7"/>
    </row>
    <row r="224" spans="1:7" x14ac:dyDescent="0.2">
      <c r="A224" s="2">
        <v>10470</v>
      </c>
      <c r="B224" s="3" t="s">
        <v>48</v>
      </c>
      <c r="C224" s="3" t="s">
        <v>91</v>
      </c>
      <c r="D224" s="9">
        <v>39430</v>
      </c>
      <c r="E224" s="5">
        <v>1375</v>
      </c>
      <c r="F224">
        <f>VLOOKUP(A224,paiments2[],3,FALSE)</f>
        <v>1375</v>
      </c>
      <c r="G224" s="7"/>
    </row>
    <row r="225" spans="1:7" x14ac:dyDescent="0.2">
      <c r="A225" s="2">
        <v>10471</v>
      </c>
      <c r="B225" s="3" t="s">
        <v>31</v>
      </c>
      <c r="C225" s="3" t="s">
        <v>96</v>
      </c>
      <c r="D225" s="9">
        <v>39430</v>
      </c>
      <c r="E225" s="5">
        <v>1000</v>
      </c>
      <c r="F225">
        <f>VLOOKUP(A225,paiments2[],3,FALSE)</f>
        <v>1000</v>
      </c>
      <c r="G225" s="7"/>
    </row>
    <row r="226" spans="1:7" x14ac:dyDescent="0.2">
      <c r="A226" s="2">
        <v>10472</v>
      </c>
      <c r="B226" s="3" t="s">
        <v>56</v>
      </c>
      <c r="C226" s="3" t="s">
        <v>95</v>
      </c>
      <c r="D226" s="9">
        <v>39431</v>
      </c>
      <c r="E226" s="5">
        <v>736</v>
      </c>
      <c r="F226">
        <f>VLOOKUP(A226,paiments2[],3,FALSE)</f>
        <v>736</v>
      </c>
      <c r="G226" s="7"/>
    </row>
    <row r="227" spans="1:7" x14ac:dyDescent="0.2">
      <c r="A227" s="2">
        <v>10473</v>
      </c>
      <c r="B227" s="3" t="s">
        <v>42</v>
      </c>
      <c r="C227" s="3" t="s">
        <v>94</v>
      </c>
      <c r="D227" s="9">
        <v>39432</v>
      </c>
      <c r="E227" s="5">
        <v>168</v>
      </c>
      <c r="F227">
        <f>VLOOKUP(A227,paiments2[],3,FALSE)</f>
        <v>168</v>
      </c>
      <c r="G227" s="7"/>
    </row>
    <row r="228" spans="1:7" x14ac:dyDescent="0.2">
      <c r="A228" s="2">
        <v>10474</v>
      </c>
      <c r="B228" s="3" t="s">
        <v>43</v>
      </c>
      <c r="C228" s="3" t="s">
        <v>89</v>
      </c>
      <c r="D228" s="9">
        <v>39432</v>
      </c>
      <c r="E228" s="5">
        <v>925</v>
      </c>
      <c r="F228">
        <f>VLOOKUP(A228,paiments2[],3,FALSE)</f>
        <v>925</v>
      </c>
      <c r="G228" s="7"/>
    </row>
    <row r="229" spans="1:7" x14ac:dyDescent="0.2">
      <c r="A229" s="2">
        <v>10475</v>
      </c>
      <c r="B229" s="3" t="s">
        <v>4</v>
      </c>
      <c r="C229" s="3" t="s">
        <v>93</v>
      </c>
      <c r="D229" s="9">
        <v>39433</v>
      </c>
      <c r="E229" s="5">
        <v>1265</v>
      </c>
      <c r="F229">
        <f>VLOOKUP(A229,paiments2[],3,FALSE)</f>
        <v>1265</v>
      </c>
      <c r="G229" s="7"/>
    </row>
    <row r="230" spans="1:7" x14ac:dyDescent="0.2">
      <c r="A230" s="2">
        <v>10476</v>
      </c>
      <c r="B230" s="3" t="s">
        <v>8</v>
      </c>
      <c r="C230" s="3" t="s">
        <v>95</v>
      </c>
      <c r="D230" s="9">
        <v>39436</v>
      </c>
      <c r="E230" s="5">
        <v>136</v>
      </c>
      <c r="F230">
        <f>VLOOKUP(A230,paiments2[],3,FALSE)</f>
        <v>136</v>
      </c>
      <c r="G230" s="7"/>
    </row>
    <row r="231" spans="1:7" x14ac:dyDescent="0.2">
      <c r="A231" s="2">
        <v>10477</v>
      </c>
      <c r="B231" s="3" t="s">
        <v>50</v>
      </c>
      <c r="C231" s="3" t="s">
        <v>89</v>
      </c>
      <c r="D231" s="9">
        <v>39436</v>
      </c>
      <c r="E231" s="5">
        <v>476</v>
      </c>
      <c r="F231">
        <f>VLOOKUP(A231,paiments2[],3,FALSE)</f>
        <v>476</v>
      </c>
      <c r="G231" s="7"/>
    </row>
    <row r="232" spans="1:7" x14ac:dyDescent="0.2">
      <c r="A232" s="2">
        <v>10478</v>
      </c>
      <c r="B232" s="3" t="s">
        <v>3</v>
      </c>
      <c r="C232" s="3" t="s">
        <v>96</v>
      </c>
      <c r="D232" s="9">
        <v>39437</v>
      </c>
      <c r="E232" s="5">
        <v>360</v>
      </c>
      <c r="F232">
        <f>VLOOKUP(A232,paiments2[],3,FALSE)</f>
        <v>360</v>
      </c>
      <c r="G232" s="7"/>
    </row>
    <row r="233" spans="1:7" x14ac:dyDescent="0.2">
      <c r="A233" s="2">
        <v>10479</v>
      </c>
      <c r="B233" s="3" t="s">
        <v>13</v>
      </c>
      <c r="C233" s="3" t="s">
        <v>92</v>
      </c>
      <c r="D233" s="9">
        <v>39438</v>
      </c>
      <c r="E233" s="5">
        <v>7912</v>
      </c>
      <c r="F233">
        <f>VLOOKUP(A233,paiments2[],3,FALSE)</f>
        <v>7912</v>
      </c>
      <c r="G233" s="7"/>
    </row>
    <row r="234" spans="1:7" x14ac:dyDescent="0.2">
      <c r="A234" s="2">
        <v>10480</v>
      </c>
      <c r="B234" s="3" t="s">
        <v>66</v>
      </c>
      <c r="C234" s="3" t="s">
        <v>90</v>
      </c>
      <c r="D234" s="9">
        <v>39439</v>
      </c>
      <c r="E234" s="5">
        <v>546</v>
      </c>
      <c r="F234">
        <f>VLOOKUP(A234,paiments2[],3,FALSE)</f>
        <v>546</v>
      </c>
      <c r="G234" s="7"/>
    </row>
    <row r="235" spans="1:7" x14ac:dyDescent="0.2">
      <c r="A235" s="2">
        <v>10481</v>
      </c>
      <c r="B235" s="3" t="s">
        <v>29</v>
      </c>
      <c r="C235" s="3" t="s">
        <v>95</v>
      </c>
      <c r="D235" s="9">
        <v>39439</v>
      </c>
      <c r="E235" s="5">
        <v>1088</v>
      </c>
      <c r="F235">
        <f>VLOOKUP(A235,paiments2[],3,FALSE)</f>
        <v>1088</v>
      </c>
      <c r="G235" s="7"/>
    </row>
    <row r="236" spans="1:7" x14ac:dyDescent="0.2">
      <c r="A236" s="2">
        <v>10482</v>
      </c>
      <c r="B236" s="3" t="s">
        <v>72</v>
      </c>
      <c r="C236" s="3" t="s">
        <v>94</v>
      </c>
      <c r="D236" s="9">
        <v>39440</v>
      </c>
      <c r="E236" s="5">
        <v>110</v>
      </c>
      <c r="F236">
        <f>VLOOKUP(A236,paiments2[],3,FALSE)</f>
        <v>110</v>
      </c>
      <c r="G236" s="7"/>
    </row>
    <row r="237" spans="1:7" x14ac:dyDescent="0.2">
      <c r="A237" s="2">
        <v>10483</v>
      </c>
      <c r="B237" s="3" t="s">
        <v>19</v>
      </c>
      <c r="C237" s="3" t="s">
        <v>97</v>
      </c>
      <c r="D237" s="9">
        <v>39443</v>
      </c>
      <c r="E237" s="5">
        <v>490</v>
      </c>
      <c r="F237">
        <f>VLOOKUP(A237,paiments2[],3,FALSE)</f>
        <v>490</v>
      </c>
      <c r="G237" s="7"/>
    </row>
    <row r="238" spans="1:7" x14ac:dyDescent="0.2">
      <c r="A238" s="2">
        <v>10484</v>
      </c>
      <c r="B238" s="3" t="s">
        <v>31</v>
      </c>
      <c r="C238" s="3" t="s">
        <v>92</v>
      </c>
      <c r="D238" s="9">
        <v>39443</v>
      </c>
      <c r="E238" s="5">
        <v>290</v>
      </c>
      <c r="F238">
        <f>VLOOKUP(A238,paiments2[],3,FALSE)</f>
        <v>290</v>
      </c>
      <c r="G238" s="7"/>
    </row>
    <row r="239" spans="1:7" x14ac:dyDescent="0.2">
      <c r="A239" s="2">
        <v>10485</v>
      </c>
      <c r="B239" s="3" t="s">
        <v>65</v>
      </c>
      <c r="C239" s="3" t="s">
        <v>91</v>
      </c>
      <c r="D239" s="9">
        <v>39444</v>
      </c>
      <c r="E239" s="5">
        <v>1300</v>
      </c>
      <c r="F239">
        <f>VLOOKUP(A239,paiments2[],3,FALSE)</f>
        <v>1300</v>
      </c>
      <c r="G239" s="7"/>
    </row>
    <row r="240" spans="1:7" x14ac:dyDescent="0.2">
      <c r="A240" s="2">
        <v>10486</v>
      </c>
      <c r="B240" s="3" t="s">
        <v>8</v>
      </c>
      <c r="C240" s="3" t="s">
        <v>94</v>
      </c>
      <c r="D240" s="9">
        <v>39445</v>
      </c>
      <c r="E240" s="5">
        <v>956</v>
      </c>
      <c r="F240">
        <f>VLOOKUP(A240,paiments2[],3,FALSE)</f>
        <v>956</v>
      </c>
      <c r="G240" s="7"/>
    </row>
    <row r="241" spans="1:7" x14ac:dyDescent="0.2">
      <c r="A241" s="2">
        <v>10487</v>
      </c>
      <c r="B241" s="3" t="s">
        <v>61</v>
      </c>
      <c r="C241" s="3" t="s">
        <v>96</v>
      </c>
      <c r="D241" s="9">
        <v>39445</v>
      </c>
      <c r="E241" s="5">
        <v>661</v>
      </c>
      <c r="F241">
        <f>VLOOKUP(A241,paiments2[],3,FALSE)</f>
        <v>661</v>
      </c>
      <c r="G241" s="7"/>
    </row>
    <row r="242" spans="1:7" x14ac:dyDescent="0.2">
      <c r="A242" s="2">
        <v>10488</v>
      </c>
      <c r="B242" s="3" t="s">
        <v>17</v>
      </c>
      <c r="C242" s="3" t="s">
        <v>95</v>
      </c>
      <c r="D242" s="9">
        <v>39446</v>
      </c>
      <c r="E242" s="5">
        <v>1170</v>
      </c>
      <c r="F242">
        <f>VLOOKUP(A242,paiments2[],3,FALSE)</f>
        <v>1170</v>
      </c>
      <c r="G242" s="7"/>
    </row>
    <row r="243" spans="1:7" x14ac:dyDescent="0.2">
      <c r="A243" s="2">
        <v>10489</v>
      </c>
      <c r="B243" s="3" t="s">
        <v>54</v>
      </c>
      <c r="C243" s="3" t="s">
        <v>90</v>
      </c>
      <c r="D243" s="9">
        <v>39447</v>
      </c>
      <c r="E243" s="5">
        <v>360</v>
      </c>
      <c r="F243">
        <f>VLOOKUP(A243,paiments2[],3,FALSE)</f>
        <v>360</v>
      </c>
      <c r="G243" s="7"/>
    </row>
    <row r="244" spans="1:7" x14ac:dyDescent="0.2">
      <c r="A244" s="2">
        <v>10490</v>
      </c>
      <c r="B244" s="3" t="s">
        <v>8</v>
      </c>
      <c r="C244" s="3" t="s">
        <v>97</v>
      </c>
      <c r="D244" s="9">
        <v>39450</v>
      </c>
      <c r="E244" s="5">
        <v>2334</v>
      </c>
      <c r="F244">
        <f>VLOOKUP(A244,paiments2[],3,FALSE)</f>
        <v>2334</v>
      </c>
      <c r="G244" s="7"/>
    </row>
    <row r="245" spans="1:7" x14ac:dyDescent="0.2">
      <c r="A245" s="2">
        <v>10491</v>
      </c>
      <c r="B245" s="3" t="s">
        <v>47</v>
      </c>
      <c r="C245" s="3" t="s">
        <v>95</v>
      </c>
      <c r="D245" s="9">
        <v>39450</v>
      </c>
      <c r="E245" s="5">
        <v>214</v>
      </c>
      <c r="F245">
        <f>VLOOKUP(A245,paiments2[],3,FALSE)</f>
        <v>214</v>
      </c>
      <c r="G245" s="7"/>
    </row>
    <row r="246" spans="1:7" x14ac:dyDescent="0.2">
      <c r="A246" s="2">
        <v>10492</v>
      </c>
      <c r="B246" s="3" t="s">
        <v>64</v>
      </c>
      <c r="C246" s="3" t="s">
        <v>92</v>
      </c>
      <c r="D246" s="9">
        <v>39451</v>
      </c>
      <c r="E246" s="5">
        <v>640</v>
      </c>
      <c r="F246">
        <f>VLOOKUP(A246,paiments2[],3,FALSE)</f>
        <v>640</v>
      </c>
      <c r="G246" s="7"/>
    </row>
    <row r="247" spans="1:7" x14ac:dyDescent="0.2">
      <c r="A247" s="2">
        <v>10493</v>
      </c>
      <c r="B247" s="3" t="s">
        <v>53</v>
      </c>
      <c r="C247" s="3" t="s">
        <v>91</v>
      </c>
      <c r="D247" s="9">
        <v>39452</v>
      </c>
      <c r="E247" s="5">
        <v>490</v>
      </c>
      <c r="F247">
        <f>VLOOKUP(A247,paiments2[],3,FALSE)</f>
        <v>490</v>
      </c>
      <c r="G247" s="7"/>
    </row>
    <row r="248" spans="1:7" x14ac:dyDescent="0.2">
      <c r="A248" s="2">
        <v>10494</v>
      </c>
      <c r="B248" s="3" t="s">
        <v>32</v>
      </c>
      <c r="C248" s="3" t="s">
        <v>91</v>
      </c>
      <c r="D248" s="9">
        <v>39452</v>
      </c>
      <c r="E248" s="5">
        <v>690</v>
      </c>
      <c r="F248">
        <f>VLOOKUP(A248,paiments2[],3,FALSE)</f>
        <v>690</v>
      </c>
      <c r="G248" s="7"/>
    </row>
    <row r="249" spans="1:7" x14ac:dyDescent="0.2">
      <c r="A249" s="2">
        <v>10495</v>
      </c>
      <c r="B249" s="3" t="s">
        <v>73</v>
      </c>
      <c r="C249" s="3" t="s">
        <v>92</v>
      </c>
      <c r="D249" s="9">
        <v>39453</v>
      </c>
      <c r="E249" s="5">
        <v>185</v>
      </c>
      <c r="F249">
        <f>VLOOKUP(A249,paiments2[],3,FALSE)</f>
        <v>185</v>
      </c>
      <c r="G249" s="7"/>
    </row>
    <row r="250" spans="1:7" x14ac:dyDescent="0.2">
      <c r="A250" s="2">
        <v>10496</v>
      </c>
      <c r="B250" s="3" t="s">
        <v>33</v>
      </c>
      <c r="C250" s="3" t="s">
        <v>97</v>
      </c>
      <c r="D250" s="9">
        <v>39454</v>
      </c>
      <c r="E250" s="5">
        <v>140</v>
      </c>
      <c r="F250">
        <f>VLOOKUP(A250,paiments2[],3,FALSE)</f>
        <v>140</v>
      </c>
      <c r="G250" s="7"/>
    </row>
    <row r="251" spans="1:7" x14ac:dyDescent="0.2">
      <c r="A251" s="2">
        <v>10497</v>
      </c>
      <c r="B251" s="3" t="s">
        <v>26</v>
      </c>
      <c r="C251" s="3" t="s">
        <v>97</v>
      </c>
      <c r="D251" s="9">
        <v>39454</v>
      </c>
      <c r="E251" s="5">
        <v>1022</v>
      </c>
      <c r="F251">
        <f>VLOOKUP(A251,paiments2[],3,FALSE)</f>
        <v>1022</v>
      </c>
      <c r="G251" s="7"/>
    </row>
    <row r="252" spans="1:7" x14ac:dyDescent="0.2">
      <c r="A252" s="2">
        <v>10498</v>
      </c>
      <c r="B252" s="3" t="s">
        <v>8</v>
      </c>
      <c r="C252" s="3" t="s">
        <v>95</v>
      </c>
      <c r="D252" s="9">
        <v>39457</v>
      </c>
      <c r="E252" s="5">
        <v>412</v>
      </c>
      <c r="F252">
        <f>VLOOKUP(A252,paiments2[],3,FALSE)</f>
        <v>412</v>
      </c>
      <c r="G252" s="7"/>
    </row>
    <row r="253" spans="1:7" x14ac:dyDescent="0.2">
      <c r="A253" s="2">
        <v>10499</v>
      </c>
      <c r="B253" s="3" t="s">
        <v>28</v>
      </c>
      <c r="C253" s="3" t="s">
        <v>91</v>
      </c>
      <c r="D253" s="9">
        <v>39458</v>
      </c>
      <c r="E253" s="5">
        <v>1055</v>
      </c>
      <c r="F253">
        <f>VLOOKUP(A253,paiments2[],3,FALSE)</f>
        <v>1055</v>
      </c>
      <c r="G253" s="7"/>
    </row>
    <row r="254" spans="1:7" x14ac:dyDescent="0.2">
      <c r="A254" s="2">
        <v>10500</v>
      </c>
      <c r="B254" s="3" t="s">
        <v>53</v>
      </c>
      <c r="C254" s="3" t="s">
        <v>90</v>
      </c>
      <c r="D254" s="9">
        <v>39459</v>
      </c>
      <c r="E254" s="5">
        <v>404</v>
      </c>
      <c r="F254">
        <f>VLOOKUP(A254,paiments2[],3,FALSE)</f>
        <v>404</v>
      </c>
      <c r="G254" s="7"/>
    </row>
    <row r="255" spans="1:7" x14ac:dyDescent="0.2">
      <c r="A255" s="2">
        <v>10501</v>
      </c>
      <c r="B255" s="3" t="s">
        <v>74</v>
      </c>
      <c r="C255" s="3" t="s">
        <v>93</v>
      </c>
      <c r="D255" s="9">
        <v>39459</v>
      </c>
      <c r="E255" s="5">
        <v>100</v>
      </c>
      <c r="F255">
        <f>VLOOKUP(A255,paiments2[],3,FALSE)</f>
        <v>100</v>
      </c>
      <c r="G255" s="7"/>
    </row>
    <row r="256" spans="1:7" x14ac:dyDescent="0.2">
      <c r="A256" s="2">
        <v>10502</v>
      </c>
      <c r="B256" s="3" t="s">
        <v>43</v>
      </c>
      <c r="C256" s="3" t="s">
        <v>96</v>
      </c>
      <c r="D256" s="9">
        <v>39460</v>
      </c>
      <c r="E256" s="5">
        <v>597</v>
      </c>
      <c r="F256">
        <f>VLOOKUP(A256,paiments2[],3,FALSE)</f>
        <v>597</v>
      </c>
      <c r="G256" s="7"/>
    </row>
    <row r="257" spans="1:7" x14ac:dyDescent="0.2">
      <c r="A257" s="2">
        <v>10503</v>
      </c>
      <c r="B257" s="3" t="s">
        <v>34</v>
      </c>
      <c r="C257" s="3" t="s">
        <v>90</v>
      </c>
      <c r="D257" s="9">
        <v>39461</v>
      </c>
      <c r="E257" s="5">
        <v>1510</v>
      </c>
      <c r="F257">
        <f>VLOOKUP(A257,paiments2[],3,FALSE)</f>
        <v>1510</v>
      </c>
      <c r="G257" s="7"/>
    </row>
    <row r="258" spans="1:7" x14ac:dyDescent="0.2">
      <c r="A258" s="2">
        <v>10504</v>
      </c>
      <c r="B258" s="3" t="s">
        <v>19</v>
      </c>
      <c r="C258" s="3" t="s">
        <v>91</v>
      </c>
      <c r="D258" s="9">
        <v>39461</v>
      </c>
      <c r="E258" s="5">
        <v>1027</v>
      </c>
      <c r="F258">
        <f>VLOOKUP(A258,paiments2[],3,FALSE)</f>
        <v>1027</v>
      </c>
      <c r="G258" s="7"/>
    </row>
    <row r="259" spans="1:7" x14ac:dyDescent="0.2">
      <c r="A259" s="2">
        <v>10505</v>
      </c>
      <c r="B259" s="3" t="s">
        <v>49</v>
      </c>
      <c r="C259" s="3" t="s">
        <v>92</v>
      </c>
      <c r="D259" s="9">
        <v>39464</v>
      </c>
      <c r="E259" s="5">
        <v>111</v>
      </c>
      <c r="F259">
        <f>VLOOKUP(A259,paiments2[],3,FALSE)</f>
        <v>111</v>
      </c>
      <c r="G259" s="7"/>
    </row>
    <row r="260" spans="1:7" x14ac:dyDescent="0.2">
      <c r="A260" s="2">
        <v>10506</v>
      </c>
      <c r="B260" s="3" t="s">
        <v>44</v>
      </c>
      <c r="C260" s="3" t="s">
        <v>93</v>
      </c>
      <c r="D260" s="9">
        <v>39465</v>
      </c>
      <c r="E260" s="5">
        <v>334</v>
      </c>
      <c r="F260">
        <f>VLOOKUP(A260,paiments2[],3,FALSE)</f>
        <v>334</v>
      </c>
      <c r="G260" s="7"/>
    </row>
    <row r="261" spans="1:7" x14ac:dyDescent="0.2">
      <c r="A261" s="2">
        <v>10507</v>
      </c>
      <c r="B261" s="3" t="s">
        <v>59</v>
      </c>
      <c r="C261" s="3" t="s">
        <v>97</v>
      </c>
      <c r="D261" s="9">
        <v>39465</v>
      </c>
      <c r="E261" s="5">
        <v>660</v>
      </c>
      <c r="F261">
        <f>VLOOKUP(A261,paiments2[],3,FALSE)</f>
        <v>660</v>
      </c>
      <c r="G261" s="7"/>
    </row>
    <row r="262" spans="1:7" x14ac:dyDescent="0.2">
      <c r="A262" s="2">
        <v>10508</v>
      </c>
      <c r="B262" s="3" t="s">
        <v>11</v>
      </c>
      <c r="C262" s="3" t="s">
        <v>94</v>
      </c>
      <c r="D262" s="9">
        <v>39466</v>
      </c>
      <c r="E262" s="5">
        <v>170</v>
      </c>
      <c r="F262">
        <f>VLOOKUP(A262,paiments2[],3,FALSE)</f>
        <v>170</v>
      </c>
      <c r="G262" s="7"/>
    </row>
    <row r="263" spans="1:7" x14ac:dyDescent="0.2">
      <c r="A263" s="2">
        <v>10509</v>
      </c>
      <c r="B263" s="3" t="s">
        <v>74</v>
      </c>
      <c r="C263" s="3" t="s">
        <v>91</v>
      </c>
      <c r="D263" s="9">
        <v>39467</v>
      </c>
      <c r="E263" s="5">
        <v>102</v>
      </c>
      <c r="F263">
        <f>VLOOKUP(A263,paiments2[],3,FALSE)</f>
        <v>102</v>
      </c>
      <c r="G263" s="7"/>
    </row>
    <row r="264" spans="1:7" x14ac:dyDescent="0.2">
      <c r="A264" s="2">
        <v>10510</v>
      </c>
      <c r="B264" s="3" t="s">
        <v>45</v>
      </c>
      <c r="C264" s="3" t="s">
        <v>90</v>
      </c>
      <c r="D264" s="9">
        <v>39468</v>
      </c>
      <c r="E264" s="5">
        <v>3564</v>
      </c>
      <c r="F264">
        <f>VLOOKUP(A264,paiments2[],3,FALSE)</f>
        <v>3564</v>
      </c>
      <c r="G264" s="7"/>
    </row>
    <row r="265" spans="1:7" x14ac:dyDescent="0.2">
      <c r="A265" s="2">
        <v>10511</v>
      </c>
      <c r="B265" s="3" t="s">
        <v>48</v>
      </c>
      <c r="C265" s="3" t="s">
        <v>91</v>
      </c>
      <c r="D265" s="9">
        <v>39468</v>
      </c>
      <c r="E265" s="5">
        <v>2200</v>
      </c>
      <c r="F265">
        <f>VLOOKUP(A265,paiments2[],3,FALSE)</f>
        <v>2200</v>
      </c>
      <c r="G265" s="7"/>
    </row>
    <row r="266" spans="1:7" x14ac:dyDescent="0.2">
      <c r="A266" s="2">
        <v>10512</v>
      </c>
      <c r="B266" s="3" t="s">
        <v>52</v>
      </c>
      <c r="C266" s="3" t="s">
        <v>97</v>
      </c>
      <c r="D266" s="9">
        <v>39471</v>
      </c>
      <c r="E266" s="5">
        <v>453</v>
      </c>
      <c r="F266">
        <f>VLOOKUP(A266,paiments2[],3,FALSE)</f>
        <v>453</v>
      </c>
      <c r="G266" s="7"/>
    </row>
    <row r="267" spans="1:7" x14ac:dyDescent="0.2">
      <c r="A267" s="2">
        <v>10513</v>
      </c>
      <c r="B267" s="3" t="s">
        <v>35</v>
      </c>
      <c r="C267" s="3" t="s">
        <v>97</v>
      </c>
      <c r="D267" s="9">
        <v>39472</v>
      </c>
      <c r="E267" s="5">
        <v>1795</v>
      </c>
      <c r="F267">
        <f>VLOOKUP(A267,paiments2[],3,FALSE)</f>
        <v>1795</v>
      </c>
      <c r="G267" s="7"/>
    </row>
    <row r="268" spans="1:7" x14ac:dyDescent="0.2">
      <c r="A268" s="2">
        <v>10514</v>
      </c>
      <c r="B268" s="3" t="s">
        <v>9</v>
      </c>
      <c r="C268" s="3" t="s">
        <v>92</v>
      </c>
      <c r="D268" s="9">
        <v>39472</v>
      </c>
      <c r="E268" s="5">
        <v>6403</v>
      </c>
      <c r="F268">
        <f>VLOOKUP(A268,paiments2[],3,FALSE)</f>
        <v>6403</v>
      </c>
      <c r="G268" s="7"/>
    </row>
    <row r="269" spans="1:7" x14ac:dyDescent="0.2">
      <c r="A269" s="2">
        <v>10515</v>
      </c>
      <c r="B269" s="3" t="s">
        <v>21</v>
      </c>
      <c r="C269" s="3" t="s">
        <v>96</v>
      </c>
      <c r="D269" s="9">
        <v>39473</v>
      </c>
      <c r="E269" s="5">
        <v>7894</v>
      </c>
      <c r="F269">
        <f>VLOOKUP(A269,paiments2[],3,FALSE)</f>
        <v>7894</v>
      </c>
      <c r="G269" s="7"/>
    </row>
    <row r="270" spans="1:7" x14ac:dyDescent="0.2">
      <c r="A270" s="2">
        <v>10516</v>
      </c>
      <c r="B270" s="3" t="s">
        <v>34</v>
      </c>
      <c r="C270" s="3" t="s">
        <v>96</v>
      </c>
      <c r="D270" s="9">
        <v>39474</v>
      </c>
      <c r="E270" s="5">
        <v>1935</v>
      </c>
      <c r="F270">
        <f>VLOOKUP(A270,paiments2[],3,FALSE)</f>
        <v>1935</v>
      </c>
      <c r="G270" s="7"/>
    </row>
    <row r="271" spans="1:7" x14ac:dyDescent="0.2">
      <c r="A271" s="2">
        <v>10517</v>
      </c>
      <c r="B271" s="3" t="s">
        <v>75</v>
      </c>
      <c r="C271" s="3" t="s">
        <v>92</v>
      </c>
      <c r="D271" s="9">
        <v>39474</v>
      </c>
      <c r="E271" s="5">
        <v>260</v>
      </c>
      <c r="F271">
        <f>VLOOKUP(A271,paiments2[],3,FALSE)</f>
        <v>260</v>
      </c>
      <c r="G271" s="7"/>
    </row>
    <row r="272" spans="1:7" x14ac:dyDescent="0.2">
      <c r="A272" s="2">
        <v>10518</v>
      </c>
      <c r="B272" s="3" t="s">
        <v>23</v>
      </c>
      <c r="C272" s="3" t="s">
        <v>91</v>
      </c>
      <c r="D272" s="9">
        <v>39475</v>
      </c>
      <c r="E272" s="5">
        <v>3141</v>
      </c>
      <c r="F272">
        <f>VLOOKUP(A272,paiments2[],3,FALSE)</f>
        <v>3141</v>
      </c>
      <c r="G272" s="7"/>
    </row>
    <row r="273" spans="1:7" x14ac:dyDescent="0.2">
      <c r="A273" s="2">
        <v>10519</v>
      </c>
      <c r="B273" s="3" t="s">
        <v>5</v>
      </c>
      <c r="C273" s="3" t="s">
        <v>90</v>
      </c>
      <c r="D273" s="9">
        <v>39478</v>
      </c>
      <c r="E273" s="5">
        <v>1738</v>
      </c>
      <c r="F273">
        <f>VLOOKUP(A273,paiments2[],3,FALSE)</f>
        <v>1738</v>
      </c>
      <c r="G273" s="7"/>
    </row>
    <row r="274" spans="1:7" x14ac:dyDescent="0.2">
      <c r="A274" s="2">
        <v>10520</v>
      </c>
      <c r="B274" s="3" t="s">
        <v>63</v>
      </c>
      <c r="C274" s="3" t="s">
        <v>97</v>
      </c>
      <c r="D274" s="9">
        <v>39479</v>
      </c>
      <c r="E274" s="5">
        <v>149</v>
      </c>
      <c r="F274">
        <f>VLOOKUP(A274,paiments2[],3,FALSE)</f>
        <v>149</v>
      </c>
      <c r="G274" s="7"/>
    </row>
    <row r="275" spans="1:7" x14ac:dyDescent="0.2">
      <c r="A275" s="2">
        <v>10521</v>
      </c>
      <c r="B275" s="3" t="s">
        <v>76</v>
      </c>
      <c r="C275" s="3" t="s">
        <v>95</v>
      </c>
      <c r="D275" s="9">
        <v>39479</v>
      </c>
      <c r="E275" s="5">
        <v>163</v>
      </c>
      <c r="F275">
        <f>VLOOKUP(A275,paiments2[],3,FALSE)</f>
        <v>163</v>
      </c>
      <c r="G275" s="7"/>
    </row>
    <row r="276" spans="1:7" x14ac:dyDescent="0.2">
      <c r="A276" s="2">
        <v>10522</v>
      </c>
      <c r="B276" s="3" t="s">
        <v>26</v>
      </c>
      <c r="C276" s="3" t="s">
        <v>91</v>
      </c>
      <c r="D276" s="9">
        <v>39480</v>
      </c>
      <c r="E276" s="5">
        <v>1970</v>
      </c>
      <c r="F276">
        <f>VLOOKUP(A276,paiments2[],3,FALSE)</f>
        <v>1970</v>
      </c>
      <c r="G276" s="7"/>
    </row>
    <row r="277" spans="1:7" x14ac:dyDescent="0.2">
      <c r="A277" s="2">
        <v>10523</v>
      </c>
      <c r="B277" s="3" t="s">
        <v>56</v>
      </c>
      <c r="C277" s="3" t="s">
        <v>97</v>
      </c>
      <c r="D277" s="9">
        <v>39481</v>
      </c>
      <c r="E277" s="5">
        <v>2024</v>
      </c>
      <c r="F277">
        <f>VLOOKUP(A277,paiments2[],3,FALSE)</f>
        <v>2024</v>
      </c>
      <c r="G277" s="7"/>
    </row>
    <row r="278" spans="1:7" x14ac:dyDescent="0.2">
      <c r="A278" s="2">
        <v>10524</v>
      </c>
      <c r="B278" s="3" t="s">
        <v>25</v>
      </c>
      <c r="C278" s="3" t="s">
        <v>94</v>
      </c>
      <c r="D278" s="9">
        <v>39481</v>
      </c>
      <c r="E278" s="5">
        <v>2411</v>
      </c>
      <c r="F278">
        <f>VLOOKUP(A278,paiments2[],3,FALSE)</f>
        <v>2411</v>
      </c>
      <c r="G278" s="7"/>
    </row>
    <row r="279" spans="1:7" x14ac:dyDescent="0.2">
      <c r="A279" s="2">
        <v>10525</v>
      </c>
      <c r="B279" s="3" t="s">
        <v>48</v>
      </c>
      <c r="C279" s="3" t="s">
        <v>94</v>
      </c>
      <c r="D279" s="9">
        <v>39482</v>
      </c>
      <c r="E279" s="5">
        <v>630</v>
      </c>
      <c r="F279">
        <f>VLOOKUP(A279,paiments2[],3,FALSE)</f>
        <v>630</v>
      </c>
      <c r="G279" s="7"/>
    </row>
    <row r="280" spans="1:7" x14ac:dyDescent="0.2">
      <c r="A280" s="2">
        <v>10526</v>
      </c>
      <c r="B280" s="3" t="s">
        <v>16</v>
      </c>
      <c r="C280" s="3" t="s">
        <v>91</v>
      </c>
      <c r="D280" s="9">
        <v>39485</v>
      </c>
      <c r="E280" s="5">
        <v>984</v>
      </c>
      <c r="F280">
        <f>VLOOKUP(A280,paiments2[],3,FALSE)</f>
        <v>984</v>
      </c>
      <c r="G280" s="7"/>
    </row>
    <row r="281" spans="1:7" x14ac:dyDescent="0.2">
      <c r="A281" s="2">
        <v>10527</v>
      </c>
      <c r="B281" s="3" t="s">
        <v>21</v>
      </c>
      <c r="C281" s="3" t="s">
        <v>97</v>
      </c>
      <c r="D281" s="9">
        <v>39485</v>
      </c>
      <c r="E281" s="5">
        <v>1220</v>
      </c>
      <c r="F281">
        <f>VLOOKUP(A281,paiments2[],3,FALSE)</f>
        <v>1220</v>
      </c>
      <c r="G281" s="7"/>
    </row>
    <row r="282" spans="1:7" x14ac:dyDescent="0.2">
      <c r="A282" s="2">
        <v>10528</v>
      </c>
      <c r="B282" s="3" t="s">
        <v>77</v>
      </c>
      <c r="C282" s="3" t="s">
        <v>90</v>
      </c>
      <c r="D282" s="9">
        <v>39486</v>
      </c>
      <c r="E282" s="5">
        <v>290</v>
      </c>
      <c r="F282">
        <f>VLOOKUP(A282,paiments2[],3,FALSE)</f>
        <v>290</v>
      </c>
      <c r="G282" s="7"/>
    </row>
    <row r="283" spans="1:7" x14ac:dyDescent="0.2">
      <c r="A283" s="2">
        <v>10529</v>
      </c>
      <c r="B283" s="3" t="s">
        <v>78</v>
      </c>
      <c r="C283" s="3" t="s">
        <v>89</v>
      </c>
      <c r="D283" s="9">
        <v>39487</v>
      </c>
      <c r="E283" s="5">
        <v>702</v>
      </c>
      <c r="F283">
        <f>VLOOKUP(A283,paiments2[],3,FALSE)</f>
        <v>702</v>
      </c>
      <c r="G283" s="7"/>
    </row>
    <row r="284" spans="1:7" x14ac:dyDescent="0.2">
      <c r="A284" s="2">
        <v>10530</v>
      </c>
      <c r="B284" s="3" t="s">
        <v>54</v>
      </c>
      <c r="C284" s="3" t="s">
        <v>92</v>
      </c>
      <c r="D284" s="9">
        <v>39488</v>
      </c>
      <c r="E284" s="5">
        <v>3105</v>
      </c>
      <c r="F284">
        <f>VLOOKUP(A284,paiments2[],3,FALSE)</f>
        <v>3105</v>
      </c>
      <c r="G284" s="7"/>
    </row>
    <row r="285" spans="1:7" x14ac:dyDescent="0.2">
      <c r="A285" s="2">
        <v>10531</v>
      </c>
      <c r="B285" s="3" t="s">
        <v>67</v>
      </c>
      <c r="C285" s="3" t="s">
        <v>97</v>
      </c>
      <c r="D285" s="9">
        <v>39488</v>
      </c>
      <c r="E285" s="5">
        <v>82</v>
      </c>
      <c r="F285">
        <f>VLOOKUP(A285,paiments2[],3,FALSE)</f>
        <v>82</v>
      </c>
      <c r="G285" s="7"/>
    </row>
    <row r="286" spans="1:7" x14ac:dyDescent="0.2">
      <c r="A286" s="2">
        <v>10532</v>
      </c>
      <c r="B286" s="3" t="s">
        <v>58</v>
      </c>
      <c r="C286" s="3" t="s">
        <v>97</v>
      </c>
      <c r="D286" s="9">
        <v>39489</v>
      </c>
      <c r="E286" s="5">
        <v>573</v>
      </c>
      <c r="F286">
        <f>VLOOKUP(A286,paiments2[],3,FALSE)</f>
        <v>573</v>
      </c>
      <c r="G286" s="7"/>
    </row>
    <row r="287" spans="1:7" x14ac:dyDescent="0.2">
      <c r="A287" s="2">
        <v>10533</v>
      </c>
      <c r="B287" s="3" t="s">
        <v>14</v>
      </c>
      <c r="C287" s="3" t="s">
        <v>95</v>
      </c>
      <c r="D287" s="9">
        <v>39492</v>
      </c>
      <c r="E287" s="5">
        <v>1688</v>
      </c>
      <c r="F287">
        <f>VLOOKUP(A287,paiments2[],3,FALSE)</f>
        <v>1688</v>
      </c>
      <c r="G287" s="7"/>
    </row>
    <row r="288" spans="1:7" x14ac:dyDescent="0.2">
      <c r="A288" s="2">
        <v>10534</v>
      </c>
      <c r="B288" s="3" t="s">
        <v>26</v>
      </c>
      <c r="C288" s="3" t="s">
        <v>95</v>
      </c>
      <c r="D288" s="9">
        <v>39492</v>
      </c>
      <c r="E288" s="5">
        <v>380</v>
      </c>
      <c r="F288">
        <f>VLOOKUP(A288,paiments2[],3,FALSE)</f>
        <v>380</v>
      </c>
      <c r="G288" s="7"/>
    </row>
    <row r="289" spans="1:7" x14ac:dyDescent="0.2">
      <c r="A289" s="2">
        <v>10535</v>
      </c>
      <c r="B289" s="3" t="s">
        <v>59</v>
      </c>
      <c r="C289" s="3" t="s">
        <v>91</v>
      </c>
      <c r="D289" s="9">
        <v>39493</v>
      </c>
      <c r="E289" s="5">
        <v>1625</v>
      </c>
      <c r="F289">
        <f>VLOOKUP(A289,paiments2[],3,FALSE)</f>
        <v>1625</v>
      </c>
      <c r="G289" s="7"/>
    </row>
    <row r="290" spans="1:7" x14ac:dyDescent="0.2">
      <c r="A290" s="2">
        <v>10536</v>
      </c>
      <c r="B290" s="3" t="s">
        <v>26</v>
      </c>
      <c r="C290" s="3" t="s">
        <v>92</v>
      </c>
      <c r="D290" s="9">
        <v>39494</v>
      </c>
      <c r="E290" s="5">
        <v>1505</v>
      </c>
      <c r="F290">
        <f>VLOOKUP(A290,paiments2[],3,FALSE)</f>
        <v>1505</v>
      </c>
      <c r="G290" s="7"/>
    </row>
    <row r="291" spans="1:7" x14ac:dyDescent="0.2">
      <c r="A291" s="2">
        <v>10537</v>
      </c>
      <c r="B291" s="3" t="s">
        <v>6</v>
      </c>
      <c r="C291" s="3" t="s">
        <v>94</v>
      </c>
      <c r="D291" s="9">
        <v>39494</v>
      </c>
      <c r="E291" s="5">
        <v>1355</v>
      </c>
      <c r="F291">
        <f>VLOOKUP(A291,paiments2[],3,FALSE)</f>
        <v>1355</v>
      </c>
      <c r="G291" s="7"/>
    </row>
    <row r="292" spans="1:7" x14ac:dyDescent="0.2">
      <c r="A292" s="2">
        <v>10538</v>
      </c>
      <c r="B292" s="3" t="s">
        <v>31</v>
      </c>
      <c r="C292" s="3" t="s">
        <v>93</v>
      </c>
      <c r="D292" s="9">
        <v>39495</v>
      </c>
      <c r="E292" s="5">
        <v>103</v>
      </c>
      <c r="F292">
        <f>VLOOKUP(A292,paiments2[],3,FALSE)</f>
        <v>103</v>
      </c>
      <c r="G292" s="7"/>
    </row>
    <row r="293" spans="1:7" x14ac:dyDescent="0.2">
      <c r="A293" s="2">
        <v>10539</v>
      </c>
      <c r="B293" s="3" t="s">
        <v>31</v>
      </c>
      <c r="C293" s="3" t="s">
        <v>90</v>
      </c>
      <c r="D293" s="9">
        <v>39496</v>
      </c>
      <c r="E293" s="5">
        <v>242</v>
      </c>
      <c r="F293">
        <f>VLOOKUP(A293,paiments2[],3,FALSE)</f>
        <v>242</v>
      </c>
      <c r="G293" s="7"/>
    </row>
    <row r="294" spans="1:7" x14ac:dyDescent="0.2">
      <c r="A294" s="2">
        <v>10540</v>
      </c>
      <c r="B294" s="3" t="s">
        <v>21</v>
      </c>
      <c r="C294" s="3" t="s">
        <v>92</v>
      </c>
      <c r="D294" s="9">
        <v>39499</v>
      </c>
      <c r="E294" s="5">
        <v>7655</v>
      </c>
      <c r="F294">
        <f>VLOOKUP(A294,paiments2[],3,FALSE)</f>
        <v>7655</v>
      </c>
      <c r="G294" s="7"/>
    </row>
    <row r="295" spans="1:7" x14ac:dyDescent="0.2">
      <c r="A295" s="2">
        <v>10541</v>
      </c>
      <c r="B295" s="3" t="s">
        <v>2</v>
      </c>
      <c r="C295" s="3" t="s">
        <v>96</v>
      </c>
      <c r="D295" s="9">
        <v>39499</v>
      </c>
      <c r="E295" s="5">
        <v>1625</v>
      </c>
      <c r="F295">
        <f>VLOOKUP(A295,paiments2[],3,FALSE)</f>
        <v>1625</v>
      </c>
      <c r="G295" s="7"/>
    </row>
    <row r="296" spans="1:7" x14ac:dyDescent="0.2">
      <c r="A296" s="2">
        <v>10542</v>
      </c>
      <c r="B296" s="3" t="s">
        <v>44</v>
      </c>
      <c r="C296" s="3" t="s">
        <v>94</v>
      </c>
      <c r="D296" s="9">
        <v>39500</v>
      </c>
      <c r="E296" s="5">
        <v>360</v>
      </c>
      <c r="F296">
        <f>VLOOKUP(A296,paiments2[],3,FALSE)</f>
        <v>360</v>
      </c>
      <c r="G296" s="7"/>
    </row>
    <row r="297" spans="1:7" x14ac:dyDescent="0.2">
      <c r="A297" s="2">
        <v>10543</v>
      </c>
      <c r="B297" s="3" t="s">
        <v>28</v>
      </c>
      <c r="C297" s="3" t="s">
        <v>95</v>
      </c>
      <c r="D297" s="9">
        <v>39501</v>
      </c>
      <c r="E297" s="5">
        <v>1260</v>
      </c>
      <c r="F297">
        <f>VLOOKUP(A297,paiments2[],3,FALSE)</f>
        <v>1260</v>
      </c>
      <c r="G297" s="7"/>
    </row>
    <row r="298" spans="1:7" x14ac:dyDescent="0.2">
      <c r="A298" s="2">
        <v>10544</v>
      </c>
      <c r="B298" s="3" t="s">
        <v>38</v>
      </c>
      <c r="C298" s="3" t="s">
        <v>91</v>
      </c>
      <c r="D298" s="9">
        <v>39501</v>
      </c>
      <c r="E298" s="5">
        <v>308</v>
      </c>
      <c r="F298">
        <f>VLOOKUP(A298,paiments2[],3,FALSE)</f>
        <v>308</v>
      </c>
      <c r="G298" s="7"/>
    </row>
    <row r="299" spans="1:7" x14ac:dyDescent="0.2">
      <c r="A299" s="2">
        <v>10545</v>
      </c>
      <c r="B299" s="3" t="s">
        <v>72</v>
      </c>
      <c r="C299" s="3" t="s">
        <v>95</v>
      </c>
      <c r="D299" s="9">
        <v>39502</v>
      </c>
      <c r="E299" s="5">
        <v>160</v>
      </c>
      <c r="F299">
        <f>VLOOKUP(A299,paiments2[],3,FALSE)</f>
        <v>160</v>
      </c>
      <c r="G299" s="7"/>
    </row>
    <row r="300" spans="1:7" x14ac:dyDescent="0.2">
      <c r="A300" s="2">
        <v>10546</v>
      </c>
      <c r="B300" s="3" t="s">
        <v>3</v>
      </c>
      <c r="C300" s="3" t="s">
        <v>94</v>
      </c>
      <c r="D300" s="9">
        <v>39503</v>
      </c>
      <c r="E300" s="5">
        <v>2090</v>
      </c>
      <c r="F300">
        <f>VLOOKUP(A300,paiments2[],3,FALSE)</f>
        <v>2090</v>
      </c>
      <c r="G300" s="7"/>
    </row>
    <row r="301" spans="1:7" x14ac:dyDescent="0.2">
      <c r="A301" s="2">
        <v>10547</v>
      </c>
      <c r="B301" s="3" t="s">
        <v>56</v>
      </c>
      <c r="C301" s="3" t="s">
        <v>92</v>
      </c>
      <c r="D301" s="9">
        <v>39503</v>
      </c>
      <c r="E301" s="5">
        <v>1416</v>
      </c>
      <c r="F301">
        <f>VLOOKUP(A301,paiments2[],3,FALSE)</f>
        <v>1416</v>
      </c>
      <c r="G301" s="7"/>
    </row>
    <row r="302" spans="1:7" x14ac:dyDescent="0.2">
      <c r="A302" s="2">
        <v>10548</v>
      </c>
      <c r="B302" s="3" t="s">
        <v>1</v>
      </c>
      <c r="C302" s="3" t="s">
        <v>92</v>
      </c>
      <c r="D302" s="9">
        <v>39506</v>
      </c>
      <c r="E302" s="5">
        <v>198</v>
      </c>
      <c r="F302">
        <f>VLOOKUP(A302,paiments2[],3,FALSE)</f>
        <v>198</v>
      </c>
      <c r="G302" s="7"/>
    </row>
    <row r="303" spans="1:7" x14ac:dyDescent="0.2">
      <c r="A303" s="2">
        <v>10549</v>
      </c>
      <c r="B303" s="3" t="s">
        <v>21</v>
      </c>
      <c r="C303" s="3" t="s">
        <v>89</v>
      </c>
      <c r="D303" s="9">
        <v>39507</v>
      </c>
      <c r="E303" s="5">
        <v>3115</v>
      </c>
      <c r="F303">
        <f>VLOOKUP(A303,paiments2[],3,FALSE)</f>
        <v>3115</v>
      </c>
      <c r="G303" s="7"/>
    </row>
    <row r="304" spans="1:7" x14ac:dyDescent="0.2">
      <c r="A304" s="2">
        <v>10550</v>
      </c>
      <c r="B304" s="3" t="s">
        <v>36</v>
      </c>
      <c r="C304" s="3" t="s">
        <v>97</v>
      </c>
      <c r="D304" s="9">
        <v>39508</v>
      </c>
      <c r="E304" s="5">
        <v>554</v>
      </c>
      <c r="F304">
        <f>VLOOKUP(A304,paiments2[],3,FALSE)</f>
        <v>554</v>
      </c>
      <c r="G304" s="7"/>
    </row>
    <row r="305" spans="1:7" x14ac:dyDescent="0.2">
      <c r="A305" s="2">
        <v>10551</v>
      </c>
      <c r="B305" s="3" t="s">
        <v>47</v>
      </c>
      <c r="C305" s="3" t="s">
        <v>91</v>
      </c>
      <c r="D305" s="9">
        <v>39508</v>
      </c>
      <c r="E305" s="5">
        <v>1340</v>
      </c>
      <c r="F305">
        <f>VLOOKUP(A305,paiments2[],3,FALSE)</f>
        <v>1340</v>
      </c>
      <c r="G305" s="7"/>
    </row>
    <row r="306" spans="1:7" x14ac:dyDescent="0.2">
      <c r="A306" s="2">
        <v>10552</v>
      </c>
      <c r="B306" s="3" t="s">
        <v>8</v>
      </c>
      <c r="C306" s="3" t="s">
        <v>96</v>
      </c>
      <c r="D306" s="9">
        <v>39509</v>
      </c>
      <c r="E306" s="5">
        <v>636</v>
      </c>
      <c r="F306">
        <f>VLOOKUP(A306,paiments2[],3,FALSE)</f>
        <v>636</v>
      </c>
      <c r="G306" s="7"/>
    </row>
    <row r="307" spans="1:7" x14ac:dyDescent="0.2">
      <c r="A307" s="2">
        <v>10553</v>
      </c>
      <c r="B307" s="3" t="s">
        <v>16</v>
      </c>
      <c r="C307" s="3" t="s">
        <v>96</v>
      </c>
      <c r="D307" s="9">
        <v>39510</v>
      </c>
      <c r="E307" s="5">
        <v>1154</v>
      </c>
      <c r="F307">
        <f>VLOOKUP(A307,paiments2[],3,FALSE)</f>
        <v>1154</v>
      </c>
      <c r="G307" s="7"/>
    </row>
    <row r="308" spans="1:7" x14ac:dyDescent="0.2">
      <c r="A308" s="2">
        <v>10554</v>
      </c>
      <c r="B308" s="3" t="s">
        <v>11</v>
      </c>
      <c r="C308" s="3" t="s">
        <v>91</v>
      </c>
      <c r="D308" s="9">
        <v>39510</v>
      </c>
      <c r="E308" s="5">
        <v>1340</v>
      </c>
      <c r="F308">
        <f>VLOOKUP(A308,paiments2[],3,FALSE)</f>
        <v>1340</v>
      </c>
      <c r="G308" s="7"/>
    </row>
    <row r="309" spans="1:7" x14ac:dyDescent="0.2">
      <c r="A309" s="2">
        <v>10555</v>
      </c>
      <c r="B309" s="3" t="s">
        <v>45</v>
      </c>
      <c r="C309" s="3" t="s">
        <v>90</v>
      </c>
      <c r="D309" s="9">
        <v>39513</v>
      </c>
      <c r="E309" s="5">
        <v>2729</v>
      </c>
      <c r="F309">
        <f>VLOOKUP(A309,paiments2[],3,FALSE)</f>
        <v>2729</v>
      </c>
      <c r="G309" s="7"/>
    </row>
    <row r="310" spans="1:7" x14ac:dyDescent="0.2">
      <c r="A310" s="2">
        <v>10556</v>
      </c>
      <c r="B310" s="3" t="s">
        <v>51</v>
      </c>
      <c r="C310" s="3" t="s">
        <v>96</v>
      </c>
      <c r="D310" s="9">
        <v>39514</v>
      </c>
      <c r="E310" s="5">
        <v>624</v>
      </c>
      <c r="F310">
        <f>VLOOKUP(A310,paiments2[],3,FALSE)</f>
        <v>624</v>
      </c>
      <c r="G310" s="7"/>
    </row>
    <row r="311" spans="1:7" x14ac:dyDescent="0.2">
      <c r="A311" s="2">
        <v>10557</v>
      </c>
      <c r="B311" s="3" t="s">
        <v>26</v>
      </c>
      <c r="C311" s="3" t="s">
        <v>93</v>
      </c>
      <c r="D311" s="9">
        <v>39514</v>
      </c>
      <c r="E311" s="5">
        <v>850</v>
      </c>
      <c r="F311">
        <f>VLOOKUP(A311,paiments2[],3,FALSE)</f>
        <v>850</v>
      </c>
      <c r="G311" s="7"/>
    </row>
    <row r="312" spans="1:7" x14ac:dyDescent="0.2">
      <c r="A312" s="2">
        <v>10558</v>
      </c>
      <c r="B312" s="3" t="s">
        <v>55</v>
      </c>
      <c r="C312" s="3" t="s">
        <v>94</v>
      </c>
      <c r="D312" s="9">
        <v>39515</v>
      </c>
      <c r="E312" s="5">
        <v>1608</v>
      </c>
      <c r="F312">
        <f>VLOOKUP(A312,paiments2[],3,FALSE)</f>
        <v>1608</v>
      </c>
      <c r="G312" s="7"/>
    </row>
    <row r="313" spans="1:7" x14ac:dyDescent="0.2">
      <c r="A313" s="2">
        <v>10559</v>
      </c>
      <c r="B313" s="3" t="s">
        <v>15</v>
      </c>
      <c r="C313" s="3" t="s">
        <v>90</v>
      </c>
      <c r="D313" s="9">
        <v>39516</v>
      </c>
      <c r="E313" s="5">
        <v>408</v>
      </c>
      <c r="F313">
        <f>VLOOKUP(A313,paiments2[],3,FALSE)</f>
        <v>408</v>
      </c>
      <c r="G313" s="7"/>
    </row>
    <row r="314" spans="1:7" x14ac:dyDescent="0.2">
      <c r="A314" s="2">
        <v>10560</v>
      </c>
      <c r="B314" s="3" t="s">
        <v>17</v>
      </c>
      <c r="C314" s="3" t="s">
        <v>95</v>
      </c>
      <c r="D314" s="9">
        <v>39517</v>
      </c>
      <c r="E314" s="5">
        <v>935</v>
      </c>
      <c r="F314">
        <f>VLOOKUP(A314,paiments2[],3,FALSE)</f>
        <v>935</v>
      </c>
      <c r="G314" s="7"/>
    </row>
    <row r="315" spans="1:7" x14ac:dyDescent="0.2">
      <c r="A315" s="2">
        <v>10561</v>
      </c>
      <c r="B315" s="3" t="s">
        <v>14</v>
      </c>
      <c r="C315" s="3" t="s">
        <v>96</v>
      </c>
      <c r="D315" s="9">
        <v>39517</v>
      </c>
      <c r="E315" s="5">
        <v>2140</v>
      </c>
      <c r="F315">
        <f>VLOOKUP(A315,paiments2[],3,FALSE)</f>
        <v>2140</v>
      </c>
      <c r="G315" s="7"/>
    </row>
    <row r="316" spans="1:7" x14ac:dyDescent="0.2">
      <c r="A316" s="2">
        <v>10562</v>
      </c>
      <c r="B316" s="3" t="s">
        <v>30</v>
      </c>
      <c r="C316" s="3" t="s">
        <v>94</v>
      </c>
      <c r="D316" s="9">
        <v>39520</v>
      </c>
      <c r="E316" s="5">
        <v>390</v>
      </c>
      <c r="F316">
        <f>VLOOKUP(A316,paiments2[],3,FALSE)</f>
        <v>390</v>
      </c>
      <c r="G316" s="7"/>
    </row>
    <row r="317" spans="1:7" x14ac:dyDescent="0.2">
      <c r="A317" s="2">
        <v>10563</v>
      </c>
      <c r="B317" s="3" t="s">
        <v>29</v>
      </c>
      <c r="C317" s="3" t="s">
        <v>96</v>
      </c>
      <c r="D317" s="9">
        <v>39521</v>
      </c>
      <c r="E317" s="5">
        <v>700</v>
      </c>
      <c r="F317">
        <f>VLOOKUP(A317,paiments2[],3,FALSE)</f>
        <v>700</v>
      </c>
      <c r="G317" s="7"/>
    </row>
    <row r="318" spans="1:7" x14ac:dyDescent="0.2">
      <c r="A318" s="2">
        <v>10564</v>
      </c>
      <c r="B318" s="3" t="s">
        <v>13</v>
      </c>
      <c r="C318" s="3" t="s">
        <v>91</v>
      </c>
      <c r="D318" s="9">
        <v>39521</v>
      </c>
      <c r="E318" s="5">
        <v>968</v>
      </c>
      <c r="F318">
        <f>VLOOKUP(A318,paiments2[],3,FALSE)</f>
        <v>968</v>
      </c>
      <c r="G318" s="7"/>
    </row>
    <row r="319" spans="1:7" x14ac:dyDescent="0.2">
      <c r="A319" s="2">
        <v>10565</v>
      </c>
      <c r="B319" s="3" t="s">
        <v>49</v>
      </c>
      <c r="C319" s="3" t="s">
        <v>95</v>
      </c>
      <c r="D319" s="9">
        <v>39522</v>
      </c>
      <c r="E319" s="5">
        <v>525</v>
      </c>
      <c r="F319">
        <f>VLOOKUP(A319,paiments2[],3,FALSE)</f>
        <v>525</v>
      </c>
      <c r="G319" s="7"/>
    </row>
    <row r="320" spans="1:7" x14ac:dyDescent="0.2">
      <c r="A320" s="2">
        <v>10566</v>
      </c>
      <c r="B320" s="3" t="s">
        <v>15</v>
      </c>
      <c r="C320" s="3" t="s">
        <v>93</v>
      </c>
      <c r="D320" s="9">
        <v>39523</v>
      </c>
      <c r="E320" s="5">
        <v>1536</v>
      </c>
      <c r="F320">
        <f>VLOOKUP(A320,paiments2[],3,FALSE)</f>
        <v>1536</v>
      </c>
      <c r="G320" s="7"/>
    </row>
    <row r="321" spans="1:7" x14ac:dyDescent="0.2">
      <c r="A321" s="2">
        <v>10567</v>
      </c>
      <c r="B321" s="3" t="s">
        <v>34</v>
      </c>
      <c r="C321" s="3" t="s">
        <v>94</v>
      </c>
      <c r="D321" s="9">
        <v>39523</v>
      </c>
      <c r="E321" s="5">
        <v>2300</v>
      </c>
      <c r="F321">
        <f>VLOOKUP(A321,paiments2[],3,FALSE)</f>
        <v>2300</v>
      </c>
      <c r="G321" s="7"/>
    </row>
    <row r="322" spans="1:7" x14ac:dyDescent="0.2">
      <c r="A322" s="2">
        <v>10568</v>
      </c>
      <c r="B322" s="3" t="s">
        <v>98</v>
      </c>
      <c r="C322" s="3" t="s">
        <v>92</v>
      </c>
      <c r="D322" s="9">
        <v>39524</v>
      </c>
      <c r="E322" s="5">
        <v>115</v>
      </c>
      <c r="F322">
        <f>VLOOKUP(A322,paiments2[],3,FALSE)</f>
        <v>115</v>
      </c>
      <c r="G322" s="7"/>
    </row>
    <row r="323" spans="1:7" x14ac:dyDescent="0.2">
      <c r="A323" s="2">
        <v>10569</v>
      </c>
      <c r="B323" s="3" t="s">
        <v>13</v>
      </c>
      <c r="C323" s="3" t="s">
        <v>89</v>
      </c>
      <c r="D323" s="9">
        <v>39527</v>
      </c>
      <c r="E323" s="5">
        <v>705</v>
      </c>
      <c r="F323">
        <f>VLOOKUP(A323,paiments2[],3,FALSE)</f>
        <v>705</v>
      </c>
      <c r="G323" s="7"/>
    </row>
    <row r="324" spans="1:7" x14ac:dyDescent="0.2">
      <c r="A324" s="2">
        <v>10570</v>
      </c>
      <c r="B324" s="3" t="s">
        <v>49</v>
      </c>
      <c r="C324" s="3" t="s">
        <v>92</v>
      </c>
      <c r="D324" s="9">
        <v>39528</v>
      </c>
      <c r="E324" s="5">
        <v>1920</v>
      </c>
      <c r="F324">
        <f>VLOOKUP(A324,paiments2[],3,FALSE)</f>
        <v>1920</v>
      </c>
      <c r="G324" s="7"/>
    </row>
    <row r="325" spans="1:7" x14ac:dyDescent="0.2">
      <c r="A325" s="2">
        <v>10571</v>
      </c>
      <c r="B325" s="3" t="s">
        <v>9</v>
      </c>
      <c r="C325" s="3" t="s">
        <v>95</v>
      </c>
      <c r="D325" s="9">
        <v>39528</v>
      </c>
      <c r="E325" s="5">
        <v>467</v>
      </c>
      <c r="F325">
        <f>VLOOKUP(A325,paiments2[],3,FALSE)</f>
        <v>467</v>
      </c>
      <c r="G325" s="7"/>
    </row>
    <row r="326" spans="1:7" x14ac:dyDescent="0.2">
      <c r="A326" s="2">
        <v>10572</v>
      </c>
      <c r="B326" s="3" t="s">
        <v>25</v>
      </c>
      <c r="C326" s="3" t="s">
        <v>92</v>
      </c>
      <c r="D326" s="9">
        <v>39529</v>
      </c>
      <c r="E326" s="5">
        <v>1171</v>
      </c>
      <c r="F326">
        <f>VLOOKUP(A326,paiments2[],3,FALSE)</f>
        <v>1171</v>
      </c>
      <c r="G326" s="7"/>
    </row>
    <row r="327" spans="1:7" x14ac:dyDescent="0.2">
      <c r="A327" s="2">
        <v>10573</v>
      </c>
      <c r="B327" s="3" t="s">
        <v>59</v>
      </c>
      <c r="C327" s="3" t="s">
        <v>97</v>
      </c>
      <c r="D327" s="9">
        <v>39530</v>
      </c>
      <c r="E327" s="5">
        <v>1547</v>
      </c>
      <c r="F327">
        <f>VLOOKUP(A327,paiments2[],3,FALSE)</f>
        <v>1547</v>
      </c>
      <c r="G327" s="7"/>
    </row>
    <row r="328" spans="1:7" x14ac:dyDescent="0.2">
      <c r="A328" s="2">
        <v>10574</v>
      </c>
      <c r="B328" s="3" t="s">
        <v>79</v>
      </c>
      <c r="C328" s="3" t="s">
        <v>91</v>
      </c>
      <c r="D328" s="9">
        <v>39530</v>
      </c>
      <c r="E328" s="5">
        <v>562</v>
      </c>
      <c r="F328">
        <f>VLOOKUP(A328,paiments2[],3,FALSE)</f>
        <v>562</v>
      </c>
      <c r="G328" s="7"/>
    </row>
    <row r="329" spans="1:7" x14ac:dyDescent="0.2">
      <c r="A329" s="2">
        <v>10575</v>
      </c>
      <c r="B329" s="3" t="s">
        <v>24</v>
      </c>
      <c r="C329" s="3" t="s">
        <v>89</v>
      </c>
      <c r="D329" s="9">
        <v>39531</v>
      </c>
      <c r="E329" s="5">
        <v>1600</v>
      </c>
      <c r="F329">
        <f>VLOOKUP(A329,paiments2[],3,FALSE)</f>
        <v>1600</v>
      </c>
      <c r="G329" s="7"/>
    </row>
    <row r="330" spans="1:7" x14ac:dyDescent="0.2">
      <c r="A330" s="2">
        <v>10576</v>
      </c>
      <c r="B330" s="3" t="s">
        <v>23</v>
      </c>
      <c r="C330" s="3" t="s">
        <v>92</v>
      </c>
      <c r="D330" s="9">
        <v>39534</v>
      </c>
      <c r="E330" s="5">
        <v>604</v>
      </c>
      <c r="F330">
        <f>VLOOKUP(A330,paiments2[],3,FALSE)</f>
        <v>604</v>
      </c>
      <c r="G330" s="7"/>
    </row>
    <row r="331" spans="1:7" x14ac:dyDescent="0.2">
      <c r="A331" s="2">
        <v>10577</v>
      </c>
      <c r="B331" s="3" t="s">
        <v>79</v>
      </c>
      <c r="C331" s="3" t="s">
        <v>93</v>
      </c>
      <c r="D331" s="9">
        <v>39534</v>
      </c>
      <c r="E331" s="5">
        <v>392</v>
      </c>
      <c r="F331">
        <f>VLOOKUP(A331,paiments2[],3,FALSE)</f>
        <v>392</v>
      </c>
      <c r="G331" s="7"/>
    </row>
    <row r="332" spans="1:7" x14ac:dyDescent="0.2">
      <c r="A332" s="2">
        <v>10578</v>
      </c>
      <c r="B332" s="3" t="s">
        <v>31</v>
      </c>
      <c r="C332" s="3" t="s">
        <v>91</v>
      </c>
      <c r="D332" s="9">
        <v>39535</v>
      </c>
      <c r="E332" s="5">
        <v>344</v>
      </c>
      <c r="F332">
        <f>VLOOKUP(A332,paiments2[],3,FALSE)</f>
        <v>344</v>
      </c>
      <c r="G332" s="7"/>
    </row>
    <row r="333" spans="1:7" x14ac:dyDescent="0.2">
      <c r="A333" s="2">
        <v>10579</v>
      </c>
      <c r="B333" s="3" t="s">
        <v>80</v>
      </c>
      <c r="C333" s="3" t="s">
        <v>94</v>
      </c>
      <c r="D333" s="9">
        <v>39536</v>
      </c>
      <c r="E333" s="5">
        <v>215</v>
      </c>
      <c r="F333">
        <f>VLOOKUP(A333,paiments2[],3,FALSE)</f>
        <v>215</v>
      </c>
      <c r="G333" s="7"/>
    </row>
    <row r="334" spans="1:7" x14ac:dyDescent="0.2">
      <c r="A334" s="2">
        <v>10580</v>
      </c>
      <c r="B334" s="3" t="s">
        <v>11</v>
      </c>
      <c r="C334" s="3" t="s">
        <v>91</v>
      </c>
      <c r="D334" s="9">
        <v>39537</v>
      </c>
      <c r="E334" s="5">
        <v>798</v>
      </c>
      <c r="F334">
        <f>VLOOKUP(A334,paiments2[],3,FALSE)</f>
        <v>798</v>
      </c>
      <c r="G334" s="7"/>
    </row>
    <row r="335" spans="1:7" x14ac:dyDescent="0.2">
      <c r="A335" s="2">
        <v>10581</v>
      </c>
      <c r="B335" s="3" t="s">
        <v>52</v>
      </c>
      <c r="C335" s="3" t="s">
        <v>92</v>
      </c>
      <c r="D335" s="9">
        <v>39537</v>
      </c>
      <c r="E335" s="5">
        <v>250</v>
      </c>
      <c r="F335">
        <f>VLOOKUP(A335,paiments2[],3,FALSE)</f>
        <v>250</v>
      </c>
      <c r="G335" s="7"/>
    </row>
    <row r="336" spans="1:7" x14ac:dyDescent="0.2">
      <c r="A336" s="2">
        <v>10582</v>
      </c>
      <c r="B336" s="3" t="s">
        <v>74</v>
      </c>
      <c r="C336" s="3" t="s">
        <v>92</v>
      </c>
      <c r="D336" s="9">
        <v>39538</v>
      </c>
      <c r="E336" s="5">
        <v>238</v>
      </c>
      <c r="F336">
        <f>VLOOKUP(A336,paiments2[],3,FALSE)</f>
        <v>238</v>
      </c>
      <c r="G336" s="7"/>
    </row>
    <row r="337" spans="1:7" x14ac:dyDescent="0.2">
      <c r="A337" s="2">
        <v>10583</v>
      </c>
      <c r="B337" s="3" t="s">
        <v>16</v>
      </c>
      <c r="C337" s="3" t="s">
        <v>96</v>
      </c>
      <c r="D337" s="9">
        <v>39541</v>
      </c>
      <c r="E337" s="5">
        <v>1810</v>
      </c>
      <c r="F337">
        <f>VLOOKUP(A337,paiments2[],3,FALSE)</f>
        <v>1810</v>
      </c>
      <c r="G337" s="7"/>
    </row>
    <row r="338" spans="1:7" x14ac:dyDescent="0.2">
      <c r="A338" s="2">
        <v>10584</v>
      </c>
      <c r="B338" s="3" t="s">
        <v>15</v>
      </c>
      <c r="C338" s="3" t="s">
        <v>91</v>
      </c>
      <c r="D338" s="9">
        <v>39541</v>
      </c>
      <c r="E338" s="5">
        <v>450</v>
      </c>
      <c r="F338">
        <f>VLOOKUP(A338,paiments2[],3,FALSE)</f>
        <v>450</v>
      </c>
      <c r="G338" s="7"/>
    </row>
    <row r="339" spans="1:7" x14ac:dyDescent="0.2">
      <c r="A339" s="2">
        <v>10585</v>
      </c>
      <c r="B339" s="3" t="s">
        <v>7</v>
      </c>
      <c r="C339" s="3" t="s">
        <v>97</v>
      </c>
      <c r="D339" s="9">
        <v>39542</v>
      </c>
      <c r="E339" s="5">
        <v>105</v>
      </c>
      <c r="F339">
        <f>VLOOKUP(A339,paiments2[],3,FALSE)</f>
        <v>105</v>
      </c>
      <c r="G339" s="7"/>
    </row>
    <row r="340" spans="1:7" x14ac:dyDescent="0.2">
      <c r="A340" s="2">
        <v>10586</v>
      </c>
      <c r="B340" s="3" t="s">
        <v>30</v>
      </c>
      <c r="C340" s="3" t="s">
        <v>93</v>
      </c>
      <c r="D340" s="9">
        <v>39543</v>
      </c>
      <c r="E340" s="5">
        <v>20</v>
      </c>
      <c r="F340">
        <f>VLOOKUP(A340,paiments2[],3,FALSE)</f>
        <v>20</v>
      </c>
      <c r="G340" s="7"/>
    </row>
    <row r="341" spans="1:7" x14ac:dyDescent="0.2">
      <c r="A341" s="2">
        <v>10587</v>
      </c>
      <c r="B341" s="3" t="s">
        <v>12</v>
      </c>
      <c r="C341" s="3" t="s">
        <v>94</v>
      </c>
      <c r="D341" s="9">
        <v>39543</v>
      </c>
      <c r="E341" s="5">
        <v>578</v>
      </c>
      <c r="F341">
        <f>VLOOKUP(A341,paiments2[],3,FALSE)</f>
        <v>578</v>
      </c>
      <c r="G341" s="7"/>
    </row>
    <row r="342" spans="1:7" x14ac:dyDescent="0.2">
      <c r="A342" s="2">
        <v>10588</v>
      </c>
      <c r="B342" s="3" t="s">
        <v>21</v>
      </c>
      <c r="C342" s="3" t="s">
        <v>96</v>
      </c>
      <c r="D342" s="9">
        <v>39544</v>
      </c>
      <c r="E342" s="5">
        <v>2880</v>
      </c>
      <c r="F342">
        <f>VLOOKUP(A342,paiments2[],3,FALSE)</f>
        <v>2880</v>
      </c>
      <c r="G342" s="7"/>
    </row>
    <row r="343" spans="1:7" x14ac:dyDescent="0.2">
      <c r="A343" s="2">
        <v>10589</v>
      </c>
      <c r="B343" s="3" t="s">
        <v>77</v>
      </c>
      <c r="C343" s="3" t="s">
        <v>95</v>
      </c>
      <c r="D343" s="9">
        <v>39545</v>
      </c>
      <c r="E343" s="5">
        <v>52</v>
      </c>
      <c r="F343">
        <f>VLOOKUP(A343,paiments2[],3,FALSE)</f>
        <v>52</v>
      </c>
      <c r="G343" s="7"/>
    </row>
    <row r="344" spans="1:7" x14ac:dyDescent="0.2">
      <c r="A344" s="2">
        <v>10590</v>
      </c>
      <c r="B344" s="3" t="s">
        <v>49</v>
      </c>
      <c r="C344" s="3" t="s">
        <v>91</v>
      </c>
      <c r="D344" s="9">
        <v>39548</v>
      </c>
      <c r="E344" s="5">
        <v>800</v>
      </c>
      <c r="F344">
        <f>VLOOKUP(A344,paiments2[],3,FALSE)</f>
        <v>800</v>
      </c>
      <c r="G344" s="7"/>
    </row>
    <row r="345" spans="1:7" x14ac:dyDescent="0.2">
      <c r="A345" s="2">
        <v>10591</v>
      </c>
      <c r="B345" s="3" t="s">
        <v>60</v>
      </c>
      <c r="C345" s="3" t="s">
        <v>94</v>
      </c>
      <c r="D345" s="9">
        <v>39548</v>
      </c>
      <c r="E345" s="5">
        <v>568</v>
      </c>
      <c r="F345">
        <f>VLOOKUP(A345,paiments2[],3,FALSE)</f>
        <v>568</v>
      </c>
      <c r="G345" s="7"/>
    </row>
    <row r="346" spans="1:7" x14ac:dyDescent="0.2">
      <c r="A346" s="2">
        <v>10592</v>
      </c>
      <c r="B346" s="3" t="s">
        <v>26</v>
      </c>
      <c r="C346" s="3" t="s">
        <v>92</v>
      </c>
      <c r="D346" s="9">
        <v>39549</v>
      </c>
      <c r="E346" s="5">
        <v>390</v>
      </c>
      <c r="F346">
        <f>VLOOKUP(A346,paiments2[],3,FALSE)</f>
        <v>390</v>
      </c>
      <c r="G346" s="7"/>
    </row>
    <row r="347" spans="1:7" x14ac:dyDescent="0.2">
      <c r="A347" s="2">
        <v>10593</v>
      </c>
      <c r="B347" s="3" t="s">
        <v>26</v>
      </c>
      <c r="C347" s="3" t="s">
        <v>97</v>
      </c>
      <c r="D347" s="9">
        <v>39550</v>
      </c>
      <c r="E347" s="5">
        <v>1873</v>
      </c>
      <c r="F347">
        <f>VLOOKUP(A347,paiments2[],3,FALSE)</f>
        <v>1873</v>
      </c>
      <c r="G347" s="7"/>
    </row>
    <row r="348" spans="1:7" x14ac:dyDescent="0.2">
      <c r="A348" s="2">
        <v>10594</v>
      </c>
      <c r="B348" s="3" t="s">
        <v>37</v>
      </c>
      <c r="C348" s="3" t="s">
        <v>92</v>
      </c>
      <c r="D348" s="9">
        <v>39550</v>
      </c>
      <c r="E348" s="5">
        <v>420</v>
      </c>
      <c r="F348">
        <f>VLOOKUP(A348,paiments2[],3,FALSE)</f>
        <v>420</v>
      </c>
      <c r="G348" s="7"/>
    </row>
    <row r="349" spans="1:7" x14ac:dyDescent="0.2">
      <c r="A349" s="2">
        <v>10595</v>
      </c>
      <c r="B349" s="3" t="s">
        <v>9</v>
      </c>
      <c r="C349" s="3" t="s">
        <v>96</v>
      </c>
      <c r="D349" s="9">
        <v>39551</v>
      </c>
      <c r="E349" s="5">
        <v>4665</v>
      </c>
      <c r="F349">
        <f>VLOOKUP(A349,paiments2[],3,FALSE)</f>
        <v>4665</v>
      </c>
      <c r="G349" s="7"/>
    </row>
    <row r="350" spans="1:7" x14ac:dyDescent="0.2">
      <c r="A350" s="2">
        <v>10596</v>
      </c>
      <c r="B350" s="3" t="s">
        <v>19</v>
      </c>
      <c r="C350" s="3" t="s">
        <v>95</v>
      </c>
      <c r="D350" s="9">
        <v>39552</v>
      </c>
      <c r="E350" s="5">
        <v>1082</v>
      </c>
      <c r="F350">
        <f>VLOOKUP(A350,paiments2[],3,FALSE)</f>
        <v>1082</v>
      </c>
      <c r="G350" s="7"/>
    </row>
    <row r="351" spans="1:7" x14ac:dyDescent="0.2">
      <c r="A351" s="2">
        <v>10597</v>
      </c>
      <c r="B351" s="3" t="s">
        <v>54</v>
      </c>
      <c r="C351" s="3" t="s">
        <v>97</v>
      </c>
      <c r="D351" s="9">
        <v>39552</v>
      </c>
      <c r="E351" s="5">
        <v>577</v>
      </c>
      <c r="F351">
        <f>VLOOKUP(A351,paiments2[],3,FALSE)</f>
        <v>577</v>
      </c>
      <c r="G351" s="7"/>
    </row>
    <row r="352" spans="1:7" x14ac:dyDescent="0.2">
      <c r="A352" s="2">
        <v>10598</v>
      </c>
      <c r="B352" s="3" t="s">
        <v>13</v>
      </c>
      <c r="C352" s="3" t="s">
        <v>94</v>
      </c>
      <c r="D352" s="9">
        <v>39555</v>
      </c>
      <c r="E352" s="5">
        <v>1794</v>
      </c>
      <c r="F352">
        <f>VLOOKUP(A352,paiments2[],3,FALSE)</f>
        <v>1794</v>
      </c>
      <c r="G352" s="7"/>
    </row>
    <row r="353" spans="1:7" x14ac:dyDescent="0.2">
      <c r="A353" s="2">
        <v>10599</v>
      </c>
      <c r="B353" s="3" t="s">
        <v>31</v>
      </c>
      <c r="C353" s="3" t="s">
        <v>90</v>
      </c>
      <c r="D353" s="9">
        <v>39556</v>
      </c>
      <c r="E353" s="5">
        <v>370</v>
      </c>
      <c r="F353">
        <f>VLOOKUP(A353,paiments2[],3,FALSE)</f>
        <v>370</v>
      </c>
      <c r="G353" s="7"/>
    </row>
    <row r="354" spans="1:7" x14ac:dyDescent="0.2">
      <c r="A354" s="2">
        <v>10600</v>
      </c>
      <c r="B354" s="3" t="s">
        <v>62</v>
      </c>
      <c r="C354" s="3" t="s">
        <v>91</v>
      </c>
      <c r="D354" s="9">
        <v>39557</v>
      </c>
      <c r="E354" s="5">
        <v>350</v>
      </c>
      <c r="F354">
        <f>VLOOKUP(A354,paiments2[],3,FALSE)</f>
        <v>350</v>
      </c>
      <c r="G354" s="7"/>
    </row>
    <row r="355" spans="1:7" x14ac:dyDescent="0.2">
      <c r="A355" s="2">
        <v>10601</v>
      </c>
      <c r="B355" s="3" t="s">
        <v>8</v>
      </c>
      <c r="C355" s="3" t="s">
        <v>97</v>
      </c>
      <c r="D355" s="9">
        <v>39557</v>
      </c>
      <c r="E355" s="5">
        <v>1675</v>
      </c>
      <c r="F355">
        <f>VLOOKUP(A355,paiments2[],3,FALSE)</f>
        <v>1675</v>
      </c>
      <c r="G355" s="7"/>
    </row>
    <row r="356" spans="1:7" x14ac:dyDescent="0.2">
      <c r="A356" s="2">
        <v>10602</v>
      </c>
      <c r="B356" s="3" t="s">
        <v>60</v>
      </c>
      <c r="C356" s="3" t="s">
        <v>95</v>
      </c>
      <c r="D356" s="9">
        <v>39558</v>
      </c>
      <c r="E356" s="5">
        <v>45</v>
      </c>
      <c r="F356">
        <f>VLOOKUP(A356,paiments2[],3,FALSE)</f>
        <v>45</v>
      </c>
      <c r="G356" s="7"/>
    </row>
    <row r="357" spans="1:7" x14ac:dyDescent="0.2">
      <c r="A357" s="2">
        <v>10603</v>
      </c>
      <c r="B357" s="3" t="s">
        <v>45</v>
      </c>
      <c r="C357" s="3" t="s">
        <v>95</v>
      </c>
      <c r="D357" s="9">
        <v>39559</v>
      </c>
      <c r="E357" s="5">
        <v>1143</v>
      </c>
      <c r="F357">
        <f>VLOOKUP(A357,paiments2[],3,FALSE)</f>
        <v>1143</v>
      </c>
      <c r="G357" s="7"/>
    </row>
    <row r="358" spans="1:7" x14ac:dyDescent="0.2">
      <c r="A358" s="2">
        <v>10604</v>
      </c>
      <c r="B358" s="3" t="s">
        <v>47</v>
      </c>
      <c r="C358" s="3" t="s">
        <v>94</v>
      </c>
      <c r="D358" s="9">
        <v>39559</v>
      </c>
      <c r="E358" s="5">
        <v>184</v>
      </c>
      <c r="F358">
        <f>VLOOKUP(A358,paiments2[],3,FALSE)</f>
        <v>184</v>
      </c>
      <c r="G358" s="7"/>
    </row>
    <row r="359" spans="1:7" x14ac:dyDescent="0.2">
      <c r="A359" s="2">
        <v>10605</v>
      </c>
      <c r="B359" s="3" t="s">
        <v>49</v>
      </c>
      <c r="C359" s="3" t="s">
        <v>94</v>
      </c>
      <c r="D359" s="9">
        <v>39562</v>
      </c>
      <c r="E359" s="5">
        <v>3200</v>
      </c>
      <c r="F359">
        <f>VLOOKUP(A359,paiments2[],3,FALSE)</f>
        <v>3200</v>
      </c>
      <c r="G359" s="7"/>
    </row>
    <row r="360" spans="1:7" x14ac:dyDescent="0.2">
      <c r="A360" s="2">
        <v>10606</v>
      </c>
      <c r="B360" s="3" t="s">
        <v>33</v>
      </c>
      <c r="C360" s="3" t="s">
        <v>91</v>
      </c>
      <c r="D360" s="9">
        <v>39563</v>
      </c>
      <c r="E360" s="5">
        <v>1050</v>
      </c>
      <c r="F360">
        <f>VLOOKUP(A360,paiments2[],3,FALSE)</f>
        <v>1050</v>
      </c>
      <c r="G360" s="7"/>
    </row>
    <row r="361" spans="1:7" x14ac:dyDescent="0.2">
      <c r="A361" s="2">
        <v>10607</v>
      </c>
      <c r="B361" s="3" t="s">
        <v>45</v>
      </c>
      <c r="C361" s="3" t="s">
        <v>89</v>
      </c>
      <c r="D361" s="9">
        <v>39563</v>
      </c>
      <c r="E361" s="5">
        <v>4804</v>
      </c>
      <c r="F361">
        <f>VLOOKUP(A361,paiments2[],3,FALSE)</f>
        <v>4804</v>
      </c>
      <c r="G361" s="7"/>
    </row>
    <row r="362" spans="1:7" x14ac:dyDescent="0.2">
      <c r="A362" s="2">
        <v>10608</v>
      </c>
      <c r="B362" s="3" t="s">
        <v>1</v>
      </c>
      <c r="C362" s="3" t="s">
        <v>91</v>
      </c>
      <c r="D362" s="9">
        <v>39564</v>
      </c>
      <c r="E362" s="5">
        <v>784</v>
      </c>
      <c r="F362">
        <f>VLOOKUP(A362,paiments2[],3,FALSE)</f>
        <v>784</v>
      </c>
      <c r="G362" s="7"/>
    </row>
    <row r="363" spans="1:7" x14ac:dyDescent="0.2">
      <c r="A363" s="2">
        <v>10609</v>
      </c>
      <c r="B363" s="3" t="s">
        <v>41</v>
      </c>
      <c r="C363" s="3" t="s">
        <v>97</v>
      </c>
      <c r="D363" s="9">
        <v>39565</v>
      </c>
      <c r="E363" s="5">
        <v>311</v>
      </c>
      <c r="F363">
        <f>VLOOKUP(A363,paiments2[],3,FALSE)</f>
        <v>311</v>
      </c>
      <c r="G363" s="7"/>
    </row>
    <row r="364" spans="1:7" x14ac:dyDescent="0.2">
      <c r="A364" s="2">
        <v>10610</v>
      </c>
      <c r="B364" s="3" t="s">
        <v>53</v>
      </c>
      <c r="C364" s="3" t="s">
        <v>95</v>
      </c>
      <c r="D364" s="9">
        <v>39566</v>
      </c>
      <c r="E364" s="5">
        <v>294</v>
      </c>
      <c r="F364">
        <f>VLOOKUP(A364,paiments2[],3,FALSE)</f>
        <v>294</v>
      </c>
      <c r="G364" s="7"/>
    </row>
    <row r="365" spans="1:7" x14ac:dyDescent="0.2">
      <c r="A365" s="2">
        <v>10611</v>
      </c>
      <c r="B365" s="3" t="s">
        <v>99</v>
      </c>
      <c r="C365" s="3" t="s">
        <v>90</v>
      </c>
      <c r="D365" s="9">
        <v>39566</v>
      </c>
      <c r="E365" s="5">
        <v>593</v>
      </c>
      <c r="F365">
        <f>VLOOKUP(A365,paiments2[],3,FALSE)</f>
        <v>593</v>
      </c>
      <c r="G365" s="7"/>
    </row>
    <row r="366" spans="1:7" x14ac:dyDescent="0.2">
      <c r="A366" s="2">
        <v>10612</v>
      </c>
      <c r="B366" s="3" t="s">
        <v>45</v>
      </c>
      <c r="C366" s="3" t="s">
        <v>94</v>
      </c>
      <c r="D366" s="9">
        <v>39569</v>
      </c>
      <c r="E366" s="5">
        <v>4690</v>
      </c>
      <c r="F366">
        <f>VLOOKUP(A366,paiments2[],3,FALSE)</f>
        <v>4690</v>
      </c>
      <c r="G366" s="7"/>
    </row>
    <row r="367" spans="1:7" x14ac:dyDescent="0.2">
      <c r="A367" s="2">
        <v>10613</v>
      </c>
      <c r="B367" s="3" t="s">
        <v>8</v>
      </c>
      <c r="C367" s="3" t="s">
        <v>91</v>
      </c>
      <c r="D367" s="9">
        <v>39570</v>
      </c>
      <c r="E367" s="5">
        <v>232</v>
      </c>
      <c r="F367">
        <f>VLOOKUP(A367,paiments2[],3,FALSE)</f>
        <v>232</v>
      </c>
      <c r="G367" s="7"/>
    </row>
    <row r="368" spans="1:7" x14ac:dyDescent="0.2">
      <c r="A368" s="2">
        <v>10614</v>
      </c>
      <c r="B368" s="3" t="s">
        <v>74</v>
      </c>
      <c r="C368" s="3" t="s">
        <v>95</v>
      </c>
      <c r="D368" s="9">
        <v>39570</v>
      </c>
      <c r="E368" s="5">
        <v>345</v>
      </c>
      <c r="F368">
        <f>VLOOKUP(A368,paiments2[],3,FALSE)</f>
        <v>345</v>
      </c>
      <c r="G368" s="7"/>
    </row>
    <row r="369" spans="1:7" x14ac:dyDescent="0.2">
      <c r="A369" s="2">
        <v>10615</v>
      </c>
      <c r="B369" s="3" t="s">
        <v>81</v>
      </c>
      <c r="C369" s="3" t="s">
        <v>96</v>
      </c>
      <c r="D369" s="9">
        <v>39571</v>
      </c>
      <c r="E369" s="5">
        <v>90</v>
      </c>
      <c r="F369">
        <f>VLOOKUP(A369,paiments2[],3,FALSE)</f>
        <v>90</v>
      </c>
      <c r="G369" s="7"/>
    </row>
    <row r="370" spans="1:7" x14ac:dyDescent="0.2">
      <c r="A370" s="2">
        <v>10616</v>
      </c>
      <c r="B370" s="3" t="s">
        <v>77</v>
      </c>
      <c r="C370" s="3" t="s">
        <v>94</v>
      </c>
      <c r="D370" s="9">
        <v>39572</v>
      </c>
      <c r="E370" s="5">
        <v>3797</v>
      </c>
      <c r="F370">
        <f>VLOOKUP(A370,paiments2[],3,FALSE)</f>
        <v>3797</v>
      </c>
      <c r="G370" s="7"/>
    </row>
    <row r="371" spans="1:7" x14ac:dyDescent="0.2">
      <c r="A371" s="2">
        <v>10617</v>
      </c>
      <c r="B371" s="3" t="s">
        <v>77</v>
      </c>
      <c r="C371" s="3" t="s">
        <v>91</v>
      </c>
      <c r="D371" s="9">
        <v>39572</v>
      </c>
      <c r="E371" s="5">
        <v>1230</v>
      </c>
      <c r="F371">
        <f>VLOOKUP(A371,paiments2[],3,FALSE)</f>
        <v>1230</v>
      </c>
      <c r="G371" s="7"/>
    </row>
    <row r="372" spans="1:7" x14ac:dyDescent="0.2">
      <c r="A372" s="2">
        <v>10618</v>
      </c>
      <c r="B372" s="3" t="s">
        <v>49</v>
      </c>
      <c r="C372" s="3" t="s">
        <v>94</v>
      </c>
      <c r="D372" s="9">
        <v>39573</v>
      </c>
      <c r="E372" s="5">
        <v>2025</v>
      </c>
      <c r="F372">
        <f>VLOOKUP(A372,paiments2[],3,FALSE)</f>
        <v>2025</v>
      </c>
      <c r="G372" s="7"/>
    </row>
    <row r="373" spans="1:7" x14ac:dyDescent="0.2">
      <c r="A373" s="2">
        <v>10619</v>
      </c>
      <c r="B373" s="3" t="s">
        <v>49</v>
      </c>
      <c r="C373" s="3" t="s">
        <v>92</v>
      </c>
      <c r="D373" s="9">
        <v>39576</v>
      </c>
      <c r="E373" s="5">
        <v>934</v>
      </c>
      <c r="F373">
        <f>VLOOKUP(A373,paiments2[],3,FALSE)</f>
        <v>934</v>
      </c>
      <c r="G373" s="7"/>
    </row>
    <row r="374" spans="1:7" x14ac:dyDescent="0.2">
      <c r="A374" s="2">
        <v>10620</v>
      </c>
      <c r="B374" s="3" t="s">
        <v>73</v>
      </c>
      <c r="C374" s="3" t="s">
        <v>96</v>
      </c>
      <c r="D374" s="9">
        <v>39577</v>
      </c>
      <c r="E374" s="5">
        <v>40</v>
      </c>
      <c r="F374">
        <f>VLOOKUP(A374,paiments2[],3,FALSE)</f>
        <v>40</v>
      </c>
      <c r="G374" s="7"/>
    </row>
    <row r="375" spans="1:7" x14ac:dyDescent="0.2">
      <c r="A375" s="2">
        <v>10621</v>
      </c>
      <c r="B375" s="3" t="s">
        <v>42</v>
      </c>
      <c r="C375" s="3" t="s">
        <v>91</v>
      </c>
      <c r="D375" s="9">
        <v>39577</v>
      </c>
      <c r="E375" s="5">
        <v>555</v>
      </c>
      <c r="F375">
        <f>VLOOKUP(A375,paiments2[],3,FALSE)</f>
        <v>555</v>
      </c>
      <c r="G375" s="7"/>
    </row>
    <row r="376" spans="1:7" x14ac:dyDescent="0.2">
      <c r="A376" s="2">
        <v>10622</v>
      </c>
      <c r="B376" s="3" t="s">
        <v>29</v>
      </c>
      <c r="C376" s="3" t="s">
        <v>91</v>
      </c>
      <c r="D376" s="9">
        <v>39578</v>
      </c>
      <c r="E376" s="5">
        <v>442</v>
      </c>
      <c r="F376">
        <f>VLOOKUP(A376,paiments2[],3,FALSE)</f>
        <v>442</v>
      </c>
      <c r="G376" s="7"/>
    </row>
    <row r="377" spans="1:7" x14ac:dyDescent="0.2">
      <c r="A377" s="2">
        <v>10623</v>
      </c>
      <c r="B377" s="3" t="s">
        <v>17</v>
      </c>
      <c r="C377" s="3" t="s">
        <v>95</v>
      </c>
      <c r="D377" s="9">
        <v>39579</v>
      </c>
      <c r="E377" s="5">
        <v>1036</v>
      </c>
      <c r="F377">
        <f>VLOOKUP(A377,paiments2[],3,FALSE)</f>
        <v>1036</v>
      </c>
      <c r="G377" s="7"/>
    </row>
    <row r="378" spans="1:7" x14ac:dyDescent="0.2">
      <c r="A378" s="2">
        <v>10624</v>
      </c>
      <c r="B378" s="3" t="s">
        <v>82</v>
      </c>
      <c r="C378" s="3" t="s">
        <v>91</v>
      </c>
      <c r="D378" s="9">
        <v>39579</v>
      </c>
      <c r="E378" s="5">
        <v>1044</v>
      </c>
      <c r="F378">
        <f>VLOOKUP(A378,paiments2[],3,FALSE)</f>
        <v>1044</v>
      </c>
      <c r="G378" s="7"/>
    </row>
    <row r="379" spans="1:7" x14ac:dyDescent="0.2">
      <c r="A379" s="2">
        <v>10625</v>
      </c>
      <c r="B379" s="3" t="s">
        <v>39</v>
      </c>
      <c r="C379" s="3" t="s">
        <v>92</v>
      </c>
      <c r="D379" s="9">
        <v>39580</v>
      </c>
      <c r="E379" s="5">
        <v>351</v>
      </c>
      <c r="F379">
        <f>VLOOKUP(A379,paiments2[],3,FALSE)</f>
        <v>351</v>
      </c>
      <c r="G379" s="7"/>
    </row>
    <row r="380" spans="1:7" x14ac:dyDescent="0.2">
      <c r="A380" s="2">
        <v>10626</v>
      </c>
      <c r="B380" s="3" t="s">
        <v>25</v>
      </c>
      <c r="C380" s="3" t="s">
        <v>94</v>
      </c>
      <c r="D380" s="9">
        <v>39583</v>
      </c>
      <c r="E380" s="5">
        <v>1120</v>
      </c>
      <c r="F380">
        <f>VLOOKUP(A380,paiments2[],3,FALSE)</f>
        <v>1120</v>
      </c>
      <c r="G380" s="7"/>
    </row>
    <row r="381" spans="1:7" x14ac:dyDescent="0.2">
      <c r="A381" s="2">
        <v>10627</v>
      </c>
      <c r="B381" s="3" t="s">
        <v>45</v>
      </c>
      <c r="C381" s="3" t="s">
        <v>95</v>
      </c>
      <c r="D381" s="9">
        <v>39583</v>
      </c>
      <c r="E381" s="5">
        <v>940</v>
      </c>
      <c r="F381">
        <f>VLOOKUP(A381,paiments2[],3,FALSE)</f>
        <v>940</v>
      </c>
      <c r="G381" s="7"/>
    </row>
    <row r="382" spans="1:7" x14ac:dyDescent="0.2">
      <c r="A382" s="2">
        <v>10628</v>
      </c>
      <c r="B382" s="3" t="s">
        <v>15</v>
      </c>
      <c r="C382" s="3" t="s">
        <v>91</v>
      </c>
      <c r="D382" s="9">
        <v>39584</v>
      </c>
      <c r="E382" s="5">
        <v>325</v>
      </c>
      <c r="F382">
        <f>VLOOKUP(A382,paiments2[],3,FALSE)</f>
        <v>325</v>
      </c>
      <c r="G382" s="7"/>
    </row>
    <row r="383" spans="1:7" x14ac:dyDescent="0.2">
      <c r="A383" s="2">
        <v>10629</v>
      </c>
      <c r="B383" s="3" t="s">
        <v>36</v>
      </c>
      <c r="C383" s="3" t="s">
        <v>91</v>
      </c>
      <c r="D383" s="9">
        <v>39584</v>
      </c>
      <c r="E383" s="5">
        <v>2105</v>
      </c>
      <c r="F383">
        <f>VLOOKUP(A383,paiments2[],3,FALSE)</f>
        <v>2105</v>
      </c>
      <c r="G383" s="7"/>
    </row>
    <row r="384" spans="1:7" x14ac:dyDescent="0.2">
      <c r="A384" s="2">
        <v>10630</v>
      </c>
      <c r="B384" s="3" t="s">
        <v>44</v>
      </c>
      <c r="C384" s="3" t="s">
        <v>94</v>
      </c>
      <c r="D384" s="9">
        <v>39585</v>
      </c>
      <c r="E384" s="5">
        <v>671</v>
      </c>
      <c r="F384">
        <f>VLOOKUP(A384,paiments2[],3,FALSE)</f>
        <v>671</v>
      </c>
      <c r="G384" s="7"/>
    </row>
    <row r="385" spans="1:7" x14ac:dyDescent="0.2">
      <c r="A385" s="2">
        <v>10631</v>
      </c>
      <c r="B385" s="3" t="s">
        <v>53</v>
      </c>
      <c r="C385" s="3" t="s">
        <v>95</v>
      </c>
      <c r="D385" s="9">
        <v>39586</v>
      </c>
      <c r="E385" s="5">
        <v>40</v>
      </c>
      <c r="F385">
        <f>VLOOKUP(A385,paiments2[],3,FALSE)</f>
        <v>40</v>
      </c>
      <c r="G385" s="7"/>
    </row>
    <row r="386" spans="1:7" x14ac:dyDescent="0.2">
      <c r="A386" s="2">
        <v>10632</v>
      </c>
      <c r="B386" s="3" t="s">
        <v>35</v>
      </c>
      <c r="C386" s="3" t="s">
        <v>95</v>
      </c>
      <c r="D386" s="9">
        <v>39586</v>
      </c>
      <c r="E386" s="5">
        <v>440</v>
      </c>
      <c r="F386">
        <f>VLOOKUP(A386,paiments2[],3,FALSE)</f>
        <v>440</v>
      </c>
      <c r="G386" s="7"/>
    </row>
    <row r="387" spans="1:7" x14ac:dyDescent="0.2">
      <c r="A387" s="2">
        <v>10633</v>
      </c>
      <c r="B387" s="3" t="s">
        <v>9</v>
      </c>
      <c r="C387" s="3" t="s">
        <v>97</v>
      </c>
      <c r="D387" s="9">
        <v>39587</v>
      </c>
      <c r="E387" s="5">
        <v>4825</v>
      </c>
      <c r="F387">
        <f>VLOOKUP(A387,paiments2[],3,FALSE)</f>
        <v>4825</v>
      </c>
      <c r="G387" s="7"/>
    </row>
    <row r="388" spans="1:7" x14ac:dyDescent="0.2">
      <c r="A388" s="2">
        <v>10634</v>
      </c>
      <c r="B388" s="3" t="s">
        <v>66</v>
      </c>
      <c r="C388" s="3" t="s">
        <v>91</v>
      </c>
      <c r="D388" s="9">
        <v>39587</v>
      </c>
      <c r="E388" s="5">
        <v>3730</v>
      </c>
      <c r="F388">
        <f>VLOOKUP(A388,paiments2[],3,FALSE)</f>
        <v>3730</v>
      </c>
      <c r="G388" s="7"/>
    </row>
    <row r="389" spans="1:7" x14ac:dyDescent="0.2">
      <c r="A389" s="2">
        <v>10635</v>
      </c>
      <c r="B389" s="3" t="s">
        <v>22</v>
      </c>
      <c r="C389" s="3" t="s">
        <v>95</v>
      </c>
      <c r="D389" s="9">
        <v>39590</v>
      </c>
      <c r="E389" s="5">
        <v>1040</v>
      </c>
      <c r="F389">
        <f>VLOOKUP(A389,paiments2[],3,FALSE)</f>
        <v>1040</v>
      </c>
      <c r="G389" s="7"/>
    </row>
    <row r="390" spans="1:7" x14ac:dyDescent="0.2">
      <c r="A390" s="2">
        <v>10636</v>
      </c>
      <c r="B390" s="3" t="s">
        <v>16</v>
      </c>
      <c r="C390" s="3" t="s">
        <v>91</v>
      </c>
      <c r="D390" s="9">
        <v>39591</v>
      </c>
      <c r="E390" s="5">
        <v>460</v>
      </c>
      <c r="F390">
        <f>VLOOKUP(A390,paiments2[],3,FALSE)</f>
        <v>460</v>
      </c>
      <c r="G390" s="7"/>
    </row>
    <row r="391" spans="1:7" x14ac:dyDescent="0.2">
      <c r="A391" s="2">
        <v>10637</v>
      </c>
      <c r="B391" s="3" t="s">
        <v>61</v>
      </c>
      <c r="C391" s="3" t="s">
        <v>90</v>
      </c>
      <c r="D391" s="9">
        <v>39591</v>
      </c>
      <c r="E391" s="5">
        <v>2140</v>
      </c>
      <c r="F391">
        <f>VLOOKUP(A391,paiments2[],3,FALSE)</f>
        <v>2140</v>
      </c>
      <c r="G391" s="7"/>
    </row>
    <row r="392" spans="1:7" x14ac:dyDescent="0.2">
      <c r="A392" s="2">
        <v>10638</v>
      </c>
      <c r="B392" s="3" t="s">
        <v>65</v>
      </c>
      <c r="C392" s="3" t="s">
        <v>92</v>
      </c>
      <c r="D392" s="9">
        <v>39592</v>
      </c>
      <c r="E392" s="5">
        <v>2036</v>
      </c>
      <c r="F392">
        <f>VLOOKUP(A392,paiments2[],3,FALSE)</f>
        <v>2036</v>
      </c>
      <c r="G392" s="7"/>
    </row>
    <row r="393" spans="1:7" x14ac:dyDescent="0.2">
      <c r="A393" s="2">
        <v>10639</v>
      </c>
      <c r="B393" s="3" t="s">
        <v>63</v>
      </c>
      <c r="C393" s="3" t="s">
        <v>97</v>
      </c>
      <c r="D393" s="9">
        <v>39592</v>
      </c>
      <c r="E393" s="5">
        <v>376</v>
      </c>
      <c r="F393">
        <f>VLOOKUP(A393,paiments2[],3,FALSE)</f>
        <v>376</v>
      </c>
      <c r="G393" s="7"/>
    </row>
    <row r="394" spans="1:7" x14ac:dyDescent="0.2">
      <c r="A394" s="2">
        <v>10640</v>
      </c>
      <c r="B394" s="3" t="s">
        <v>35</v>
      </c>
      <c r="C394" s="3" t="s">
        <v>91</v>
      </c>
      <c r="D394" s="9">
        <v>39593</v>
      </c>
      <c r="E394" s="5">
        <v>705</v>
      </c>
      <c r="F394">
        <f>VLOOKUP(A394,paiments2[],3,FALSE)</f>
        <v>705</v>
      </c>
      <c r="G394" s="7"/>
    </row>
    <row r="395" spans="1:7" x14ac:dyDescent="0.2">
      <c r="A395" s="2">
        <v>10641</v>
      </c>
      <c r="B395" s="3" t="s">
        <v>8</v>
      </c>
      <c r="C395" s="3" t="s">
        <v>91</v>
      </c>
      <c r="D395" s="9">
        <v>39594</v>
      </c>
      <c r="E395" s="5">
        <v>1540</v>
      </c>
      <c r="F395">
        <f>VLOOKUP(A395,paiments2[],3,FALSE)</f>
        <v>1540</v>
      </c>
      <c r="G395" s="7"/>
    </row>
    <row r="396" spans="1:7" x14ac:dyDescent="0.2">
      <c r="A396" s="2">
        <v>10642</v>
      </c>
      <c r="B396" s="3" t="s">
        <v>51</v>
      </c>
      <c r="C396" s="3" t="s">
        <v>97</v>
      </c>
      <c r="D396" s="9">
        <v>39594</v>
      </c>
      <c r="E396" s="5">
        <v>630</v>
      </c>
      <c r="F396">
        <f>VLOOKUP(A396,paiments2[],3,FALSE)</f>
        <v>630</v>
      </c>
      <c r="G396" s="7"/>
    </row>
    <row r="397" spans="1:7" x14ac:dyDescent="0.2">
      <c r="A397" s="2">
        <v>10643</v>
      </c>
      <c r="B397" s="3" t="s">
        <v>55</v>
      </c>
      <c r="C397" s="3" t="s">
        <v>90</v>
      </c>
      <c r="D397" s="9">
        <v>39597</v>
      </c>
      <c r="E397" s="5">
        <v>801</v>
      </c>
      <c r="F397">
        <f>VLOOKUP(A397,paiments2[],3,FALSE)</f>
        <v>801</v>
      </c>
      <c r="G397" s="7"/>
    </row>
    <row r="398" spans="1:7" x14ac:dyDescent="0.2">
      <c r="A398" s="2">
        <v>10644</v>
      </c>
      <c r="B398" s="3" t="s">
        <v>7</v>
      </c>
      <c r="C398" s="3" t="s">
        <v>92</v>
      </c>
      <c r="D398" s="9">
        <v>39597</v>
      </c>
      <c r="E398" s="5">
        <v>1077</v>
      </c>
      <c r="F398">
        <f>VLOOKUP(A398,paiments2[],3,FALSE)</f>
        <v>1077</v>
      </c>
      <c r="G398" s="7"/>
    </row>
    <row r="399" spans="1:7" x14ac:dyDescent="0.2">
      <c r="A399" s="2">
        <v>10645</v>
      </c>
      <c r="B399" s="3" t="s">
        <v>2</v>
      </c>
      <c r="C399" s="3" t="s">
        <v>91</v>
      </c>
      <c r="D399" s="9">
        <v>39598</v>
      </c>
      <c r="E399" s="5">
        <v>1150</v>
      </c>
      <c r="F399">
        <f>VLOOKUP(A399,paiments2[],3,FALSE)</f>
        <v>1150</v>
      </c>
      <c r="G399" s="7"/>
    </row>
    <row r="400" spans="1:7" x14ac:dyDescent="0.2">
      <c r="A400" s="2">
        <v>10646</v>
      </c>
      <c r="B400" s="3" t="s">
        <v>34</v>
      </c>
      <c r="C400" s="3" t="s">
        <v>93</v>
      </c>
      <c r="D400" s="9">
        <v>39599</v>
      </c>
      <c r="E400" s="5">
        <v>1404</v>
      </c>
      <c r="F400">
        <f>VLOOKUP(A400,paiments2[],3,FALSE)</f>
        <v>1404</v>
      </c>
      <c r="G400" s="7"/>
    </row>
    <row r="401" spans="1:7" x14ac:dyDescent="0.2">
      <c r="A401" s="2">
        <v>10647</v>
      </c>
      <c r="B401" s="3" t="s">
        <v>12</v>
      </c>
      <c r="C401" s="3" t="s">
        <v>91</v>
      </c>
      <c r="D401" s="9">
        <v>39599</v>
      </c>
      <c r="E401" s="5">
        <v>470</v>
      </c>
      <c r="F401">
        <f>VLOOKUP(A401,paiments2[],3,FALSE)</f>
        <v>470</v>
      </c>
      <c r="G401" s="7"/>
    </row>
    <row r="402" spans="1:7" x14ac:dyDescent="0.2">
      <c r="A402" s="2">
        <v>10648</v>
      </c>
      <c r="B402" s="3" t="s">
        <v>29</v>
      </c>
      <c r="C402" s="3" t="s">
        <v>89</v>
      </c>
      <c r="D402" s="9">
        <v>39600</v>
      </c>
      <c r="E402" s="5">
        <v>285</v>
      </c>
      <c r="F402">
        <f>VLOOKUP(A402,paiments2[],3,FALSE)</f>
        <v>285</v>
      </c>
      <c r="G402" s="7"/>
    </row>
    <row r="403" spans="1:7" x14ac:dyDescent="0.2">
      <c r="A403" s="2">
        <v>10649</v>
      </c>
      <c r="B403" s="3" t="s">
        <v>78</v>
      </c>
      <c r="C403" s="3" t="s">
        <v>89</v>
      </c>
      <c r="D403" s="9">
        <v>39900</v>
      </c>
      <c r="E403" s="5">
        <v>1070</v>
      </c>
      <c r="F403">
        <f>VLOOKUP(A403,paiments2[],3,FALSE)</f>
        <v>1070</v>
      </c>
      <c r="G403" s="7"/>
    </row>
    <row r="404" spans="1:7" x14ac:dyDescent="0.2">
      <c r="A404" s="2">
        <v>10650</v>
      </c>
      <c r="B404" s="3" t="s">
        <v>52</v>
      </c>
      <c r="C404" s="3" t="s">
        <v>89</v>
      </c>
      <c r="D404" s="9">
        <v>39901</v>
      </c>
      <c r="E404" s="5">
        <v>1345</v>
      </c>
      <c r="F404">
        <f>VLOOKUP(A404,paiments2[],3,FALSE)</f>
        <v>1345</v>
      </c>
      <c r="G404" s="7"/>
    </row>
    <row r="405" spans="1:7" x14ac:dyDescent="0.2">
      <c r="A405" s="2">
        <v>10651</v>
      </c>
      <c r="B405" s="3" t="s">
        <v>35</v>
      </c>
      <c r="C405" s="3" t="s">
        <v>95</v>
      </c>
      <c r="D405" s="9">
        <v>39904</v>
      </c>
      <c r="E405" s="5">
        <v>404</v>
      </c>
      <c r="F405">
        <f>VLOOKUP(A405,paiments2[],3,FALSE)</f>
        <v>404</v>
      </c>
      <c r="G405" s="7"/>
    </row>
    <row r="406" spans="1:7" x14ac:dyDescent="0.2">
      <c r="A406" s="2">
        <v>10652</v>
      </c>
      <c r="B406" s="3" t="s">
        <v>69</v>
      </c>
      <c r="C406" s="3" t="s">
        <v>91</v>
      </c>
      <c r="D406" s="9">
        <v>39904</v>
      </c>
      <c r="E406" s="5">
        <v>238</v>
      </c>
      <c r="F406">
        <f>VLOOKUP(A406,paiments2[],3,FALSE)</f>
        <v>238</v>
      </c>
      <c r="G406" s="7"/>
    </row>
    <row r="407" spans="1:7" x14ac:dyDescent="0.2">
      <c r="A407" s="2">
        <v>10653</v>
      </c>
      <c r="B407" s="3" t="s">
        <v>17</v>
      </c>
      <c r="C407" s="3" t="s">
        <v>94</v>
      </c>
      <c r="D407" s="9">
        <v>39905</v>
      </c>
      <c r="E407" s="5">
        <v>890</v>
      </c>
      <c r="F407">
        <f>VLOOKUP(A407,paiments2[],3,FALSE)</f>
        <v>890</v>
      </c>
      <c r="G407" s="7"/>
    </row>
    <row r="408" spans="1:7" x14ac:dyDescent="0.2">
      <c r="A408" s="2">
        <v>10654</v>
      </c>
      <c r="B408" s="3" t="s">
        <v>25</v>
      </c>
      <c r="C408" s="3" t="s">
        <v>89</v>
      </c>
      <c r="D408" s="9">
        <v>39905</v>
      </c>
      <c r="E408" s="5">
        <v>482</v>
      </c>
      <c r="F408">
        <f>VLOOKUP(A408,paiments2[],3,FALSE)</f>
        <v>482</v>
      </c>
      <c r="G408" s="7"/>
    </row>
    <row r="409" spans="1:7" x14ac:dyDescent="0.2">
      <c r="A409" s="2">
        <v>10655</v>
      </c>
      <c r="B409" s="3" t="s">
        <v>30</v>
      </c>
      <c r="C409" s="3" t="s">
        <v>94</v>
      </c>
      <c r="D409" s="9">
        <v>39906</v>
      </c>
      <c r="E409" s="5">
        <v>140</v>
      </c>
      <c r="F409">
        <f>VLOOKUP(A409,paiments2[],3,FALSE)</f>
        <v>140</v>
      </c>
      <c r="G409" s="7"/>
    </row>
    <row r="410" spans="1:7" x14ac:dyDescent="0.2">
      <c r="A410" s="2">
        <v>10656</v>
      </c>
      <c r="B410" s="3" t="s">
        <v>77</v>
      </c>
      <c r="C410" s="3" t="s">
        <v>90</v>
      </c>
      <c r="D410" s="9">
        <v>39907</v>
      </c>
      <c r="E410" s="5">
        <v>485</v>
      </c>
      <c r="F410">
        <f>VLOOKUP(A410,paiments2[],3,FALSE)</f>
        <v>485</v>
      </c>
      <c r="G410" s="7"/>
    </row>
    <row r="411" spans="1:7" x14ac:dyDescent="0.2">
      <c r="A411" s="2">
        <v>10657</v>
      </c>
      <c r="B411" s="3" t="s">
        <v>45</v>
      </c>
      <c r="C411" s="3" t="s">
        <v>96</v>
      </c>
      <c r="D411" s="9">
        <v>39907</v>
      </c>
      <c r="E411" s="5">
        <v>3203</v>
      </c>
      <c r="F411">
        <f>VLOOKUP(A411,paiments2[],3,FALSE)</f>
        <v>3203</v>
      </c>
      <c r="G411" s="7"/>
    </row>
    <row r="412" spans="1:7" x14ac:dyDescent="0.2">
      <c r="A412" s="2">
        <v>10658</v>
      </c>
      <c r="B412" s="3" t="s">
        <v>21</v>
      </c>
      <c r="C412" s="3" t="s">
        <v>91</v>
      </c>
      <c r="D412" s="9">
        <v>39908</v>
      </c>
      <c r="E412" s="5">
        <v>3405</v>
      </c>
      <c r="F412">
        <f>VLOOKUP(A412,paiments2[],3,FALSE)</f>
        <v>3405</v>
      </c>
      <c r="G412" s="7"/>
    </row>
    <row r="413" spans="1:7" x14ac:dyDescent="0.2">
      <c r="A413" s="2">
        <v>10659</v>
      </c>
      <c r="B413" s="3" t="s">
        <v>61</v>
      </c>
      <c r="C413" s="3" t="s">
        <v>97</v>
      </c>
      <c r="D413" s="9">
        <v>39908</v>
      </c>
      <c r="E413" s="5">
        <v>956</v>
      </c>
      <c r="F413">
        <f>VLOOKUP(A413,paiments2[],3,FALSE)</f>
        <v>956</v>
      </c>
      <c r="G413" s="7"/>
    </row>
    <row r="414" spans="1:7" x14ac:dyDescent="0.2">
      <c r="A414" s="2">
        <v>10660</v>
      </c>
      <c r="B414" s="3" t="s">
        <v>62</v>
      </c>
      <c r="C414" s="3" t="s">
        <v>95</v>
      </c>
      <c r="D414" s="9">
        <v>39911</v>
      </c>
      <c r="E414" s="5">
        <v>1281</v>
      </c>
      <c r="F414">
        <f>VLOOKUP(A414,paiments2[],3,FALSE)</f>
        <v>1281</v>
      </c>
      <c r="G414" s="7"/>
    </row>
    <row r="415" spans="1:7" x14ac:dyDescent="0.2">
      <c r="A415" s="2">
        <v>10661</v>
      </c>
      <c r="B415" s="3" t="s">
        <v>34</v>
      </c>
      <c r="C415" s="3" t="s">
        <v>97</v>
      </c>
      <c r="D415" s="9">
        <v>39912</v>
      </c>
      <c r="E415" s="5">
        <v>529</v>
      </c>
      <c r="F415">
        <f>VLOOKUP(A415,paiments2[],3,FALSE)</f>
        <v>529</v>
      </c>
      <c r="G415" s="7"/>
    </row>
    <row r="416" spans="1:7" x14ac:dyDescent="0.2">
      <c r="A416" s="2">
        <v>10662</v>
      </c>
      <c r="B416" s="3" t="s">
        <v>38</v>
      </c>
      <c r="C416" s="3" t="s">
        <v>92</v>
      </c>
      <c r="D416" s="9">
        <v>39912</v>
      </c>
      <c r="E416" s="5">
        <v>90</v>
      </c>
      <c r="F416">
        <f>VLOOKUP(A416,paiments2[],3,FALSE)</f>
        <v>90</v>
      </c>
      <c r="G416" s="7"/>
    </row>
    <row r="417" spans="1:7" x14ac:dyDescent="0.2">
      <c r="A417" s="2">
        <v>10663</v>
      </c>
      <c r="B417" s="3" t="s">
        <v>48</v>
      </c>
      <c r="C417" s="3" t="s">
        <v>96</v>
      </c>
      <c r="D417" s="9">
        <v>39913</v>
      </c>
      <c r="E417" s="5">
        <v>1520</v>
      </c>
      <c r="F417">
        <f>VLOOKUP(A417,paiments2[],3,FALSE)</f>
        <v>1520</v>
      </c>
      <c r="G417" s="7"/>
    </row>
    <row r="418" spans="1:7" x14ac:dyDescent="0.2">
      <c r="A418" s="2">
        <v>10664</v>
      </c>
      <c r="B418" s="3" t="s">
        <v>47</v>
      </c>
      <c r="C418" s="3" t="s">
        <v>94</v>
      </c>
      <c r="D418" s="9">
        <v>39913</v>
      </c>
      <c r="E418" s="5">
        <v>1128</v>
      </c>
      <c r="F418">
        <f>VLOOKUP(A418,paiments2[],3,FALSE)</f>
        <v>1128</v>
      </c>
      <c r="G418" s="7"/>
    </row>
    <row r="419" spans="1:7" x14ac:dyDescent="0.2">
      <c r="A419" s="2">
        <v>10665</v>
      </c>
      <c r="B419" s="3" t="s">
        <v>38</v>
      </c>
      <c r="C419" s="3" t="s">
        <v>94</v>
      </c>
      <c r="D419" s="9">
        <v>39914</v>
      </c>
      <c r="E419" s="5">
        <v>971</v>
      </c>
      <c r="F419">
        <f>VLOOKUP(A419,paiments2[],3,FALSE)</f>
        <v>971</v>
      </c>
      <c r="G419" s="7"/>
    </row>
    <row r="420" spans="1:7" x14ac:dyDescent="0.2">
      <c r="A420" s="2">
        <v>10666</v>
      </c>
      <c r="B420" s="3" t="s">
        <v>6</v>
      </c>
      <c r="C420" s="3" t="s">
        <v>97</v>
      </c>
      <c r="D420" s="9">
        <v>39915</v>
      </c>
      <c r="E420" s="5">
        <v>3544</v>
      </c>
      <c r="F420">
        <f>VLOOKUP(A420,paiments2[],3,FALSE)</f>
        <v>3544</v>
      </c>
      <c r="G420" s="7"/>
    </row>
    <row r="421" spans="1:7" x14ac:dyDescent="0.2">
      <c r="A421" s="2">
        <v>10667</v>
      </c>
      <c r="B421" s="3" t="s">
        <v>9</v>
      </c>
      <c r="C421" s="3" t="s">
        <v>97</v>
      </c>
      <c r="D421" s="9">
        <v>39915</v>
      </c>
      <c r="E421" s="5">
        <v>1439</v>
      </c>
      <c r="F421">
        <f>VLOOKUP(A421,paiments2[],3,FALSE)</f>
        <v>1439</v>
      </c>
      <c r="G421" s="7"/>
    </row>
    <row r="422" spans="1:7" x14ac:dyDescent="0.2">
      <c r="A422" s="2">
        <v>10668</v>
      </c>
      <c r="B422" s="3" t="s">
        <v>35</v>
      </c>
      <c r="C422" s="3" t="s">
        <v>94</v>
      </c>
      <c r="D422" s="9">
        <v>39918</v>
      </c>
      <c r="E422" s="5">
        <v>519</v>
      </c>
      <c r="F422">
        <f>VLOOKUP(A422,paiments2[],3,FALSE)</f>
        <v>519</v>
      </c>
      <c r="G422" s="7"/>
    </row>
    <row r="423" spans="1:7" x14ac:dyDescent="0.2">
      <c r="A423" s="2">
        <v>10669</v>
      </c>
      <c r="B423" s="3" t="s">
        <v>51</v>
      </c>
      <c r="C423" s="3" t="s">
        <v>96</v>
      </c>
      <c r="D423" s="9">
        <v>39918</v>
      </c>
      <c r="E423" s="5">
        <v>420</v>
      </c>
      <c r="F423">
        <f>VLOOKUP(A423,paiments2[],3,FALSE)</f>
        <v>420</v>
      </c>
      <c r="G423" s="7"/>
    </row>
    <row r="424" spans="1:7" x14ac:dyDescent="0.2">
      <c r="A424" s="2">
        <v>10670</v>
      </c>
      <c r="B424" s="3" t="s">
        <v>17</v>
      </c>
      <c r="C424" s="3" t="s">
        <v>91</v>
      </c>
      <c r="D424" s="9">
        <v>39919</v>
      </c>
      <c r="E424" s="5">
        <v>1657</v>
      </c>
      <c r="F424">
        <f>VLOOKUP(A424,paiments2[],3,FALSE)</f>
        <v>1657</v>
      </c>
      <c r="G424" s="7"/>
    </row>
    <row r="425" spans="1:7" x14ac:dyDescent="0.2">
      <c r="A425" s="2">
        <v>10671</v>
      </c>
      <c r="B425" s="3" t="s">
        <v>83</v>
      </c>
      <c r="C425" s="3" t="s">
        <v>94</v>
      </c>
      <c r="D425" s="9">
        <v>39920</v>
      </c>
      <c r="E425" s="5">
        <v>692</v>
      </c>
      <c r="F425">
        <f>VLOOKUP(A425,paiments2[],3,FALSE)</f>
        <v>692</v>
      </c>
      <c r="G425" s="7"/>
    </row>
    <row r="426" spans="1:7" x14ac:dyDescent="0.2">
      <c r="A426" s="2">
        <v>10672</v>
      </c>
      <c r="B426" s="3" t="s">
        <v>25</v>
      </c>
      <c r="C426" s="3" t="s">
        <v>93</v>
      </c>
      <c r="D426" s="9">
        <v>39920</v>
      </c>
      <c r="E426" s="5">
        <v>3192</v>
      </c>
      <c r="F426">
        <f>VLOOKUP(A426,paiments2[],3,FALSE)</f>
        <v>3192</v>
      </c>
      <c r="G426" s="7"/>
    </row>
    <row r="427" spans="1:7" x14ac:dyDescent="0.2">
      <c r="A427" s="2">
        <v>10673</v>
      </c>
      <c r="B427" s="3" t="s">
        <v>81</v>
      </c>
      <c r="C427" s="3" t="s">
        <v>96</v>
      </c>
      <c r="D427" s="9">
        <v>39921</v>
      </c>
      <c r="E427" s="5">
        <v>309</v>
      </c>
      <c r="F427">
        <f>VLOOKUP(A427,paiments2[],3,FALSE)</f>
        <v>309</v>
      </c>
      <c r="G427" s="7"/>
    </row>
    <row r="428" spans="1:7" x14ac:dyDescent="0.2">
      <c r="A428" s="2">
        <v>10674</v>
      </c>
      <c r="B428" s="3" t="s">
        <v>42</v>
      </c>
      <c r="C428" s="3" t="s">
        <v>91</v>
      </c>
      <c r="D428" s="9">
        <v>39921</v>
      </c>
      <c r="E428" s="5">
        <v>30</v>
      </c>
      <c r="F428">
        <f>VLOOKUP(A428,paiments2[],3,FALSE)</f>
        <v>30</v>
      </c>
      <c r="G428" s="7"/>
    </row>
    <row r="429" spans="1:7" x14ac:dyDescent="0.2">
      <c r="A429" s="2">
        <v>10675</v>
      </c>
      <c r="B429" s="3" t="s">
        <v>17</v>
      </c>
      <c r="C429" s="3" t="s">
        <v>89</v>
      </c>
      <c r="D429" s="9">
        <v>39922</v>
      </c>
      <c r="E429" s="5">
        <v>1060</v>
      </c>
      <c r="F429">
        <f>VLOOKUP(A429,paiments2[],3,FALSE)</f>
        <v>1060</v>
      </c>
      <c r="G429" s="7"/>
    </row>
    <row r="430" spans="1:7" x14ac:dyDescent="0.2">
      <c r="A430" s="2">
        <v>10676</v>
      </c>
      <c r="B430" s="3" t="s">
        <v>23</v>
      </c>
      <c r="C430" s="3" t="s">
        <v>96</v>
      </c>
      <c r="D430" s="9">
        <v>39925</v>
      </c>
      <c r="E430" s="5">
        <v>389</v>
      </c>
      <c r="F430">
        <f>VLOOKUP(A430,paiments2[],3,FALSE)</f>
        <v>389</v>
      </c>
      <c r="G430" s="7"/>
    </row>
    <row r="431" spans="1:7" x14ac:dyDescent="0.2">
      <c r="A431" s="2">
        <v>10677</v>
      </c>
      <c r="B431" s="3" t="s">
        <v>59</v>
      </c>
      <c r="C431" s="3" t="s">
        <v>94</v>
      </c>
      <c r="D431" s="9">
        <v>39925</v>
      </c>
      <c r="E431" s="5">
        <v>698</v>
      </c>
      <c r="F431">
        <f>VLOOKUP(A431,paiments2[],3,FALSE)</f>
        <v>698</v>
      </c>
      <c r="G431" s="7"/>
    </row>
    <row r="432" spans="1:7" x14ac:dyDescent="0.2">
      <c r="A432" s="2">
        <v>10678</v>
      </c>
      <c r="B432" s="3" t="s">
        <v>45</v>
      </c>
      <c r="C432" s="3" t="s">
        <v>97</v>
      </c>
      <c r="D432" s="9">
        <v>39926</v>
      </c>
      <c r="E432" s="5">
        <v>3820</v>
      </c>
      <c r="F432">
        <f>VLOOKUP(A432,paiments2[],3,FALSE)</f>
        <v>3820</v>
      </c>
      <c r="G432" s="7"/>
    </row>
    <row r="433" spans="1:7" x14ac:dyDescent="0.2">
      <c r="A433" s="2">
        <v>10679</v>
      </c>
      <c r="B433" s="3" t="s">
        <v>15</v>
      </c>
      <c r="C433" s="3" t="s">
        <v>95</v>
      </c>
      <c r="D433" s="9">
        <v>39926</v>
      </c>
      <c r="E433" s="5">
        <v>492</v>
      </c>
      <c r="F433">
        <f>VLOOKUP(A433,paiments2[],3,FALSE)</f>
        <v>492</v>
      </c>
      <c r="G433" s="7"/>
    </row>
    <row r="434" spans="1:7" x14ac:dyDescent="0.2">
      <c r="A434" s="2">
        <v>10680</v>
      </c>
      <c r="B434" s="3" t="s">
        <v>37</v>
      </c>
      <c r="C434" s="3" t="s">
        <v>94</v>
      </c>
      <c r="D434" s="9">
        <v>39927</v>
      </c>
      <c r="E434" s="5">
        <v>1230</v>
      </c>
      <c r="F434">
        <f>VLOOKUP(A434,paiments2[],3,FALSE)</f>
        <v>1230</v>
      </c>
      <c r="G434" s="7"/>
    </row>
    <row r="435" spans="1:7" x14ac:dyDescent="0.2">
      <c r="A435" s="2">
        <v>10681</v>
      </c>
      <c r="B435" s="3" t="s">
        <v>77</v>
      </c>
      <c r="C435" s="3" t="s">
        <v>92</v>
      </c>
      <c r="D435" s="9">
        <v>39928</v>
      </c>
      <c r="E435" s="5">
        <v>994</v>
      </c>
      <c r="F435">
        <f>VLOOKUP(A435,paiments2[],3,FALSE)</f>
        <v>994</v>
      </c>
      <c r="G435" s="7"/>
    </row>
    <row r="436" spans="1:7" x14ac:dyDescent="0.2">
      <c r="A436" s="2">
        <v>10682</v>
      </c>
      <c r="B436" s="3" t="s">
        <v>59</v>
      </c>
      <c r="C436" s="3" t="s">
        <v>92</v>
      </c>
      <c r="D436" s="9">
        <v>39928</v>
      </c>
      <c r="E436" s="5">
        <v>228</v>
      </c>
      <c r="F436">
        <f>VLOOKUP(A436,paiments2[],3,FALSE)</f>
        <v>228</v>
      </c>
      <c r="G436" s="7"/>
    </row>
    <row r="437" spans="1:7" x14ac:dyDescent="0.2">
      <c r="A437" s="2">
        <v>10683</v>
      </c>
      <c r="B437" s="3" t="s">
        <v>41</v>
      </c>
      <c r="C437" s="3" t="s">
        <v>96</v>
      </c>
      <c r="D437" s="9">
        <v>39929</v>
      </c>
      <c r="E437" s="5">
        <v>45</v>
      </c>
      <c r="F437">
        <f>VLOOKUP(A437,paiments2[],3,FALSE)</f>
        <v>45</v>
      </c>
      <c r="G437" s="7"/>
    </row>
    <row r="438" spans="1:7" x14ac:dyDescent="0.2">
      <c r="A438" s="2">
        <v>10684</v>
      </c>
      <c r="B438" s="3" t="s">
        <v>11</v>
      </c>
      <c r="C438" s="3" t="s">
        <v>92</v>
      </c>
      <c r="D438" s="9">
        <v>39929</v>
      </c>
      <c r="E438" s="5">
        <v>1310</v>
      </c>
      <c r="F438">
        <f>VLOOKUP(A438,paiments2[],3,FALSE)</f>
        <v>1310</v>
      </c>
      <c r="G438" s="7"/>
    </row>
    <row r="439" spans="1:7" x14ac:dyDescent="0.2">
      <c r="A439" s="2">
        <v>10685</v>
      </c>
      <c r="B439" s="3" t="s">
        <v>69</v>
      </c>
      <c r="C439" s="3" t="s">
        <v>91</v>
      </c>
      <c r="D439" s="9">
        <v>39932</v>
      </c>
      <c r="E439" s="5">
        <v>593</v>
      </c>
      <c r="F439">
        <f>VLOOKUP(A439,paiments2[],3,FALSE)</f>
        <v>593</v>
      </c>
      <c r="G439" s="7"/>
    </row>
    <row r="440" spans="1:7" x14ac:dyDescent="0.2">
      <c r="A440" s="2">
        <v>10686</v>
      </c>
      <c r="B440" s="3" t="s">
        <v>54</v>
      </c>
      <c r="C440" s="3" t="s">
        <v>96</v>
      </c>
      <c r="D440" s="9">
        <v>39933</v>
      </c>
      <c r="E440" s="5">
        <v>1215</v>
      </c>
      <c r="F440">
        <f>VLOOKUP(A440,paiments2[],3,FALSE)</f>
        <v>1215</v>
      </c>
      <c r="G440" s="7"/>
    </row>
    <row r="441" spans="1:7" x14ac:dyDescent="0.2">
      <c r="A441" s="2">
        <v>10687</v>
      </c>
      <c r="B441" s="3" t="s">
        <v>34</v>
      </c>
      <c r="C441" s="3" t="s">
        <v>93</v>
      </c>
      <c r="D441" s="9">
        <v>39933</v>
      </c>
      <c r="E441" s="5">
        <v>4674</v>
      </c>
      <c r="F441">
        <f>VLOOKUP(A441,paiments2[],3,FALSE)</f>
        <v>4674</v>
      </c>
      <c r="G441" s="7"/>
    </row>
    <row r="442" spans="1:7" x14ac:dyDescent="0.2">
      <c r="A442" s="2">
        <v>10688</v>
      </c>
      <c r="B442" s="3" t="s">
        <v>60</v>
      </c>
      <c r="C442" s="3" t="s">
        <v>91</v>
      </c>
      <c r="D442" s="9">
        <v>39934</v>
      </c>
      <c r="E442" s="5">
        <v>2594</v>
      </c>
      <c r="F442">
        <f>VLOOKUP(A442,paiments2[],3,FALSE)</f>
        <v>2594</v>
      </c>
      <c r="G442" s="7"/>
    </row>
    <row r="443" spans="1:7" x14ac:dyDescent="0.2">
      <c r="A443" s="2">
        <v>10689</v>
      </c>
      <c r="B443" s="3" t="s">
        <v>25</v>
      </c>
      <c r="C443" s="3" t="s">
        <v>94</v>
      </c>
      <c r="D443" s="9">
        <v>39934</v>
      </c>
      <c r="E443" s="5">
        <v>455</v>
      </c>
      <c r="F443">
        <f>VLOOKUP(A443,paiments2[],3,FALSE)</f>
        <v>455</v>
      </c>
      <c r="G443" s="7"/>
    </row>
    <row r="444" spans="1:7" x14ac:dyDescent="0.2">
      <c r="A444" s="2">
        <v>10690</v>
      </c>
      <c r="B444" s="3" t="s">
        <v>2</v>
      </c>
      <c r="C444" s="3" t="s">
        <v>94</v>
      </c>
      <c r="D444" s="9">
        <v>39935</v>
      </c>
      <c r="E444" s="5">
        <v>830</v>
      </c>
      <c r="F444">
        <f>VLOOKUP(A444,paiments2[],3,FALSE)</f>
        <v>830</v>
      </c>
      <c r="G444" s="7"/>
    </row>
    <row r="445" spans="1:7" x14ac:dyDescent="0.2">
      <c r="A445" s="2">
        <v>10691</v>
      </c>
      <c r="B445" s="3" t="s">
        <v>21</v>
      </c>
      <c r="C445" s="3" t="s">
        <v>96</v>
      </c>
      <c r="D445" s="9">
        <v>39936</v>
      </c>
      <c r="E445" s="5">
        <v>7662</v>
      </c>
      <c r="F445">
        <f>VLOOKUP(A445,paiments2[],3,FALSE)</f>
        <v>7662</v>
      </c>
      <c r="G445" s="7"/>
    </row>
    <row r="446" spans="1:7" x14ac:dyDescent="0.2">
      <c r="A446" s="2">
        <v>10692</v>
      </c>
      <c r="B446" s="3" t="s">
        <v>31</v>
      </c>
      <c r="C446" s="3" t="s">
        <v>91</v>
      </c>
      <c r="D446" s="9">
        <v>39936</v>
      </c>
      <c r="E446" s="5">
        <v>660</v>
      </c>
      <c r="F446">
        <f>VLOOKUP(A446,paiments2[],3,FALSE)</f>
        <v>660</v>
      </c>
      <c r="G446" s="7"/>
    </row>
    <row r="447" spans="1:7" x14ac:dyDescent="0.2">
      <c r="A447" s="2">
        <v>10693</v>
      </c>
      <c r="B447" s="3" t="s">
        <v>19</v>
      </c>
      <c r="C447" s="3" t="s">
        <v>92</v>
      </c>
      <c r="D447" s="9">
        <v>39939</v>
      </c>
      <c r="E447" s="5">
        <v>1713</v>
      </c>
      <c r="F447">
        <f>VLOOKUP(A447,paiments2[],3,FALSE)</f>
        <v>1713</v>
      </c>
      <c r="G447" s="7"/>
    </row>
    <row r="448" spans="1:7" x14ac:dyDescent="0.2">
      <c r="A448" s="2">
        <v>10694</v>
      </c>
      <c r="B448" s="3" t="s">
        <v>21</v>
      </c>
      <c r="C448" s="3" t="s">
        <v>95</v>
      </c>
      <c r="D448" s="9">
        <v>39939</v>
      </c>
      <c r="E448" s="5">
        <v>3555</v>
      </c>
      <c r="F448">
        <f>VLOOKUP(A448,paiments2[],3,FALSE)</f>
        <v>3555</v>
      </c>
      <c r="G448" s="7"/>
    </row>
    <row r="449" spans="1:7" x14ac:dyDescent="0.2">
      <c r="A449" s="2">
        <v>10695</v>
      </c>
      <c r="B449" s="3" t="s">
        <v>81</v>
      </c>
      <c r="C449" s="3" t="s">
        <v>97</v>
      </c>
      <c r="D449" s="9">
        <v>39940</v>
      </c>
      <c r="E449" s="5">
        <v>472</v>
      </c>
      <c r="F449">
        <f>VLOOKUP(A449,paiments2[],3,FALSE)</f>
        <v>472</v>
      </c>
      <c r="G449" s="7"/>
    </row>
    <row r="450" spans="1:7" x14ac:dyDescent="0.2">
      <c r="A450" s="2">
        <v>10696</v>
      </c>
      <c r="B450" s="3" t="s">
        <v>19</v>
      </c>
      <c r="C450" s="3" t="s">
        <v>95</v>
      </c>
      <c r="D450" s="9">
        <v>39941</v>
      </c>
      <c r="E450" s="5">
        <v>742</v>
      </c>
      <c r="F450">
        <f>VLOOKUP(A450,paiments2[],3,FALSE)</f>
        <v>742</v>
      </c>
      <c r="G450" s="7"/>
    </row>
    <row r="451" spans="1:7" x14ac:dyDescent="0.2">
      <c r="A451" s="2">
        <v>10697</v>
      </c>
      <c r="B451" s="3" t="s">
        <v>65</v>
      </c>
      <c r="C451" s="3" t="s">
        <v>92</v>
      </c>
      <c r="D451" s="9">
        <v>39941</v>
      </c>
      <c r="E451" s="5">
        <v>796</v>
      </c>
      <c r="F451">
        <f>VLOOKUP(A451,paiments2[],3,FALSE)</f>
        <v>796</v>
      </c>
      <c r="G451" s="7"/>
    </row>
    <row r="452" spans="1:7" x14ac:dyDescent="0.2">
      <c r="A452" s="2">
        <v>10698</v>
      </c>
      <c r="B452" s="3" t="s">
        <v>9</v>
      </c>
      <c r="C452" s="3" t="s">
        <v>91</v>
      </c>
      <c r="D452" s="9">
        <v>39942</v>
      </c>
      <c r="E452" s="5">
        <v>2728</v>
      </c>
      <c r="F452">
        <f>VLOOKUP(A452,paiments2[],3,FALSE)</f>
        <v>2728</v>
      </c>
      <c r="G452" s="7"/>
    </row>
    <row r="453" spans="1:7" x14ac:dyDescent="0.2">
      <c r="A453" s="2">
        <v>10699</v>
      </c>
      <c r="B453" s="3" t="s">
        <v>24</v>
      </c>
      <c r="C453" s="3" t="s">
        <v>92</v>
      </c>
      <c r="D453" s="9">
        <v>39942</v>
      </c>
      <c r="E453" s="5">
        <v>84</v>
      </c>
      <c r="F453">
        <f>VLOOKUP(A453,paiments2[],3,FALSE)</f>
        <v>84</v>
      </c>
      <c r="G453" s="7"/>
    </row>
    <row r="454" spans="1:7" x14ac:dyDescent="0.2">
      <c r="A454" s="2">
        <v>10700</v>
      </c>
      <c r="B454" s="3" t="s">
        <v>45</v>
      </c>
      <c r="C454" s="3" t="s">
        <v>92</v>
      </c>
      <c r="D454" s="9">
        <v>39943</v>
      </c>
      <c r="E454" s="5">
        <v>1505</v>
      </c>
      <c r="F454">
        <f>VLOOKUP(A454,paiments2[],3,FALSE)</f>
        <v>1505</v>
      </c>
      <c r="G454" s="7"/>
    </row>
    <row r="455" spans="1:7" x14ac:dyDescent="0.2">
      <c r="A455" s="2">
        <v>10701</v>
      </c>
      <c r="B455" s="3" t="s">
        <v>34</v>
      </c>
      <c r="C455" s="3" t="s">
        <v>90</v>
      </c>
      <c r="D455" s="9">
        <v>39946</v>
      </c>
      <c r="E455" s="5">
        <v>2497</v>
      </c>
      <c r="F455">
        <f>VLOOKUP(A455,paiments2[],3,FALSE)</f>
        <v>2497</v>
      </c>
      <c r="G455" s="7"/>
    </row>
    <row r="456" spans="1:7" x14ac:dyDescent="0.2">
      <c r="A456" s="2">
        <v>10702</v>
      </c>
      <c r="B456" s="3" t="s">
        <v>100</v>
      </c>
      <c r="C456" s="3" t="s">
        <v>91</v>
      </c>
      <c r="D456" s="9">
        <v>39946</v>
      </c>
      <c r="E456" s="5">
        <v>237</v>
      </c>
      <c r="F456">
        <f>VLOOKUP(A456,paiments2[],3,FALSE)</f>
        <v>237</v>
      </c>
      <c r="G456" s="7"/>
    </row>
    <row r="457" spans="1:7" x14ac:dyDescent="0.2">
      <c r="A457" s="2">
        <v>10703</v>
      </c>
      <c r="B457" s="3" t="s">
        <v>14</v>
      </c>
      <c r="C457" s="3" t="s">
        <v>90</v>
      </c>
      <c r="D457" s="9">
        <v>39947</v>
      </c>
      <c r="E457" s="5">
        <v>1890</v>
      </c>
      <c r="F457">
        <f>VLOOKUP(A457,paiments2[],3,FALSE)</f>
        <v>1890</v>
      </c>
      <c r="G457" s="7"/>
    </row>
    <row r="458" spans="1:7" x14ac:dyDescent="0.2">
      <c r="A458" s="2">
        <v>10704</v>
      </c>
      <c r="B458" s="3" t="s">
        <v>61</v>
      </c>
      <c r="C458" s="3" t="s">
        <v>90</v>
      </c>
      <c r="D458" s="9">
        <v>39947</v>
      </c>
      <c r="E458" s="5">
        <v>417</v>
      </c>
      <c r="F458">
        <f>VLOOKUP(A458,paiments2[],3,FALSE)</f>
        <v>417</v>
      </c>
      <c r="G458" s="7"/>
    </row>
    <row r="459" spans="1:7" x14ac:dyDescent="0.2">
      <c r="A459" s="2">
        <v>10705</v>
      </c>
      <c r="B459" s="3" t="s">
        <v>8</v>
      </c>
      <c r="C459" s="3" t="s">
        <v>93</v>
      </c>
      <c r="D459" s="9">
        <v>39948</v>
      </c>
      <c r="E459" s="5">
        <v>276</v>
      </c>
      <c r="F459">
        <f>VLOOKUP(A459,paiments2[],3,FALSE)</f>
        <v>276</v>
      </c>
      <c r="G459" s="7"/>
    </row>
    <row r="460" spans="1:7" x14ac:dyDescent="0.2">
      <c r="A460" s="2">
        <v>10706</v>
      </c>
      <c r="B460" s="3" t="s">
        <v>37</v>
      </c>
      <c r="C460" s="3" t="s">
        <v>95</v>
      </c>
      <c r="D460" s="9">
        <v>39949</v>
      </c>
      <c r="E460" s="5">
        <v>1428</v>
      </c>
      <c r="F460">
        <f>VLOOKUP(A460,paiments2[],3,FALSE)</f>
        <v>1428</v>
      </c>
      <c r="G460" s="7"/>
    </row>
    <row r="461" spans="1:7" x14ac:dyDescent="0.2">
      <c r="A461" s="2">
        <v>10707</v>
      </c>
      <c r="B461" s="3" t="s">
        <v>55</v>
      </c>
      <c r="C461" s="3" t="s">
        <v>91</v>
      </c>
      <c r="D461" s="9">
        <v>39949</v>
      </c>
      <c r="E461" s="5">
        <v>1246</v>
      </c>
      <c r="F461">
        <f>VLOOKUP(A461,paiments2[],3,FALSE)</f>
        <v>1246</v>
      </c>
      <c r="G461" s="7"/>
    </row>
    <row r="462" spans="1:7" x14ac:dyDescent="0.2">
      <c r="A462" s="2">
        <v>10708</v>
      </c>
      <c r="B462" s="3" t="s">
        <v>40</v>
      </c>
      <c r="C462" s="3" t="s">
        <v>90</v>
      </c>
      <c r="D462" s="9">
        <v>39950</v>
      </c>
      <c r="E462" s="5">
        <v>134</v>
      </c>
      <c r="F462">
        <f>VLOOKUP(A462,paiments2[],3,FALSE)</f>
        <v>134</v>
      </c>
      <c r="G462" s="7"/>
    </row>
    <row r="463" spans="1:7" x14ac:dyDescent="0.2">
      <c r="A463" s="2">
        <v>10709</v>
      </c>
      <c r="B463" s="3" t="s">
        <v>69</v>
      </c>
      <c r="C463" s="3" t="s">
        <v>94</v>
      </c>
      <c r="D463" s="9">
        <v>39950</v>
      </c>
      <c r="E463" s="5">
        <v>2570</v>
      </c>
      <c r="F463">
        <f>VLOOKUP(A463,paiments2[],3,FALSE)</f>
        <v>2570</v>
      </c>
      <c r="G463" s="7"/>
    </row>
    <row r="464" spans="1:7" x14ac:dyDescent="0.2">
      <c r="A464" s="2">
        <v>10710</v>
      </c>
      <c r="B464" s="3" t="s">
        <v>68</v>
      </c>
      <c r="C464" s="3" t="s">
        <v>94</v>
      </c>
      <c r="D464" s="9">
        <v>39953</v>
      </c>
      <c r="E464" s="5">
        <v>70</v>
      </c>
      <c r="F464">
        <f>VLOOKUP(A464,paiments2[],3,FALSE)</f>
        <v>70</v>
      </c>
      <c r="G464" s="7"/>
    </row>
    <row r="465" spans="1:7" x14ac:dyDescent="0.2">
      <c r="A465" s="2">
        <v>10711</v>
      </c>
      <c r="B465" s="3" t="s">
        <v>45</v>
      </c>
      <c r="C465" s="3" t="s">
        <v>89</v>
      </c>
      <c r="D465" s="9">
        <v>39954</v>
      </c>
      <c r="E465" s="5">
        <v>3378</v>
      </c>
      <c r="F465">
        <f>VLOOKUP(A465,paiments2[],3,FALSE)</f>
        <v>3378</v>
      </c>
      <c r="G465" s="7"/>
    </row>
    <row r="466" spans="1:7" x14ac:dyDescent="0.2">
      <c r="A466" s="2">
        <v>10712</v>
      </c>
      <c r="B466" s="3" t="s">
        <v>34</v>
      </c>
      <c r="C466" s="3" t="s">
        <v>92</v>
      </c>
      <c r="D466" s="9">
        <v>39954</v>
      </c>
      <c r="E466" s="5">
        <v>915</v>
      </c>
      <c r="F466">
        <f>VLOOKUP(A466,paiments2[],3,FALSE)</f>
        <v>915</v>
      </c>
      <c r="G466" s="7"/>
    </row>
    <row r="467" spans="1:7" x14ac:dyDescent="0.2">
      <c r="A467" s="2">
        <v>10713</v>
      </c>
      <c r="B467" s="3" t="s">
        <v>45</v>
      </c>
      <c r="C467" s="3" t="s">
        <v>94</v>
      </c>
      <c r="D467" s="9">
        <v>39955</v>
      </c>
      <c r="E467" s="5">
        <v>2090</v>
      </c>
      <c r="F467">
        <f>VLOOKUP(A467,paiments2[],3,FALSE)</f>
        <v>2090</v>
      </c>
      <c r="G467" s="7"/>
    </row>
    <row r="468" spans="1:7" x14ac:dyDescent="0.2">
      <c r="A468" s="2">
        <v>10714</v>
      </c>
      <c r="B468" s="3" t="s">
        <v>45</v>
      </c>
      <c r="C468" s="3" t="s">
        <v>89</v>
      </c>
      <c r="D468" s="9">
        <v>39955</v>
      </c>
      <c r="E468" s="5">
        <v>2177</v>
      </c>
      <c r="F468">
        <f>VLOOKUP(A468,paiments2[],3,FALSE)</f>
        <v>2177</v>
      </c>
      <c r="G468" s="7"/>
    </row>
    <row r="469" spans="1:7" x14ac:dyDescent="0.2">
      <c r="A469" s="2">
        <v>10715</v>
      </c>
      <c r="B469" s="3" t="s">
        <v>48</v>
      </c>
      <c r="C469" s="3" t="s">
        <v>92</v>
      </c>
      <c r="D469" s="9">
        <v>39956</v>
      </c>
      <c r="E469" s="5">
        <v>963</v>
      </c>
      <c r="F469">
        <f>VLOOKUP(A469,paiments2[],3,FALSE)</f>
        <v>963</v>
      </c>
      <c r="G469" s="7"/>
    </row>
    <row r="470" spans="1:7" x14ac:dyDescent="0.2">
      <c r="A470" s="2">
        <v>10716</v>
      </c>
      <c r="B470" s="3" t="s">
        <v>71</v>
      </c>
      <c r="C470" s="3" t="s">
        <v>91</v>
      </c>
      <c r="D470" s="9">
        <v>39957</v>
      </c>
      <c r="E470" s="5">
        <v>525</v>
      </c>
      <c r="F470">
        <f>VLOOKUP(A470,paiments2[],3,FALSE)</f>
        <v>525</v>
      </c>
      <c r="G470" s="7"/>
    </row>
    <row r="471" spans="1:7" x14ac:dyDescent="0.2">
      <c r="A471" s="2">
        <v>10717</v>
      </c>
      <c r="B471" s="3" t="s">
        <v>17</v>
      </c>
      <c r="C471" s="3" t="s">
        <v>94</v>
      </c>
      <c r="D471" s="9">
        <v>39957</v>
      </c>
      <c r="E471" s="5">
        <v>974</v>
      </c>
      <c r="F471">
        <f>VLOOKUP(A471,paiments2[],3,FALSE)</f>
        <v>974</v>
      </c>
      <c r="G471" s="7"/>
    </row>
    <row r="472" spans="1:7" x14ac:dyDescent="0.2">
      <c r="A472" s="2">
        <v>10718</v>
      </c>
      <c r="B472" s="3" t="s">
        <v>44</v>
      </c>
      <c r="C472" s="3" t="s">
        <v>94</v>
      </c>
      <c r="D472" s="9">
        <v>39960</v>
      </c>
      <c r="E472" s="5">
        <v>2568</v>
      </c>
      <c r="F472">
        <f>VLOOKUP(A472,paiments2[],3,FALSE)</f>
        <v>2568</v>
      </c>
      <c r="G472" s="7"/>
    </row>
    <row r="473" spans="1:7" x14ac:dyDescent="0.2">
      <c r="A473" s="2">
        <v>10719</v>
      </c>
      <c r="B473" s="3" t="s">
        <v>80</v>
      </c>
      <c r="C473" s="3" t="s">
        <v>95</v>
      </c>
      <c r="D473" s="9">
        <v>39960</v>
      </c>
      <c r="E473" s="5">
        <v>821</v>
      </c>
      <c r="F473">
        <f>VLOOKUP(A473,paiments2[],3,FALSE)</f>
        <v>821</v>
      </c>
      <c r="G473" s="7"/>
    </row>
    <row r="474" spans="1:7" x14ac:dyDescent="0.2">
      <c r="A474" s="2">
        <v>10720</v>
      </c>
      <c r="B474" s="3" t="s">
        <v>12</v>
      </c>
      <c r="C474" s="3" t="s">
        <v>95</v>
      </c>
      <c r="D474" s="9">
        <v>39961</v>
      </c>
      <c r="E474" s="5">
        <v>401</v>
      </c>
      <c r="F474">
        <f>VLOOKUP(A474,paiments2[],3,FALSE)</f>
        <v>401</v>
      </c>
      <c r="G474" s="7"/>
    </row>
    <row r="475" spans="1:7" x14ac:dyDescent="0.2">
      <c r="A475" s="2">
        <v>10721</v>
      </c>
      <c r="B475" s="3" t="s">
        <v>21</v>
      </c>
      <c r="C475" s="3" t="s">
        <v>89</v>
      </c>
      <c r="D475" s="9">
        <v>39962</v>
      </c>
      <c r="E475" s="5">
        <v>700</v>
      </c>
      <c r="F475">
        <f>VLOOKUP(A475,paiments2[],3,FALSE)</f>
        <v>700</v>
      </c>
      <c r="G475" s="7"/>
    </row>
    <row r="476" spans="1:7" x14ac:dyDescent="0.2">
      <c r="A476" s="2">
        <v>10722</v>
      </c>
      <c r="B476" s="3" t="s">
        <v>45</v>
      </c>
      <c r="C476" s="3" t="s">
        <v>95</v>
      </c>
      <c r="D476" s="9">
        <v>39962</v>
      </c>
      <c r="E476" s="5">
        <v>1107</v>
      </c>
      <c r="F476">
        <f>VLOOKUP(A476,paiments2[],3,FALSE)</f>
        <v>1107</v>
      </c>
      <c r="G476" s="7"/>
    </row>
    <row r="477" spans="1:7" x14ac:dyDescent="0.2">
      <c r="A477" s="2">
        <v>10723</v>
      </c>
      <c r="B477" s="3" t="s">
        <v>19</v>
      </c>
      <c r="C477" s="3" t="s">
        <v>92</v>
      </c>
      <c r="D477" s="9">
        <v>39963</v>
      </c>
      <c r="E477" s="5">
        <v>345</v>
      </c>
      <c r="F477">
        <f>VLOOKUP(A477,paiments2[],3,FALSE)</f>
        <v>345</v>
      </c>
      <c r="G477" s="7"/>
    </row>
    <row r="478" spans="1:7" x14ac:dyDescent="0.2">
      <c r="A478" s="2">
        <v>10724</v>
      </c>
      <c r="B478" s="3" t="s">
        <v>49</v>
      </c>
      <c r="C478" s="3" t="s">
        <v>95</v>
      </c>
      <c r="D478" s="9">
        <v>39963</v>
      </c>
      <c r="E478" s="5">
        <v>473</v>
      </c>
      <c r="F478">
        <f>VLOOKUP(A478,paiments2[],3,FALSE)</f>
        <v>473</v>
      </c>
      <c r="G478" s="7"/>
    </row>
    <row r="479" spans="1:7" x14ac:dyDescent="0.2">
      <c r="A479" s="2">
        <v>10725</v>
      </c>
      <c r="B479" s="3" t="s">
        <v>52</v>
      </c>
      <c r="C479" s="3" t="s">
        <v>91</v>
      </c>
      <c r="D479" s="9">
        <v>39964</v>
      </c>
      <c r="E479" s="5">
        <v>1154</v>
      </c>
      <c r="F479">
        <f>VLOOKUP(A479,paiments2[],3,FALSE)</f>
        <v>1154</v>
      </c>
      <c r="G479" s="7"/>
    </row>
    <row r="480" spans="1:7" x14ac:dyDescent="0.2">
      <c r="A480" s="2">
        <v>10726</v>
      </c>
      <c r="B480" s="3" t="s">
        <v>58</v>
      </c>
      <c r="C480" s="3" t="s">
        <v>91</v>
      </c>
      <c r="D480" s="9">
        <v>39967</v>
      </c>
      <c r="E480" s="5">
        <v>1340</v>
      </c>
      <c r="F480">
        <f>VLOOKUP(A480,paiments2[],3,FALSE)</f>
        <v>1340</v>
      </c>
      <c r="G480" s="7"/>
    </row>
    <row r="481" spans="1:7" x14ac:dyDescent="0.2">
      <c r="A481" s="2">
        <v>10727</v>
      </c>
      <c r="B481" s="3" t="s">
        <v>30</v>
      </c>
      <c r="C481" s="3" t="s">
        <v>96</v>
      </c>
      <c r="D481" s="9">
        <v>39967</v>
      </c>
      <c r="E481" s="5">
        <v>2729</v>
      </c>
      <c r="F481">
        <f>VLOOKUP(A481,paiments2[],3,FALSE)</f>
        <v>2729</v>
      </c>
      <c r="G481" s="7"/>
    </row>
    <row r="482" spans="1:7" x14ac:dyDescent="0.2">
      <c r="A482" s="2">
        <v>10728</v>
      </c>
      <c r="B482" s="3" t="s">
        <v>61</v>
      </c>
      <c r="C482" s="3" t="s">
        <v>91</v>
      </c>
      <c r="D482" s="9">
        <v>39968</v>
      </c>
      <c r="E482" s="5">
        <v>624</v>
      </c>
      <c r="F482">
        <f>VLOOKUP(A482,paiments2[],3,FALSE)</f>
        <v>624</v>
      </c>
      <c r="G482" s="7"/>
    </row>
    <row r="483" spans="1:7" x14ac:dyDescent="0.2">
      <c r="A483" s="2">
        <v>10729</v>
      </c>
      <c r="B483" s="3" t="s">
        <v>65</v>
      </c>
      <c r="C483" s="3" t="s">
        <v>95</v>
      </c>
      <c r="D483" s="9">
        <v>39968</v>
      </c>
      <c r="E483" s="5">
        <v>850</v>
      </c>
      <c r="F483">
        <f>VLOOKUP(A483,paiments2[],3,FALSE)</f>
        <v>850</v>
      </c>
      <c r="G483" s="7"/>
    </row>
    <row r="484" spans="1:7" x14ac:dyDescent="0.2">
      <c r="A484" s="2">
        <v>10730</v>
      </c>
      <c r="B484" s="3" t="s">
        <v>48</v>
      </c>
      <c r="C484" s="3" t="s">
        <v>89</v>
      </c>
      <c r="D484" s="9">
        <v>39969</v>
      </c>
      <c r="E484" s="5">
        <v>1608</v>
      </c>
      <c r="F484">
        <f>VLOOKUP(A484,paiments2[],3,FALSE)</f>
        <v>1608</v>
      </c>
      <c r="G484" s="7"/>
    </row>
    <row r="485" spans="1:7" x14ac:dyDescent="0.2">
      <c r="A485" s="2">
        <v>10731</v>
      </c>
      <c r="B485" s="3" t="s">
        <v>5</v>
      </c>
      <c r="C485" s="3" t="s">
        <v>97</v>
      </c>
      <c r="D485" s="9">
        <v>39970</v>
      </c>
      <c r="E485" s="5">
        <v>408</v>
      </c>
      <c r="F485">
        <f>VLOOKUP(A485,paiments2[],3,FALSE)</f>
        <v>408</v>
      </c>
      <c r="G485" s="7"/>
    </row>
    <row r="486" spans="1:7" x14ac:dyDescent="0.2">
      <c r="A486" s="2">
        <v>10732</v>
      </c>
      <c r="B486" s="3" t="s">
        <v>48</v>
      </c>
      <c r="C486" s="3" t="s">
        <v>92</v>
      </c>
      <c r="D486" s="9">
        <v>39970</v>
      </c>
      <c r="E486" s="5">
        <v>935</v>
      </c>
      <c r="F486">
        <f>VLOOKUP(A486,paiments2[],3,FALSE)</f>
        <v>935</v>
      </c>
      <c r="G486" s="7"/>
    </row>
    <row r="487" spans="1:7" x14ac:dyDescent="0.2">
      <c r="A487" s="2">
        <v>10733</v>
      </c>
      <c r="B487" s="3" t="s">
        <v>25</v>
      </c>
      <c r="C487" s="3" t="s">
        <v>94</v>
      </c>
      <c r="D487" s="9">
        <v>39971</v>
      </c>
      <c r="E487" s="5">
        <v>2140</v>
      </c>
      <c r="F487">
        <f>VLOOKUP(A487,paiments2[],3,FALSE)</f>
        <v>2140</v>
      </c>
      <c r="G487" s="7"/>
    </row>
    <row r="488" spans="1:7" x14ac:dyDescent="0.2">
      <c r="A488" s="2">
        <v>10734</v>
      </c>
      <c r="B488" s="3" t="s">
        <v>69</v>
      </c>
      <c r="C488" s="3" t="s">
        <v>96</v>
      </c>
      <c r="D488" s="9">
        <v>39971</v>
      </c>
      <c r="E488" s="5">
        <v>390</v>
      </c>
      <c r="F488">
        <f>VLOOKUP(A488,paiments2[],3,FALSE)</f>
        <v>390</v>
      </c>
      <c r="G488" s="7"/>
    </row>
    <row r="489" spans="1:7" x14ac:dyDescent="0.2">
      <c r="A489" s="2">
        <v>10735</v>
      </c>
      <c r="B489" s="3" t="s">
        <v>80</v>
      </c>
      <c r="C489" s="3" t="s">
        <v>90</v>
      </c>
      <c r="D489" s="9">
        <v>39974</v>
      </c>
      <c r="E489" s="5">
        <v>700</v>
      </c>
      <c r="F489">
        <f>VLOOKUP(A489,paiments2[],3,FALSE)</f>
        <v>700</v>
      </c>
      <c r="G489" s="7"/>
    </row>
    <row r="490" spans="1:7" x14ac:dyDescent="0.2">
      <c r="A490" s="2">
        <v>10736</v>
      </c>
      <c r="B490" s="3" t="s">
        <v>34</v>
      </c>
      <c r="C490" s="3" t="s">
        <v>93</v>
      </c>
      <c r="D490" s="9">
        <v>39975</v>
      </c>
      <c r="E490" s="5">
        <v>968</v>
      </c>
      <c r="F490">
        <f>VLOOKUP(A490,paiments2[],3,FALSE)</f>
        <v>968</v>
      </c>
      <c r="G490" s="7"/>
    </row>
    <row r="491" spans="1:7" x14ac:dyDescent="0.2">
      <c r="A491" s="2">
        <v>10737</v>
      </c>
      <c r="B491" s="3" t="s">
        <v>0</v>
      </c>
      <c r="C491" s="3" t="s">
        <v>96</v>
      </c>
      <c r="D491" s="9">
        <v>39975</v>
      </c>
      <c r="E491" s="5">
        <v>525</v>
      </c>
      <c r="F491">
        <f>VLOOKUP(A491,paiments2[],3,FALSE)</f>
        <v>525</v>
      </c>
      <c r="G491" s="7"/>
    </row>
    <row r="492" spans="1:7" x14ac:dyDescent="0.2">
      <c r="A492" s="2">
        <v>10738</v>
      </c>
      <c r="B492" s="3" t="s">
        <v>84</v>
      </c>
      <c r="C492" s="3" t="s">
        <v>96</v>
      </c>
      <c r="D492" s="9">
        <v>39976</v>
      </c>
      <c r="E492" s="5">
        <v>1536</v>
      </c>
      <c r="F492">
        <f>VLOOKUP(A492,paiments2[],3,FALSE)</f>
        <v>1536</v>
      </c>
      <c r="G492" s="7"/>
    </row>
    <row r="493" spans="1:7" x14ac:dyDescent="0.2">
      <c r="A493" s="2">
        <v>10739</v>
      </c>
      <c r="B493" s="3" t="s">
        <v>0</v>
      </c>
      <c r="C493" s="3" t="s">
        <v>92</v>
      </c>
      <c r="D493" s="9">
        <v>39976</v>
      </c>
      <c r="E493" s="5">
        <v>2300</v>
      </c>
      <c r="F493">
        <f>VLOOKUP(A493,paiments2[],3,FALSE)</f>
        <v>2300</v>
      </c>
      <c r="G493" s="7"/>
    </row>
    <row r="494" spans="1:7" x14ac:dyDescent="0.2">
      <c r="A494" s="2">
        <v>10740</v>
      </c>
      <c r="B494" s="3" t="s">
        <v>19</v>
      </c>
      <c r="C494" s="3" t="s">
        <v>91</v>
      </c>
      <c r="D494" s="9">
        <v>39977</v>
      </c>
      <c r="E494" s="5">
        <v>115</v>
      </c>
      <c r="F494">
        <f>VLOOKUP(A494,paiments2[],3,FALSE)</f>
        <v>115</v>
      </c>
      <c r="G494" s="7"/>
    </row>
    <row r="495" spans="1:7" x14ac:dyDescent="0.2">
      <c r="A495" s="2">
        <v>10741</v>
      </c>
      <c r="B495" s="3" t="s">
        <v>55</v>
      </c>
      <c r="C495" s="3" t="s">
        <v>91</v>
      </c>
      <c r="D495" s="9">
        <v>39978</v>
      </c>
      <c r="E495" s="5">
        <v>705</v>
      </c>
      <c r="F495">
        <f>VLOOKUP(A495,paiments2[],3,FALSE)</f>
        <v>705</v>
      </c>
      <c r="G495" s="7"/>
    </row>
    <row r="496" spans="1:7" x14ac:dyDescent="0.2">
      <c r="A496" s="2">
        <v>10742</v>
      </c>
      <c r="B496" s="3" t="s">
        <v>64</v>
      </c>
      <c r="C496" s="3" t="s">
        <v>92</v>
      </c>
      <c r="D496" s="9">
        <v>39978</v>
      </c>
      <c r="E496" s="5">
        <v>2300</v>
      </c>
      <c r="F496">
        <f>VLOOKUP(A496,paiments2[],3,FALSE)</f>
        <v>2300</v>
      </c>
      <c r="G496" s="7"/>
    </row>
    <row r="497" spans="1:7" x14ac:dyDescent="0.2">
      <c r="A497" s="2">
        <v>10743</v>
      </c>
      <c r="B497" s="3" t="s">
        <v>55</v>
      </c>
      <c r="C497" s="3" t="s">
        <v>94</v>
      </c>
      <c r="D497" s="9">
        <v>39981</v>
      </c>
      <c r="E497" s="5">
        <v>252</v>
      </c>
      <c r="F497">
        <f>VLOOKUP(A497,paiments2[],3,FALSE)</f>
        <v>252</v>
      </c>
      <c r="G497" s="7"/>
    </row>
    <row r="498" spans="1:7" x14ac:dyDescent="0.2">
      <c r="A498" s="2">
        <v>10744</v>
      </c>
      <c r="B498" s="3" t="s">
        <v>60</v>
      </c>
      <c r="C498" s="3" t="s">
        <v>90</v>
      </c>
      <c r="D498" s="9">
        <v>39981</v>
      </c>
      <c r="E498" s="5">
        <v>700</v>
      </c>
      <c r="F498">
        <f>VLOOKUP(A498,paiments2[],3,FALSE)</f>
        <v>700</v>
      </c>
      <c r="G498" s="7"/>
    </row>
    <row r="499" spans="1:7" x14ac:dyDescent="0.2">
      <c r="A499" s="2">
        <v>10745</v>
      </c>
      <c r="B499" s="3" t="s">
        <v>21</v>
      </c>
      <c r="C499" s="3" t="s">
        <v>93</v>
      </c>
      <c r="D499" s="9">
        <v>39982</v>
      </c>
      <c r="E499" s="5">
        <v>3379</v>
      </c>
      <c r="F499">
        <f>VLOOKUP(A499,paiments2[],3,FALSE)</f>
        <v>3379</v>
      </c>
      <c r="G499" s="7"/>
    </row>
    <row r="500" spans="1:7" x14ac:dyDescent="0.2">
      <c r="A500" s="2">
        <v>10746</v>
      </c>
      <c r="B500" s="3" t="s">
        <v>5</v>
      </c>
      <c r="C500" s="3" t="s">
        <v>94</v>
      </c>
      <c r="D500" s="9">
        <v>39983</v>
      </c>
      <c r="E500" s="5">
        <v>1717</v>
      </c>
      <c r="F500">
        <f>VLOOKUP(A500,paiments2[],3,FALSE)</f>
        <v>1717</v>
      </c>
      <c r="G500" s="7"/>
    </row>
    <row r="501" spans="1:7" x14ac:dyDescent="0.2">
      <c r="A501" s="2">
        <v>10747</v>
      </c>
      <c r="B501" s="3" t="s">
        <v>54</v>
      </c>
      <c r="C501" s="3" t="s">
        <v>90</v>
      </c>
      <c r="D501" s="9">
        <v>39983</v>
      </c>
      <c r="E501" s="5">
        <v>1424</v>
      </c>
      <c r="F501">
        <f>VLOOKUP(A501,paiments2[],3,FALSE)</f>
        <v>1424</v>
      </c>
      <c r="G501" s="7"/>
    </row>
    <row r="502" spans="1:7" x14ac:dyDescent="0.2">
      <c r="A502" s="2">
        <v>10748</v>
      </c>
      <c r="B502" s="3" t="s">
        <v>45</v>
      </c>
      <c r="C502" s="3" t="s">
        <v>92</v>
      </c>
      <c r="D502" s="9">
        <v>39984</v>
      </c>
      <c r="E502" s="5">
        <v>1608</v>
      </c>
      <c r="F502">
        <f>VLOOKUP(A502,paiments2[],3,FALSE)</f>
        <v>1608</v>
      </c>
      <c r="G502" s="7"/>
    </row>
    <row r="503" spans="1:7" x14ac:dyDescent="0.2">
      <c r="A503" s="2">
        <v>10749</v>
      </c>
      <c r="B503" s="3" t="s">
        <v>42</v>
      </c>
      <c r="C503" s="3" t="s">
        <v>91</v>
      </c>
      <c r="D503" s="9">
        <v>39984</v>
      </c>
      <c r="E503" s="5">
        <v>796</v>
      </c>
      <c r="F503">
        <f>VLOOKUP(A503,paiments2[],3,FALSE)</f>
        <v>796</v>
      </c>
      <c r="G503" s="7"/>
    </row>
    <row r="504" spans="1:7" x14ac:dyDescent="0.2">
      <c r="A504" s="2">
        <v>10750</v>
      </c>
      <c r="B504" s="3" t="s">
        <v>16</v>
      </c>
      <c r="C504" s="3" t="s">
        <v>93</v>
      </c>
      <c r="D504" s="9">
        <v>39985</v>
      </c>
      <c r="E504" s="5">
        <v>1390</v>
      </c>
      <c r="F504">
        <f>VLOOKUP(A504,paiments2[],3,FALSE)</f>
        <v>1390</v>
      </c>
      <c r="G504" s="7"/>
    </row>
    <row r="505" spans="1:7" x14ac:dyDescent="0.2">
      <c r="A505" s="2">
        <v>10751</v>
      </c>
      <c r="B505" s="3" t="s">
        <v>6</v>
      </c>
      <c r="C505" s="3" t="s">
        <v>92</v>
      </c>
      <c r="D505" s="9">
        <v>39988</v>
      </c>
      <c r="E505" s="5">
        <v>1251</v>
      </c>
      <c r="F505">
        <f>VLOOKUP(A505,paiments2[],3,FALSE)</f>
        <v>1251</v>
      </c>
      <c r="G505" s="7"/>
    </row>
    <row r="506" spans="1:7" x14ac:dyDescent="0.2">
      <c r="A506" s="2">
        <v>10752</v>
      </c>
      <c r="B506" s="3" t="s">
        <v>75</v>
      </c>
      <c r="C506" s="3" t="s">
        <v>96</v>
      </c>
      <c r="D506" s="9">
        <v>39988</v>
      </c>
      <c r="E506" s="5">
        <v>185</v>
      </c>
      <c r="F506">
        <f>VLOOKUP(A506,paiments2[],3,FALSE)</f>
        <v>185</v>
      </c>
      <c r="G506" s="7"/>
    </row>
    <row r="507" spans="1:7" x14ac:dyDescent="0.2">
      <c r="A507" s="2">
        <v>10753</v>
      </c>
      <c r="B507" s="3" t="s">
        <v>68</v>
      </c>
      <c r="C507" s="3" t="s">
        <v>92</v>
      </c>
      <c r="D507" s="9">
        <v>39989</v>
      </c>
      <c r="E507" s="5">
        <v>63</v>
      </c>
      <c r="F507">
        <f>VLOOKUP(A507,paiments2[],3,FALSE)</f>
        <v>63</v>
      </c>
      <c r="G507" s="7"/>
    </row>
    <row r="508" spans="1:7" x14ac:dyDescent="0.2">
      <c r="A508" s="2">
        <v>10754</v>
      </c>
      <c r="B508" s="3" t="s">
        <v>22</v>
      </c>
      <c r="C508" s="3" t="s">
        <v>90</v>
      </c>
      <c r="D508" s="9">
        <v>39989</v>
      </c>
      <c r="E508" s="5">
        <v>42</v>
      </c>
      <c r="F508">
        <f>VLOOKUP(A508,paiments2[],3,FALSE)</f>
        <v>42</v>
      </c>
      <c r="G508" s="7"/>
    </row>
    <row r="509" spans="1:7" x14ac:dyDescent="0.2">
      <c r="A509" s="2">
        <v>10755</v>
      </c>
      <c r="B509" s="3" t="s">
        <v>48</v>
      </c>
      <c r="C509" s="3" t="s">
        <v>91</v>
      </c>
      <c r="D509" s="9">
        <v>39990</v>
      </c>
      <c r="E509" s="5">
        <v>1921</v>
      </c>
      <c r="F509">
        <f>VLOOKUP(A509,paiments2[],3,FALSE)</f>
        <v>1921</v>
      </c>
      <c r="G509" s="7"/>
    </row>
    <row r="510" spans="1:7" x14ac:dyDescent="0.2">
      <c r="A510" s="2">
        <v>10756</v>
      </c>
      <c r="B510" s="3" t="s">
        <v>20</v>
      </c>
      <c r="C510" s="3" t="s">
        <v>95</v>
      </c>
      <c r="D510" s="9">
        <v>39991</v>
      </c>
      <c r="E510" s="5">
        <v>1861</v>
      </c>
      <c r="F510">
        <f>VLOOKUP(A510,paiments2[],3,FALSE)</f>
        <v>1861</v>
      </c>
      <c r="G510" s="7"/>
    </row>
    <row r="511" spans="1:7" x14ac:dyDescent="0.2">
      <c r="A511" s="2">
        <v>10757</v>
      </c>
      <c r="B511" s="3" t="s">
        <v>45</v>
      </c>
      <c r="C511" s="3" t="s">
        <v>90</v>
      </c>
      <c r="D511" s="9">
        <v>39991</v>
      </c>
      <c r="E511" s="5">
        <v>2297</v>
      </c>
      <c r="F511">
        <f>VLOOKUP(A511,paiments2[],3,FALSE)</f>
        <v>2297</v>
      </c>
      <c r="G511" s="7"/>
    </row>
    <row r="512" spans="1:7" x14ac:dyDescent="0.2">
      <c r="A512" s="2">
        <v>10758</v>
      </c>
      <c r="B512" s="3" t="s">
        <v>6</v>
      </c>
      <c r="C512" s="3" t="s">
        <v>92</v>
      </c>
      <c r="D512" s="9">
        <v>39992</v>
      </c>
      <c r="E512" s="5">
        <v>1200</v>
      </c>
      <c r="F512">
        <f>VLOOKUP(A512,paiments2[],3,FALSE)</f>
        <v>1200</v>
      </c>
      <c r="G512" s="7"/>
    </row>
    <row r="513" spans="1:7" x14ac:dyDescent="0.2">
      <c r="A513" s="2">
        <v>10759</v>
      </c>
      <c r="B513" s="3" t="s">
        <v>39</v>
      </c>
      <c r="C513" s="3" t="s">
        <v>92</v>
      </c>
      <c r="D513" s="9">
        <v>39992</v>
      </c>
      <c r="E513" s="5">
        <v>240</v>
      </c>
      <c r="F513">
        <f>VLOOKUP(A513,paiments2[],3,FALSE)</f>
        <v>240</v>
      </c>
      <c r="G513" s="7"/>
    </row>
    <row r="514" spans="1:7" x14ac:dyDescent="0.2">
      <c r="A514" s="2">
        <v>10760</v>
      </c>
      <c r="B514" s="3" t="s">
        <v>78</v>
      </c>
      <c r="C514" s="3" t="s">
        <v>91</v>
      </c>
      <c r="D514" s="9">
        <v>39995</v>
      </c>
      <c r="E514" s="5">
        <v>2490</v>
      </c>
      <c r="F514">
        <f>VLOOKUP(A514,paiments2[],3,FALSE)</f>
        <v>2490</v>
      </c>
      <c r="G514" s="7"/>
    </row>
    <row r="515" spans="1:7" x14ac:dyDescent="0.2">
      <c r="A515" s="2">
        <v>10761</v>
      </c>
      <c r="B515" s="3" t="s">
        <v>13</v>
      </c>
      <c r="C515" s="3" t="s">
        <v>89</v>
      </c>
      <c r="D515" s="9">
        <v>39996</v>
      </c>
      <c r="E515" s="5">
        <v>440</v>
      </c>
      <c r="F515">
        <f>VLOOKUP(A515,paiments2[],3,FALSE)</f>
        <v>440</v>
      </c>
      <c r="G515" s="7"/>
    </row>
    <row r="516" spans="1:7" x14ac:dyDescent="0.2">
      <c r="A516" s="2">
        <v>10762</v>
      </c>
      <c r="B516" s="3" t="s">
        <v>14</v>
      </c>
      <c r="C516" s="3" t="s">
        <v>92</v>
      </c>
      <c r="D516" s="9">
        <v>39996</v>
      </c>
      <c r="E516" s="5">
        <v>3218</v>
      </c>
      <c r="F516">
        <f>VLOOKUP(A516,paiments2[],3,FALSE)</f>
        <v>3218</v>
      </c>
      <c r="G516" s="7"/>
    </row>
    <row r="517" spans="1:7" x14ac:dyDescent="0.2">
      <c r="A517" s="2">
        <v>10763</v>
      </c>
      <c r="B517" s="3" t="s">
        <v>66</v>
      </c>
      <c r="C517" s="3" t="s">
        <v>92</v>
      </c>
      <c r="D517" s="9">
        <v>39997</v>
      </c>
      <c r="E517" s="5">
        <v>436</v>
      </c>
      <c r="F517">
        <f>VLOOKUP(A517,paiments2[],3,FALSE)</f>
        <v>436</v>
      </c>
      <c r="G517" s="7"/>
    </row>
    <row r="518" spans="1:7" x14ac:dyDescent="0.2">
      <c r="A518" s="2">
        <v>10764</v>
      </c>
      <c r="B518" s="3" t="s">
        <v>9</v>
      </c>
      <c r="C518" s="3" t="s">
        <v>90</v>
      </c>
      <c r="D518" s="9">
        <v>39997</v>
      </c>
      <c r="E518" s="5">
        <v>1830</v>
      </c>
      <c r="F518">
        <f>VLOOKUP(A518,paiments2[],3,FALSE)</f>
        <v>1830</v>
      </c>
      <c r="G518" s="7"/>
    </row>
    <row r="519" spans="1:7" x14ac:dyDescent="0.2">
      <c r="A519" s="2">
        <v>10765</v>
      </c>
      <c r="B519" s="3" t="s">
        <v>21</v>
      </c>
      <c r="C519" s="3" t="s">
        <v>92</v>
      </c>
      <c r="D519" s="9">
        <v>39998</v>
      </c>
      <c r="E519" s="5">
        <v>1280</v>
      </c>
      <c r="F519">
        <f>VLOOKUP(A519,paiments2[],3,FALSE)</f>
        <v>1280</v>
      </c>
      <c r="G519" s="7"/>
    </row>
    <row r="520" spans="1:7" x14ac:dyDescent="0.2">
      <c r="A520" s="2">
        <v>10766</v>
      </c>
      <c r="B520" s="3" t="s">
        <v>11</v>
      </c>
      <c r="C520" s="3" t="s">
        <v>91</v>
      </c>
      <c r="D520" s="9">
        <v>39999</v>
      </c>
      <c r="E520" s="5">
        <v>1154</v>
      </c>
      <c r="F520">
        <f>VLOOKUP(A520,paiments2[],3,FALSE)</f>
        <v>1154</v>
      </c>
      <c r="G520" s="7"/>
    </row>
    <row r="521" spans="1:7" x14ac:dyDescent="0.2">
      <c r="A521" s="2">
        <v>10767</v>
      </c>
      <c r="B521" s="3" t="s">
        <v>4</v>
      </c>
      <c r="C521" s="3" t="s">
        <v>91</v>
      </c>
      <c r="D521" s="9">
        <v>39999</v>
      </c>
      <c r="E521" s="5">
        <v>1340</v>
      </c>
      <c r="F521">
        <f>VLOOKUP(A521,paiments2[],3,FALSE)</f>
        <v>1340</v>
      </c>
      <c r="G521" s="7"/>
    </row>
    <row r="522" spans="1:7" x14ac:dyDescent="0.2">
      <c r="A522" s="2">
        <v>10768</v>
      </c>
      <c r="B522" s="3" t="s">
        <v>55</v>
      </c>
      <c r="C522" s="3" t="s">
        <v>92</v>
      </c>
      <c r="D522" s="9">
        <v>40002</v>
      </c>
      <c r="E522" s="5">
        <v>2729</v>
      </c>
      <c r="F522">
        <f>VLOOKUP(A522,paiments2[],3,FALSE)</f>
        <v>2729</v>
      </c>
      <c r="G522" s="7"/>
    </row>
    <row r="523" spans="1:7" x14ac:dyDescent="0.2">
      <c r="A523" s="2">
        <v>10769</v>
      </c>
      <c r="B523" s="3" t="s">
        <v>60</v>
      </c>
      <c r="C523" s="3" t="s">
        <v>92</v>
      </c>
      <c r="D523" s="9">
        <v>40002</v>
      </c>
      <c r="E523" s="5">
        <v>624</v>
      </c>
      <c r="F523">
        <f>VLOOKUP(A523,paiments2[],3,FALSE)</f>
        <v>624</v>
      </c>
      <c r="G523" s="7"/>
    </row>
    <row r="524" spans="1:7" x14ac:dyDescent="0.2">
      <c r="A524" s="2">
        <v>10770</v>
      </c>
      <c r="B524" s="3" t="s">
        <v>2</v>
      </c>
      <c r="C524" s="3" t="s">
        <v>95</v>
      </c>
      <c r="D524" s="9">
        <v>40003</v>
      </c>
      <c r="E524" s="5">
        <v>850</v>
      </c>
      <c r="F524">
        <f>VLOOKUP(A524,paiments2[],3,FALSE)</f>
        <v>850</v>
      </c>
      <c r="G524" s="7"/>
    </row>
    <row r="525" spans="1:7" x14ac:dyDescent="0.2">
      <c r="A525" s="2">
        <v>10771</v>
      </c>
      <c r="B525" s="3" t="s">
        <v>9</v>
      </c>
      <c r="C525" s="3" t="s">
        <v>93</v>
      </c>
      <c r="D525" s="9">
        <v>40004</v>
      </c>
      <c r="E525" s="5">
        <v>1608</v>
      </c>
      <c r="F525">
        <f>VLOOKUP(A525,paiments2[],3,FALSE)</f>
        <v>1608</v>
      </c>
      <c r="G525" s="7"/>
    </row>
    <row r="526" spans="1:7" x14ac:dyDescent="0.2">
      <c r="A526" s="2">
        <v>10772</v>
      </c>
      <c r="B526" s="3" t="s">
        <v>26</v>
      </c>
      <c r="C526" s="3" t="s">
        <v>92</v>
      </c>
      <c r="D526" s="9">
        <v>40004</v>
      </c>
      <c r="E526" s="5">
        <v>408</v>
      </c>
      <c r="F526">
        <f>VLOOKUP(A526,paiments2[],3,FALSE)</f>
        <v>408</v>
      </c>
      <c r="G526" s="7"/>
    </row>
    <row r="527" spans="1:7" x14ac:dyDescent="0.2">
      <c r="A527" s="2">
        <v>10773</v>
      </c>
      <c r="B527" s="3" t="s">
        <v>9</v>
      </c>
      <c r="C527" s="3" t="s">
        <v>94</v>
      </c>
      <c r="D527" s="9">
        <v>40005</v>
      </c>
      <c r="E527" s="5">
        <v>935</v>
      </c>
      <c r="F527">
        <f>VLOOKUP(A527,paiments2[],3,FALSE)</f>
        <v>935</v>
      </c>
      <c r="G527" s="7"/>
    </row>
    <row r="528" spans="1:7" x14ac:dyDescent="0.2">
      <c r="A528" s="2">
        <v>10774</v>
      </c>
      <c r="B528" s="3" t="s">
        <v>14</v>
      </c>
      <c r="C528" s="3" t="s">
        <v>91</v>
      </c>
      <c r="D528" s="9">
        <v>40005</v>
      </c>
      <c r="E528" s="5">
        <v>2140</v>
      </c>
      <c r="F528">
        <f>VLOOKUP(A528,paiments2[],3,FALSE)</f>
        <v>2140</v>
      </c>
      <c r="G528" s="7"/>
    </row>
    <row r="529" spans="1:7" x14ac:dyDescent="0.2">
      <c r="A529" s="2">
        <v>10775</v>
      </c>
      <c r="B529" s="3" t="s">
        <v>82</v>
      </c>
      <c r="C529" s="3" t="s">
        <v>97</v>
      </c>
      <c r="D529" s="9">
        <v>40006</v>
      </c>
      <c r="E529" s="5">
        <v>390</v>
      </c>
      <c r="F529">
        <f>VLOOKUP(A529,paiments2[],3,FALSE)</f>
        <v>390</v>
      </c>
      <c r="G529" s="7"/>
    </row>
    <row r="530" spans="1:7" x14ac:dyDescent="0.2">
      <c r="A530" s="2">
        <v>10776</v>
      </c>
      <c r="B530" s="3" t="s">
        <v>9</v>
      </c>
      <c r="C530" s="3" t="s">
        <v>94</v>
      </c>
      <c r="D530" s="9">
        <v>40009</v>
      </c>
      <c r="E530" s="5">
        <v>700</v>
      </c>
      <c r="F530">
        <f>VLOOKUP(A530,paiments2[],3,FALSE)</f>
        <v>700</v>
      </c>
      <c r="G530" s="7"/>
    </row>
    <row r="531" spans="1:7" x14ac:dyDescent="0.2">
      <c r="A531" s="2">
        <v>10777</v>
      </c>
      <c r="B531" s="3" t="s">
        <v>69</v>
      </c>
      <c r="C531" s="3" t="s">
        <v>97</v>
      </c>
      <c r="D531" s="9">
        <v>40009</v>
      </c>
      <c r="E531" s="5">
        <v>968</v>
      </c>
      <c r="F531">
        <f>VLOOKUP(A531,paiments2[],3,FALSE)</f>
        <v>968</v>
      </c>
      <c r="G531" s="7"/>
    </row>
    <row r="532" spans="1:7" x14ac:dyDescent="0.2">
      <c r="A532" s="2">
        <v>10778</v>
      </c>
      <c r="B532" s="3" t="s">
        <v>25</v>
      </c>
      <c r="C532" s="3" t="s">
        <v>92</v>
      </c>
      <c r="D532" s="9">
        <v>40010</v>
      </c>
      <c r="E532" s="5">
        <v>525</v>
      </c>
      <c r="F532">
        <f>VLOOKUP(A532,paiments2[],3,FALSE)</f>
        <v>525</v>
      </c>
      <c r="G532" s="7"/>
    </row>
    <row r="533" spans="1:7" x14ac:dyDescent="0.2">
      <c r="A533" s="2">
        <v>10779</v>
      </c>
      <c r="B533" s="3" t="s">
        <v>24</v>
      </c>
      <c r="C533" s="3" t="s">
        <v>92</v>
      </c>
      <c r="D533" s="9">
        <v>40010</v>
      </c>
      <c r="E533" s="5">
        <v>1536</v>
      </c>
      <c r="F533">
        <f>VLOOKUP(A533,paiments2[],3,FALSE)</f>
        <v>1536</v>
      </c>
      <c r="G533" s="7"/>
    </row>
    <row r="534" spans="1:7" x14ac:dyDescent="0.2">
      <c r="A534" s="2">
        <v>10780</v>
      </c>
      <c r="B534" s="3" t="s">
        <v>28</v>
      </c>
      <c r="C534" s="3" t="s">
        <v>96</v>
      </c>
      <c r="D534" s="9">
        <v>40010</v>
      </c>
      <c r="E534" s="5">
        <v>2300</v>
      </c>
      <c r="F534">
        <f>VLOOKUP(A534,paiments2[],3,FALSE)</f>
        <v>2300</v>
      </c>
      <c r="G534" s="7"/>
    </row>
    <row r="535" spans="1:7" x14ac:dyDescent="0.2">
      <c r="A535" s="2">
        <v>10781</v>
      </c>
      <c r="B535" s="3" t="s">
        <v>16</v>
      </c>
      <c r="C535" s="3" t="s">
        <v>96</v>
      </c>
      <c r="D535" s="9">
        <v>40011</v>
      </c>
      <c r="E535" s="5">
        <v>115</v>
      </c>
      <c r="F535">
        <f>VLOOKUP(A535,paiments2[],3,FALSE)</f>
        <v>115</v>
      </c>
      <c r="G535" s="7"/>
    </row>
    <row r="536" spans="1:7" x14ac:dyDescent="0.2">
      <c r="A536" s="2">
        <v>10782</v>
      </c>
      <c r="B536" s="3" t="s">
        <v>76</v>
      </c>
      <c r="C536" s="3" t="s">
        <v>93</v>
      </c>
      <c r="D536" s="9">
        <v>40011</v>
      </c>
      <c r="E536" s="5">
        <v>705</v>
      </c>
      <c r="F536">
        <f>VLOOKUP(A536,paiments2[],3,FALSE)</f>
        <v>705</v>
      </c>
      <c r="G536" s="7"/>
    </row>
    <row r="537" spans="1:7" x14ac:dyDescent="0.2">
      <c r="A537" s="2">
        <v>10783</v>
      </c>
      <c r="B537" s="3" t="s">
        <v>2</v>
      </c>
      <c r="C537" s="3" t="s">
        <v>91</v>
      </c>
      <c r="D537" s="9">
        <v>40012</v>
      </c>
      <c r="E537" s="5">
        <v>1090</v>
      </c>
      <c r="F537">
        <f>VLOOKUP(A537,paiments2[],3,FALSE)</f>
        <v>1090</v>
      </c>
      <c r="G537" s="7"/>
    </row>
    <row r="538" spans="1:7" x14ac:dyDescent="0.2">
      <c r="A538" s="2">
        <v>10784</v>
      </c>
      <c r="B538" s="3" t="s">
        <v>22</v>
      </c>
      <c r="C538" s="3" t="s">
        <v>91</v>
      </c>
      <c r="D538" s="9">
        <v>40012</v>
      </c>
      <c r="E538" s="5">
        <v>1226</v>
      </c>
      <c r="F538">
        <f>VLOOKUP(A538,paiments2[],3,FALSE)</f>
        <v>1226</v>
      </c>
      <c r="G538" s="7"/>
    </row>
    <row r="539" spans="1:7" x14ac:dyDescent="0.2">
      <c r="A539" s="2">
        <v>10785</v>
      </c>
      <c r="B539" s="3" t="s">
        <v>18</v>
      </c>
      <c r="C539" s="3" t="s">
        <v>94</v>
      </c>
      <c r="D539" s="9">
        <v>40012</v>
      </c>
      <c r="E539" s="5">
        <v>280</v>
      </c>
      <c r="F539">
        <f>VLOOKUP(A539,paiments2[],3,FALSE)</f>
        <v>280</v>
      </c>
      <c r="G539" s="7"/>
    </row>
    <row r="540" spans="1:7" x14ac:dyDescent="0.2">
      <c r="A540" s="2">
        <v>10786</v>
      </c>
      <c r="B540" s="3" t="s">
        <v>61</v>
      </c>
      <c r="C540" s="3" t="s">
        <v>95</v>
      </c>
      <c r="D540" s="9">
        <v>40013</v>
      </c>
      <c r="E540" s="5">
        <v>1395</v>
      </c>
      <c r="F540">
        <f>VLOOKUP(A540,paiments2[],3,FALSE)</f>
        <v>1395</v>
      </c>
      <c r="G540" s="7"/>
    </row>
    <row r="541" spans="1:7" x14ac:dyDescent="0.2">
      <c r="A541" s="2">
        <v>10787</v>
      </c>
      <c r="B541" s="3" t="s">
        <v>53</v>
      </c>
      <c r="C541" s="3" t="s">
        <v>96</v>
      </c>
      <c r="D541" s="9">
        <v>40013</v>
      </c>
      <c r="E541" s="5">
        <v>2090</v>
      </c>
      <c r="F541">
        <f>VLOOKUP(A541,paiments2[],3,FALSE)</f>
        <v>2090</v>
      </c>
      <c r="G541" s="7"/>
    </row>
    <row r="542" spans="1:7" x14ac:dyDescent="0.2">
      <c r="A542" s="2">
        <v>10788</v>
      </c>
      <c r="B542" s="3" t="s">
        <v>21</v>
      </c>
      <c r="C542" s="3" t="s">
        <v>94</v>
      </c>
      <c r="D542" s="9">
        <v>40016</v>
      </c>
      <c r="E542" s="5">
        <v>550</v>
      </c>
      <c r="F542">
        <f>VLOOKUP(A542,paiments2[],3,FALSE)</f>
        <v>550</v>
      </c>
      <c r="G542" s="7"/>
    </row>
    <row r="543" spans="1:7" x14ac:dyDescent="0.2">
      <c r="A543" s="2">
        <v>10789</v>
      </c>
      <c r="B543" s="3" t="s">
        <v>66</v>
      </c>
      <c r="C543" s="3" t="s">
        <v>94</v>
      </c>
      <c r="D543" s="9">
        <v>40016</v>
      </c>
      <c r="E543" s="5">
        <v>2757</v>
      </c>
      <c r="F543">
        <f>VLOOKUP(A543,paiments2[],3,FALSE)</f>
        <v>2757</v>
      </c>
      <c r="G543" s="7"/>
    </row>
    <row r="544" spans="1:7" x14ac:dyDescent="0.2">
      <c r="A544" s="2">
        <v>10790</v>
      </c>
      <c r="B544" s="3" t="s">
        <v>69</v>
      </c>
      <c r="C544" s="3" t="s">
        <v>90</v>
      </c>
      <c r="D544" s="9">
        <v>40016</v>
      </c>
      <c r="E544" s="5">
        <v>626</v>
      </c>
      <c r="F544">
        <f>VLOOKUP(A544,paiments2[],3,FALSE)</f>
        <v>626</v>
      </c>
      <c r="G544" s="7"/>
    </row>
    <row r="545" spans="1:7" x14ac:dyDescent="0.2">
      <c r="A545" s="2">
        <v>10791</v>
      </c>
      <c r="B545" s="3" t="s">
        <v>17</v>
      </c>
      <c r="C545" s="3" t="s">
        <v>90</v>
      </c>
      <c r="D545" s="9">
        <v>40017</v>
      </c>
      <c r="E545" s="5">
        <v>1456</v>
      </c>
      <c r="F545">
        <f>VLOOKUP(A545,paiments2[],3,FALSE)</f>
        <v>1456</v>
      </c>
      <c r="G545" s="7"/>
    </row>
    <row r="546" spans="1:7" x14ac:dyDescent="0.2">
      <c r="A546" s="2">
        <v>10792</v>
      </c>
      <c r="B546" s="3" t="s">
        <v>99</v>
      </c>
      <c r="C546" s="3" t="s">
        <v>94</v>
      </c>
      <c r="D546" s="9">
        <v>40017</v>
      </c>
      <c r="E546" s="5">
        <v>290</v>
      </c>
      <c r="F546">
        <f>VLOOKUP(A546,paiments2[],3,FALSE)</f>
        <v>290</v>
      </c>
      <c r="G546" s="7"/>
    </row>
    <row r="547" spans="1:7" x14ac:dyDescent="0.2">
      <c r="A547" s="2">
        <v>10793</v>
      </c>
      <c r="B547" s="3" t="s">
        <v>55</v>
      </c>
      <c r="C547" s="3" t="s">
        <v>92</v>
      </c>
      <c r="D547" s="9">
        <v>40018</v>
      </c>
      <c r="E547" s="5">
        <v>138</v>
      </c>
      <c r="F547">
        <f>VLOOKUP(A547,paiments2[],3,FALSE)</f>
        <v>138</v>
      </c>
      <c r="G547" s="7"/>
    </row>
    <row r="548" spans="1:7" x14ac:dyDescent="0.2">
      <c r="A548" s="2">
        <v>10794</v>
      </c>
      <c r="B548" s="3" t="s">
        <v>12</v>
      </c>
      <c r="C548" s="3" t="s">
        <v>90</v>
      </c>
      <c r="D548" s="9">
        <v>40018</v>
      </c>
      <c r="E548" s="5">
        <v>285</v>
      </c>
      <c r="F548">
        <f>VLOOKUP(A548,paiments2[],3,FALSE)</f>
        <v>285</v>
      </c>
      <c r="G548" s="7"/>
    </row>
    <row r="549" spans="1:7" x14ac:dyDescent="0.2">
      <c r="A549" s="2">
        <v>10795</v>
      </c>
      <c r="B549" s="3" t="s">
        <v>9</v>
      </c>
      <c r="C549" s="3" t="s">
        <v>95</v>
      </c>
      <c r="D549" s="9">
        <v>40018</v>
      </c>
      <c r="E549" s="5">
        <v>1860</v>
      </c>
      <c r="F549">
        <f>VLOOKUP(A549,paiments2[],3,FALSE)</f>
        <v>1860</v>
      </c>
      <c r="G549" s="7"/>
    </row>
    <row r="550" spans="1:7" x14ac:dyDescent="0.2">
      <c r="A550" s="2">
        <v>10796</v>
      </c>
      <c r="B550" s="3" t="s">
        <v>8</v>
      </c>
      <c r="C550" s="3" t="s">
        <v>92</v>
      </c>
      <c r="D550" s="9">
        <v>40019</v>
      </c>
      <c r="E550" s="5">
        <v>2146</v>
      </c>
      <c r="F550">
        <f>VLOOKUP(A550,paiments2[],3,FALSE)</f>
        <v>2146</v>
      </c>
      <c r="G550" s="7"/>
    </row>
    <row r="551" spans="1:7" x14ac:dyDescent="0.2">
      <c r="A551" s="2">
        <v>10797</v>
      </c>
      <c r="B551" s="3" t="s">
        <v>57</v>
      </c>
      <c r="C551" s="3" t="s">
        <v>97</v>
      </c>
      <c r="D551" s="9">
        <v>40019</v>
      </c>
      <c r="E551" s="5">
        <v>320</v>
      </c>
      <c r="F551">
        <f>VLOOKUP(A551,paiments2[],3,FALSE)</f>
        <v>320</v>
      </c>
      <c r="G551" s="7"/>
    </row>
    <row r="552" spans="1:7" x14ac:dyDescent="0.2">
      <c r="A552" s="2">
        <v>10798</v>
      </c>
      <c r="B552" s="3" t="s">
        <v>42</v>
      </c>
      <c r="C552" s="3" t="s">
        <v>96</v>
      </c>
      <c r="D552" s="9">
        <v>40020</v>
      </c>
      <c r="E552" s="5">
        <v>334</v>
      </c>
      <c r="F552">
        <f>VLOOKUP(A552,paiments2[],3,FALSE)</f>
        <v>334</v>
      </c>
      <c r="G552" s="7"/>
    </row>
    <row r="553" spans="1:7" x14ac:dyDescent="0.2">
      <c r="A553" s="2">
        <v>10799</v>
      </c>
      <c r="B553" s="3" t="s">
        <v>44</v>
      </c>
      <c r="C553" s="3" t="s">
        <v>93</v>
      </c>
      <c r="D553" s="9">
        <v>40020</v>
      </c>
      <c r="E553" s="5">
        <v>1165</v>
      </c>
      <c r="F553">
        <f>VLOOKUP(A553,paiments2[],3,FALSE)</f>
        <v>1165</v>
      </c>
      <c r="G553" s="7"/>
    </row>
    <row r="554" spans="1:7" x14ac:dyDescent="0.2">
      <c r="A554" s="2">
        <v>10800</v>
      </c>
      <c r="B554" s="3" t="s">
        <v>56</v>
      </c>
      <c r="C554" s="3" t="s">
        <v>94</v>
      </c>
      <c r="D554" s="9">
        <v>40020</v>
      </c>
      <c r="E554" s="5">
        <v>1235</v>
      </c>
      <c r="F554">
        <f>VLOOKUP(A554,paiments2[],3,FALSE)</f>
        <v>1235</v>
      </c>
      <c r="G554" s="7"/>
    </row>
    <row r="555" spans="1:7" x14ac:dyDescent="0.2">
      <c r="A555" s="2">
        <v>10801</v>
      </c>
      <c r="B555" s="3" t="s">
        <v>46</v>
      </c>
      <c r="C555" s="3" t="s">
        <v>91</v>
      </c>
      <c r="D555" s="9">
        <v>40023</v>
      </c>
      <c r="E555" s="5">
        <v>3040</v>
      </c>
      <c r="F555">
        <f>VLOOKUP(A555,paiments2[],3,FALSE)</f>
        <v>3040</v>
      </c>
      <c r="G555" s="7"/>
    </row>
    <row r="556" spans="1:7" x14ac:dyDescent="0.2">
      <c r="A556" s="2">
        <v>10802</v>
      </c>
      <c r="B556" s="3" t="s">
        <v>51</v>
      </c>
      <c r="C556" s="3" t="s">
        <v>91</v>
      </c>
      <c r="D556" s="9">
        <v>40023</v>
      </c>
      <c r="E556" s="5">
        <v>2940</v>
      </c>
      <c r="F556">
        <f>VLOOKUP(A556,paiments2[],3,FALSE)</f>
        <v>2940</v>
      </c>
      <c r="G556" s="7"/>
    </row>
    <row r="557" spans="1:7" x14ac:dyDescent="0.2">
      <c r="A557" s="2">
        <v>10803</v>
      </c>
      <c r="B557" s="3" t="s">
        <v>7</v>
      </c>
      <c r="C557" s="3" t="s">
        <v>91</v>
      </c>
      <c r="D557" s="9">
        <v>40024</v>
      </c>
      <c r="E557" s="5">
        <v>933</v>
      </c>
      <c r="F557">
        <f>VLOOKUP(A557,paiments2[],3,FALSE)</f>
        <v>933</v>
      </c>
      <c r="G557" s="7"/>
    </row>
    <row r="558" spans="1:7" x14ac:dyDescent="0.2">
      <c r="A558" s="2">
        <v>10804</v>
      </c>
      <c r="B558" s="3" t="s">
        <v>56</v>
      </c>
      <c r="C558" s="3" t="s">
        <v>90</v>
      </c>
      <c r="D558" s="9">
        <v>40024</v>
      </c>
      <c r="E558" s="5">
        <v>1704</v>
      </c>
      <c r="F558">
        <f>VLOOKUP(A558,paiments2[],3,FALSE)</f>
        <v>1704</v>
      </c>
      <c r="G558" s="7"/>
    </row>
    <row r="559" spans="1:7" x14ac:dyDescent="0.2">
      <c r="A559" s="2">
        <v>10805</v>
      </c>
      <c r="B559" s="3" t="s">
        <v>40</v>
      </c>
      <c r="C559" s="3" t="s">
        <v>96</v>
      </c>
      <c r="D559" s="9">
        <v>40024</v>
      </c>
      <c r="E559" s="5">
        <v>2100</v>
      </c>
      <c r="F559">
        <f>VLOOKUP(A559,paiments2[],3,FALSE)</f>
        <v>2100</v>
      </c>
      <c r="G559" s="7"/>
    </row>
    <row r="560" spans="1:7" x14ac:dyDescent="0.2">
      <c r="A560" s="2">
        <v>10806</v>
      </c>
      <c r="B560" s="3" t="s">
        <v>3</v>
      </c>
      <c r="C560" s="3" t="s">
        <v>92</v>
      </c>
      <c r="D560" s="9">
        <v>40025</v>
      </c>
      <c r="E560" s="5">
        <v>417</v>
      </c>
      <c r="F560">
        <f>VLOOKUP(A560,paiments2[],3,FALSE)</f>
        <v>417</v>
      </c>
      <c r="G560" s="7"/>
    </row>
    <row r="561" spans="1:7" x14ac:dyDescent="0.2">
      <c r="A561" s="2">
        <v>10807</v>
      </c>
      <c r="B561" s="3" t="s">
        <v>68</v>
      </c>
      <c r="C561" s="3" t="s">
        <v>91</v>
      </c>
      <c r="D561" s="9">
        <v>40025</v>
      </c>
      <c r="E561" s="5">
        <v>14</v>
      </c>
      <c r="F561">
        <f>VLOOKUP(A561,paiments2[],3,FALSE)</f>
        <v>14</v>
      </c>
      <c r="G561" s="7"/>
    </row>
    <row r="562" spans="1:7" x14ac:dyDescent="0.2">
      <c r="A562" s="2">
        <v>10808</v>
      </c>
      <c r="B562" s="3" t="s">
        <v>37</v>
      </c>
      <c r="C562" s="3" t="s">
        <v>96</v>
      </c>
      <c r="D562" s="9">
        <v>40026</v>
      </c>
      <c r="E562" s="5">
        <v>1210</v>
      </c>
      <c r="F562">
        <f>VLOOKUP(A562,paiments2[],3,FALSE)</f>
        <v>1210</v>
      </c>
      <c r="G562" s="7"/>
    </row>
    <row r="563" spans="1:7" x14ac:dyDescent="0.2">
      <c r="A563" s="2">
        <v>10809</v>
      </c>
      <c r="B563" s="3" t="s">
        <v>7</v>
      </c>
      <c r="C563" s="3" t="s">
        <v>97</v>
      </c>
      <c r="D563" s="9">
        <v>40026</v>
      </c>
      <c r="E563" s="5">
        <v>100</v>
      </c>
      <c r="F563">
        <f>VLOOKUP(A563,paiments2[],3,FALSE)</f>
        <v>100</v>
      </c>
      <c r="G563" s="7"/>
    </row>
    <row r="564" spans="1:7" x14ac:dyDescent="0.2">
      <c r="A564" s="2">
        <v>10810</v>
      </c>
      <c r="B564" s="3" t="s">
        <v>73</v>
      </c>
      <c r="C564" s="3" t="s">
        <v>96</v>
      </c>
      <c r="D564" s="9">
        <v>40026</v>
      </c>
      <c r="E564" s="5">
        <v>133</v>
      </c>
      <c r="F564">
        <f>VLOOKUP(A564,paiments2[],3,FALSE)</f>
        <v>133</v>
      </c>
      <c r="G564" s="7"/>
    </row>
    <row r="565" spans="1:7" x14ac:dyDescent="0.2">
      <c r="A565" s="2">
        <v>10811</v>
      </c>
      <c r="B565" s="3" t="s">
        <v>65</v>
      </c>
      <c r="C565" s="3" t="s">
        <v>95</v>
      </c>
      <c r="D565" s="9">
        <v>40027</v>
      </c>
      <c r="E565" s="5">
        <v>633</v>
      </c>
      <c r="F565">
        <f>VLOOKUP(A565,paiments2[],3,FALSE)</f>
        <v>633</v>
      </c>
      <c r="G565" s="7"/>
    </row>
    <row r="566" spans="1:7" x14ac:dyDescent="0.2">
      <c r="A566" s="2">
        <v>10812</v>
      </c>
      <c r="B566" s="3" t="s">
        <v>30</v>
      </c>
      <c r="C566" s="3" t="s">
        <v>89</v>
      </c>
      <c r="D566" s="9">
        <v>40027</v>
      </c>
      <c r="E566" s="5">
        <v>1364</v>
      </c>
      <c r="F566">
        <f>VLOOKUP(A566,paiments2[],3,FALSE)</f>
        <v>1364</v>
      </c>
      <c r="G566" s="7"/>
    </row>
    <row r="567" spans="1:7" x14ac:dyDescent="0.2">
      <c r="A567" s="2">
        <v>10813</v>
      </c>
      <c r="B567" s="3" t="s">
        <v>29</v>
      </c>
      <c r="C567" s="3" t="s">
        <v>94</v>
      </c>
      <c r="D567" s="9">
        <v>40030</v>
      </c>
      <c r="E567" s="5">
        <v>483</v>
      </c>
      <c r="F567">
        <f>VLOOKUP(A567,paiments2[],3,FALSE)</f>
        <v>483</v>
      </c>
      <c r="G567" s="7"/>
    </row>
    <row r="568" spans="1:7" x14ac:dyDescent="0.2">
      <c r="A568" s="2">
        <v>10814</v>
      </c>
      <c r="B568" s="3" t="s">
        <v>3</v>
      </c>
      <c r="C568" s="3" t="s">
        <v>92</v>
      </c>
      <c r="D568" s="9">
        <v>40030</v>
      </c>
      <c r="E568" s="5">
        <v>1542</v>
      </c>
      <c r="F568">
        <f>VLOOKUP(A568,paiments2[],3,FALSE)</f>
        <v>1542</v>
      </c>
      <c r="G568" s="7"/>
    </row>
    <row r="569" spans="1:7" x14ac:dyDescent="0.2">
      <c r="A569" s="2">
        <v>10815</v>
      </c>
      <c r="B569" s="3" t="s">
        <v>45</v>
      </c>
      <c r="C569" s="3" t="s">
        <v>96</v>
      </c>
      <c r="D569" s="9">
        <v>40030</v>
      </c>
      <c r="E569" s="5">
        <v>16</v>
      </c>
      <c r="F569">
        <f>VLOOKUP(A569,paiments2[],3,FALSE)</f>
        <v>16</v>
      </c>
      <c r="G569" s="7"/>
    </row>
    <row r="570" spans="1:7" x14ac:dyDescent="0.2">
      <c r="A570" s="2">
        <v>10816</v>
      </c>
      <c r="B570" s="3" t="s">
        <v>77</v>
      </c>
      <c r="C570" s="3" t="s">
        <v>91</v>
      </c>
      <c r="D570" s="9">
        <v>40031</v>
      </c>
      <c r="E570" s="5">
        <v>6740</v>
      </c>
      <c r="F570">
        <f>VLOOKUP(A570,paiments2[],3,FALSE)</f>
        <v>6740</v>
      </c>
      <c r="G570" s="7"/>
    </row>
    <row r="571" spans="1:7" x14ac:dyDescent="0.2">
      <c r="A571" s="2">
        <v>10817</v>
      </c>
      <c r="B571" s="3" t="s">
        <v>44</v>
      </c>
      <c r="C571" s="3" t="s">
        <v>92</v>
      </c>
      <c r="D571" s="9">
        <v>40031</v>
      </c>
      <c r="E571" s="5">
        <v>8685</v>
      </c>
      <c r="F571">
        <f>VLOOKUP(A571,paiments2[],3,FALSE)</f>
        <v>8685</v>
      </c>
      <c r="G571" s="7"/>
    </row>
    <row r="572" spans="1:7" x14ac:dyDescent="0.2">
      <c r="A572" s="2">
        <v>10818</v>
      </c>
      <c r="B572" s="3" t="s">
        <v>22</v>
      </c>
      <c r="C572" s="3" t="s">
        <v>97</v>
      </c>
      <c r="D572" s="9">
        <v>40032</v>
      </c>
      <c r="E572" s="5">
        <v>620</v>
      </c>
      <c r="F572">
        <f>VLOOKUP(A572,paiments2[],3,FALSE)</f>
        <v>620</v>
      </c>
      <c r="G572" s="7"/>
    </row>
    <row r="573" spans="1:7" x14ac:dyDescent="0.2">
      <c r="A573" s="2">
        <v>10819</v>
      </c>
      <c r="B573" s="3" t="s">
        <v>76</v>
      </c>
      <c r="C573" s="3" t="s">
        <v>96</v>
      </c>
      <c r="D573" s="9">
        <v>40032</v>
      </c>
      <c r="E573" s="5">
        <v>345</v>
      </c>
      <c r="F573">
        <f>VLOOKUP(A573,paiments2[],3,FALSE)</f>
        <v>345</v>
      </c>
      <c r="G573" s="7"/>
    </row>
    <row r="574" spans="1:7" x14ac:dyDescent="0.2">
      <c r="A574" s="2">
        <v>10820</v>
      </c>
      <c r="B574" s="3" t="s">
        <v>13</v>
      </c>
      <c r="C574" s="3" t="s">
        <v>92</v>
      </c>
      <c r="D574" s="9">
        <v>40032</v>
      </c>
      <c r="E574" s="5">
        <v>840</v>
      </c>
      <c r="F574">
        <f>VLOOKUP(A574,paiments2[],3,FALSE)</f>
        <v>840</v>
      </c>
      <c r="G574" s="7"/>
    </row>
    <row r="575" spans="1:7" x14ac:dyDescent="0.2">
      <c r="A575" s="2">
        <v>10821</v>
      </c>
      <c r="B575" s="3" t="s">
        <v>20</v>
      </c>
      <c r="C575" s="3" t="s">
        <v>94</v>
      </c>
      <c r="D575" s="9">
        <v>40033</v>
      </c>
      <c r="E575" s="5">
        <v>500</v>
      </c>
      <c r="F575">
        <f>VLOOKUP(A575,paiments2[],3,FALSE)</f>
        <v>500</v>
      </c>
      <c r="G575" s="7"/>
    </row>
    <row r="576" spans="1:7" x14ac:dyDescent="0.2">
      <c r="A576" s="2">
        <v>10822</v>
      </c>
      <c r="B576" s="3" t="s">
        <v>79</v>
      </c>
      <c r="C576" s="3" t="s">
        <v>90</v>
      </c>
      <c r="D576" s="9">
        <v>40033</v>
      </c>
      <c r="E576" s="5">
        <v>177</v>
      </c>
      <c r="F576">
        <f>VLOOKUP(A576,paiments2[],3,FALSE)</f>
        <v>177</v>
      </c>
      <c r="G576" s="7"/>
    </row>
    <row r="577" spans="1:7" x14ac:dyDescent="0.2">
      <c r="A577" s="2">
        <v>10823</v>
      </c>
      <c r="B577" s="3" t="s">
        <v>28</v>
      </c>
      <c r="C577" s="3" t="s">
        <v>89</v>
      </c>
      <c r="D577" s="9">
        <v>40034</v>
      </c>
      <c r="E577" s="5">
        <v>2305</v>
      </c>
      <c r="F577">
        <f>VLOOKUP(A577,paiments2[],3,FALSE)</f>
        <v>2305</v>
      </c>
      <c r="G577" s="7"/>
    </row>
    <row r="578" spans="1:7" x14ac:dyDescent="0.2">
      <c r="A578" s="2">
        <v>10824</v>
      </c>
      <c r="B578" s="3" t="s">
        <v>14</v>
      </c>
      <c r="C578" s="3" t="s">
        <v>95</v>
      </c>
      <c r="D578" s="9">
        <v>40034</v>
      </c>
      <c r="E578" s="5">
        <v>183</v>
      </c>
      <c r="F578">
        <f>VLOOKUP(A578,paiments2[],3,FALSE)</f>
        <v>183</v>
      </c>
      <c r="G578" s="7"/>
    </row>
    <row r="579" spans="1:7" x14ac:dyDescent="0.2">
      <c r="A579" s="2">
        <v>10825</v>
      </c>
      <c r="B579" s="3" t="s">
        <v>57</v>
      </c>
      <c r="C579" s="3" t="s">
        <v>94</v>
      </c>
      <c r="D579" s="9">
        <v>40034</v>
      </c>
      <c r="E579" s="5">
        <v>776</v>
      </c>
      <c r="F579">
        <f>VLOOKUP(A579,paiments2[],3,FALSE)</f>
        <v>776</v>
      </c>
      <c r="G579" s="7"/>
    </row>
    <row r="580" spans="1:7" x14ac:dyDescent="0.2">
      <c r="A580" s="2">
        <v>10826</v>
      </c>
      <c r="B580" s="3" t="s">
        <v>15</v>
      </c>
      <c r="C580" s="3" t="s">
        <v>90</v>
      </c>
      <c r="D580" s="9">
        <v>40037</v>
      </c>
      <c r="E580" s="5">
        <v>525</v>
      </c>
      <c r="F580">
        <f>VLOOKUP(A580,paiments2[],3,FALSE)</f>
        <v>525</v>
      </c>
      <c r="G580" s="7"/>
    </row>
    <row r="581" spans="1:7" x14ac:dyDescent="0.2">
      <c r="A581" s="2">
        <v>10827</v>
      </c>
      <c r="B581" s="3" t="s">
        <v>48</v>
      </c>
      <c r="C581" s="3" t="s">
        <v>94</v>
      </c>
      <c r="D581" s="9">
        <v>40037</v>
      </c>
      <c r="E581" s="5">
        <v>618</v>
      </c>
      <c r="F581">
        <f>VLOOKUP(A581,paiments2[],3,FALSE)</f>
        <v>618</v>
      </c>
      <c r="G581" s="7"/>
    </row>
    <row r="582" spans="1:7" x14ac:dyDescent="0.2">
      <c r="A582" s="2">
        <v>10828</v>
      </c>
      <c r="B582" s="3" t="s">
        <v>71</v>
      </c>
      <c r="C582" s="3" t="s">
        <v>93</v>
      </c>
      <c r="D582" s="9">
        <v>40038</v>
      </c>
      <c r="E582" s="5">
        <v>705</v>
      </c>
      <c r="F582">
        <f>VLOOKUP(A582,paiments2[],3,FALSE)</f>
        <v>705</v>
      </c>
      <c r="G582" s="7"/>
    </row>
    <row r="583" spans="1:7" x14ac:dyDescent="0.2">
      <c r="A583" s="2">
        <v>10829</v>
      </c>
      <c r="B583" s="3" t="s">
        <v>42</v>
      </c>
      <c r="C583" s="3" t="s">
        <v>93</v>
      </c>
      <c r="D583" s="9">
        <v>40038</v>
      </c>
      <c r="E583" s="5">
        <v>1305</v>
      </c>
      <c r="F583">
        <f>VLOOKUP(A583,paiments2[],3,FALSE)</f>
        <v>1305</v>
      </c>
      <c r="G583" s="7"/>
    </row>
    <row r="584" spans="1:7" x14ac:dyDescent="0.2">
      <c r="A584" s="2">
        <v>10830</v>
      </c>
      <c r="B584" s="3" t="s">
        <v>33</v>
      </c>
      <c r="C584" s="3" t="s">
        <v>91</v>
      </c>
      <c r="D584" s="9">
        <v>40038</v>
      </c>
      <c r="E584" s="5">
        <v>1444</v>
      </c>
      <c r="F584">
        <f>VLOOKUP(A584,paiments2[],3,FALSE)</f>
        <v>1444</v>
      </c>
      <c r="G584" s="7"/>
    </row>
    <row r="585" spans="1:7" x14ac:dyDescent="0.2">
      <c r="A585" s="2">
        <v>10831</v>
      </c>
      <c r="B585" s="3" t="s">
        <v>63</v>
      </c>
      <c r="C585" s="3" t="s">
        <v>92</v>
      </c>
      <c r="D585" s="9">
        <v>40039</v>
      </c>
      <c r="E585" s="5">
        <v>2033</v>
      </c>
      <c r="F585">
        <f>VLOOKUP(A585,paiments2[],3,FALSE)</f>
        <v>2033</v>
      </c>
      <c r="G585" s="7"/>
    </row>
    <row r="586" spans="1:7" x14ac:dyDescent="0.2">
      <c r="A586" s="2">
        <v>10832</v>
      </c>
      <c r="B586" s="3" t="s">
        <v>53</v>
      </c>
      <c r="C586" s="3" t="s">
        <v>96</v>
      </c>
      <c r="D586" s="9">
        <v>40039</v>
      </c>
      <c r="E586" s="5">
        <v>411</v>
      </c>
      <c r="F586">
        <f>VLOOKUP(A586,paiments2[],3,FALSE)</f>
        <v>411</v>
      </c>
      <c r="G586" s="7"/>
    </row>
    <row r="587" spans="1:7" x14ac:dyDescent="0.2">
      <c r="A587" s="2">
        <v>10833</v>
      </c>
      <c r="B587" s="3" t="s">
        <v>11</v>
      </c>
      <c r="C587" s="3" t="s">
        <v>90</v>
      </c>
      <c r="D587" s="9">
        <v>40040</v>
      </c>
      <c r="E587" s="5">
        <v>746</v>
      </c>
      <c r="F587">
        <f>VLOOKUP(A587,paiments2[],3,FALSE)</f>
        <v>746</v>
      </c>
      <c r="G587" s="7"/>
    </row>
    <row r="588" spans="1:7" x14ac:dyDescent="0.2">
      <c r="A588" s="2">
        <v>10834</v>
      </c>
      <c r="B588" s="3" t="s">
        <v>33</v>
      </c>
      <c r="C588" s="3" t="s">
        <v>94</v>
      </c>
      <c r="D588" s="9">
        <v>40040</v>
      </c>
      <c r="E588" s="5">
        <v>1132</v>
      </c>
      <c r="F588">
        <f>VLOOKUP(A588,paiments2[],3,FALSE)</f>
        <v>1132</v>
      </c>
      <c r="G588" s="7"/>
    </row>
    <row r="589" spans="1:7" x14ac:dyDescent="0.2">
      <c r="A589" s="2">
        <v>10835</v>
      </c>
      <c r="B589" s="3" t="s">
        <v>100</v>
      </c>
      <c r="C589" s="3" t="s">
        <v>94</v>
      </c>
      <c r="D589" s="9">
        <v>40040</v>
      </c>
      <c r="E589" s="5">
        <v>633</v>
      </c>
      <c r="F589">
        <f>VLOOKUP(A589,paiments2[],3,FALSE)</f>
        <v>633</v>
      </c>
      <c r="G589" s="7"/>
    </row>
    <row r="590" spans="1:7" x14ac:dyDescent="0.2">
      <c r="A590" s="2">
        <v>10836</v>
      </c>
      <c r="B590" s="3" t="s">
        <v>9</v>
      </c>
      <c r="C590" s="3" t="s">
        <v>97</v>
      </c>
      <c r="D590" s="9">
        <v>40041</v>
      </c>
      <c r="E590" s="5">
        <v>3496</v>
      </c>
      <c r="F590">
        <f>VLOOKUP(A590,paiments2[],3,FALSE)</f>
        <v>3496</v>
      </c>
      <c r="G590" s="7"/>
    </row>
    <row r="591" spans="1:7" x14ac:dyDescent="0.2">
      <c r="A591" s="2">
        <v>10837</v>
      </c>
      <c r="B591" s="3" t="s">
        <v>25</v>
      </c>
      <c r="C591" s="3" t="s">
        <v>93</v>
      </c>
      <c r="D591" s="9">
        <v>40041</v>
      </c>
      <c r="E591" s="5">
        <v>1154</v>
      </c>
      <c r="F591">
        <f>VLOOKUP(A591,paiments2[],3,FALSE)</f>
        <v>1154</v>
      </c>
      <c r="G591" s="7"/>
    </row>
    <row r="592" spans="1:7" x14ac:dyDescent="0.2">
      <c r="A592" s="2">
        <v>10838</v>
      </c>
      <c r="B592" s="3" t="s">
        <v>65</v>
      </c>
      <c r="C592" s="3" t="s">
        <v>92</v>
      </c>
      <c r="D592" s="9">
        <v>40044</v>
      </c>
      <c r="E592" s="5">
        <v>1340</v>
      </c>
      <c r="F592">
        <f>VLOOKUP(A592,paiments2[],3,FALSE)</f>
        <v>1340</v>
      </c>
      <c r="G592" s="7"/>
    </row>
    <row r="593" spans="1:7" x14ac:dyDescent="0.2">
      <c r="A593" s="2">
        <v>10839</v>
      </c>
      <c r="B593" s="3" t="s">
        <v>33</v>
      </c>
      <c r="C593" s="3" t="s">
        <v>92</v>
      </c>
      <c r="D593" s="9">
        <v>40044</v>
      </c>
      <c r="E593" s="5">
        <v>2729</v>
      </c>
      <c r="F593">
        <f>VLOOKUP(A593,paiments2[],3,FALSE)</f>
        <v>2729</v>
      </c>
      <c r="G593" s="7"/>
    </row>
    <row r="594" spans="1:7" x14ac:dyDescent="0.2">
      <c r="A594" s="2">
        <v>10840</v>
      </c>
      <c r="B594" s="3" t="s">
        <v>65</v>
      </c>
      <c r="C594" s="3" t="s">
        <v>91</v>
      </c>
      <c r="D594" s="9">
        <v>40044</v>
      </c>
      <c r="E594" s="5">
        <v>624</v>
      </c>
      <c r="F594">
        <f>VLOOKUP(A594,paiments2[],3,FALSE)</f>
        <v>624</v>
      </c>
      <c r="G594" s="7"/>
    </row>
    <row r="595" spans="1:7" x14ac:dyDescent="0.2">
      <c r="A595" s="2">
        <v>10841</v>
      </c>
      <c r="B595" s="3" t="s">
        <v>4</v>
      </c>
      <c r="C595" s="3" t="s">
        <v>89</v>
      </c>
      <c r="D595" s="9">
        <v>40045</v>
      </c>
      <c r="E595" s="5">
        <v>850</v>
      </c>
      <c r="F595">
        <f>VLOOKUP(A595,paiments2[],3,FALSE)</f>
        <v>850</v>
      </c>
      <c r="G595" s="7"/>
    </row>
    <row r="596" spans="1:7" x14ac:dyDescent="0.2">
      <c r="A596" s="2">
        <v>10842</v>
      </c>
      <c r="B596" s="3" t="s">
        <v>23</v>
      </c>
      <c r="C596" s="3" t="s">
        <v>94</v>
      </c>
      <c r="D596" s="9">
        <v>40045</v>
      </c>
      <c r="E596" s="5">
        <v>1608</v>
      </c>
      <c r="F596">
        <f>VLOOKUP(A596,paiments2[],3,FALSE)</f>
        <v>1608</v>
      </c>
      <c r="G596" s="7"/>
    </row>
    <row r="597" spans="1:7" x14ac:dyDescent="0.2">
      <c r="A597" s="2">
        <v>10843</v>
      </c>
      <c r="B597" s="3" t="s">
        <v>3</v>
      </c>
      <c r="C597" s="3" t="s">
        <v>91</v>
      </c>
      <c r="D597" s="9">
        <v>40046</v>
      </c>
      <c r="E597" s="5">
        <v>408</v>
      </c>
      <c r="F597">
        <f>VLOOKUP(A597,paiments2[],3,FALSE)</f>
        <v>408</v>
      </c>
      <c r="G597" s="7"/>
    </row>
    <row r="598" spans="1:7" x14ac:dyDescent="0.2">
      <c r="A598" s="2">
        <v>10844</v>
      </c>
      <c r="B598" s="3" t="s">
        <v>54</v>
      </c>
      <c r="C598" s="3" t="s">
        <v>95</v>
      </c>
      <c r="D598" s="9">
        <v>40046</v>
      </c>
      <c r="E598" s="5">
        <v>935</v>
      </c>
      <c r="F598">
        <f>VLOOKUP(A598,paiments2[],3,FALSE)</f>
        <v>935</v>
      </c>
      <c r="G598" s="7"/>
    </row>
    <row r="599" spans="1:7" x14ac:dyDescent="0.2">
      <c r="A599" s="2">
        <v>10845</v>
      </c>
      <c r="B599" s="3" t="s">
        <v>21</v>
      </c>
      <c r="C599" s="3" t="s">
        <v>95</v>
      </c>
      <c r="D599" s="9">
        <v>40046</v>
      </c>
      <c r="E599" s="5">
        <v>2140</v>
      </c>
      <c r="F599">
        <f>VLOOKUP(A599,paiments2[],3,FALSE)</f>
        <v>2140</v>
      </c>
      <c r="G599" s="7"/>
    </row>
    <row r="600" spans="1:7" x14ac:dyDescent="0.2">
      <c r="A600" s="2">
        <v>10846</v>
      </c>
      <c r="B600" s="3" t="s">
        <v>4</v>
      </c>
      <c r="C600" s="3" t="s">
        <v>96</v>
      </c>
      <c r="D600" s="9">
        <v>40047</v>
      </c>
      <c r="E600" s="5">
        <v>390</v>
      </c>
      <c r="F600">
        <f>VLOOKUP(A600,paiments2[],3,FALSE)</f>
        <v>390</v>
      </c>
      <c r="G600" s="7"/>
    </row>
    <row r="601" spans="1:7" x14ac:dyDescent="0.2">
      <c r="A601" s="2">
        <v>10847</v>
      </c>
      <c r="B601" s="3" t="s">
        <v>45</v>
      </c>
      <c r="C601" s="3" t="s">
        <v>91</v>
      </c>
      <c r="D601" s="9">
        <v>40047</v>
      </c>
      <c r="E601" s="5">
        <v>700</v>
      </c>
      <c r="F601">
        <f>VLOOKUP(A601,paiments2[],3,FALSE)</f>
        <v>700</v>
      </c>
      <c r="G601" s="7"/>
    </row>
    <row r="602" spans="1:7" x14ac:dyDescent="0.2">
      <c r="A602" s="2">
        <v>10848</v>
      </c>
      <c r="B602" s="3" t="s">
        <v>70</v>
      </c>
      <c r="C602" s="3" t="s">
        <v>97</v>
      </c>
      <c r="D602" s="9">
        <v>40048</v>
      </c>
      <c r="E602" s="5">
        <v>968</v>
      </c>
      <c r="F602">
        <f>VLOOKUP(A602,paiments2[],3,FALSE)</f>
        <v>968</v>
      </c>
      <c r="G602" s="7"/>
    </row>
    <row r="603" spans="1:7" x14ac:dyDescent="0.2">
      <c r="A603" s="2">
        <v>10849</v>
      </c>
      <c r="B603" s="3" t="s">
        <v>44</v>
      </c>
      <c r="C603" s="3" t="s">
        <v>93</v>
      </c>
      <c r="D603" s="9">
        <v>40348</v>
      </c>
      <c r="E603" s="5">
        <v>525</v>
      </c>
      <c r="F603">
        <f>VLOOKUP(A603,paiments2[],3,FALSE)</f>
        <v>525</v>
      </c>
      <c r="G603" s="7"/>
    </row>
    <row r="604" spans="1:7" x14ac:dyDescent="0.2">
      <c r="A604" s="2">
        <v>10850</v>
      </c>
      <c r="B604" s="3" t="s">
        <v>3</v>
      </c>
      <c r="C604" s="3" t="s">
        <v>94</v>
      </c>
      <c r="D604" s="9">
        <v>40348</v>
      </c>
      <c r="E604" s="5">
        <v>1536</v>
      </c>
      <c r="F604">
        <f>VLOOKUP(A604,paiments2[],3,FALSE)</f>
        <v>1536</v>
      </c>
      <c r="G604" s="7"/>
    </row>
    <row r="605" spans="1:7" x14ac:dyDescent="0.2">
      <c r="A605" s="2">
        <v>10851</v>
      </c>
      <c r="B605" s="3" t="s">
        <v>29</v>
      </c>
      <c r="C605" s="3" t="s">
        <v>89</v>
      </c>
      <c r="D605" s="9">
        <v>40351</v>
      </c>
      <c r="E605" s="5">
        <v>2300</v>
      </c>
      <c r="F605">
        <f>VLOOKUP(A605,paiments2[],3,FALSE)</f>
        <v>2300</v>
      </c>
      <c r="G605" s="7"/>
    </row>
    <row r="606" spans="1:7" x14ac:dyDescent="0.2">
      <c r="A606" s="2">
        <v>10852</v>
      </c>
      <c r="B606" s="3" t="s">
        <v>13</v>
      </c>
      <c r="C606" s="3" t="s">
        <v>95</v>
      </c>
      <c r="D606" s="9">
        <v>40351</v>
      </c>
      <c r="E606" s="5">
        <v>115</v>
      </c>
      <c r="F606">
        <f>VLOOKUP(A606,paiments2[],3,FALSE)</f>
        <v>115</v>
      </c>
      <c r="G606" s="7"/>
    </row>
    <row r="607" spans="1:7" x14ac:dyDescent="0.2">
      <c r="A607" s="2">
        <v>10853</v>
      </c>
      <c r="B607" s="3" t="s">
        <v>74</v>
      </c>
      <c r="C607" s="3" t="s">
        <v>93</v>
      </c>
      <c r="D607" s="9">
        <v>40352</v>
      </c>
      <c r="E607" s="5">
        <v>705</v>
      </c>
      <c r="F607">
        <f>VLOOKUP(A607,paiments2[],3,FALSE)</f>
        <v>705</v>
      </c>
      <c r="G607" s="7"/>
    </row>
    <row r="608" spans="1:7" x14ac:dyDescent="0.2">
      <c r="A608" s="2">
        <v>10854</v>
      </c>
      <c r="B608" s="3" t="s">
        <v>9</v>
      </c>
      <c r="C608" s="3" t="s">
        <v>92</v>
      </c>
      <c r="D608" s="9">
        <v>40352</v>
      </c>
      <c r="E608" s="5">
        <v>2560</v>
      </c>
      <c r="F608">
        <f>VLOOKUP(A608,paiments2[],3,FALSE)</f>
        <v>2560</v>
      </c>
      <c r="G608" s="7"/>
    </row>
    <row r="609" spans="1:7" x14ac:dyDescent="0.2">
      <c r="A609" s="2">
        <v>10855</v>
      </c>
      <c r="B609" s="3" t="s">
        <v>37</v>
      </c>
      <c r="C609" s="3" t="s">
        <v>92</v>
      </c>
      <c r="D609" s="9">
        <v>40352</v>
      </c>
      <c r="E609" s="5">
        <v>1688</v>
      </c>
      <c r="F609">
        <f>VLOOKUP(A609,paiments2[],3,FALSE)</f>
        <v>1688</v>
      </c>
      <c r="G609" s="7"/>
    </row>
    <row r="610" spans="1:7" x14ac:dyDescent="0.2">
      <c r="A610" s="2">
        <v>10856</v>
      </c>
      <c r="B610" s="3" t="s">
        <v>59</v>
      </c>
      <c r="C610" s="3" t="s">
        <v>92</v>
      </c>
      <c r="D610" s="9">
        <v>40353</v>
      </c>
      <c r="E610" s="5">
        <v>480</v>
      </c>
      <c r="F610">
        <f>VLOOKUP(A610,paiments2[],3,FALSE)</f>
        <v>480</v>
      </c>
      <c r="G610" s="7"/>
    </row>
    <row r="611" spans="1:7" x14ac:dyDescent="0.2">
      <c r="A611" s="2">
        <v>10857</v>
      </c>
      <c r="B611" s="3" t="s">
        <v>25</v>
      </c>
      <c r="C611" s="3" t="s">
        <v>95</v>
      </c>
      <c r="D611" s="9">
        <v>40353</v>
      </c>
      <c r="E611" s="5">
        <v>1955</v>
      </c>
      <c r="F611">
        <f>VLOOKUP(A611,paiments2[],3,FALSE)</f>
        <v>1955</v>
      </c>
      <c r="G611" s="7"/>
    </row>
    <row r="612" spans="1:7" x14ac:dyDescent="0.2">
      <c r="A612" s="2">
        <v>10858</v>
      </c>
      <c r="B612" s="3" t="s">
        <v>85</v>
      </c>
      <c r="C612" s="3" t="s">
        <v>96</v>
      </c>
      <c r="D612" s="9">
        <v>40354</v>
      </c>
      <c r="E612" s="5">
        <v>484</v>
      </c>
      <c r="F612">
        <f>VLOOKUP(A612,paiments2[],3,FALSE)</f>
        <v>484</v>
      </c>
      <c r="G612" s="7"/>
    </row>
    <row r="613" spans="1:7" x14ac:dyDescent="0.2">
      <c r="A613" s="2">
        <v>10859</v>
      </c>
      <c r="B613" s="3" t="s">
        <v>17</v>
      </c>
      <c r="C613" s="3" t="s">
        <v>94</v>
      </c>
      <c r="D613" s="9">
        <v>40354</v>
      </c>
      <c r="E613" s="5">
        <v>1045</v>
      </c>
      <c r="F613">
        <f>VLOOKUP(A613,paiments2[],3,FALSE)</f>
        <v>1045</v>
      </c>
      <c r="G613" s="7"/>
    </row>
    <row r="614" spans="1:7" x14ac:dyDescent="0.2">
      <c r="A614" s="2">
        <v>10860</v>
      </c>
      <c r="B614" s="3" t="s">
        <v>83</v>
      </c>
      <c r="C614" s="3" t="s">
        <v>92</v>
      </c>
      <c r="D614" s="9">
        <v>40354</v>
      </c>
      <c r="E614" s="5">
        <v>380</v>
      </c>
      <c r="F614">
        <f>VLOOKUP(A614,paiments2[],3,FALSE)</f>
        <v>380</v>
      </c>
      <c r="G614" s="7"/>
    </row>
    <row r="615" spans="1:7" x14ac:dyDescent="0.2">
      <c r="A615" s="2">
        <v>10861</v>
      </c>
      <c r="B615" s="3" t="s">
        <v>19</v>
      </c>
      <c r="C615" s="3" t="s">
        <v>91</v>
      </c>
      <c r="D615" s="9">
        <v>40355</v>
      </c>
      <c r="E615" s="5">
        <v>2584</v>
      </c>
      <c r="F615">
        <f>VLOOKUP(A615,paiments2[],3,FALSE)</f>
        <v>2584</v>
      </c>
      <c r="G615" s="7"/>
    </row>
    <row r="616" spans="1:7" x14ac:dyDescent="0.2">
      <c r="A616" s="2">
        <v>10862</v>
      </c>
      <c r="B616" s="3" t="s">
        <v>26</v>
      </c>
      <c r="C616" s="3" t="s">
        <v>95</v>
      </c>
      <c r="D616" s="9">
        <v>40355</v>
      </c>
      <c r="E616" s="5">
        <v>440</v>
      </c>
      <c r="F616">
        <f>VLOOKUP(A616,paiments2[],3,FALSE)</f>
        <v>440</v>
      </c>
      <c r="G616" s="7"/>
    </row>
    <row r="617" spans="1:7" x14ac:dyDescent="0.2">
      <c r="A617" s="2">
        <v>10863</v>
      </c>
      <c r="B617" s="3" t="s">
        <v>8</v>
      </c>
      <c r="C617" s="3" t="s">
        <v>91</v>
      </c>
      <c r="D617" s="9">
        <v>40358</v>
      </c>
      <c r="E617" s="5">
        <v>380</v>
      </c>
      <c r="F617">
        <f>VLOOKUP(A617,paiments2[],3,FALSE)</f>
        <v>380</v>
      </c>
      <c r="G617" s="7"/>
    </row>
    <row r="618" spans="1:7" x14ac:dyDescent="0.2">
      <c r="A618" s="2">
        <v>10864</v>
      </c>
      <c r="B618" s="3" t="s">
        <v>55</v>
      </c>
      <c r="C618" s="3" t="s">
        <v>91</v>
      </c>
      <c r="D618" s="9">
        <v>40358</v>
      </c>
      <c r="E618" s="5">
        <v>202</v>
      </c>
      <c r="F618">
        <f>VLOOKUP(A618,paiments2[],3,FALSE)</f>
        <v>202</v>
      </c>
      <c r="G618" s="7"/>
    </row>
    <row r="619" spans="1:7" x14ac:dyDescent="0.2">
      <c r="A619" s="2">
        <v>10865</v>
      </c>
      <c r="B619" s="3" t="s">
        <v>21</v>
      </c>
      <c r="C619" s="3" t="s">
        <v>96</v>
      </c>
      <c r="D619" s="9">
        <v>40358</v>
      </c>
      <c r="E619" s="5">
        <v>13040</v>
      </c>
      <c r="F619">
        <f>VLOOKUP(A619,paiments2[],3,FALSE)</f>
        <v>13040</v>
      </c>
      <c r="G619" s="7"/>
    </row>
    <row r="620" spans="1:7" x14ac:dyDescent="0.2">
      <c r="A620" s="2">
        <v>10866</v>
      </c>
      <c r="B620" s="3" t="s">
        <v>25</v>
      </c>
      <c r="C620" s="3" t="s">
        <v>89</v>
      </c>
      <c r="D620" s="9">
        <v>40359</v>
      </c>
      <c r="E620" s="5">
        <v>1072</v>
      </c>
      <c r="F620">
        <f>VLOOKUP(A620,paiments2[],3,FALSE)</f>
        <v>1072</v>
      </c>
      <c r="G620" s="7"/>
    </row>
    <row r="621" spans="1:7" x14ac:dyDescent="0.2">
      <c r="A621" s="2">
        <v>10867</v>
      </c>
      <c r="B621" s="3" t="s">
        <v>38</v>
      </c>
      <c r="C621" s="3" t="s">
        <v>90</v>
      </c>
      <c r="D621" s="9">
        <v>40359</v>
      </c>
      <c r="E621" s="5">
        <v>75</v>
      </c>
      <c r="F621">
        <f>VLOOKUP(A621,paiments2[],3,FALSE)</f>
        <v>75</v>
      </c>
      <c r="G621" s="7"/>
    </row>
    <row r="622" spans="1:7" x14ac:dyDescent="0.2">
      <c r="A622" s="2">
        <v>10868</v>
      </c>
      <c r="B622" s="3" t="s">
        <v>61</v>
      </c>
      <c r="C622" s="3" t="s">
        <v>97</v>
      </c>
      <c r="D622" s="9">
        <v>40360</v>
      </c>
      <c r="E622" s="5">
        <v>1480</v>
      </c>
      <c r="F622">
        <f>VLOOKUP(A622,paiments2[],3,FALSE)</f>
        <v>1480</v>
      </c>
      <c r="G622" s="7"/>
    </row>
    <row r="623" spans="1:7" x14ac:dyDescent="0.2">
      <c r="A623" s="2">
        <v>10869</v>
      </c>
      <c r="B623" s="3" t="s">
        <v>56</v>
      </c>
      <c r="C623" s="3" t="s">
        <v>89</v>
      </c>
      <c r="D623" s="9">
        <v>40360</v>
      </c>
      <c r="E623" s="5">
        <v>1160</v>
      </c>
      <c r="F623">
        <f>VLOOKUP(A623,paiments2[],3,FALSE)</f>
        <v>1160</v>
      </c>
      <c r="G623" s="7"/>
    </row>
    <row r="624" spans="1:7" x14ac:dyDescent="0.2">
      <c r="A624" s="2">
        <v>10870</v>
      </c>
      <c r="B624" s="3" t="s">
        <v>99</v>
      </c>
      <c r="C624" s="3" t="s">
        <v>89</v>
      </c>
      <c r="D624" s="9">
        <v>40360</v>
      </c>
      <c r="E624" s="5">
        <v>119</v>
      </c>
      <c r="F624">
        <f>VLOOKUP(A624,paiments2[],3,FALSE)</f>
        <v>119</v>
      </c>
      <c r="G624" s="7"/>
    </row>
    <row r="625" spans="1:7" x14ac:dyDescent="0.2">
      <c r="A625" s="2">
        <v>10871</v>
      </c>
      <c r="B625" s="3" t="s">
        <v>48</v>
      </c>
      <c r="C625" s="3" t="s">
        <v>93</v>
      </c>
      <c r="D625" s="9">
        <v>40361</v>
      </c>
      <c r="E625" s="5">
        <v>1570</v>
      </c>
      <c r="F625">
        <f>VLOOKUP(A625,paiments2[],3,FALSE)</f>
        <v>1570</v>
      </c>
      <c r="G625" s="7"/>
    </row>
    <row r="626" spans="1:7" x14ac:dyDescent="0.2">
      <c r="A626" s="2">
        <v>10872</v>
      </c>
      <c r="B626" s="3" t="s">
        <v>36</v>
      </c>
      <c r="C626" s="3" t="s">
        <v>89</v>
      </c>
      <c r="D626" s="9">
        <v>40361</v>
      </c>
      <c r="E626" s="5">
        <v>1631</v>
      </c>
      <c r="F626">
        <f>VLOOKUP(A626,paiments2[],3,FALSE)</f>
        <v>1631</v>
      </c>
      <c r="G626" s="7"/>
    </row>
    <row r="627" spans="1:7" x14ac:dyDescent="0.2">
      <c r="A627" s="2">
        <v>10873</v>
      </c>
      <c r="B627" s="3" t="s">
        <v>81</v>
      </c>
      <c r="C627" s="3" t="s">
        <v>91</v>
      </c>
      <c r="D627" s="9">
        <v>40362</v>
      </c>
      <c r="E627" s="5">
        <v>242</v>
      </c>
      <c r="F627">
        <f>VLOOKUP(A627,paiments2[],3,FALSE)</f>
        <v>242</v>
      </c>
      <c r="G627" s="7"/>
    </row>
    <row r="628" spans="1:7" x14ac:dyDescent="0.2">
      <c r="A628" s="2">
        <v>10874</v>
      </c>
      <c r="B628" s="3" t="s">
        <v>36</v>
      </c>
      <c r="C628" s="3" t="s">
        <v>89</v>
      </c>
      <c r="D628" s="9">
        <v>40362</v>
      </c>
      <c r="E628" s="5">
        <v>230</v>
      </c>
      <c r="F628">
        <f>VLOOKUP(A628,paiments2[],3,FALSE)</f>
        <v>230</v>
      </c>
      <c r="G628" s="7"/>
    </row>
    <row r="629" spans="1:7" x14ac:dyDescent="0.2">
      <c r="A629" s="2">
        <v>10875</v>
      </c>
      <c r="B629" s="3" t="s">
        <v>25</v>
      </c>
      <c r="C629" s="3" t="s">
        <v>91</v>
      </c>
      <c r="D629" s="9">
        <v>40362</v>
      </c>
      <c r="E629" s="5">
        <v>547</v>
      </c>
      <c r="F629">
        <f>VLOOKUP(A629,paiments2[],3,FALSE)</f>
        <v>547</v>
      </c>
      <c r="G629" s="7"/>
    </row>
    <row r="630" spans="1:7" x14ac:dyDescent="0.2">
      <c r="A630" s="2">
        <v>10876</v>
      </c>
      <c r="B630" s="3" t="s">
        <v>48</v>
      </c>
      <c r="C630" s="3" t="s">
        <v>97</v>
      </c>
      <c r="D630" s="9">
        <v>40365</v>
      </c>
      <c r="E630" s="5">
        <v>689</v>
      </c>
      <c r="F630">
        <f>VLOOKUP(A630,paiments2[],3,FALSE)</f>
        <v>689</v>
      </c>
      <c r="G630" s="7"/>
    </row>
    <row r="631" spans="1:7" x14ac:dyDescent="0.2">
      <c r="A631" s="2">
        <v>10877</v>
      </c>
      <c r="B631" s="3" t="s">
        <v>29</v>
      </c>
      <c r="C631" s="3" t="s">
        <v>94</v>
      </c>
      <c r="D631" s="9">
        <v>40365</v>
      </c>
      <c r="E631" s="5">
        <v>1565</v>
      </c>
      <c r="F631">
        <f>VLOOKUP(A631,paiments2[],3,FALSE)</f>
        <v>1565</v>
      </c>
      <c r="G631" s="7"/>
    </row>
    <row r="632" spans="1:7" x14ac:dyDescent="0.2">
      <c r="A632" s="2">
        <v>10878</v>
      </c>
      <c r="B632" s="3" t="s">
        <v>21</v>
      </c>
      <c r="C632" s="3" t="s">
        <v>91</v>
      </c>
      <c r="D632" s="9">
        <v>40366</v>
      </c>
      <c r="E632" s="5">
        <v>1220</v>
      </c>
      <c r="F632">
        <f>VLOOKUP(A632,paiments2[],3,FALSE)</f>
        <v>1220</v>
      </c>
      <c r="G632" s="7"/>
    </row>
    <row r="633" spans="1:7" x14ac:dyDescent="0.2">
      <c r="A633" s="2">
        <v>10879</v>
      </c>
      <c r="B633" s="3" t="s">
        <v>81</v>
      </c>
      <c r="C633" s="3" t="s">
        <v>92</v>
      </c>
      <c r="D633" s="9">
        <v>40366</v>
      </c>
      <c r="E633" s="5">
        <v>458</v>
      </c>
      <c r="F633">
        <f>VLOOKUP(A633,paiments2[],3,FALSE)</f>
        <v>458</v>
      </c>
      <c r="G633" s="7"/>
    </row>
    <row r="634" spans="1:7" x14ac:dyDescent="0.2">
      <c r="A634" s="2">
        <v>10880</v>
      </c>
      <c r="B634" s="3" t="s">
        <v>14</v>
      </c>
      <c r="C634" s="3" t="s">
        <v>97</v>
      </c>
      <c r="D634" s="9">
        <v>40366</v>
      </c>
      <c r="E634" s="5">
        <v>1360</v>
      </c>
      <c r="F634">
        <f>VLOOKUP(A634,paiments2[],3,FALSE)</f>
        <v>1360</v>
      </c>
      <c r="G634" s="7"/>
    </row>
    <row r="635" spans="1:7" x14ac:dyDescent="0.2">
      <c r="A635" s="2">
        <v>10881</v>
      </c>
      <c r="B635" s="3" t="s">
        <v>76</v>
      </c>
      <c r="C635" s="3" t="s">
        <v>91</v>
      </c>
      <c r="D635" s="9">
        <v>40367</v>
      </c>
      <c r="E635" s="5">
        <v>110</v>
      </c>
      <c r="F635">
        <f>VLOOKUP(A635,paiments2[],3,FALSE)</f>
        <v>110</v>
      </c>
      <c r="G635" s="7"/>
    </row>
    <row r="636" spans="1:7" x14ac:dyDescent="0.2">
      <c r="A636" s="2">
        <v>10882</v>
      </c>
      <c r="B636" s="3" t="s">
        <v>45</v>
      </c>
      <c r="C636" s="3" t="s">
        <v>91</v>
      </c>
      <c r="D636" s="9">
        <v>40367</v>
      </c>
      <c r="E636" s="5">
        <v>710</v>
      </c>
      <c r="F636">
        <f>VLOOKUP(A636,paiments2[],3,FALSE)</f>
        <v>710</v>
      </c>
      <c r="G636" s="7"/>
    </row>
    <row r="637" spans="1:7" x14ac:dyDescent="0.2">
      <c r="A637" s="2">
        <v>10883</v>
      </c>
      <c r="B637" s="3" t="s">
        <v>38</v>
      </c>
      <c r="C637" s="3" t="s">
        <v>95</v>
      </c>
      <c r="D637" s="9">
        <v>40368</v>
      </c>
      <c r="E637" s="5">
        <v>24</v>
      </c>
      <c r="F637">
        <f>VLOOKUP(A637,paiments2[],3,FALSE)</f>
        <v>24</v>
      </c>
      <c r="G637" s="7"/>
    </row>
    <row r="638" spans="1:7" x14ac:dyDescent="0.2">
      <c r="A638" s="2">
        <v>10884</v>
      </c>
      <c r="B638" s="3" t="s">
        <v>80</v>
      </c>
      <c r="C638" s="3" t="s">
        <v>91</v>
      </c>
      <c r="D638" s="9">
        <v>40368</v>
      </c>
      <c r="E638" s="5">
        <v>1060</v>
      </c>
      <c r="F638">
        <f>VLOOKUP(A638,paiments2[],3,FALSE)</f>
        <v>1060</v>
      </c>
      <c r="G638" s="7"/>
    </row>
    <row r="639" spans="1:7" x14ac:dyDescent="0.2">
      <c r="A639" s="2">
        <v>10885</v>
      </c>
      <c r="B639" s="3" t="s">
        <v>4</v>
      </c>
      <c r="C639" s="3" t="s">
        <v>90</v>
      </c>
      <c r="D639" s="9">
        <v>40368</v>
      </c>
      <c r="E639" s="5">
        <v>871</v>
      </c>
      <c r="F639">
        <f>VLOOKUP(A639,paiments2[],3,FALSE)</f>
        <v>871</v>
      </c>
      <c r="G639" s="7"/>
    </row>
    <row r="640" spans="1:7" x14ac:dyDescent="0.2">
      <c r="A640" s="2">
        <v>10886</v>
      </c>
      <c r="B640" s="3" t="s">
        <v>2</v>
      </c>
      <c r="C640" s="3" t="s">
        <v>94</v>
      </c>
      <c r="D640" s="9">
        <v>40369</v>
      </c>
      <c r="E640" s="5">
        <v>2285</v>
      </c>
      <c r="F640">
        <f>VLOOKUP(A640,paiments2[],3,FALSE)</f>
        <v>2285</v>
      </c>
      <c r="G640" s="7"/>
    </row>
    <row r="641" spans="1:7" x14ac:dyDescent="0.2">
      <c r="A641" s="2">
        <v>10887</v>
      </c>
      <c r="B641" s="3" t="s">
        <v>98</v>
      </c>
      <c r="C641" s="3" t="s">
        <v>95</v>
      </c>
      <c r="D641" s="9">
        <v>40369</v>
      </c>
      <c r="E641" s="5">
        <v>50</v>
      </c>
      <c r="F641">
        <f>VLOOKUP(A641,paiments2[],3,FALSE)</f>
        <v>50</v>
      </c>
      <c r="G641" s="7"/>
    </row>
    <row r="642" spans="1:7" x14ac:dyDescent="0.2">
      <c r="A642" s="2">
        <v>10888</v>
      </c>
      <c r="B642" s="3" t="s">
        <v>36</v>
      </c>
      <c r="C642" s="3" t="s">
        <v>94</v>
      </c>
      <c r="D642" s="9">
        <v>40372</v>
      </c>
      <c r="E642" s="5">
        <v>442</v>
      </c>
      <c r="F642">
        <f>VLOOKUP(A642,paiments2[],3,FALSE)</f>
        <v>442</v>
      </c>
      <c r="G642" s="7"/>
    </row>
    <row r="643" spans="1:7" x14ac:dyDescent="0.2">
      <c r="A643" s="2">
        <v>10889</v>
      </c>
      <c r="B643" s="3" t="s">
        <v>13</v>
      </c>
      <c r="C643" s="3" t="s">
        <v>93</v>
      </c>
      <c r="D643" s="9">
        <v>40372</v>
      </c>
      <c r="E643" s="5">
        <v>8640</v>
      </c>
      <c r="F643">
        <f>VLOOKUP(A643,paiments2[],3,FALSE)</f>
        <v>8640</v>
      </c>
      <c r="G643" s="7"/>
    </row>
    <row r="644" spans="1:7" x14ac:dyDescent="0.2">
      <c r="A644" s="2">
        <v>10890</v>
      </c>
      <c r="B644" s="3" t="s">
        <v>41</v>
      </c>
      <c r="C644" s="3" t="s">
        <v>97</v>
      </c>
      <c r="D644" s="9">
        <v>40372</v>
      </c>
      <c r="E644" s="5">
        <v>633</v>
      </c>
      <c r="F644">
        <f>VLOOKUP(A644,paiments2[],3,FALSE)</f>
        <v>633</v>
      </c>
      <c r="G644" s="7"/>
    </row>
    <row r="645" spans="1:7" x14ac:dyDescent="0.2">
      <c r="A645" s="2">
        <v>10891</v>
      </c>
      <c r="B645" s="3" t="s">
        <v>26</v>
      </c>
      <c r="C645" s="3" t="s">
        <v>97</v>
      </c>
      <c r="D645" s="9">
        <v>40373</v>
      </c>
      <c r="E645" s="5">
        <v>285</v>
      </c>
      <c r="F645">
        <f>VLOOKUP(A645,paiments2[],3,FALSE)</f>
        <v>285</v>
      </c>
      <c r="G645" s="7"/>
    </row>
    <row r="646" spans="1:7" x14ac:dyDescent="0.2">
      <c r="A646" s="2">
        <v>10892</v>
      </c>
      <c r="B646" s="3" t="s">
        <v>78</v>
      </c>
      <c r="C646" s="3" t="s">
        <v>91</v>
      </c>
      <c r="D646" s="9">
        <v>40373</v>
      </c>
      <c r="E646" s="5">
        <v>1640</v>
      </c>
      <c r="F646">
        <f>VLOOKUP(A646,paiments2[],3,FALSE)</f>
        <v>1640</v>
      </c>
      <c r="G646" s="7"/>
    </row>
    <row r="647" spans="1:7" x14ac:dyDescent="0.2">
      <c r="A647" s="2">
        <v>10893</v>
      </c>
      <c r="B647" s="3" t="s">
        <v>44</v>
      </c>
      <c r="C647" s="3" t="s">
        <v>93</v>
      </c>
      <c r="D647" s="9">
        <v>40374</v>
      </c>
      <c r="E647" s="5">
        <v>4131</v>
      </c>
      <c r="F647">
        <f>VLOOKUP(A647,paiments2[],3,FALSE)</f>
        <v>4131</v>
      </c>
      <c r="G647" s="7"/>
    </row>
    <row r="648" spans="1:7" x14ac:dyDescent="0.2">
      <c r="A648" s="2">
        <v>10894</v>
      </c>
      <c r="B648" s="3" t="s">
        <v>45</v>
      </c>
      <c r="C648" s="3" t="s">
        <v>94</v>
      </c>
      <c r="D648" s="9">
        <v>40374</v>
      </c>
      <c r="E648" s="5">
        <v>2062</v>
      </c>
      <c r="F648">
        <f>VLOOKUP(A648,paiments2[],3,FALSE)</f>
        <v>2062</v>
      </c>
      <c r="G648" s="7"/>
    </row>
    <row r="649" spans="1:7" x14ac:dyDescent="0.2">
      <c r="A649" s="2">
        <v>10895</v>
      </c>
      <c r="B649" s="3" t="s">
        <v>9</v>
      </c>
      <c r="C649" s="3" t="s">
        <v>92</v>
      </c>
      <c r="D649" s="9">
        <v>40374</v>
      </c>
      <c r="E649" s="5">
        <v>4689</v>
      </c>
      <c r="F649">
        <f>VLOOKUP(A649,paiments2[],3,FALSE)</f>
        <v>4689</v>
      </c>
      <c r="G649" s="7"/>
    </row>
    <row r="650" spans="1:7" x14ac:dyDescent="0.2">
      <c r="A650" s="2">
        <v>10896</v>
      </c>
      <c r="B650" s="3" t="s">
        <v>78</v>
      </c>
      <c r="C650" s="3" t="s">
        <v>97</v>
      </c>
      <c r="D650" s="9">
        <v>40375</v>
      </c>
      <c r="E650" s="5">
        <v>553</v>
      </c>
      <c r="F650">
        <f>VLOOKUP(A650,paiments2[],3,FALSE)</f>
        <v>553</v>
      </c>
      <c r="G650" s="7"/>
    </row>
    <row r="651" spans="1:7" x14ac:dyDescent="0.2">
      <c r="A651" s="2">
        <v>10897</v>
      </c>
      <c r="B651" s="3" t="s">
        <v>34</v>
      </c>
      <c r="C651" s="3" t="s">
        <v>92</v>
      </c>
      <c r="D651" s="9">
        <v>40375</v>
      </c>
      <c r="E651" s="5">
        <v>8204</v>
      </c>
      <c r="F651">
        <f>VLOOKUP(A651,paiments2[],3,FALSE)</f>
        <v>8204</v>
      </c>
      <c r="G651" s="7"/>
    </row>
    <row r="652" spans="1:7" x14ac:dyDescent="0.2">
      <c r="A652" s="2">
        <v>10898</v>
      </c>
      <c r="B652" s="3" t="s">
        <v>67</v>
      </c>
      <c r="C652" s="3" t="s">
        <v>91</v>
      </c>
      <c r="D652" s="9">
        <v>40376</v>
      </c>
      <c r="E652" s="5">
        <v>20</v>
      </c>
      <c r="F652">
        <f>VLOOKUP(A652,paiments2[],3,FALSE)</f>
        <v>20</v>
      </c>
      <c r="G652" s="7"/>
    </row>
    <row r="653" spans="1:7" x14ac:dyDescent="0.2">
      <c r="A653" s="2">
        <v>10899</v>
      </c>
      <c r="B653" s="3" t="s">
        <v>28</v>
      </c>
      <c r="C653" s="3" t="s">
        <v>89</v>
      </c>
      <c r="D653" s="9">
        <v>40376</v>
      </c>
      <c r="E653" s="5">
        <v>104</v>
      </c>
      <c r="F653">
        <f>VLOOKUP(A653,paiments2[],3,FALSE)</f>
        <v>104</v>
      </c>
      <c r="G653" s="7"/>
    </row>
    <row r="654" spans="1:7" x14ac:dyDescent="0.2">
      <c r="A654" s="2">
        <v>10900</v>
      </c>
      <c r="B654" s="3" t="s">
        <v>7</v>
      </c>
      <c r="C654" s="3" t="s">
        <v>94</v>
      </c>
      <c r="D654" s="9">
        <v>40376</v>
      </c>
      <c r="E654" s="5">
        <v>33</v>
      </c>
      <c r="F654">
        <f>VLOOKUP(A654,paiments2[],3,FALSE)</f>
        <v>33</v>
      </c>
      <c r="G654" s="7"/>
    </row>
    <row r="655" spans="1:7" x14ac:dyDescent="0.2">
      <c r="A655" s="2">
        <v>10901</v>
      </c>
      <c r="B655" s="3" t="s">
        <v>8</v>
      </c>
      <c r="C655" s="3" t="s">
        <v>91</v>
      </c>
      <c r="D655" s="9">
        <v>40379</v>
      </c>
      <c r="E655" s="5">
        <v>690</v>
      </c>
      <c r="F655">
        <f>VLOOKUP(A655,paiments2[],3,FALSE)</f>
        <v>690</v>
      </c>
      <c r="G655" s="7"/>
    </row>
    <row r="656" spans="1:7" x14ac:dyDescent="0.2">
      <c r="A656" s="2">
        <v>10902</v>
      </c>
      <c r="B656" s="3" t="s">
        <v>14</v>
      </c>
      <c r="C656" s="3" t="s">
        <v>94</v>
      </c>
      <c r="D656" s="9">
        <v>40379</v>
      </c>
      <c r="E656" s="5">
        <v>762</v>
      </c>
      <c r="F656">
        <f>VLOOKUP(A656,paiments2[],3,FALSE)</f>
        <v>762</v>
      </c>
      <c r="G656" s="7"/>
    </row>
    <row r="657" spans="1:7" x14ac:dyDescent="0.2">
      <c r="A657" s="2">
        <v>10903</v>
      </c>
      <c r="B657" s="3" t="s">
        <v>2</v>
      </c>
      <c r="C657" s="3" t="s">
        <v>92</v>
      </c>
      <c r="D657" s="9">
        <v>40380</v>
      </c>
      <c r="E657" s="5">
        <v>676</v>
      </c>
      <c r="F657">
        <f>VLOOKUP(A657,paiments2[],3,FALSE)</f>
        <v>676</v>
      </c>
      <c r="G657" s="7"/>
    </row>
    <row r="658" spans="1:7" x14ac:dyDescent="0.2">
      <c r="A658" s="2">
        <v>10904</v>
      </c>
      <c r="B658" s="3" t="s">
        <v>19</v>
      </c>
      <c r="C658" s="3" t="s">
        <v>92</v>
      </c>
      <c r="D658" s="9">
        <v>40380</v>
      </c>
      <c r="E658" s="5">
        <v>1445</v>
      </c>
      <c r="F658">
        <f>VLOOKUP(A658,paiments2[],3,FALSE)</f>
        <v>1445</v>
      </c>
      <c r="G658" s="7"/>
    </row>
    <row r="659" spans="1:7" x14ac:dyDescent="0.2">
      <c r="A659" s="2">
        <v>10905</v>
      </c>
      <c r="B659" s="3" t="s">
        <v>7</v>
      </c>
      <c r="C659" s="3" t="s">
        <v>93</v>
      </c>
      <c r="D659" s="9">
        <v>40380</v>
      </c>
      <c r="E659" s="5">
        <v>1154</v>
      </c>
      <c r="F659">
        <f>VLOOKUP(A659,paiments2[],3,FALSE)</f>
        <v>1154</v>
      </c>
      <c r="G659" s="7"/>
    </row>
    <row r="660" spans="1:7" x14ac:dyDescent="0.2">
      <c r="A660" s="2">
        <v>10906</v>
      </c>
      <c r="B660" s="3" t="s">
        <v>99</v>
      </c>
      <c r="C660" s="3" t="s">
        <v>91</v>
      </c>
      <c r="D660" s="9">
        <v>40381</v>
      </c>
      <c r="E660" s="5">
        <v>1340</v>
      </c>
      <c r="F660">
        <f>VLOOKUP(A660,paiments2[],3,FALSE)</f>
        <v>1340</v>
      </c>
      <c r="G660" s="7"/>
    </row>
    <row r="661" spans="1:7" x14ac:dyDescent="0.2">
      <c r="A661" s="2">
        <v>10907</v>
      </c>
      <c r="B661" s="3" t="s">
        <v>84</v>
      </c>
      <c r="C661" s="3" t="s">
        <v>90</v>
      </c>
      <c r="D661" s="9">
        <v>40381</v>
      </c>
      <c r="E661" s="5">
        <v>2729</v>
      </c>
      <c r="F661">
        <f>VLOOKUP(A661,paiments2[],3,FALSE)</f>
        <v>2729</v>
      </c>
      <c r="G661" s="7"/>
    </row>
    <row r="662" spans="1:7" x14ac:dyDescent="0.2">
      <c r="A662" s="2">
        <v>10908</v>
      </c>
      <c r="B662" s="3" t="s">
        <v>30</v>
      </c>
      <c r="C662" s="3" t="s">
        <v>91</v>
      </c>
      <c r="D662" s="9">
        <v>40382</v>
      </c>
      <c r="E662" s="5">
        <v>624</v>
      </c>
      <c r="F662">
        <f>VLOOKUP(A662,paiments2[],3,FALSE)</f>
        <v>624</v>
      </c>
      <c r="G662" s="7"/>
    </row>
    <row r="663" spans="1:7" x14ac:dyDescent="0.2">
      <c r="A663" s="2">
        <v>10909</v>
      </c>
      <c r="B663" s="3" t="s">
        <v>63</v>
      </c>
      <c r="C663" s="3" t="s">
        <v>94</v>
      </c>
      <c r="D663" s="9">
        <v>40382</v>
      </c>
      <c r="E663" s="5">
        <v>850</v>
      </c>
      <c r="F663">
        <f>VLOOKUP(A663,paiments2[],3,FALSE)</f>
        <v>850</v>
      </c>
      <c r="G663" s="7"/>
    </row>
    <row r="664" spans="1:7" x14ac:dyDescent="0.2">
      <c r="A664" s="2">
        <v>10910</v>
      </c>
      <c r="B664" s="3" t="s">
        <v>81</v>
      </c>
      <c r="C664" s="3" t="s">
        <v>94</v>
      </c>
      <c r="D664" s="9">
        <v>40382</v>
      </c>
      <c r="E664" s="5">
        <v>1608</v>
      </c>
      <c r="F664">
        <f>VLOOKUP(A664,paiments2[],3,FALSE)</f>
        <v>1608</v>
      </c>
      <c r="G664" s="7"/>
    </row>
    <row r="665" spans="1:7" x14ac:dyDescent="0.2">
      <c r="A665" s="2">
        <v>10911</v>
      </c>
      <c r="B665" s="3" t="s">
        <v>36</v>
      </c>
      <c r="C665" s="3" t="s">
        <v>92</v>
      </c>
      <c r="D665" s="9">
        <v>40382</v>
      </c>
      <c r="E665" s="5">
        <v>408</v>
      </c>
      <c r="F665">
        <f>VLOOKUP(A665,paiments2[],3,FALSE)</f>
        <v>408</v>
      </c>
      <c r="G665" s="7"/>
    </row>
    <row r="666" spans="1:7" x14ac:dyDescent="0.2">
      <c r="A666" s="2">
        <v>10912</v>
      </c>
      <c r="B666" s="3" t="s">
        <v>34</v>
      </c>
      <c r="C666" s="3" t="s">
        <v>96</v>
      </c>
      <c r="D666" s="9">
        <v>40382</v>
      </c>
      <c r="E666" s="5">
        <v>935</v>
      </c>
      <c r="F666">
        <f>VLOOKUP(A666,paiments2[],3,FALSE)</f>
        <v>935</v>
      </c>
      <c r="G666" s="7"/>
    </row>
    <row r="667" spans="1:7" x14ac:dyDescent="0.2">
      <c r="A667" s="2">
        <v>10913</v>
      </c>
      <c r="B667" s="3" t="s">
        <v>61</v>
      </c>
      <c r="C667" s="3" t="s">
        <v>91</v>
      </c>
      <c r="D667" s="9">
        <v>40382</v>
      </c>
      <c r="E667" s="5">
        <v>2140</v>
      </c>
      <c r="F667">
        <f>VLOOKUP(A667,paiments2[],3,FALSE)</f>
        <v>2140</v>
      </c>
      <c r="G667" s="7"/>
    </row>
    <row r="668" spans="1:7" x14ac:dyDescent="0.2">
      <c r="A668" s="2">
        <v>10914</v>
      </c>
      <c r="B668" s="3" t="s">
        <v>61</v>
      </c>
      <c r="C668" s="3" t="s">
        <v>90</v>
      </c>
      <c r="D668" s="9">
        <v>40383</v>
      </c>
      <c r="E668" s="5">
        <v>390</v>
      </c>
      <c r="F668">
        <f>VLOOKUP(A668,paiments2[],3,FALSE)</f>
        <v>390</v>
      </c>
      <c r="G668" s="7"/>
    </row>
    <row r="669" spans="1:7" x14ac:dyDescent="0.2">
      <c r="A669" s="2">
        <v>10915</v>
      </c>
      <c r="B669" s="3" t="s">
        <v>23</v>
      </c>
      <c r="C669" s="3" t="s">
        <v>96</v>
      </c>
      <c r="D669" s="9">
        <v>40383</v>
      </c>
      <c r="E669" s="5">
        <v>700</v>
      </c>
      <c r="F669">
        <f>VLOOKUP(A669,paiments2[],3,FALSE)</f>
        <v>700</v>
      </c>
      <c r="G669" s="7"/>
    </row>
    <row r="670" spans="1:7" x14ac:dyDescent="0.2">
      <c r="A670" s="2">
        <v>10916</v>
      </c>
      <c r="B670" s="3" t="s">
        <v>71</v>
      </c>
      <c r="C670" s="3" t="s">
        <v>94</v>
      </c>
      <c r="D670" s="9">
        <v>40383</v>
      </c>
      <c r="E670" s="5">
        <v>968</v>
      </c>
      <c r="F670">
        <f>VLOOKUP(A670,paiments2[],3,FALSE)</f>
        <v>968</v>
      </c>
      <c r="G670" s="7"/>
    </row>
    <row r="671" spans="1:7" x14ac:dyDescent="0.2">
      <c r="A671" s="2">
        <v>10917</v>
      </c>
      <c r="B671" s="3" t="s">
        <v>27</v>
      </c>
      <c r="C671" s="3" t="s">
        <v>91</v>
      </c>
      <c r="D671" s="9">
        <v>40386</v>
      </c>
      <c r="E671" s="5">
        <v>525</v>
      </c>
      <c r="F671">
        <f>VLOOKUP(A671,paiments2[],3,FALSE)</f>
        <v>525</v>
      </c>
      <c r="G671" s="7"/>
    </row>
    <row r="672" spans="1:7" x14ac:dyDescent="0.2">
      <c r="A672" s="2">
        <v>10918</v>
      </c>
      <c r="B672" s="3" t="s">
        <v>64</v>
      </c>
      <c r="C672" s="3" t="s">
        <v>92</v>
      </c>
      <c r="D672" s="9">
        <v>40386</v>
      </c>
      <c r="E672" s="5">
        <v>1536</v>
      </c>
      <c r="F672">
        <f>VLOOKUP(A672,paiments2[],3,FALSE)</f>
        <v>1536</v>
      </c>
      <c r="G672" s="7"/>
    </row>
    <row r="673" spans="1:7" x14ac:dyDescent="0.2">
      <c r="A673" s="2">
        <v>10919</v>
      </c>
      <c r="B673" s="3" t="s">
        <v>65</v>
      </c>
      <c r="C673" s="3" t="s">
        <v>96</v>
      </c>
      <c r="D673" s="9">
        <v>40386</v>
      </c>
      <c r="E673" s="5">
        <v>2300</v>
      </c>
      <c r="F673">
        <f>VLOOKUP(A673,paiments2[],3,FALSE)</f>
        <v>2300</v>
      </c>
      <c r="G673" s="7"/>
    </row>
    <row r="674" spans="1:7" x14ac:dyDescent="0.2">
      <c r="A674" s="2">
        <v>10920</v>
      </c>
      <c r="B674" s="3" t="s">
        <v>55</v>
      </c>
      <c r="C674" s="3" t="s">
        <v>91</v>
      </c>
      <c r="D674" s="9">
        <v>40387</v>
      </c>
      <c r="E674" s="5">
        <v>115</v>
      </c>
      <c r="F674">
        <f>VLOOKUP(A674,paiments2[],3,FALSE)</f>
        <v>115</v>
      </c>
      <c r="G674" s="7"/>
    </row>
    <row r="675" spans="1:7" x14ac:dyDescent="0.2">
      <c r="A675" s="2">
        <v>10921</v>
      </c>
      <c r="B675" s="3" t="s">
        <v>60</v>
      </c>
      <c r="C675" s="3" t="s">
        <v>94</v>
      </c>
      <c r="D675" s="9">
        <v>40387</v>
      </c>
      <c r="E675" s="5">
        <v>705</v>
      </c>
      <c r="F675">
        <f>VLOOKUP(A675,paiments2[],3,FALSE)</f>
        <v>705</v>
      </c>
      <c r="G675" s="7"/>
    </row>
    <row r="676" spans="1:7" x14ac:dyDescent="0.2">
      <c r="A676" s="2">
        <v>10922</v>
      </c>
      <c r="B676" s="3" t="s">
        <v>2</v>
      </c>
      <c r="C676" s="3" t="s">
        <v>89</v>
      </c>
      <c r="D676" s="9">
        <v>40387</v>
      </c>
      <c r="E676" s="5">
        <v>540</v>
      </c>
      <c r="F676">
        <f>VLOOKUP(A676,paiments2[],3,FALSE)</f>
        <v>540</v>
      </c>
      <c r="G676" s="7"/>
    </row>
    <row r="677" spans="1:7" x14ac:dyDescent="0.2">
      <c r="A677" s="2">
        <v>10923</v>
      </c>
      <c r="B677" s="3" t="s">
        <v>53</v>
      </c>
      <c r="C677" s="3" t="s">
        <v>97</v>
      </c>
      <c r="D677" s="9">
        <v>40387</v>
      </c>
      <c r="E677" s="5">
        <v>690</v>
      </c>
      <c r="F677">
        <f>VLOOKUP(A677,paiments2[],3,FALSE)</f>
        <v>690</v>
      </c>
      <c r="G677" s="7"/>
    </row>
    <row r="678" spans="1:7" x14ac:dyDescent="0.2">
      <c r="A678" s="2">
        <v>10924</v>
      </c>
      <c r="B678" s="3" t="s">
        <v>25</v>
      </c>
      <c r="C678" s="3" t="s">
        <v>92</v>
      </c>
      <c r="D678" s="9">
        <v>40388</v>
      </c>
      <c r="E678" s="5">
        <v>1510</v>
      </c>
      <c r="F678">
        <f>VLOOKUP(A678,paiments2[],3,FALSE)</f>
        <v>1510</v>
      </c>
      <c r="G678" s="7"/>
    </row>
    <row r="679" spans="1:7" x14ac:dyDescent="0.2">
      <c r="A679" s="2">
        <v>10925</v>
      </c>
      <c r="B679" s="3" t="s">
        <v>2</v>
      </c>
      <c r="C679" s="3" t="s">
        <v>92</v>
      </c>
      <c r="D679" s="9">
        <v>40388</v>
      </c>
      <c r="E679" s="5">
        <v>410</v>
      </c>
      <c r="F679">
        <f>VLOOKUP(A679,paiments2[],3,FALSE)</f>
        <v>410</v>
      </c>
      <c r="G679" s="7"/>
    </row>
    <row r="680" spans="1:7" x14ac:dyDescent="0.2">
      <c r="A680" s="2">
        <v>10926</v>
      </c>
      <c r="B680" s="3" t="s">
        <v>39</v>
      </c>
      <c r="C680" s="3" t="s">
        <v>91</v>
      </c>
      <c r="D680" s="9">
        <v>40388</v>
      </c>
      <c r="E680" s="5">
        <v>381</v>
      </c>
      <c r="F680">
        <f>VLOOKUP(A680,paiments2[],3,FALSE)</f>
        <v>381</v>
      </c>
      <c r="G680" s="7"/>
    </row>
    <row r="681" spans="1:7" x14ac:dyDescent="0.2">
      <c r="A681" s="2">
        <v>10927</v>
      </c>
      <c r="B681" s="3" t="s">
        <v>85</v>
      </c>
      <c r="C681" s="3" t="s">
        <v>91</v>
      </c>
      <c r="D681" s="9">
        <v>40389</v>
      </c>
      <c r="E681" s="5">
        <v>590</v>
      </c>
      <c r="F681">
        <f>VLOOKUP(A681,paiments2[],3,FALSE)</f>
        <v>590</v>
      </c>
      <c r="G681" s="7"/>
    </row>
    <row r="682" spans="1:7" x14ac:dyDescent="0.2">
      <c r="A682" s="2">
        <v>10928</v>
      </c>
      <c r="B682" s="3" t="s">
        <v>98</v>
      </c>
      <c r="C682" s="3" t="s">
        <v>94</v>
      </c>
      <c r="D682" s="9">
        <v>40389</v>
      </c>
      <c r="E682" s="5">
        <v>100</v>
      </c>
      <c r="F682">
        <f>VLOOKUP(A682,paiments2[],3,FALSE)</f>
        <v>100</v>
      </c>
      <c r="G682" s="7"/>
    </row>
    <row r="683" spans="1:7" x14ac:dyDescent="0.2">
      <c r="A683" s="2">
        <v>10929</v>
      </c>
      <c r="B683" s="3" t="s">
        <v>17</v>
      </c>
      <c r="C683" s="3" t="s">
        <v>90</v>
      </c>
      <c r="D683" s="9">
        <v>40389</v>
      </c>
      <c r="E683" s="5">
        <v>800</v>
      </c>
      <c r="F683">
        <f>VLOOKUP(A683,paiments2[],3,FALSE)</f>
        <v>800</v>
      </c>
      <c r="G683" s="7"/>
    </row>
    <row r="684" spans="1:7" x14ac:dyDescent="0.2">
      <c r="A684" s="2">
        <v>10930</v>
      </c>
      <c r="B684" s="3" t="s">
        <v>4</v>
      </c>
      <c r="C684" s="3" t="s">
        <v>91</v>
      </c>
      <c r="D684" s="9">
        <v>40390</v>
      </c>
      <c r="E684" s="5">
        <v>1827</v>
      </c>
      <c r="F684">
        <f>VLOOKUP(A684,paiments2[],3,FALSE)</f>
        <v>1827</v>
      </c>
      <c r="G684" s="7"/>
    </row>
    <row r="685" spans="1:7" x14ac:dyDescent="0.2">
      <c r="A685" s="2">
        <v>10931</v>
      </c>
      <c r="B685" s="3" t="s">
        <v>6</v>
      </c>
      <c r="C685" s="3" t="s">
        <v>91</v>
      </c>
      <c r="D685" s="9">
        <v>40390</v>
      </c>
      <c r="E685" s="5">
        <v>588</v>
      </c>
      <c r="F685">
        <f>VLOOKUP(A685,paiments2[],3,FALSE)</f>
        <v>588</v>
      </c>
      <c r="G685" s="7"/>
    </row>
    <row r="686" spans="1:7" x14ac:dyDescent="0.2">
      <c r="A686" s="2">
        <v>10932</v>
      </c>
      <c r="B686" s="3" t="s">
        <v>48</v>
      </c>
      <c r="C686" s="3" t="s">
        <v>95</v>
      </c>
      <c r="D686" s="9">
        <v>40390</v>
      </c>
      <c r="E686" s="5">
        <v>1424</v>
      </c>
      <c r="F686">
        <f>VLOOKUP(A686,paiments2[],3,FALSE)</f>
        <v>1424</v>
      </c>
      <c r="G686" s="7"/>
    </row>
    <row r="687" spans="1:7" x14ac:dyDescent="0.2">
      <c r="A687" s="2">
        <v>10933</v>
      </c>
      <c r="B687" s="3" t="s">
        <v>42</v>
      </c>
      <c r="C687" s="3" t="s">
        <v>90</v>
      </c>
      <c r="D687" s="9">
        <v>40390</v>
      </c>
      <c r="E687" s="5">
        <v>680</v>
      </c>
      <c r="F687">
        <f>VLOOKUP(A687,paiments2[],3,FALSE)</f>
        <v>680</v>
      </c>
      <c r="G687" s="7"/>
    </row>
    <row r="688" spans="1:7" x14ac:dyDescent="0.2">
      <c r="A688" s="2">
        <v>10934</v>
      </c>
      <c r="B688" s="3" t="s">
        <v>26</v>
      </c>
      <c r="C688" s="3" t="s">
        <v>92</v>
      </c>
      <c r="D688" s="9">
        <v>40393</v>
      </c>
      <c r="E688" s="5">
        <v>380</v>
      </c>
      <c r="F688">
        <f>VLOOKUP(A688,paiments2[],3,FALSE)</f>
        <v>380</v>
      </c>
      <c r="G688" s="7"/>
    </row>
    <row r="689" spans="1:7" x14ac:dyDescent="0.2">
      <c r="A689" s="2">
        <v>10935</v>
      </c>
      <c r="B689" s="3" t="s">
        <v>7</v>
      </c>
      <c r="C689" s="3" t="s">
        <v>91</v>
      </c>
      <c r="D689" s="9">
        <v>40393</v>
      </c>
      <c r="E689" s="5">
        <v>509</v>
      </c>
      <c r="F689">
        <f>VLOOKUP(A689,paiments2[],3,FALSE)</f>
        <v>509</v>
      </c>
      <c r="G689" s="7"/>
    </row>
    <row r="690" spans="1:7" x14ac:dyDescent="0.2">
      <c r="A690" s="2">
        <v>10936</v>
      </c>
      <c r="B690" s="3" t="s">
        <v>77</v>
      </c>
      <c r="C690" s="3" t="s">
        <v>92</v>
      </c>
      <c r="D690" s="9">
        <v>40393</v>
      </c>
      <c r="E690" s="5">
        <v>420</v>
      </c>
      <c r="F690">
        <f>VLOOKUP(A690,paiments2[],3,FALSE)</f>
        <v>420</v>
      </c>
      <c r="G690" s="7"/>
    </row>
    <row r="691" spans="1:7" x14ac:dyDescent="0.2">
      <c r="A691" s="2">
        <v>10937</v>
      </c>
      <c r="B691" s="3" t="s">
        <v>76</v>
      </c>
      <c r="C691" s="3" t="s">
        <v>97</v>
      </c>
      <c r="D691" s="9">
        <v>40394</v>
      </c>
      <c r="E691" s="5">
        <v>472</v>
      </c>
      <c r="F691">
        <f>VLOOKUP(A691,paiments2[],3,FALSE)</f>
        <v>472</v>
      </c>
      <c r="G691" s="7"/>
    </row>
    <row r="692" spans="1:7" x14ac:dyDescent="0.2">
      <c r="A692" s="2">
        <v>10938</v>
      </c>
      <c r="B692" s="3" t="s">
        <v>21</v>
      </c>
      <c r="C692" s="3" t="s">
        <v>92</v>
      </c>
      <c r="D692" s="9">
        <v>40394</v>
      </c>
      <c r="E692" s="5">
        <v>2705</v>
      </c>
      <c r="F692">
        <f>VLOOKUP(A692,paiments2[],3,FALSE)</f>
        <v>2705</v>
      </c>
      <c r="G692" s="7"/>
    </row>
    <row r="693" spans="1:7" x14ac:dyDescent="0.2">
      <c r="A693" s="2">
        <v>10939</v>
      </c>
      <c r="B693" s="3" t="s">
        <v>22</v>
      </c>
      <c r="C693" s="3" t="s">
        <v>96</v>
      </c>
      <c r="D693" s="9">
        <v>40394</v>
      </c>
      <c r="E693" s="5">
        <v>540</v>
      </c>
      <c r="F693">
        <f>VLOOKUP(A693,paiments2[],3,FALSE)</f>
        <v>540</v>
      </c>
      <c r="G693" s="7"/>
    </row>
    <row r="694" spans="1:7" x14ac:dyDescent="0.2">
      <c r="A694" s="2">
        <v>10940</v>
      </c>
      <c r="B694" s="3" t="s">
        <v>48</v>
      </c>
      <c r="C694" s="3" t="s">
        <v>95</v>
      </c>
      <c r="D694" s="9">
        <v>40395</v>
      </c>
      <c r="E694" s="5">
        <v>256</v>
      </c>
      <c r="F694">
        <f>VLOOKUP(A694,paiments2[],3,FALSE)</f>
        <v>256</v>
      </c>
      <c r="G694" s="7"/>
    </row>
    <row r="695" spans="1:7" x14ac:dyDescent="0.2">
      <c r="A695" s="2">
        <v>10941</v>
      </c>
      <c r="B695" s="3" t="s">
        <v>45</v>
      </c>
      <c r="C695" s="3" t="s">
        <v>97</v>
      </c>
      <c r="D695" s="9">
        <v>40395</v>
      </c>
      <c r="E695" s="5">
        <v>3526</v>
      </c>
      <c r="F695">
        <f>VLOOKUP(A695,paiments2[],3,FALSE)</f>
        <v>3526</v>
      </c>
      <c r="G695" s="7"/>
    </row>
    <row r="696" spans="1:7" x14ac:dyDescent="0.2">
      <c r="A696" s="2">
        <v>10942</v>
      </c>
      <c r="B696" s="3" t="s">
        <v>30</v>
      </c>
      <c r="C696" s="3" t="s">
        <v>93</v>
      </c>
      <c r="D696" s="9">
        <v>40395</v>
      </c>
      <c r="E696" s="5">
        <v>420</v>
      </c>
      <c r="F696">
        <f>VLOOKUP(A696,paiments2[],3,FALSE)</f>
        <v>420</v>
      </c>
      <c r="G696" s="7"/>
    </row>
    <row r="697" spans="1:7" x14ac:dyDescent="0.2">
      <c r="A697" s="2">
        <v>10943</v>
      </c>
      <c r="B697" s="3" t="s">
        <v>31</v>
      </c>
      <c r="C697" s="3" t="s">
        <v>91</v>
      </c>
      <c r="D697" s="9">
        <v>40395</v>
      </c>
      <c r="E697" s="5">
        <v>531</v>
      </c>
      <c r="F697">
        <f>VLOOKUP(A697,paiments2[],3,FALSE)</f>
        <v>531</v>
      </c>
      <c r="G697" s="7"/>
    </row>
    <row r="698" spans="1:7" x14ac:dyDescent="0.2">
      <c r="A698" s="2">
        <v>10944</v>
      </c>
      <c r="B698" s="3" t="s">
        <v>64</v>
      </c>
      <c r="C698" s="3" t="s">
        <v>90</v>
      </c>
      <c r="D698" s="9">
        <v>40396</v>
      </c>
      <c r="E698" s="5">
        <v>836</v>
      </c>
      <c r="F698">
        <f>VLOOKUP(A698,paiments2[],3,FALSE)</f>
        <v>836</v>
      </c>
      <c r="G698" s="7"/>
    </row>
    <row r="699" spans="1:7" x14ac:dyDescent="0.2">
      <c r="A699" s="2">
        <v>10945</v>
      </c>
      <c r="B699" s="3" t="s">
        <v>24</v>
      </c>
      <c r="C699" s="3" t="s">
        <v>91</v>
      </c>
      <c r="D699" s="9">
        <v>40396</v>
      </c>
      <c r="E699" s="5">
        <v>170</v>
      </c>
      <c r="F699">
        <f>VLOOKUP(A699,paiments2[],3,FALSE)</f>
        <v>170</v>
      </c>
      <c r="G699" s="7"/>
    </row>
    <row r="700" spans="1:7" x14ac:dyDescent="0.2">
      <c r="A700" s="2">
        <v>10946</v>
      </c>
      <c r="B700" s="3" t="s">
        <v>60</v>
      </c>
      <c r="C700" s="3" t="s">
        <v>94</v>
      </c>
      <c r="D700" s="9">
        <v>40396</v>
      </c>
      <c r="E700" s="5">
        <v>1010</v>
      </c>
      <c r="F700">
        <f>VLOOKUP(A700,paiments2[],3,FALSE)</f>
        <v>1010</v>
      </c>
      <c r="G700" s="7"/>
    </row>
    <row r="701" spans="1:7" x14ac:dyDescent="0.2">
      <c r="A701" s="2">
        <v>10947</v>
      </c>
      <c r="B701" s="3" t="s">
        <v>31</v>
      </c>
      <c r="C701" s="3" t="s">
        <v>92</v>
      </c>
      <c r="D701" s="9">
        <v>40397</v>
      </c>
      <c r="E701" s="5">
        <v>164</v>
      </c>
      <c r="F701">
        <f>VLOOKUP(A701,paiments2[],3,FALSE)</f>
        <v>164</v>
      </c>
      <c r="G701" s="7"/>
    </row>
    <row r="702" spans="1:7" x14ac:dyDescent="0.2">
      <c r="A702" s="2">
        <v>10948</v>
      </c>
      <c r="B702" s="3" t="s">
        <v>36</v>
      </c>
      <c r="C702" s="3" t="s">
        <v>92</v>
      </c>
      <c r="D702" s="9">
        <v>40397</v>
      </c>
      <c r="E702" s="5">
        <v>1780</v>
      </c>
      <c r="F702">
        <f>VLOOKUP(A702,paiments2[],3,FALSE)</f>
        <v>1780</v>
      </c>
      <c r="G702" s="7"/>
    </row>
    <row r="703" spans="1:7" x14ac:dyDescent="0.2">
      <c r="A703" s="2">
        <v>10949</v>
      </c>
      <c r="B703" s="3" t="s">
        <v>64</v>
      </c>
      <c r="C703" s="3" t="s">
        <v>96</v>
      </c>
      <c r="D703" s="9">
        <v>40397</v>
      </c>
      <c r="E703" s="5">
        <v>3312</v>
      </c>
      <c r="F703">
        <f>VLOOKUP(A703,paiments2[],3,FALSE)</f>
        <v>3312</v>
      </c>
      <c r="G703" s="7"/>
    </row>
    <row r="704" spans="1:7" x14ac:dyDescent="0.2">
      <c r="A704" s="2">
        <v>10950</v>
      </c>
      <c r="B704" s="3" t="s">
        <v>22</v>
      </c>
      <c r="C704" s="3" t="s">
        <v>94</v>
      </c>
      <c r="D704" s="9">
        <v>40400</v>
      </c>
      <c r="E704" s="5">
        <v>80</v>
      </c>
      <c r="F704">
        <f>VLOOKUP(A704,paiments2[],3,FALSE)</f>
        <v>80</v>
      </c>
      <c r="G704" s="7"/>
    </row>
    <row r="705" spans="1:7" x14ac:dyDescent="0.2">
      <c r="A705" s="2">
        <v>10951</v>
      </c>
      <c r="B705" s="3" t="s">
        <v>6</v>
      </c>
      <c r="C705" s="3" t="s">
        <v>93</v>
      </c>
      <c r="D705" s="9">
        <v>40400</v>
      </c>
      <c r="E705" s="5">
        <v>307</v>
      </c>
      <c r="F705">
        <f>VLOOKUP(A705,paiments2[],3,FALSE)</f>
        <v>307</v>
      </c>
      <c r="G705" s="7"/>
    </row>
    <row r="706" spans="1:7" x14ac:dyDescent="0.2">
      <c r="A706" s="2">
        <v>10952</v>
      </c>
      <c r="B706" s="3" t="s">
        <v>100</v>
      </c>
      <c r="C706" s="3" t="s">
        <v>94</v>
      </c>
      <c r="D706" s="9">
        <v>40400</v>
      </c>
      <c r="E706" s="5">
        <v>372</v>
      </c>
      <c r="F706">
        <f>VLOOKUP(A706,paiments2[],3,FALSE)</f>
        <v>372</v>
      </c>
      <c r="G706" s="7"/>
    </row>
    <row r="707" spans="1:7" x14ac:dyDescent="0.2">
      <c r="A707" s="2">
        <v>10953</v>
      </c>
      <c r="B707" s="3" t="s">
        <v>55</v>
      </c>
      <c r="C707" s="3" t="s">
        <v>93</v>
      </c>
      <c r="D707" s="9">
        <v>40400</v>
      </c>
      <c r="E707" s="5">
        <v>3500</v>
      </c>
      <c r="F707">
        <f>VLOOKUP(A707,paiments2[],3,FALSE)</f>
        <v>3500</v>
      </c>
      <c r="G707" s="7"/>
    </row>
    <row r="708" spans="1:7" x14ac:dyDescent="0.2">
      <c r="A708" s="2">
        <v>10954</v>
      </c>
      <c r="B708" s="3" t="s">
        <v>65</v>
      </c>
      <c r="C708" s="3" t="s">
        <v>89</v>
      </c>
      <c r="D708" s="9">
        <v>40401</v>
      </c>
      <c r="E708" s="5">
        <v>1399</v>
      </c>
      <c r="F708">
        <f>VLOOKUP(A708,paiments2[],3,FALSE)</f>
        <v>1399</v>
      </c>
      <c r="G708" s="7"/>
    </row>
    <row r="709" spans="1:7" x14ac:dyDescent="0.2">
      <c r="A709" s="2">
        <v>10955</v>
      </c>
      <c r="B709" s="3" t="s">
        <v>14</v>
      </c>
      <c r="C709" s="3" t="s">
        <v>95</v>
      </c>
      <c r="D709" s="9">
        <v>40401</v>
      </c>
      <c r="E709" s="5">
        <v>60</v>
      </c>
      <c r="F709">
        <f>VLOOKUP(A709,paiments2[],3,FALSE)</f>
        <v>60</v>
      </c>
      <c r="G709" s="7"/>
    </row>
    <row r="710" spans="1:7" x14ac:dyDescent="0.2">
      <c r="A710" s="2">
        <v>10956</v>
      </c>
      <c r="B710" s="3" t="s">
        <v>74</v>
      </c>
      <c r="C710" s="3" t="s">
        <v>90</v>
      </c>
      <c r="D710" s="9">
        <v>40401</v>
      </c>
      <c r="E710" s="5">
        <v>502</v>
      </c>
      <c r="F710">
        <f>VLOOKUP(A710,paiments2[],3,FALSE)</f>
        <v>502</v>
      </c>
      <c r="G710" s="7"/>
    </row>
    <row r="711" spans="1:7" x14ac:dyDescent="0.2">
      <c r="A711" s="2">
        <v>10957</v>
      </c>
      <c r="B711" s="3" t="s">
        <v>8</v>
      </c>
      <c r="C711" s="3" t="s">
        <v>95</v>
      </c>
      <c r="D711" s="9">
        <v>40402</v>
      </c>
      <c r="E711" s="5">
        <v>1290</v>
      </c>
      <c r="F711">
        <f>VLOOKUP(A711,paiments2[],3,FALSE)</f>
        <v>1290</v>
      </c>
      <c r="G711" s="7"/>
    </row>
    <row r="712" spans="1:7" x14ac:dyDescent="0.2">
      <c r="A712" s="2">
        <v>10958</v>
      </c>
      <c r="B712" s="3" t="s">
        <v>67</v>
      </c>
      <c r="C712" s="3" t="s">
        <v>97</v>
      </c>
      <c r="D712" s="9">
        <v>40402</v>
      </c>
      <c r="E712" s="5">
        <v>582</v>
      </c>
      <c r="F712">
        <f>VLOOKUP(A712,paiments2[],3,FALSE)</f>
        <v>582</v>
      </c>
      <c r="G712" s="7"/>
    </row>
    <row r="713" spans="1:7" x14ac:dyDescent="0.2">
      <c r="A713" s="2">
        <v>10959</v>
      </c>
      <c r="B713" s="3" t="s">
        <v>69</v>
      </c>
      <c r="C713" s="3" t="s">
        <v>90</v>
      </c>
      <c r="D713" s="9">
        <v>40402</v>
      </c>
      <c r="E713" s="5">
        <v>100</v>
      </c>
      <c r="F713">
        <f>VLOOKUP(A713,paiments2[],3,FALSE)</f>
        <v>100</v>
      </c>
      <c r="G713" s="7"/>
    </row>
    <row r="714" spans="1:7" x14ac:dyDescent="0.2">
      <c r="A714" s="2">
        <v>10960</v>
      </c>
      <c r="B714" s="3" t="s">
        <v>8</v>
      </c>
      <c r="C714" s="3" t="s">
        <v>92</v>
      </c>
      <c r="D714" s="9">
        <v>40403</v>
      </c>
      <c r="E714" s="5">
        <v>198</v>
      </c>
      <c r="F714">
        <f>VLOOKUP(A714,paiments2[],3,FALSE)</f>
        <v>198</v>
      </c>
      <c r="G714" s="7"/>
    </row>
    <row r="715" spans="1:7" x14ac:dyDescent="0.2">
      <c r="A715" s="2">
        <v>10961</v>
      </c>
      <c r="B715" s="3" t="s">
        <v>61</v>
      </c>
      <c r="C715" s="3" t="s">
        <v>95</v>
      </c>
      <c r="D715" s="9">
        <v>40403</v>
      </c>
      <c r="E715" s="5">
        <v>810</v>
      </c>
      <c r="F715">
        <f>VLOOKUP(A715,paiments2[],3,FALSE)</f>
        <v>810</v>
      </c>
      <c r="G715" s="7"/>
    </row>
    <row r="716" spans="1:7" x14ac:dyDescent="0.2">
      <c r="A716" s="2">
        <v>10962</v>
      </c>
      <c r="B716" s="3" t="s">
        <v>21</v>
      </c>
      <c r="C716" s="3" t="s">
        <v>95</v>
      </c>
      <c r="D716" s="9">
        <v>40403</v>
      </c>
      <c r="E716" s="5">
        <v>2613</v>
      </c>
      <c r="F716">
        <f>VLOOKUP(A716,paiments2[],3,FALSE)</f>
        <v>2613</v>
      </c>
      <c r="G716" s="7"/>
    </row>
    <row r="717" spans="1:7" x14ac:dyDescent="0.2">
      <c r="A717" s="2">
        <v>10963</v>
      </c>
      <c r="B717" s="3" t="s">
        <v>47</v>
      </c>
      <c r="C717" s="3" t="s">
        <v>93</v>
      </c>
      <c r="D717" s="9">
        <v>40403</v>
      </c>
      <c r="E717" s="5">
        <v>50</v>
      </c>
      <c r="F717">
        <f>VLOOKUP(A717,paiments2[],3,FALSE)</f>
        <v>50</v>
      </c>
      <c r="G717" s="7"/>
    </row>
    <row r="718" spans="1:7" x14ac:dyDescent="0.2">
      <c r="A718" s="2">
        <v>10964</v>
      </c>
      <c r="B718" s="3" t="s">
        <v>84</v>
      </c>
      <c r="C718" s="3" t="s">
        <v>92</v>
      </c>
      <c r="D718" s="9">
        <v>40404</v>
      </c>
      <c r="E718" s="5">
        <v>1552</v>
      </c>
      <c r="F718">
        <f>VLOOKUP(A718,paiments2[],3,FALSE)</f>
        <v>1552</v>
      </c>
      <c r="G718" s="7"/>
    </row>
    <row r="719" spans="1:7" x14ac:dyDescent="0.2">
      <c r="A719" s="2">
        <v>10965</v>
      </c>
      <c r="B719" s="3" t="s">
        <v>37</v>
      </c>
      <c r="C719" s="3" t="s">
        <v>90</v>
      </c>
      <c r="D719" s="9">
        <v>40404</v>
      </c>
      <c r="E719" s="5">
        <v>640</v>
      </c>
      <c r="F719">
        <f>VLOOKUP(A719,paiments2[],3,FALSE)</f>
        <v>640</v>
      </c>
      <c r="G719" s="7"/>
    </row>
    <row r="720" spans="1:7" x14ac:dyDescent="0.2">
      <c r="A720" s="2">
        <v>10966</v>
      </c>
      <c r="B720" s="3" t="s">
        <v>5</v>
      </c>
      <c r="C720" s="3" t="s">
        <v>91</v>
      </c>
      <c r="D720" s="9">
        <v>40404</v>
      </c>
      <c r="E720" s="5">
        <v>932</v>
      </c>
      <c r="F720">
        <f>VLOOKUP(A720,paiments2[],3,FALSE)</f>
        <v>932</v>
      </c>
      <c r="G720" s="7"/>
    </row>
    <row r="721" spans="1:7" x14ac:dyDescent="0.2">
      <c r="A721" s="2">
        <v>10967</v>
      </c>
      <c r="B721" s="3" t="s">
        <v>1</v>
      </c>
      <c r="C721" s="3" t="s">
        <v>96</v>
      </c>
      <c r="D721" s="9">
        <v>40407</v>
      </c>
      <c r="E721" s="5">
        <v>684</v>
      </c>
      <c r="F721">
        <f>VLOOKUP(A721,paiments2[],3,FALSE)</f>
        <v>684</v>
      </c>
      <c r="G721" s="7"/>
    </row>
    <row r="722" spans="1:7" x14ac:dyDescent="0.2">
      <c r="A722" s="2">
        <v>10968</v>
      </c>
      <c r="B722" s="3" t="s">
        <v>9</v>
      </c>
      <c r="C722" s="3" t="s">
        <v>94</v>
      </c>
      <c r="D722" s="9">
        <v>40407</v>
      </c>
      <c r="E722" s="5">
        <v>1030</v>
      </c>
      <c r="F722">
        <f>VLOOKUP(A722,paiments2[],3,FALSE)</f>
        <v>1030</v>
      </c>
      <c r="G722" s="7"/>
    </row>
    <row r="723" spans="1:7" x14ac:dyDescent="0.2">
      <c r="A723" s="2">
        <v>10969</v>
      </c>
      <c r="B723" s="3" t="s">
        <v>32</v>
      </c>
      <c r="C723" s="3" t="s">
        <v>94</v>
      </c>
      <c r="D723" s="9">
        <v>40407</v>
      </c>
      <c r="E723" s="5">
        <v>81</v>
      </c>
      <c r="F723">
        <f>VLOOKUP(A723,paiments2[],3,FALSE)</f>
        <v>81</v>
      </c>
      <c r="G723" s="7"/>
    </row>
    <row r="724" spans="1:7" x14ac:dyDescent="0.2">
      <c r="A724" s="2">
        <v>10970</v>
      </c>
      <c r="B724" s="3" t="s">
        <v>46</v>
      </c>
      <c r="C724" s="3" t="s">
        <v>93</v>
      </c>
      <c r="D724" s="9">
        <v>40408</v>
      </c>
      <c r="E724" s="5">
        <v>1154</v>
      </c>
      <c r="F724">
        <f>VLOOKUP(A724,paiments2[],3,FALSE)</f>
        <v>1154</v>
      </c>
      <c r="G724" s="7"/>
    </row>
    <row r="725" spans="1:7" x14ac:dyDescent="0.2">
      <c r="A725" s="2">
        <v>10971</v>
      </c>
      <c r="B725" s="3" t="s">
        <v>83</v>
      </c>
      <c r="C725" s="3" t="s">
        <v>96</v>
      </c>
      <c r="D725" s="9">
        <v>40408</v>
      </c>
      <c r="E725" s="5">
        <v>1340</v>
      </c>
      <c r="F725">
        <f>VLOOKUP(A725,paiments2[],3,FALSE)</f>
        <v>1340</v>
      </c>
      <c r="G725" s="7"/>
    </row>
    <row r="726" spans="1:7" x14ac:dyDescent="0.2">
      <c r="A726" s="2">
        <v>10972</v>
      </c>
      <c r="B726" s="3" t="s">
        <v>85</v>
      </c>
      <c r="C726" s="3" t="s">
        <v>91</v>
      </c>
      <c r="D726" s="9">
        <v>40408</v>
      </c>
      <c r="E726" s="5">
        <v>2729</v>
      </c>
      <c r="F726">
        <f>VLOOKUP(A726,paiments2[],3,FALSE)</f>
        <v>2729</v>
      </c>
      <c r="G726" s="7"/>
    </row>
    <row r="727" spans="1:7" x14ac:dyDescent="0.2">
      <c r="A727" s="2">
        <v>10973</v>
      </c>
      <c r="B727" s="3" t="s">
        <v>85</v>
      </c>
      <c r="C727" s="3" t="s">
        <v>90</v>
      </c>
      <c r="D727" s="9">
        <v>40408</v>
      </c>
      <c r="E727" s="5">
        <v>624</v>
      </c>
      <c r="F727">
        <f>VLOOKUP(A727,paiments2[],3,FALSE)</f>
        <v>624</v>
      </c>
      <c r="G727" s="7"/>
    </row>
    <row r="728" spans="1:7" x14ac:dyDescent="0.2">
      <c r="A728" s="2">
        <v>10974</v>
      </c>
      <c r="B728" s="3" t="s">
        <v>20</v>
      </c>
      <c r="C728" s="3" t="s">
        <v>92</v>
      </c>
      <c r="D728" s="9">
        <v>40409</v>
      </c>
      <c r="E728" s="5">
        <v>850</v>
      </c>
      <c r="F728">
        <f>VLOOKUP(A728,paiments2[],3,FALSE)</f>
        <v>850</v>
      </c>
      <c r="G728" s="7"/>
    </row>
    <row r="729" spans="1:7" x14ac:dyDescent="0.2">
      <c r="A729" s="2">
        <v>10975</v>
      </c>
      <c r="B729" s="3" t="s">
        <v>64</v>
      </c>
      <c r="C729" s="3" t="s">
        <v>94</v>
      </c>
      <c r="D729" s="9">
        <v>40409</v>
      </c>
      <c r="E729" s="5">
        <v>1608</v>
      </c>
      <c r="F729">
        <f>VLOOKUP(A729,paiments2[],3,FALSE)</f>
        <v>1608</v>
      </c>
      <c r="G729" s="7"/>
    </row>
    <row r="730" spans="1:7" x14ac:dyDescent="0.2">
      <c r="A730" s="2">
        <v>10976</v>
      </c>
      <c r="B730" s="3" t="s">
        <v>8</v>
      </c>
      <c r="C730" s="3" t="s">
        <v>94</v>
      </c>
      <c r="D730" s="9">
        <v>40409</v>
      </c>
      <c r="E730" s="5">
        <v>408</v>
      </c>
      <c r="F730">
        <f>VLOOKUP(A730,paiments2[],3,FALSE)</f>
        <v>408</v>
      </c>
      <c r="G730" s="7"/>
    </row>
    <row r="731" spans="1:7" x14ac:dyDescent="0.2">
      <c r="A731" s="2">
        <v>10977</v>
      </c>
      <c r="B731" s="3" t="s">
        <v>14</v>
      </c>
      <c r="C731" s="3" t="s">
        <v>95</v>
      </c>
      <c r="D731" s="9">
        <v>40410</v>
      </c>
      <c r="E731" s="5">
        <v>935</v>
      </c>
      <c r="F731">
        <f>VLOOKUP(A731,paiments2[],3,FALSE)</f>
        <v>935</v>
      </c>
      <c r="G731" s="7"/>
    </row>
    <row r="732" spans="1:7" x14ac:dyDescent="0.2">
      <c r="A732" s="2">
        <v>10978</v>
      </c>
      <c r="B732" s="3" t="s">
        <v>78</v>
      </c>
      <c r="C732" s="3" t="s">
        <v>93</v>
      </c>
      <c r="D732" s="9">
        <v>40410</v>
      </c>
      <c r="E732" s="5">
        <v>2140</v>
      </c>
      <c r="F732">
        <f>VLOOKUP(A732,paiments2[],3,FALSE)</f>
        <v>2140</v>
      </c>
      <c r="G732" s="7"/>
    </row>
    <row r="733" spans="1:7" x14ac:dyDescent="0.2">
      <c r="A733" s="2">
        <v>10979</v>
      </c>
      <c r="B733" s="3" t="s">
        <v>9</v>
      </c>
      <c r="C733" s="3" t="s">
        <v>95</v>
      </c>
      <c r="D733" s="9">
        <v>40410</v>
      </c>
      <c r="E733" s="5">
        <v>390</v>
      </c>
      <c r="F733">
        <f>VLOOKUP(A733,paiments2[],3,FALSE)</f>
        <v>390</v>
      </c>
      <c r="G733" s="7"/>
    </row>
    <row r="734" spans="1:7" x14ac:dyDescent="0.2">
      <c r="A734" s="2">
        <v>10980</v>
      </c>
      <c r="B734" s="3" t="s">
        <v>14</v>
      </c>
      <c r="C734" s="3" t="s">
        <v>91</v>
      </c>
      <c r="D734" s="9">
        <v>40411</v>
      </c>
      <c r="E734" s="5">
        <v>700</v>
      </c>
      <c r="F734">
        <f>VLOOKUP(A734,paiments2[],3,FALSE)</f>
        <v>700</v>
      </c>
      <c r="G734" s="7"/>
    </row>
    <row r="735" spans="1:7" x14ac:dyDescent="0.2">
      <c r="A735" s="2">
        <v>10981</v>
      </c>
      <c r="B735" s="3" t="s">
        <v>2</v>
      </c>
      <c r="C735" s="3" t="s">
        <v>94</v>
      </c>
      <c r="D735" s="9">
        <v>40411</v>
      </c>
      <c r="E735" s="5">
        <v>968</v>
      </c>
      <c r="F735">
        <f>VLOOKUP(A735,paiments2[],3,FALSE)</f>
        <v>968</v>
      </c>
      <c r="G735" s="7"/>
    </row>
    <row r="736" spans="1:7" x14ac:dyDescent="0.2">
      <c r="A736" s="2">
        <v>10982</v>
      </c>
      <c r="B736" s="3" t="s">
        <v>64</v>
      </c>
      <c r="C736" s="3" t="s">
        <v>96</v>
      </c>
      <c r="D736" s="9">
        <v>40411</v>
      </c>
      <c r="E736" s="5">
        <v>525</v>
      </c>
      <c r="F736">
        <f>VLOOKUP(A736,paiments2[],3,FALSE)</f>
        <v>525</v>
      </c>
      <c r="G736" s="7"/>
    </row>
    <row r="737" spans="1:7" x14ac:dyDescent="0.2">
      <c r="A737" s="2">
        <v>10983</v>
      </c>
      <c r="B737" s="3" t="s">
        <v>45</v>
      </c>
      <c r="C737" s="3" t="s">
        <v>96</v>
      </c>
      <c r="D737" s="9">
        <v>40411</v>
      </c>
      <c r="E737" s="5">
        <v>1536</v>
      </c>
      <c r="F737">
        <f>VLOOKUP(A737,paiments2[],3,FALSE)</f>
        <v>1536</v>
      </c>
      <c r="G737" s="7"/>
    </row>
    <row r="738" spans="1:7" x14ac:dyDescent="0.2">
      <c r="A738" s="2">
        <v>10984</v>
      </c>
      <c r="B738" s="3" t="s">
        <v>45</v>
      </c>
      <c r="C738" s="3" t="s">
        <v>94</v>
      </c>
      <c r="D738" s="9">
        <v>40414</v>
      </c>
      <c r="E738" s="5">
        <v>2300</v>
      </c>
      <c r="F738">
        <f>VLOOKUP(A738,paiments2[],3,FALSE)</f>
        <v>2300</v>
      </c>
      <c r="G738" s="7"/>
    </row>
    <row r="739" spans="1:7" x14ac:dyDescent="0.2">
      <c r="A739" s="2">
        <v>10985</v>
      </c>
      <c r="B739" s="3" t="s">
        <v>34</v>
      </c>
      <c r="C739" s="3" t="s">
        <v>96</v>
      </c>
      <c r="D739" s="9">
        <v>40414</v>
      </c>
      <c r="E739" s="5">
        <v>115</v>
      </c>
      <c r="F739">
        <f>VLOOKUP(A739,paiments2[],3,FALSE)</f>
        <v>115</v>
      </c>
      <c r="G739" s="7"/>
    </row>
    <row r="740" spans="1:7" x14ac:dyDescent="0.2">
      <c r="A740" s="2">
        <v>10986</v>
      </c>
      <c r="B740" s="3" t="s">
        <v>67</v>
      </c>
      <c r="C740" s="3" t="s">
        <v>95</v>
      </c>
      <c r="D740" s="9">
        <v>40414</v>
      </c>
      <c r="E740" s="5">
        <v>705</v>
      </c>
      <c r="F740">
        <f>VLOOKUP(A740,paiments2[],3,FALSE)</f>
        <v>705</v>
      </c>
      <c r="G740" s="7"/>
    </row>
    <row r="741" spans="1:7" x14ac:dyDescent="0.2">
      <c r="A741" s="2">
        <v>10987</v>
      </c>
      <c r="B741" s="3" t="s">
        <v>58</v>
      </c>
      <c r="C741" s="3" t="s">
        <v>95</v>
      </c>
      <c r="D741" s="9">
        <v>40415</v>
      </c>
      <c r="E741" s="5">
        <v>2050</v>
      </c>
      <c r="F741">
        <f>VLOOKUP(A741,paiments2[],3,FALSE)</f>
        <v>2050</v>
      </c>
      <c r="G741" s="7"/>
    </row>
    <row r="742" spans="1:7" x14ac:dyDescent="0.2">
      <c r="A742" s="2">
        <v>10988</v>
      </c>
      <c r="B742" s="3" t="s">
        <v>13</v>
      </c>
      <c r="C742" s="3" t="s">
        <v>92</v>
      </c>
      <c r="D742" s="9">
        <v>40415</v>
      </c>
      <c r="E742" s="5">
        <v>2800</v>
      </c>
      <c r="F742">
        <f>VLOOKUP(A742,paiments2[],3,FALSE)</f>
        <v>2800</v>
      </c>
      <c r="G742" s="7"/>
    </row>
    <row r="743" spans="1:7" x14ac:dyDescent="0.2">
      <c r="A743" s="2">
        <v>10989</v>
      </c>
      <c r="B743" s="3" t="s">
        <v>12</v>
      </c>
      <c r="C743" s="3" t="s">
        <v>96</v>
      </c>
      <c r="D743" s="9">
        <v>40415</v>
      </c>
      <c r="E743" s="5">
        <v>1028</v>
      </c>
      <c r="F743">
        <f>VLOOKUP(A743,paiments2[],3,FALSE)</f>
        <v>1028</v>
      </c>
      <c r="G743" s="7"/>
    </row>
    <row r="744" spans="1:7" x14ac:dyDescent="0.2">
      <c r="A744" s="2">
        <v>10990</v>
      </c>
      <c r="B744" s="3" t="s">
        <v>9</v>
      </c>
      <c r="C744" s="3" t="s">
        <v>96</v>
      </c>
      <c r="D744" s="9">
        <v>40416</v>
      </c>
      <c r="E744" s="5">
        <v>3611</v>
      </c>
      <c r="F744">
        <f>VLOOKUP(A744,paiments2[],3,FALSE)</f>
        <v>3611</v>
      </c>
      <c r="G744" s="7"/>
    </row>
    <row r="745" spans="1:7" x14ac:dyDescent="0.2">
      <c r="A745" s="2">
        <v>10991</v>
      </c>
      <c r="B745" s="3" t="s">
        <v>21</v>
      </c>
      <c r="C745" s="3" t="s">
        <v>94</v>
      </c>
      <c r="D745" s="9">
        <v>40416</v>
      </c>
      <c r="E745" s="5">
        <v>2090</v>
      </c>
      <c r="F745">
        <f>VLOOKUP(A745,paiments2[],3,FALSE)</f>
        <v>2090</v>
      </c>
      <c r="G745" s="7"/>
    </row>
    <row r="746" spans="1:7" x14ac:dyDescent="0.2">
      <c r="A746" s="2">
        <v>10992</v>
      </c>
      <c r="B746" s="3" t="s">
        <v>40</v>
      </c>
      <c r="C746" s="3" t="s">
        <v>94</v>
      </c>
      <c r="D746" s="9">
        <v>40416</v>
      </c>
      <c r="E746" s="5">
        <v>52</v>
      </c>
      <c r="F746">
        <f>VLOOKUP(A746,paiments2[],3,FALSE)</f>
        <v>52</v>
      </c>
      <c r="G746" s="7"/>
    </row>
    <row r="747" spans="1:7" x14ac:dyDescent="0.2">
      <c r="A747" s="2">
        <v>10993</v>
      </c>
      <c r="B747" s="3" t="s">
        <v>14</v>
      </c>
      <c r="C747" s="3" t="s">
        <v>97</v>
      </c>
      <c r="D747" s="9">
        <v>40416</v>
      </c>
      <c r="E747" s="5">
        <v>4945</v>
      </c>
      <c r="F747">
        <f>VLOOKUP(A747,paiments2[],3,FALSE)</f>
        <v>4945</v>
      </c>
      <c r="G747" s="7"/>
    </row>
    <row r="748" spans="1:7" x14ac:dyDescent="0.2">
      <c r="A748" s="2">
        <v>10994</v>
      </c>
      <c r="B748" s="3" t="s">
        <v>60</v>
      </c>
      <c r="C748" s="3" t="s">
        <v>96</v>
      </c>
      <c r="D748" s="9">
        <v>40417</v>
      </c>
      <c r="E748" s="5">
        <v>738</v>
      </c>
      <c r="F748">
        <f>VLOOKUP(A748,paiments2[],3,FALSE)</f>
        <v>738</v>
      </c>
      <c r="G748" s="7"/>
    </row>
    <row r="749" spans="1:7" x14ac:dyDescent="0.2">
      <c r="A749" s="2">
        <v>10995</v>
      </c>
      <c r="B749" s="3" t="s">
        <v>43</v>
      </c>
      <c r="C749" s="3" t="s">
        <v>94</v>
      </c>
      <c r="D749" s="9">
        <v>40417</v>
      </c>
      <c r="E749" s="5">
        <v>900</v>
      </c>
      <c r="F749">
        <f>VLOOKUP(A749,paiments2[],3,FALSE)</f>
        <v>900</v>
      </c>
      <c r="G749" s="7"/>
    </row>
    <row r="750" spans="1:7" x14ac:dyDescent="0.2">
      <c r="A750" s="2">
        <v>10996</v>
      </c>
      <c r="B750" s="3" t="s">
        <v>21</v>
      </c>
      <c r="C750" s="3" t="s">
        <v>91</v>
      </c>
      <c r="D750" s="9">
        <v>40417</v>
      </c>
      <c r="E750" s="5">
        <v>400</v>
      </c>
      <c r="F750">
        <f>VLOOKUP(A750,paiments2[],3,FALSE)</f>
        <v>400</v>
      </c>
      <c r="G750" s="7"/>
    </row>
    <row r="751" spans="1:7" x14ac:dyDescent="0.2">
      <c r="A751" s="2">
        <v>10997</v>
      </c>
      <c r="B751" s="3" t="s">
        <v>28</v>
      </c>
      <c r="C751" s="3" t="s">
        <v>95</v>
      </c>
      <c r="D751" s="9">
        <v>40418</v>
      </c>
      <c r="E751" s="5">
        <v>1480</v>
      </c>
      <c r="F751">
        <f>VLOOKUP(A751,paiments2[],3,FALSE)</f>
        <v>1480</v>
      </c>
      <c r="G751" s="7"/>
    </row>
    <row r="752" spans="1:7" x14ac:dyDescent="0.2">
      <c r="A752" s="2">
        <v>10998</v>
      </c>
      <c r="B752" s="3" t="s">
        <v>99</v>
      </c>
      <c r="C752" s="3" t="s">
        <v>95</v>
      </c>
      <c r="D752" s="9">
        <v>40418</v>
      </c>
      <c r="E752" s="5">
        <v>473</v>
      </c>
      <c r="F752">
        <f>VLOOKUP(A752,paiments2[],3,FALSE)</f>
        <v>473</v>
      </c>
      <c r="G752" s="7"/>
    </row>
    <row r="753" spans="1:7" x14ac:dyDescent="0.2">
      <c r="A753" s="2">
        <v>10999</v>
      </c>
      <c r="B753" s="3" t="s">
        <v>11</v>
      </c>
      <c r="C753" s="3" t="s">
        <v>90</v>
      </c>
      <c r="D753" s="9">
        <v>40418</v>
      </c>
      <c r="E753" s="5">
        <v>929</v>
      </c>
      <c r="F753">
        <f>VLOOKUP(A753,paiments2[],3,FALSE)</f>
        <v>929</v>
      </c>
      <c r="G753" s="7"/>
    </row>
    <row r="754" spans="1:7" x14ac:dyDescent="0.2">
      <c r="A754" s="2">
        <v>11000</v>
      </c>
      <c r="B754" s="3" t="s">
        <v>13</v>
      </c>
      <c r="C754" s="3" t="s">
        <v>96</v>
      </c>
      <c r="D754" s="9">
        <v>40421</v>
      </c>
      <c r="E754" s="5">
        <v>760</v>
      </c>
      <c r="F754">
        <f>VLOOKUP(A754,paiments2[],3,FALSE)</f>
        <v>760</v>
      </c>
      <c r="G754" s="7"/>
    </row>
    <row r="755" spans="1:7" x14ac:dyDescent="0.2">
      <c r="A755" s="2">
        <v>11001</v>
      </c>
      <c r="B755" s="3" t="s">
        <v>14</v>
      </c>
      <c r="C755" s="3" t="s">
        <v>96</v>
      </c>
      <c r="D755" s="9">
        <v>40421</v>
      </c>
      <c r="E755" s="5">
        <v>2053</v>
      </c>
      <c r="F755">
        <f>VLOOKUP(A755,paiments2[],3,FALSE)</f>
        <v>2053</v>
      </c>
      <c r="G755" s="7"/>
    </row>
    <row r="756" spans="1:7" x14ac:dyDescent="0.2">
      <c r="A756" s="2">
        <v>11002</v>
      </c>
      <c r="B756" s="3" t="s">
        <v>45</v>
      </c>
      <c r="C756" s="3" t="s">
        <v>91</v>
      </c>
      <c r="D756" s="9">
        <v>40421</v>
      </c>
      <c r="E756" s="5">
        <v>1379</v>
      </c>
      <c r="F756">
        <f>VLOOKUP(A756,paiments2[],3,FALSE)</f>
        <v>1379</v>
      </c>
      <c r="G756" s="7"/>
    </row>
    <row r="757" spans="1:7" x14ac:dyDescent="0.2">
      <c r="A757" s="2">
        <v>11003</v>
      </c>
      <c r="B757" s="3" t="s">
        <v>82</v>
      </c>
      <c r="C757" s="3" t="s">
        <v>92</v>
      </c>
      <c r="D757" s="9">
        <v>40421</v>
      </c>
      <c r="E757" s="5">
        <v>242</v>
      </c>
      <c r="F757">
        <f>VLOOKUP(A757,paiments2[],3,FALSE)</f>
        <v>242</v>
      </c>
      <c r="G757" s="7"/>
    </row>
    <row r="758" spans="1:7" x14ac:dyDescent="0.2">
      <c r="A758" s="2">
        <v>11004</v>
      </c>
      <c r="B758" s="3" t="s">
        <v>78</v>
      </c>
      <c r="C758" s="3" t="s">
        <v>92</v>
      </c>
      <c r="D758" s="9">
        <v>40422</v>
      </c>
      <c r="E758" s="5">
        <v>216</v>
      </c>
      <c r="F758">
        <f>VLOOKUP(A758,paiments2[],3,FALSE)</f>
        <v>216</v>
      </c>
      <c r="G758" s="7"/>
    </row>
    <row r="759" spans="1:7" x14ac:dyDescent="0.2">
      <c r="A759" s="2">
        <v>11005</v>
      </c>
      <c r="B759" s="3" t="s">
        <v>81</v>
      </c>
      <c r="C759" s="3" t="s">
        <v>96</v>
      </c>
      <c r="D759" s="9">
        <v>40422</v>
      </c>
      <c r="E759" s="5">
        <v>436</v>
      </c>
      <c r="F759">
        <f>VLOOKUP(A759,paiments2[],3,FALSE)</f>
        <v>436</v>
      </c>
      <c r="G759" s="7"/>
    </row>
    <row r="760" spans="1:7" x14ac:dyDescent="0.2">
      <c r="A760" s="2">
        <v>11006</v>
      </c>
      <c r="B760" s="3" t="s">
        <v>77</v>
      </c>
      <c r="C760" s="3" t="s">
        <v>92</v>
      </c>
      <c r="D760" s="9">
        <v>40422</v>
      </c>
      <c r="E760" s="5">
        <v>292</v>
      </c>
      <c r="F760">
        <f>VLOOKUP(A760,paiments2[],3,FALSE)</f>
        <v>292</v>
      </c>
      <c r="G760" s="7"/>
    </row>
    <row r="761" spans="1:7" x14ac:dyDescent="0.2">
      <c r="A761" s="2">
        <v>11007</v>
      </c>
      <c r="B761" s="3" t="s">
        <v>50</v>
      </c>
      <c r="C761" s="3" t="s">
        <v>95</v>
      </c>
      <c r="D761" s="9">
        <v>40423</v>
      </c>
      <c r="E761" s="5">
        <v>1980</v>
      </c>
      <c r="F761">
        <f>VLOOKUP(A761,paiments2[],3,FALSE)</f>
        <v>1980</v>
      </c>
      <c r="G761" s="7"/>
    </row>
    <row r="762" spans="1:7" x14ac:dyDescent="0.2">
      <c r="A762" s="2">
        <v>11008</v>
      </c>
      <c r="B762" s="3" t="s">
        <v>9</v>
      </c>
      <c r="C762" s="3" t="s">
        <v>97</v>
      </c>
      <c r="D762" s="9">
        <v>40423</v>
      </c>
      <c r="E762" s="5">
        <v>3616</v>
      </c>
      <c r="F762">
        <f>VLOOKUP(A762,paiments2[],3,FALSE)</f>
        <v>3616</v>
      </c>
      <c r="G762" s="7"/>
    </row>
    <row r="763" spans="1:7" x14ac:dyDescent="0.2">
      <c r="A763" s="2">
        <v>11009</v>
      </c>
      <c r="B763" s="3" t="s">
        <v>36</v>
      </c>
      <c r="C763" s="3" t="s">
        <v>96</v>
      </c>
      <c r="D763" s="9">
        <v>40423</v>
      </c>
      <c r="E763" s="5">
        <v>513</v>
      </c>
      <c r="F763">
        <f>VLOOKUP(A763,paiments2[],3,FALSE)</f>
        <v>513</v>
      </c>
      <c r="G763" s="7"/>
    </row>
    <row r="764" spans="1:7" x14ac:dyDescent="0.2">
      <c r="A764" s="2">
        <v>11010</v>
      </c>
      <c r="B764" s="3" t="s">
        <v>30</v>
      </c>
      <c r="C764" s="3" t="s">
        <v>96</v>
      </c>
      <c r="D764" s="9">
        <v>40424</v>
      </c>
      <c r="E764" s="5">
        <v>470</v>
      </c>
      <c r="F764">
        <f>VLOOKUP(A764,paiments2[],3,FALSE)</f>
        <v>470</v>
      </c>
      <c r="G764" s="7"/>
    </row>
    <row r="765" spans="1:7" x14ac:dyDescent="0.2">
      <c r="A765" s="2">
        <v>11011</v>
      </c>
      <c r="B765" s="3" t="s">
        <v>100</v>
      </c>
      <c r="C765" s="3" t="s">
        <v>92</v>
      </c>
      <c r="D765" s="9">
        <v>40424</v>
      </c>
      <c r="E765" s="5">
        <v>720</v>
      </c>
      <c r="F765">
        <f>VLOOKUP(A765,paiments2[],3,FALSE)</f>
        <v>720</v>
      </c>
      <c r="G765" s="7"/>
    </row>
    <row r="766" spans="1:7" x14ac:dyDescent="0.2">
      <c r="A766" s="2">
        <v>11012</v>
      </c>
      <c r="B766" s="3" t="s">
        <v>17</v>
      </c>
      <c r="C766" s="3" t="s">
        <v>94</v>
      </c>
      <c r="D766" s="9">
        <v>40424</v>
      </c>
      <c r="E766" s="5">
        <v>2210</v>
      </c>
      <c r="F766">
        <f>VLOOKUP(A766,paiments2[],3,FALSE)</f>
        <v>2210</v>
      </c>
      <c r="G766" s="7"/>
    </row>
    <row r="767" spans="1:7" x14ac:dyDescent="0.2">
      <c r="A767" s="2">
        <v>11013</v>
      </c>
      <c r="B767" s="3" t="s">
        <v>27</v>
      </c>
      <c r="C767" s="3" t="s">
        <v>96</v>
      </c>
      <c r="D767" s="9">
        <v>40424</v>
      </c>
      <c r="E767" s="5">
        <v>258</v>
      </c>
      <c r="F767">
        <f>VLOOKUP(A767,paiments2[],3,FALSE)</f>
        <v>258</v>
      </c>
      <c r="G767" s="7"/>
    </row>
    <row r="768" spans="1:7" x14ac:dyDescent="0.2">
      <c r="A768" s="2">
        <v>11014</v>
      </c>
      <c r="B768" s="3" t="s">
        <v>65</v>
      </c>
      <c r="C768" s="3" t="s">
        <v>96</v>
      </c>
      <c r="D768" s="9">
        <v>40425</v>
      </c>
      <c r="E768" s="5">
        <v>196</v>
      </c>
      <c r="F768">
        <f>VLOOKUP(A768,paiments2[],3,FALSE)</f>
        <v>196</v>
      </c>
      <c r="G768" s="7"/>
    </row>
    <row r="769" spans="1:7" x14ac:dyDescent="0.2">
      <c r="A769" s="2">
        <v>11015</v>
      </c>
      <c r="B769" s="3" t="s">
        <v>63</v>
      </c>
      <c r="C769" s="3" t="s">
        <v>96</v>
      </c>
      <c r="D769" s="9">
        <v>40425</v>
      </c>
      <c r="E769" s="5">
        <v>447</v>
      </c>
      <c r="F769">
        <f>VLOOKUP(A769,paiments2[],3,FALSE)</f>
        <v>447</v>
      </c>
      <c r="G769" s="7"/>
    </row>
    <row r="770" spans="1:7" x14ac:dyDescent="0.2">
      <c r="A770" s="2">
        <v>11016</v>
      </c>
      <c r="B770" s="3" t="s">
        <v>55</v>
      </c>
      <c r="C770" s="3" t="s">
        <v>93</v>
      </c>
      <c r="D770" s="9">
        <v>40425</v>
      </c>
      <c r="E770" s="5">
        <v>359</v>
      </c>
      <c r="F770">
        <f>VLOOKUP(A770,paiments2[],3,FALSE)</f>
        <v>359</v>
      </c>
      <c r="G770" s="7"/>
    </row>
    <row r="771" spans="1:7" x14ac:dyDescent="0.2">
      <c r="A771" s="2">
        <v>11017</v>
      </c>
      <c r="B771" s="3" t="s">
        <v>9</v>
      </c>
      <c r="C771" s="3" t="s">
        <v>93</v>
      </c>
      <c r="D771" s="9">
        <v>40428</v>
      </c>
      <c r="E771" s="5">
        <v>5015</v>
      </c>
      <c r="F771">
        <f>VLOOKUP(A771,paiments2[],3,FALSE)</f>
        <v>5015</v>
      </c>
      <c r="G771" s="7"/>
    </row>
    <row r="772" spans="1:7" x14ac:dyDescent="0.2">
      <c r="A772" s="2">
        <v>11018</v>
      </c>
      <c r="B772" s="3" t="s">
        <v>38</v>
      </c>
      <c r="C772" s="3" t="s">
        <v>91</v>
      </c>
      <c r="D772" s="9">
        <v>40428</v>
      </c>
      <c r="E772" s="5">
        <v>1170</v>
      </c>
      <c r="F772">
        <f>VLOOKUP(A772,paiments2[],3,FALSE)</f>
        <v>1170</v>
      </c>
      <c r="G772" s="7"/>
    </row>
    <row r="773" spans="1:7" x14ac:dyDescent="0.2">
      <c r="A773" s="2">
        <v>11019</v>
      </c>
      <c r="B773" s="3" t="s">
        <v>71</v>
      </c>
      <c r="C773" s="3" t="s">
        <v>90</v>
      </c>
      <c r="D773" s="9">
        <v>40428</v>
      </c>
      <c r="E773" s="5">
        <v>57</v>
      </c>
      <c r="F773">
        <f>VLOOKUP(A773,paiments2[],3,FALSE)</f>
        <v>57</v>
      </c>
      <c r="G773" s="7"/>
    </row>
    <row r="774" spans="1:7" x14ac:dyDescent="0.2">
      <c r="A774" s="2">
        <v>11020</v>
      </c>
      <c r="B774" s="3" t="s">
        <v>11</v>
      </c>
      <c r="C774" s="3" t="s">
        <v>96</v>
      </c>
      <c r="D774" s="9">
        <v>40429</v>
      </c>
      <c r="E774" s="5">
        <v>552</v>
      </c>
      <c r="F774">
        <f>VLOOKUP(A774,paiments2[],3,FALSE)</f>
        <v>552</v>
      </c>
      <c r="G774" s="7"/>
    </row>
    <row r="775" spans="1:7" x14ac:dyDescent="0.2">
      <c r="A775" s="2">
        <v>11021</v>
      </c>
      <c r="B775" s="3" t="s">
        <v>21</v>
      </c>
      <c r="C775" s="3" t="s">
        <v>92</v>
      </c>
      <c r="D775" s="9">
        <v>40429</v>
      </c>
      <c r="E775" s="5">
        <v>1154</v>
      </c>
      <c r="F775">
        <f>VLOOKUP(A775,paiments2[],3,FALSE)</f>
        <v>1154</v>
      </c>
      <c r="G775" s="7"/>
    </row>
    <row r="776" spans="1:7" x14ac:dyDescent="0.2">
      <c r="A776" s="2">
        <v>11022</v>
      </c>
      <c r="B776" s="3" t="s">
        <v>2</v>
      </c>
      <c r="C776" s="3" t="s">
        <v>93</v>
      </c>
      <c r="D776" s="9">
        <v>40429</v>
      </c>
      <c r="E776" s="5">
        <v>1340</v>
      </c>
      <c r="F776">
        <f>VLOOKUP(A776,paiments2[],3,FALSE)</f>
        <v>1340</v>
      </c>
      <c r="G776" s="7"/>
    </row>
    <row r="777" spans="1:7" x14ac:dyDescent="0.2">
      <c r="A777" s="2">
        <v>11023</v>
      </c>
      <c r="B777" s="3" t="s">
        <v>31</v>
      </c>
      <c r="C777" s="3" t="s">
        <v>94</v>
      </c>
      <c r="D777" s="9">
        <v>40429</v>
      </c>
      <c r="E777" s="5">
        <v>2729</v>
      </c>
      <c r="F777">
        <f>VLOOKUP(A777,paiments2[],3,FALSE)</f>
        <v>2729</v>
      </c>
      <c r="G777" s="7"/>
    </row>
    <row r="778" spans="1:7" x14ac:dyDescent="0.2">
      <c r="A778" s="2">
        <v>11024</v>
      </c>
      <c r="B778" s="3" t="s">
        <v>58</v>
      </c>
      <c r="C778" s="3" t="s">
        <v>91</v>
      </c>
      <c r="D778" s="9">
        <v>40430</v>
      </c>
      <c r="E778" s="5">
        <v>624</v>
      </c>
      <c r="F778">
        <f>VLOOKUP(A778,paiments2[],3,FALSE)</f>
        <v>624</v>
      </c>
      <c r="G778" s="7"/>
    </row>
    <row r="779" spans="1:7" x14ac:dyDescent="0.2">
      <c r="A779" s="2">
        <v>11025</v>
      </c>
      <c r="B779" s="3" t="s">
        <v>16</v>
      </c>
      <c r="C779" s="3" t="s">
        <v>90</v>
      </c>
      <c r="D779" s="9">
        <v>40430</v>
      </c>
      <c r="E779" s="5">
        <v>850</v>
      </c>
      <c r="F779">
        <f>VLOOKUP(A779,paiments2[],3,FALSE)</f>
        <v>850</v>
      </c>
      <c r="G779" s="7"/>
    </row>
    <row r="780" spans="1:7" x14ac:dyDescent="0.2">
      <c r="A780" s="2">
        <v>11026</v>
      </c>
      <c r="B780" s="3" t="s">
        <v>68</v>
      </c>
      <c r="C780" s="3" t="s">
        <v>91</v>
      </c>
      <c r="D780" s="9">
        <v>40430</v>
      </c>
      <c r="E780" s="5">
        <v>1608</v>
      </c>
      <c r="F780">
        <f>VLOOKUP(A780,paiments2[],3,FALSE)</f>
        <v>1608</v>
      </c>
      <c r="G780" s="7"/>
    </row>
    <row r="781" spans="1:7" x14ac:dyDescent="0.2">
      <c r="A781" s="2">
        <v>11027</v>
      </c>
      <c r="B781" s="3" t="s">
        <v>64</v>
      </c>
      <c r="C781" s="3" t="s">
        <v>94</v>
      </c>
      <c r="D781" s="9">
        <v>40431</v>
      </c>
      <c r="E781" s="5">
        <v>408</v>
      </c>
      <c r="F781">
        <f>VLOOKUP(A781,paiments2[],3,FALSE)</f>
        <v>408</v>
      </c>
      <c r="G781" s="7"/>
    </row>
    <row r="782" spans="1:7" x14ac:dyDescent="0.2">
      <c r="A782" s="2">
        <v>11028</v>
      </c>
      <c r="B782" s="3" t="s">
        <v>44</v>
      </c>
      <c r="C782" s="3" t="s">
        <v>96</v>
      </c>
      <c r="D782" s="9">
        <v>40431</v>
      </c>
      <c r="E782" s="5">
        <v>935</v>
      </c>
      <c r="F782">
        <f>VLOOKUP(A782,paiments2[],3,FALSE)</f>
        <v>935</v>
      </c>
      <c r="G782" s="7"/>
    </row>
    <row r="783" spans="1:7" x14ac:dyDescent="0.2">
      <c r="A783" s="2">
        <v>11029</v>
      </c>
      <c r="B783" s="3" t="s">
        <v>5</v>
      </c>
      <c r="C783" s="3" t="s">
        <v>91</v>
      </c>
      <c r="D783" s="9">
        <v>40431</v>
      </c>
      <c r="E783" s="5">
        <v>2140</v>
      </c>
      <c r="F783">
        <f>VLOOKUP(A783,paiments2[],3,FALSE)</f>
        <v>2140</v>
      </c>
      <c r="G783" s="7"/>
    </row>
    <row r="784" spans="1:7" x14ac:dyDescent="0.2">
      <c r="A784" s="2">
        <v>11030</v>
      </c>
      <c r="B784" s="3" t="s">
        <v>45</v>
      </c>
      <c r="C784" s="3" t="s">
        <v>97</v>
      </c>
      <c r="D784" s="9">
        <v>40432</v>
      </c>
      <c r="E784" s="5">
        <v>390</v>
      </c>
      <c r="F784">
        <f>VLOOKUP(A784,paiments2[],3,FALSE)</f>
        <v>390</v>
      </c>
      <c r="G784" s="7"/>
    </row>
    <row r="785" spans="1:7" x14ac:dyDescent="0.2">
      <c r="A785" s="2">
        <v>11031</v>
      </c>
      <c r="B785" s="3" t="s">
        <v>45</v>
      </c>
      <c r="C785" s="3" t="s">
        <v>90</v>
      </c>
      <c r="D785" s="9">
        <v>40432</v>
      </c>
      <c r="E785" s="5">
        <v>700</v>
      </c>
      <c r="F785">
        <f>VLOOKUP(A785,paiments2[],3,FALSE)</f>
        <v>700</v>
      </c>
      <c r="G785" s="7"/>
    </row>
    <row r="786" spans="1:7" x14ac:dyDescent="0.2">
      <c r="A786" s="2">
        <v>11032</v>
      </c>
      <c r="B786" s="3" t="s">
        <v>19</v>
      </c>
      <c r="C786" s="3" t="s">
        <v>96</v>
      </c>
      <c r="D786" s="9">
        <v>40432</v>
      </c>
      <c r="E786" s="5">
        <v>968</v>
      </c>
      <c r="F786">
        <f>VLOOKUP(A786,paiments2[],3,FALSE)</f>
        <v>968</v>
      </c>
      <c r="G786" s="7"/>
    </row>
    <row r="787" spans="1:7" x14ac:dyDescent="0.2">
      <c r="A787" s="2">
        <v>11033</v>
      </c>
      <c r="B787" s="3" t="s">
        <v>6</v>
      </c>
      <c r="C787" s="3" t="s">
        <v>97</v>
      </c>
      <c r="D787" s="9">
        <v>40432</v>
      </c>
      <c r="E787" s="5">
        <v>525</v>
      </c>
      <c r="F787">
        <f>VLOOKUP(A787,paiments2[],3,FALSE)</f>
        <v>525</v>
      </c>
      <c r="G787" s="7"/>
    </row>
    <row r="788" spans="1:7" x14ac:dyDescent="0.2">
      <c r="A788" s="2">
        <v>11034</v>
      </c>
      <c r="B788" s="3" t="s">
        <v>37</v>
      </c>
      <c r="C788" s="3" t="s">
        <v>95</v>
      </c>
      <c r="D788" s="9">
        <v>40435</v>
      </c>
      <c r="E788" s="5">
        <v>1536</v>
      </c>
      <c r="F788">
        <f>VLOOKUP(A788,paiments2[],3,FALSE)</f>
        <v>1536</v>
      </c>
      <c r="G788" s="7"/>
    </row>
    <row r="789" spans="1:7" x14ac:dyDescent="0.2">
      <c r="A789" s="2">
        <v>11035</v>
      </c>
      <c r="B789" s="3" t="s">
        <v>4</v>
      </c>
      <c r="C789" s="3" t="s">
        <v>96</v>
      </c>
      <c r="D789" s="9">
        <v>40435</v>
      </c>
      <c r="E789" s="5">
        <v>2300</v>
      </c>
      <c r="F789">
        <f>VLOOKUP(A789,paiments2[],3,FALSE)</f>
        <v>2300</v>
      </c>
      <c r="G789" s="7"/>
    </row>
    <row r="790" spans="1:7" x14ac:dyDescent="0.2">
      <c r="A790" s="2">
        <v>11036</v>
      </c>
      <c r="B790" s="3" t="s">
        <v>57</v>
      </c>
      <c r="C790" s="3" t="s">
        <v>95</v>
      </c>
      <c r="D790" s="9">
        <v>40435</v>
      </c>
      <c r="E790" s="5">
        <v>115</v>
      </c>
      <c r="F790">
        <f>VLOOKUP(A790,paiments2[],3,FALSE)</f>
        <v>115</v>
      </c>
      <c r="G790" s="7"/>
    </row>
    <row r="791" spans="1:7" x14ac:dyDescent="0.2">
      <c r="A791" s="2">
        <v>11037</v>
      </c>
      <c r="B791" s="3" t="s">
        <v>36</v>
      </c>
      <c r="C791" s="3" t="s">
        <v>97</v>
      </c>
      <c r="D791" s="9">
        <v>40436</v>
      </c>
      <c r="E791" s="5">
        <v>705</v>
      </c>
      <c r="F791">
        <f>VLOOKUP(A791,paiments2[],3,FALSE)</f>
        <v>705</v>
      </c>
      <c r="G791" s="7"/>
    </row>
    <row r="792" spans="1:7" x14ac:dyDescent="0.2">
      <c r="A792" s="2">
        <v>11038</v>
      </c>
      <c r="B792" s="3" t="s">
        <v>4</v>
      </c>
      <c r="C792" s="3" t="s">
        <v>94</v>
      </c>
      <c r="D792" s="9">
        <v>40436</v>
      </c>
      <c r="E792" s="5">
        <v>560</v>
      </c>
      <c r="F792">
        <f>VLOOKUP(A792,paiments2[],3,FALSE)</f>
        <v>560</v>
      </c>
      <c r="G792" s="7"/>
    </row>
    <row r="793" spans="1:7" x14ac:dyDescent="0.2">
      <c r="A793" s="2">
        <v>11039</v>
      </c>
      <c r="B793" s="3" t="s">
        <v>65</v>
      </c>
      <c r="C793" s="3" t="s">
        <v>94</v>
      </c>
      <c r="D793" s="9">
        <v>40436</v>
      </c>
      <c r="E793" s="5">
        <v>2284</v>
      </c>
      <c r="F793">
        <f>VLOOKUP(A793,paiments2[],3,FALSE)</f>
        <v>2284</v>
      </c>
      <c r="G793" s="7"/>
    </row>
    <row r="794" spans="1:7" x14ac:dyDescent="0.2">
      <c r="A794" s="2">
        <v>11040</v>
      </c>
      <c r="B794" s="3" t="s">
        <v>77</v>
      </c>
      <c r="C794" s="3" t="s">
        <v>91</v>
      </c>
      <c r="D794" s="9">
        <v>40437</v>
      </c>
      <c r="E794" s="5">
        <v>140</v>
      </c>
      <c r="F794">
        <f>VLOOKUP(A794,paiments2[],3,FALSE)</f>
        <v>140</v>
      </c>
      <c r="G794" s="7"/>
    </row>
    <row r="795" spans="1:7" x14ac:dyDescent="0.2">
      <c r="A795" s="2">
        <v>11041</v>
      </c>
      <c r="B795" s="3" t="s">
        <v>5</v>
      </c>
      <c r="C795" s="3" t="s">
        <v>92</v>
      </c>
      <c r="D795" s="9">
        <v>40437</v>
      </c>
      <c r="E795" s="5">
        <v>1410</v>
      </c>
      <c r="F795">
        <f>VLOOKUP(A795,paiments2[],3,FALSE)</f>
        <v>1410</v>
      </c>
      <c r="G795" s="7"/>
    </row>
    <row r="796" spans="1:7" x14ac:dyDescent="0.2">
      <c r="A796" s="2">
        <v>11042</v>
      </c>
      <c r="B796" s="3" t="s">
        <v>32</v>
      </c>
      <c r="C796" s="3" t="s">
        <v>96</v>
      </c>
      <c r="D796" s="9">
        <v>40437</v>
      </c>
      <c r="E796" s="5">
        <v>294</v>
      </c>
      <c r="F796">
        <f>VLOOKUP(A796,paiments2[],3,FALSE)</f>
        <v>294</v>
      </c>
      <c r="G796" s="7"/>
    </row>
    <row r="797" spans="1:7" x14ac:dyDescent="0.2">
      <c r="A797" s="2">
        <v>11043</v>
      </c>
      <c r="B797" s="3" t="s">
        <v>84</v>
      </c>
      <c r="C797" s="3" t="s">
        <v>89</v>
      </c>
      <c r="D797" s="9">
        <v>40437</v>
      </c>
      <c r="E797" s="5">
        <v>160</v>
      </c>
      <c r="F797">
        <f>VLOOKUP(A797,paiments2[],3,FALSE)</f>
        <v>160</v>
      </c>
      <c r="G797" s="7"/>
    </row>
    <row r="798" spans="1:7" x14ac:dyDescent="0.2">
      <c r="A798" s="2">
        <v>11044</v>
      </c>
      <c r="B798" s="3" t="s">
        <v>99</v>
      </c>
      <c r="C798" s="3" t="s">
        <v>91</v>
      </c>
      <c r="D798" s="9">
        <v>40438</v>
      </c>
      <c r="E798" s="5">
        <v>444</v>
      </c>
      <c r="F798">
        <f>VLOOKUP(A798,paiments2[],3,FALSE)</f>
        <v>444</v>
      </c>
      <c r="G798" s="7"/>
    </row>
    <row r="799" spans="1:7" x14ac:dyDescent="0.2">
      <c r="A799" s="2">
        <v>11045</v>
      </c>
      <c r="B799" s="3" t="s">
        <v>64</v>
      </c>
      <c r="C799" s="3" t="s">
        <v>90</v>
      </c>
      <c r="D799" s="9">
        <v>40438</v>
      </c>
      <c r="E799" s="5">
        <v>975</v>
      </c>
      <c r="F799">
        <f>VLOOKUP(A799,paiments2[],3,FALSE)</f>
        <v>975</v>
      </c>
      <c r="G799" s="7"/>
    </row>
    <row r="800" spans="1:7" x14ac:dyDescent="0.2">
      <c r="A800" s="2">
        <v>11046</v>
      </c>
      <c r="B800" s="3" t="s">
        <v>35</v>
      </c>
      <c r="C800" s="3" t="s">
        <v>95</v>
      </c>
      <c r="D800" s="9">
        <v>40438</v>
      </c>
      <c r="E800" s="5">
        <v>1154</v>
      </c>
      <c r="F800">
        <f>VLOOKUP(A800,paiments2[],3,FALSE)</f>
        <v>1154</v>
      </c>
      <c r="G800" s="7"/>
    </row>
    <row r="801" spans="1:7" x14ac:dyDescent="0.2">
      <c r="A801" s="2">
        <v>11047</v>
      </c>
      <c r="B801" s="3" t="s">
        <v>58</v>
      </c>
      <c r="C801" s="3" t="s">
        <v>97</v>
      </c>
      <c r="D801" s="9">
        <v>40439</v>
      </c>
      <c r="E801" s="5">
        <v>805</v>
      </c>
      <c r="F801">
        <f>VLOOKUP(A801,paiments2[],3,FALSE)</f>
        <v>805</v>
      </c>
      <c r="G801" s="7"/>
    </row>
    <row r="802" spans="1:7" x14ac:dyDescent="0.2">
      <c r="A802" s="2">
        <v>11048</v>
      </c>
      <c r="B802" s="3" t="s">
        <v>64</v>
      </c>
      <c r="C802" s="3" t="s">
        <v>97</v>
      </c>
      <c r="D802" s="9">
        <v>40439</v>
      </c>
      <c r="E802" s="5">
        <v>378</v>
      </c>
      <c r="F802">
        <f>VLOOKUP(A802,paiments2[],3,FALSE)</f>
        <v>378</v>
      </c>
      <c r="G802" s="7"/>
    </row>
    <row r="803" spans="1:7" x14ac:dyDescent="0.2">
      <c r="A803" s="2">
        <v>11049</v>
      </c>
      <c r="B803" s="3" t="s">
        <v>69</v>
      </c>
      <c r="C803" s="3" t="s">
        <v>92</v>
      </c>
      <c r="D803" s="9">
        <v>40739</v>
      </c>
      <c r="E803" s="5">
        <v>252</v>
      </c>
      <c r="F803">
        <f>VLOOKUP(A803,paiments2[],3,FALSE)</f>
        <v>252</v>
      </c>
      <c r="G803" s="7"/>
    </row>
    <row r="804" spans="1:7" x14ac:dyDescent="0.2">
      <c r="A804" s="2">
        <v>11050</v>
      </c>
      <c r="B804" s="3" t="s">
        <v>14</v>
      </c>
      <c r="C804" s="3" t="s">
        <v>95</v>
      </c>
      <c r="D804" s="9">
        <v>40742</v>
      </c>
      <c r="E804" s="5">
        <v>650</v>
      </c>
      <c r="F804">
        <f>VLOOKUP(A804,paiments2[],3,FALSE)</f>
        <v>650</v>
      </c>
      <c r="G804" s="7"/>
    </row>
    <row r="805" spans="1:7" x14ac:dyDescent="0.2">
      <c r="A805" s="2">
        <v>11051</v>
      </c>
      <c r="B805" s="3" t="s">
        <v>53</v>
      </c>
      <c r="C805" s="3" t="s">
        <v>97</v>
      </c>
      <c r="D805" s="9">
        <v>40742</v>
      </c>
      <c r="E805" s="5">
        <v>30</v>
      </c>
      <c r="F805">
        <f>VLOOKUP(A805,paiments2[],3,FALSE)</f>
        <v>30</v>
      </c>
      <c r="G805" s="7"/>
    </row>
    <row r="806" spans="1:7" x14ac:dyDescent="0.2">
      <c r="A806" s="2">
        <v>11052</v>
      </c>
      <c r="B806" s="3" t="s">
        <v>2</v>
      </c>
      <c r="C806" s="3" t="s">
        <v>92</v>
      </c>
      <c r="D806" s="9">
        <v>40742</v>
      </c>
      <c r="E806" s="5">
        <v>1260</v>
      </c>
      <c r="F806">
        <f>VLOOKUP(A806,paiments2[],3,FALSE)</f>
        <v>1260</v>
      </c>
      <c r="G806" s="7"/>
    </row>
    <row r="807" spans="1:7" x14ac:dyDescent="0.2">
      <c r="A807" s="2">
        <v>11053</v>
      </c>
      <c r="B807" s="3" t="s">
        <v>54</v>
      </c>
      <c r="C807" s="3" t="s">
        <v>96</v>
      </c>
      <c r="D807" s="9">
        <v>40742</v>
      </c>
      <c r="E807" s="5">
        <v>2750</v>
      </c>
      <c r="F807">
        <f>VLOOKUP(A807,paiments2[],3,FALSE)</f>
        <v>2750</v>
      </c>
      <c r="G807" s="7"/>
    </row>
    <row r="808" spans="1:7" x14ac:dyDescent="0.2">
      <c r="A808" s="2">
        <v>11054</v>
      </c>
      <c r="B808" s="3" t="s">
        <v>76</v>
      </c>
      <c r="C808" s="3" t="s">
        <v>95</v>
      </c>
      <c r="D808" s="9">
        <v>40743</v>
      </c>
      <c r="E808" s="5">
        <v>210</v>
      </c>
      <c r="F808">
        <f>VLOOKUP(A808,paiments2[],3,FALSE)</f>
        <v>210</v>
      </c>
      <c r="G808" s="7"/>
    </row>
    <row r="809" spans="1:7" x14ac:dyDescent="0.2">
      <c r="A809" s="2">
        <v>11055</v>
      </c>
      <c r="B809" s="3" t="s">
        <v>8</v>
      </c>
      <c r="C809" s="3" t="s">
        <v>97</v>
      </c>
      <c r="D809" s="9">
        <v>40743</v>
      </c>
      <c r="E809" s="5">
        <v>1275</v>
      </c>
      <c r="F809">
        <f>VLOOKUP(A809,paiments2[],3,FALSE)</f>
        <v>1275</v>
      </c>
      <c r="G809" s="7"/>
    </row>
    <row r="810" spans="1:7" x14ac:dyDescent="0.2">
      <c r="A810" s="2">
        <v>11056</v>
      </c>
      <c r="B810" s="3" t="s">
        <v>58</v>
      </c>
      <c r="C810" s="3" t="s">
        <v>95</v>
      </c>
      <c r="D810" s="9">
        <v>40743</v>
      </c>
      <c r="E810" s="5">
        <v>2760</v>
      </c>
      <c r="F810">
        <f>VLOOKUP(A810,paiments2[],3,FALSE)</f>
        <v>2760</v>
      </c>
      <c r="G810" s="7"/>
    </row>
    <row r="811" spans="1:7" x14ac:dyDescent="0.2">
      <c r="A811" s="2">
        <v>11057</v>
      </c>
      <c r="B811" s="3" t="s">
        <v>75</v>
      </c>
      <c r="C811" s="3" t="s">
        <v>92</v>
      </c>
      <c r="D811" s="9">
        <v>40744</v>
      </c>
      <c r="E811" s="5">
        <v>33</v>
      </c>
      <c r="F811">
        <f>VLOOKUP(A811,paiments2[],3,FALSE)</f>
        <v>33</v>
      </c>
      <c r="G811" s="7"/>
    </row>
    <row r="812" spans="1:7" x14ac:dyDescent="0.2">
      <c r="A812" s="2">
        <v>11058</v>
      </c>
      <c r="B812" s="3" t="s">
        <v>74</v>
      </c>
      <c r="C812" s="3" t="s">
        <v>93</v>
      </c>
      <c r="D812" s="9">
        <v>40744</v>
      </c>
      <c r="E812" s="5">
        <v>630</v>
      </c>
      <c r="F812">
        <f>VLOOKUP(A812,paiments2[],3,FALSE)</f>
        <v>630</v>
      </c>
      <c r="G812" s="7"/>
    </row>
    <row r="813" spans="1:7" x14ac:dyDescent="0.2">
      <c r="A813" s="2">
        <v>11059</v>
      </c>
      <c r="B813" s="3" t="s">
        <v>29</v>
      </c>
      <c r="C813" s="3" t="s">
        <v>96</v>
      </c>
      <c r="D813" s="9">
        <v>40744</v>
      </c>
      <c r="E813" s="5">
        <v>1343</v>
      </c>
      <c r="F813">
        <f>VLOOKUP(A813,paiments2[],3,FALSE)</f>
        <v>1343</v>
      </c>
      <c r="G813" s="7"/>
    </row>
    <row r="814" spans="1:7" x14ac:dyDescent="0.2">
      <c r="A814" s="2">
        <v>11060</v>
      </c>
      <c r="B814" s="3" t="s">
        <v>68</v>
      </c>
      <c r="C814" s="3" t="s">
        <v>96</v>
      </c>
      <c r="D814" s="9">
        <v>40745</v>
      </c>
      <c r="E814" s="5">
        <v>190</v>
      </c>
      <c r="F814">
        <f>VLOOKUP(A814,paiments2[],3,FALSE)</f>
        <v>190</v>
      </c>
      <c r="G814" s="7"/>
    </row>
    <row r="815" spans="1:7" x14ac:dyDescent="0.2">
      <c r="A815" s="2">
        <v>11061</v>
      </c>
      <c r="B815" s="3" t="s">
        <v>77</v>
      </c>
      <c r="C815" s="3" t="s">
        <v>91</v>
      </c>
      <c r="D815" s="9">
        <v>40745</v>
      </c>
      <c r="E815" s="5">
        <v>375</v>
      </c>
      <c r="F815">
        <f>VLOOKUP(A815,paiments2[],3,FALSE)</f>
        <v>375</v>
      </c>
      <c r="G815" s="7"/>
    </row>
    <row r="816" spans="1:7" x14ac:dyDescent="0.2">
      <c r="A816" s="2">
        <v>11062</v>
      </c>
      <c r="B816" s="3" t="s">
        <v>30</v>
      </c>
      <c r="C816" s="3" t="s">
        <v>91</v>
      </c>
      <c r="D816" s="9">
        <v>40745</v>
      </c>
      <c r="E816" s="5">
        <v>382</v>
      </c>
      <c r="F816">
        <f>VLOOKUP(A816,paiments2[],3,FALSE)</f>
        <v>382</v>
      </c>
      <c r="G816" s="7"/>
    </row>
    <row r="817" spans="1:7" x14ac:dyDescent="0.2">
      <c r="A817" s="2">
        <v>11063</v>
      </c>
      <c r="B817" s="3" t="s">
        <v>34</v>
      </c>
      <c r="C817" s="3" t="s">
        <v>92</v>
      </c>
      <c r="D817" s="9">
        <v>40745</v>
      </c>
      <c r="E817" s="5">
        <v>1070</v>
      </c>
      <c r="F817">
        <f>VLOOKUP(A817,paiments2[],3,FALSE)</f>
        <v>1070</v>
      </c>
      <c r="G817" s="7"/>
    </row>
    <row r="818" spans="1:7" x14ac:dyDescent="0.2">
      <c r="A818" s="2">
        <v>11064</v>
      </c>
      <c r="B818" s="3" t="s">
        <v>45</v>
      </c>
      <c r="C818" s="3" t="s">
        <v>94</v>
      </c>
      <c r="D818" s="9">
        <v>40746</v>
      </c>
      <c r="E818" s="5">
        <v>3509</v>
      </c>
      <c r="F818">
        <f>VLOOKUP(A818,paiments2[],3,FALSE)</f>
        <v>3509</v>
      </c>
      <c r="G818" s="7"/>
    </row>
    <row r="819" spans="1:7" x14ac:dyDescent="0.2">
      <c r="A819" s="2">
        <v>11065</v>
      </c>
      <c r="B819" s="3" t="s">
        <v>28</v>
      </c>
      <c r="C819" s="3" t="s">
        <v>95</v>
      </c>
      <c r="D819" s="9">
        <v>40746</v>
      </c>
      <c r="E819" s="5">
        <v>176</v>
      </c>
      <c r="F819">
        <f>VLOOKUP(A819,paiments2[],3,FALSE)</f>
        <v>176</v>
      </c>
      <c r="G819" s="7"/>
    </row>
    <row r="820" spans="1:7" x14ac:dyDescent="0.2">
      <c r="A820" s="2">
        <v>11066</v>
      </c>
      <c r="B820" s="3" t="s">
        <v>19</v>
      </c>
      <c r="C820" s="3" t="s">
        <v>97</v>
      </c>
      <c r="D820" s="9">
        <v>40746</v>
      </c>
      <c r="E820" s="5">
        <v>683</v>
      </c>
      <c r="F820">
        <f>VLOOKUP(A820,paiments2[],3,FALSE)</f>
        <v>683</v>
      </c>
      <c r="G820" s="7"/>
    </row>
    <row r="821" spans="1:7" x14ac:dyDescent="0.2">
      <c r="A821" s="2">
        <v>11067</v>
      </c>
      <c r="B821" s="3" t="s">
        <v>57</v>
      </c>
      <c r="C821" s="3" t="s">
        <v>94</v>
      </c>
      <c r="D821" s="9">
        <v>40749</v>
      </c>
      <c r="E821" s="5">
        <v>1154</v>
      </c>
      <c r="F821">
        <f>VLOOKUP(A821,paiments2[],3,FALSE)</f>
        <v>1154</v>
      </c>
      <c r="G821" s="7"/>
    </row>
    <row r="822" spans="1:7" x14ac:dyDescent="0.2">
      <c r="A822" s="2">
        <v>11068</v>
      </c>
      <c r="B822" s="3" t="s">
        <v>61</v>
      </c>
      <c r="C822" s="3" t="s">
        <v>95</v>
      </c>
      <c r="D822" s="9">
        <v>40749</v>
      </c>
      <c r="E822" s="5">
        <v>1340</v>
      </c>
      <c r="F822">
        <f>VLOOKUP(A822,paiments2[],3,FALSE)</f>
        <v>1340</v>
      </c>
      <c r="G822" s="7"/>
    </row>
    <row r="823" spans="1:7" x14ac:dyDescent="0.2">
      <c r="A823" s="2">
        <v>11069</v>
      </c>
      <c r="B823" s="3" t="s">
        <v>23</v>
      </c>
      <c r="C823" s="3" t="s">
        <v>94</v>
      </c>
      <c r="D823" s="9">
        <v>40749</v>
      </c>
      <c r="E823" s="5">
        <v>2729</v>
      </c>
      <c r="F823">
        <f>VLOOKUP(A823,paiments2[],3,FALSE)</f>
        <v>2729</v>
      </c>
      <c r="G823" s="7"/>
    </row>
    <row r="824" spans="1:7" x14ac:dyDescent="0.2">
      <c r="A824" s="2">
        <v>11070</v>
      </c>
      <c r="B824" s="3" t="s">
        <v>26</v>
      </c>
      <c r="C824" s="3" t="s">
        <v>96</v>
      </c>
      <c r="D824" s="9">
        <v>40750</v>
      </c>
      <c r="E824" s="5">
        <v>624</v>
      </c>
      <c r="F824">
        <f>VLOOKUP(A824,paiments2[],3,FALSE)</f>
        <v>624</v>
      </c>
      <c r="G824" s="7"/>
    </row>
    <row r="825" spans="1:7" x14ac:dyDescent="0.2">
      <c r="A825" s="2">
        <v>11071</v>
      </c>
      <c r="B825" s="3" t="s">
        <v>28</v>
      </c>
      <c r="C825" s="3" t="s">
        <v>94</v>
      </c>
      <c r="D825" s="9">
        <v>40750</v>
      </c>
      <c r="E825" s="5">
        <v>850</v>
      </c>
      <c r="F825">
        <f>VLOOKUP(A825,paiments2[],3,FALSE)</f>
        <v>850</v>
      </c>
      <c r="G825" s="7"/>
    </row>
    <row r="826" spans="1:7" x14ac:dyDescent="0.2">
      <c r="A826" s="2">
        <v>11072</v>
      </c>
      <c r="B826" s="3" t="s">
        <v>9</v>
      </c>
      <c r="C826" s="3" t="s">
        <v>91</v>
      </c>
      <c r="D826" s="9">
        <v>40750</v>
      </c>
      <c r="E826" s="5">
        <v>1608</v>
      </c>
      <c r="F826">
        <f>VLOOKUP(A826,paiments2[],3,FALSE)</f>
        <v>1608</v>
      </c>
      <c r="G826" s="7"/>
    </row>
    <row r="827" spans="1:7" x14ac:dyDescent="0.2">
      <c r="A827" s="2">
        <v>11073</v>
      </c>
      <c r="B827" s="3" t="s">
        <v>43</v>
      </c>
      <c r="C827" s="3" t="s">
        <v>96</v>
      </c>
      <c r="D827" s="9">
        <v>40750</v>
      </c>
      <c r="E827" s="5">
        <v>408</v>
      </c>
      <c r="F827">
        <f>VLOOKUP(A827,paiments2[],3,FALSE)</f>
        <v>408</v>
      </c>
      <c r="G827" s="7"/>
    </row>
    <row r="828" spans="1:7" x14ac:dyDescent="0.2">
      <c r="A828" s="2">
        <v>11074</v>
      </c>
      <c r="B828" s="3" t="s">
        <v>51</v>
      </c>
      <c r="C828" s="3" t="s">
        <v>97</v>
      </c>
      <c r="D828" s="9">
        <v>40751</v>
      </c>
      <c r="E828" s="5">
        <v>935</v>
      </c>
      <c r="F828">
        <f>VLOOKUP(A828,paiments2[],3,FALSE)</f>
        <v>935</v>
      </c>
      <c r="G828" s="7"/>
    </row>
    <row r="829" spans="1:7" x14ac:dyDescent="0.2">
      <c r="A829" s="2">
        <v>11075</v>
      </c>
      <c r="B829" s="3" t="s">
        <v>6</v>
      </c>
      <c r="C829" s="3" t="s">
        <v>95</v>
      </c>
      <c r="D829" s="9">
        <v>40751</v>
      </c>
      <c r="E829" s="5">
        <v>2140</v>
      </c>
      <c r="F829">
        <f>VLOOKUP(A829,paiments2[],3,FALSE)</f>
        <v>2140</v>
      </c>
      <c r="G829" s="7"/>
    </row>
    <row r="830" spans="1:7" x14ac:dyDescent="0.2">
      <c r="A830" s="2">
        <v>11076</v>
      </c>
      <c r="B830" s="3" t="s">
        <v>48</v>
      </c>
      <c r="C830" s="3" t="s">
        <v>91</v>
      </c>
      <c r="D830" s="9">
        <v>40751</v>
      </c>
      <c r="E830" s="5">
        <v>390</v>
      </c>
      <c r="F830">
        <f>VLOOKUP(A830,paiments2[],3,FALSE)</f>
        <v>390</v>
      </c>
      <c r="G830" s="7"/>
    </row>
    <row r="831" spans="1:7" x14ac:dyDescent="0.2">
      <c r="A831" s="2">
        <v>11077</v>
      </c>
      <c r="B831" s="3" t="s">
        <v>13</v>
      </c>
      <c r="C831" s="3" t="s">
        <v>94</v>
      </c>
      <c r="D831" s="9">
        <v>40751</v>
      </c>
      <c r="E831" s="5">
        <v>700</v>
      </c>
      <c r="F831">
        <f>VLOOKUP(A831,paiments2[],3,FALSE)</f>
        <v>700</v>
      </c>
      <c r="G831" s="7"/>
    </row>
    <row r="832" spans="1:7" x14ac:dyDescent="0.2">
      <c r="A832" s="2">
        <v>11078</v>
      </c>
      <c r="B832" s="3" t="s">
        <v>13</v>
      </c>
      <c r="C832" s="3" t="s">
        <v>94</v>
      </c>
      <c r="D832" s="9">
        <v>40751</v>
      </c>
      <c r="E832" s="5">
        <v>968</v>
      </c>
      <c r="F832">
        <f>VLOOKUP(A832,paiments2[],3,FALSE)</f>
        <v>968</v>
      </c>
      <c r="G832" s="7"/>
    </row>
    <row r="833" spans="1:7" x14ac:dyDescent="0.2">
      <c r="A833" s="2">
        <v>11079</v>
      </c>
      <c r="B833" s="3" t="s">
        <v>14</v>
      </c>
      <c r="C833" s="3" t="s">
        <v>89</v>
      </c>
      <c r="D833" s="9">
        <v>40839</v>
      </c>
      <c r="E833" s="5">
        <v>525</v>
      </c>
      <c r="F833">
        <f>VLOOKUP(A833,paiments2[],3,FALSE)</f>
        <v>525</v>
      </c>
      <c r="G833" s="7"/>
    </row>
    <row r="834" spans="1:7" x14ac:dyDescent="0.2">
      <c r="A834" s="2">
        <v>11080</v>
      </c>
      <c r="B834" s="3" t="s">
        <v>12</v>
      </c>
      <c r="C834" s="3" t="s">
        <v>96</v>
      </c>
      <c r="D834" s="9">
        <v>40840</v>
      </c>
      <c r="E834" s="5">
        <v>1536</v>
      </c>
      <c r="F834">
        <f>VLOOKUP(A834,paiments2[],3,FALSE)</f>
        <v>1536</v>
      </c>
      <c r="G834" s="7"/>
    </row>
    <row r="835" spans="1:7" x14ac:dyDescent="0.2">
      <c r="A835" s="2">
        <v>11081</v>
      </c>
      <c r="B835" s="3" t="s">
        <v>34</v>
      </c>
      <c r="C835" s="3" t="s">
        <v>95</v>
      </c>
      <c r="D835" s="9">
        <v>40841</v>
      </c>
      <c r="E835" s="5">
        <v>2300</v>
      </c>
      <c r="F835">
        <f>VLOOKUP(A835,paiments2[],3,FALSE)</f>
        <v>2300</v>
      </c>
      <c r="G835" s="7"/>
    </row>
    <row r="836" spans="1:7" x14ac:dyDescent="0.2">
      <c r="A836" s="2">
        <v>11082</v>
      </c>
      <c r="B836" s="3" t="s">
        <v>28</v>
      </c>
      <c r="C836" s="3" t="s">
        <v>92</v>
      </c>
      <c r="D836" s="9">
        <v>40841</v>
      </c>
      <c r="E836" s="5">
        <v>115</v>
      </c>
      <c r="F836">
        <f>VLOOKUP(A836,paiments2[],3,FALSE)</f>
        <v>115</v>
      </c>
      <c r="G836" s="7"/>
    </row>
    <row r="837" spans="1:7" x14ac:dyDescent="0.2">
      <c r="A837" s="2">
        <v>11083</v>
      </c>
      <c r="B837" s="3" t="s">
        <v>9</v>
      </c>
      <c r="C837" s="3" t="s">
        <v>91</v>
      </c>
      <c r="D837" s="9">
        <v>40842</v>
      </c>
      <c r="E837" s="5">
        <v>705</v>
      </c>
      <c r="F837">
        <f>VLOOKUP(A837,paiments2[],3,FALSE)</f>
        <v>705</v>
      </c>
      <c r="G837" s="7"/>
    </row>
    <row r="838" spans="1:7" x14ac:dyDescent="0.2">
      <c r="A838" s="2">
        <v>11084</v>
      </c>
      <c r="B838" s="3" t="s">
        <v>55</v>
      </c>
      <c r="C838" s="3" t="s">
        <v>95</v>
      </c>
      <c r="D838" s="9">
        <v>40845</v>
      </c>
      <c r="E838" s="5">
        <v>655</v>
      </c>
      <c r="F838">
        <f>VLOOKUP(A838,paiments2[],3,FALSE)</f>
        <v>655</v>
      </c>
      <c r="G838" s="7"/>
    </row>
    <row r="839" spans="1:7" x14ac:dyDescent="0.2">
      <c r="A839" s="2">
        <v>11085</v>
      </c>
      <c r="B839" s="3" t="s">
        <v>25</v>
      </c>
      <c r="C839" s="3" t="s">
        <v>92</v>
      </c>
      <c r="D839" s="9">
        <v>40845</v>
      </c>
      <c r="E839" s="5">
        <v>1672</v>
      </c>
      <c r="F839">
        <f>VLOOKUP(A839,paiments2[],3,FALSE)</f>
        <v>1672</v>
      </c>
      <c r="G839" s="7"/>
    </row>
    <row r="840" spans="1:7" x14ac:dyDescent="0.2">
      <c r="A840" s="2">
        <v>11086</v>
      </c>
      <c r="B840" s="3" t="s">
        <v>20</v>
      </c>
      <c r="C840" s="3" t="s">
        <v>94</v>
      </c>
      <c r="D840" s="9">
        <v>40846</v>
      </c>
      <c r="E840" s="5">
        <v>636</v>
      </c>
      <c r="F840">
        <f>VLOOKUP(A840,paiments2[],3,FALSE)</f>
        <v>636</v>
      </c>
      <c r="G840" s="7"/>
    </row>
    <row r="841" spans="1:7" x14ac:dyDescent="0.2">
      <c r="A841" s="2">
        <v>11087</v>
      </c>
      <c r="B841" s="3" t="s">
        <v>52</v>
      </c>
      <c r="C841" s="3" t="s">
        <v>93</v>
      </c>
      <c r="D841" s="9">
        <v>40847</v>
      </c>
      <c r="E841" s="5">
        <v>110</v>
      </c>
      <c r="F841">
        <f>VLOOKUP(A841,paiments2[],3,FALSE)</f>
        <v>110</v>
      </c>
      <c r="G841" s="7"/>
    </row>
    <row r="842" spans="1:7" x14ac:dyDescent="0.2">
      <c r="A842" s="2">
        <v>11088</v>
      </c>
      <c r="B842" s="3" t="s">
        <v>63</v>
      </c>
      <c r="C842" s="3" t="s">
        <v>94</v>
      </c>
      <c r="D842" s="9">
        <v>40847</v>
      </c>
      <c r="E842" s="5">
        <v>783</v>
      </c>
      <c r="F842">
        <f>VLOOKUP(A842,paiments2[],3,FALSE)</f>
        <v>783</v>
      </c>
      <c r="G842" s="7"/>
    </row>
    <row r="843" spans="1:7" x14ac:dyDescent="0.2">
      <c r="A843" s="2">
        <v>11089</v>
      </c>
      <c r="B843" s="3" t="s">
        <v>56</v>
      </c>
      <c r="C843" s="3" t="s">
        <v>96</v>
      </c>
      <c r="D843" s="9">
        <v>40848</v>
      </c>
      <c r="E843" s="5">
        <v>915</v>
      </c>
      <c r="F843">
        <f>VLOOKUP(A843,paiments2[],3,FALSE)</f>
        <v>915</v>
      </c>
      <c r="G843" s="7"/>
    </row>
    <row r="844" spans="1:7" x14ac:dyDescent="0.2">
      <c r="A844" s="2">
        <v>11090</v>
      </c>
      <c r="B844" s="3" t="s">
        <v>64</v>
      </c>
      <c r="C844" s="3" t="s">
        <v>91</v>
      </c>
      <c r="D844" s="9">
        <v>40849</v>
      </c>
      <c r="E844" s="5">
        <v>1368</v>
      </c>
      <c r="F844">
        <f>VLOOKUP(A844,paiments2[],3,FALSE)</f>
        <v>1368</v>
      </c>
      <c r="G844" s="7"/>
    </row>
    <row r="845" spans="1:7" x14ac:dyDescent="0.2">
      <c r="A845" s="2">
        <v>11091</v>
      </c>
      <c r="B845" s="3" t="s">
        <v>9</v>
      </c>
      <c r="C845" s="3" t="s">
        <v>90</v>
      </c>
      <c r="D845" s="9">
        <v>40852</v>
      </c>
      <c r="E845" s="5">
        <v>1639</v>
      </c>
      <c r="F845">
        <f>VLOOKUP(A845,paiments2[],3,FALSE)</f>
        <v>1639</v>
      </c>
      <c r="G845" s="7"/>
    </row>
    <row r="846" spans="1:7" x14ac:dyDescent="0.2">
      <c r="A846" s="2">
        <v>11092</v>
      </c>
      <c r="B846" s="3" t="s">
        <v>57</v>
      </c>
      <c r="C846" s="3" t="s">
        <v>92</v>
      </c>
      <c r="D846" s="9">
        <v>40852</v>
      </c>
      <c r="E846" s="5">
        <v>54</v>
      </c>
      <c r="F846">
        <f>VLOOKUP(A846,paiments2[],3,FALSE)</f>
        <v>54</v>
      </c>
      <c r="G846" s="7"/>
    </row>
    <row r="847" spans="1:7" x14ac:dyDescent="0.2">
      <c r="A847" s="2">
        <v>11093</v>
      </c>
      <c r="B847" s="3" t="s">
        <v>54</v>
      </c>
      <c r="C847" s="3" t="s">
        <v>96</v>
      </c>
      <c r="D847" s="9">
        <v>40853</v>
      </c>
      <c r="E847" s="5">
        <v>1050</v>
      </c>
      <c r="F847">
        <f>VLOOKUP(A847,paiments2[],3,FALSE)</f>
        <v>1050</v>
      </c>
      <c r="G847" s="7"/>
    </row>
    <row r="848" spans="1:7" x14ac:dyDescent="0.2">
      <c r="A848" s="2">
        <v>11094</v>
      </c>
      <c r="B848" s="3" t="s">
        <v>45</v>
      </c>
      <c r="C848" s="3" t="s">
        <v>94</v>
      </c>
      <c r="D848" s="9">
        <v>40854</v>
      </c>
      <c r="E848" s="5">
        <v>2403</v>
      </c>
      <c r="F848">
        <f>VLOOKUP(A848,paiments2[],3,FALSE)</f>
        <v>2403</v>
      </c>
      <c r="G848" s="7"/>
    </row>
    <row r="849" spans="1:7" x14ac:dyDescent="0.2">
      <c r="A849" s="2">
        <v>11095</v>
      </c>
      <c r="B849" s="3" t="s">
        <v>62</v>
      </c>
      <c r="C849" s="3" t="s">
        <v>94</v>
      </c>
      <c r="D849" s="9">
        <v>40854</v>
      </c>
      <c r="E849" s="5">
        <v>330</v>
      </c>
      <c r="F849">
        <f>VLOOKUP(A849,paiments2[],3,FALSE)</f>
        <v>330</v>
      </c>
      <c r="G849" s="7"/>
    </row>
    <row r="850" spans="1:7" x14ac:dyDescent="0.2">
      <c r="A850" s="2">
        <v>11096</v>
      </c>
      <c r="B850" s="3" t="s">
        <v>8</v>
      </c>
      <c r="C850" s="3" t="s">
        <v>90</v>
      </c>
      <c r="D850" s="9">
        <v>40855</v>
      </c>
      <c r="E850" s="5">
        <v>1694</v>
      </c>
      <c r="F850">
        <f>VLOOKUP(A850,paiments2[],3,FALSE)</f>
        <v>1694</v>
      </c>
      <c r="G850" s="7"/>
    </row>
    <row r="851" spans="1:7" x14ac:dyDescent="0.2">
      <c r="A851" s="2">
        <v>11097</v>
      </c>
      <c r="B851" s="3" t="s">
        <v>17</v>
      </c>
      <c r="C851" s="3" t="s">
        <v>94</v>
      </c>
      <c r="D851" s="9">
        <v>40856</v>
      </c>
      <c r="E851" s="5">
        <v>1421</v>
      </c>
      <c r="F851">
        <f>VLOOKUP(A851,paiments2[],3,FALSE)</f>
        <v>1421</v>
      </c>
      <c r="G851" s="7"/>
    </row>
    <row r="852" spans="1:7" x14ac:dyDescent="0.2">
      <c r="A852" s="2">
        <v>11098</v>
      </c>
      <c r="B852" s="3" t="s">
        <v>50</v>
      </c>
      <c r="C852" s="3" t="s">
        <v>89</v>
      </c>
      <c r="D852" s="9">
        <v>40856</v>
      </c>
      <c r="E852" s="5">
        <v>636</v>
      </c>
      <c r="F852">
        <f>VLOOKUP(A852,paiments2[],3,FALSE)</f>
        <v>636</v>
      </c>
      <c r="G852" s="7"/>
    </row>
    <row r="853" spans="1:7" x14ac:dyDescent="0.2">
      <c r="A853" s="2">
        <v>11099</v>
      </c>
      <c r="B853" s="3" t="s">
        <v>45</v>
      </c>
      <c r="C853" s="3" t="s">
        <v>96</v>
      </c>
      <c r="D853" s="9">
        <v>40859</v>
      </c>
      <c r="E853" s="5">
        <v>1980</v>
      </c>
      <c r="F853">
        <f>VLOOKUP(A853,paiments2[],3,FALSE)</f>
        <v>1980</v>
      </c>
      <c r="G853" s="7"/>
    </row>
    <row r="854" spans="1:7" x14ac:dyDescent="0.2">
      <c r="A854" s="2">
        <v>11100</v>
      </c>
      <c r="B854" s="3" t="s">
        <v>60</v>
      </c>
      <c r="C854" s="3" t="s">
        <v>95</v>
      </c>
      <c r="D854" s="9">
        <v>40860</v>
      </c>
      <c r="E854" s="5">
        <v>1258</v>
      </c>
      <c r="F854">
        <f>VLOOKUP(A854,paiments2[],3,FALSE)</f>
        <v>1258</v>
      </c>
      <c r="G854" s="7"/>
    </row>
    <row r="855" spans="1:7" x14ac:dyDescent="0.2">
      <c r="A855" s="2">
        <v>11101</v>
      </c>
      <c r="B855" s="3" t="s">
        <v>58</v>
      </c>
      <c r="C855" s="3" t="s">
        <v>94</v>
      </c>
      <c r="D855" s="9">
        <v>40861</v>
      </c>
      <c r="E855" s="5">
        <v>2285</v>
      </c>
      <c r="F855">
        <f>VLOOKUP(A855,paiments2[],3,FALSE)</f>
        <v>2285</v>
      </c>
      <c r="G855" s="7"/>
    </row>
    <row r="856" spans="1:7" x14ac:dyDescent="0.2">
      <c r="A856" s="2">
        <v>11102</v>
      </c>
      <c r="B856" s="3" t="s">
        <v>13</v>
      </c>
      <c r="C856" s="3" t="s">
        <v>94</v>
      </c>
      <c r="D856" s="9">
        <v>40861</v>
      </c>
      <c r="E856" s="5">
        <v>2900</v>
      </c>
      <c r="F856">
        <f>VLOOKUP(A856,paiments2[],3,FALSE)</f>
        <v>2900</v>
      </c>
      <c r="G856" s="7"/>
    </row>
    <row r="857" spans="1:7" x14ac:dyDescent="0.2">
      <c r="A857" s="2">
        <v>11103</v>
      </c>
      <c r="B857" s="3" t="s">
        <v>9</v>
      </c>
      <c r="C857" s="3" t="s">
        <v>95</v>
      </c>
      <c r="D857" s="9">
        <v>40862</v>
      </c>
      <c r="E857" s="5">
        <v>1990</v>
      </c>
      <c r="F857">
        <f>VLOOKUP(A857,paiments2[],3,FALSE)</f>
        <v>1990</v>
      </c>
      <c r="G857" s="7"/>
    </row>
    <row r="858" spans="1:7" x14ac:dyDescent="0.2">
      <c r="A858" s="2">
        <v>11104</v>
      </c>
      <c r="B858" s="3" t="s">
        <v>9</v>
      </c>
      <c r="C858" s="3" t="s">
        <v>91</v>
      </c>
      <c r="D858" s="9">
        <v>40863</v>
      </c>
      <c r="E858" s="5">
        <v>700</v>
      </c>
      <c r="F858">
        <f>VLOOKUP(A858,paiments2[],3,FALSE)</f>
        <v>700</v>
      </c>
      <c r="G858" s="7"/>
    </row>
    <row r="859" spans="1:7" x14ac:dyDescent="0.2">
      <c r="A859" s="2">
        <v>11105</v>
      </c>
      <c r="B859" s="3" t="s">
        <v>22</v>
      </c>
      <c r="C859" s="3" t="s">
        <v>96</v>
      </c>
      <c r="D859" s="9">
        <v>40863</v>
      </c>
      <c r="E859" s="5">
        <v>1220</v>
      </c>
      <c r="F859">
        <f>VLOOKUP(A859,paiments2[],3,FALSE)</f>
        <v>1220</v>
      </c>
      <c r="G859" s="7"/>
    </row>
    <row r="860" spans="1:7" x14ac:dyDescent="0.2">
      <c r="A860" s="2">
        <v>11106</v>
      </c>
      <c r="B860" s="3" t="s">
        <v>65</v>
      </c>
      <c r="C860" s="3" t="s">
        <v>94</v>
      </c>
      <c r="D860" s="9">
        <v>40866</v>
      </c>
      <c r="E860" s="5">
        <v>300</v>
      </c>
      <c r="F860">
        <f>VLOOKUP(A860,paiments2[],3,FALSE)</f>
        <v>300</v>
      </c>
      <c r="G860" s="7"/>
    </row>
    <row r="861" spans="1:7" x14ac:dyDescent="0.2">
      <c r="A861" s="2">
        <v>11107</v>
      </c>
      <c r="B861" s="3" t="s">
        <v>61</v>
      </c>
      <c r="C861" s="3" t="s">
        <v>97</v>
      </c>
      <c r="D861" s="9">
        <v>40867</v>
      </c>
      <c r="E861" s="5">
        <v>1491</v>
      </c>
      <c r="F861">
        <f>VLOOKUP(A861,paiments2[],3,FALSE)</f>
        <v>1491</v>
      </c>
      <c r="G861" s="7"/>
    </row>
    <row r="862" spans="1:7" x14ac:dyDescent="0.2">
      <c r="A862" s="2">
        <v>11108</v>
      </c>
      <c r="B862" s="3" t="s">
        <v>11</v>
      </c>
      <c r="C862" s="3" t="s">
        <v>96</v>
      </c>
      <c r="D862" s="9">
        <v>40867</v>
      </c>
      <c r="E862" s="5">
        <v>870</v>
      </c>
      <c r="F862">
        <f>VLOOKUP(A862,paiments2[],3,FALSE)</f>
        <v>870</v>
      </c>
      <c r="G862" s="7"/>
    </row>
    <row r="863" spans="1:7" x14ac:dyDescent="0.2">
      <c r="A863" s="2">
        <v>11109</v>
      </c>
      <c r="B863" s="3" t="s">
        <v>66</v>
      </c>
      <c r="C863" s="3" t="s">
        <v>95</v>
      </c>
      <c r="D863" s="9">
        <v>40868</v>
      </c>
      <c r="E863" s="5">
        <v>1224</v>
      </c>
      <c r="F863">
        <f>VLOOKUP(A863,paiments2[],3,FALSE)</f>
        <v>1224</v>
      </c>
      <c r="G863" s="7"/>
    </row>
    <row r="864" spans="1:7" x14ac:dyDescent="0.2">
      <c r="A864" s="2">
        <v>11110</v>
      </c>
      <c r="B864" s="3" t="s">
        <v>67</v>
      </c>
      <c r="C864" s="3" t="s">
        <v>92</v>
      </c>
      <c r="D864" s="9">
        <v>40869</v>
      </c>
      <c r="E864" s="5">
        <v>240</v>
      </c>
      <c r="F864">
        <f>VLOOKUP(A864,paiments2[],3,FALSE)</f>
        <v>240</v>
      </c>
      <c r="G864" s="7"/>
    </row>
    <row r="865" spans="1:7" x14ac:dyDescent="0.2">
      <c r="A865" s="2">
        <v>11111</v>
      </c>
      <c r="B865" s="3" t="s">
        <v>64</v>
      </c>
      <c r="C865" s="3" t="s">
        <v>92</v>
      </c>
      <c r="D865" s="9">
        <v>40870</v>
      </c>
      <c r="E865" s="5">
        <v>577</v>
      </c>
      <c r="F865">
        <f>VLOOKUP(A865,paiments2[],3,FALSE)</f>
        <v>577</v>
      </c>
      <c r="G865" s="7"/>
    </row>
    <row r="866" spans="1:7" x14ac:dyDescent="0.2">
      <c r="A866" s="2">
        <v>11112</v>
      </c>
      <c r="B866" s="3" t="s">
        <v>64</v>
      </c>
      <c r="C866" s="3" t="s">
        <v>93</v>
      </c>
      <c r="D866" s="9">
        <v>40870</v>
      </c>
      <c r="E866" s="5">
        <v>862</v>
      </c>
      <c r="F866">
        <f>VLOOKUP(A866,paiments2[],3,FALSE)</f>
        <v>862</v>
      </c>
      <c r="G866" s="7"/>
    </row>
    <row r="867" spans="1:7" x14ac:dyDescent="0.2">
      <c r="A867" s="2">
        <v>11113</v>
      </c>
      <c r="B867" s="3" t="s">
        <v>16</v>
      </c>
      <c r="C867" s="3" t="s">
        <v>95</v>
      </c>
      <c r="D867" s="9">
        <v>40873</v>
      </c>
      <c r="E867" s="5">
        <v>280</v>
      </c>
      <c r="F867">
        <f>VLOOKUP(A867,paiments2[],3,FALSE)</f>
        <v>280</v>
      </c>
      <c r="G867" s="7"/>
    </row>
    <row r="868" spans="1:7" x14ac:dyDescent="0.2">
      <c r="A868" s="2">
        <v>11114</v>
      </c>
      <c r="B868" s="3" t="s">
        <v>53</v>
      </c>
      <c r="C868" s="3" t="s">
        <v>92</v>
      </c>
      <c r="D868" s="9">
        <v>40874</v>
      </c>
      <c r="E868" s="5">
        <v>1154</v>
      </c>
      <c r="F868">
        <f>VLOOKUP(A868,paiments2[],3,FALSE)</f>
        <v>1154</v>
      </c>
      <c r="G868" s="7"/>
    </row>
    <row r="869" spans="1:7" x14ac:dyDescent="0.2">
      <c r="A869" s="2">
        <v>11115</v>
      </c>
      <c r="B869" s="3" t="s">
        <v>52</v>
      </c>
      <c r="C869" s="3" t="s">
        <v>96</v>
      </c>
      <c r="D869" s="9">
        <v>40874</v>
      </c>
      <c r="E869" s="5">
        <v>1340</v>
      </c>
      <c r="F869">
        <f>VLOOKUP(A869,paiments2[],3,FALSE)</f>
        <v>1340</v>
      </c>
      <c r="G869" s="7"/>
    </row>
    <row r="870" spans="1:7" x14ac:dyDescent="0.2">
      <c r="A870" s="2">
        <v>11116</v>
      </c>
      <c r="B870" s="3" t="s">
        <v>62</v>
      </c>
      <c r="C870" s="3" t="s">
        <v>92</v>
      </c>
      <c r="D870" s="9">
        <v>40875</v>
      </c>
      <c r="E870" s="5">
        <v>2729</v>
      </c>
      <c r="F870">
        <f>VLOOKUP(A870,paiments2[],3,FALSE)</f>
        <v>2729</v>
      </c>
      <c r="G870" s="7"/>
    </row>
    <row r="871" spans="1:7" x14ac:dyDescent="0.2">
      <c r="A871" s="2">
        <v>11117</v>
      </c>
      <c r="B871" s="3" t="s">
        <v>16</v>
      </c>
      <c r="C871" s="3" t="s">
        <v>95</v>
      </c>
      <c r="D871" s="9">
        <v>40876</v>
      </c>
      <c r="E871" s="5">
        <v>624</v>
      </c>
      <c r="F871">
        <f>VLOOKUP(A871,paiments2[],3,FALSE)</f>
        <v>624</v>
      </c>
      <c r="G871" s="7"/>
    </row>
    <row r="872" spans="1:7" x14ac:dyDescent="0.2">
      <c r="A872" s="2">
        <v>11118</v>
      </c>
      <c r="B872" s="3" t="s">
        <v>51</v>
      </c>
      <c r="C872" s="3" t="s">
        <v>91</v>
      </c>
      <c r="D872" s="9">
        <v>40876</v>
      </c>
      <c r="E872" s="5">
        <v>850</v>
      </c>
      <c r="F872">
        <f>VLOOKUP(A872,paiments2[],3,FALSE)</f>
        <v>850</v>
      </c>
      <c r="G872" s="7"/>
    </row>
    <row r="873" spans="1:7" x14ac:dyDescent="0.2">
      <c r="A873" s="2">
        <v>11119</v>
      </c>
      <c r="B873" s="3" t="s">
        <v>21</v>
      </c>
      <c r="C873" s="3" t="s">
        <v>91</v>
      </c>
      <c r="D873" s="9">
        <v>40877</v>
      </c>
      <c r="E873" s="5">
        <v>1608</v>
      </c>
      <c r="F873">
        <f>VLOOKUP(A873,paiments2[],3,FALSE)</f>
        <v>1608</v>
      </c>
      <c r="G873" s="7"/>
    </row>
    <row r="874" spans="1:7" x14ac:dyDescent="0.2">
      <c r="A874" s="2">
        <v>11120</v>
      </c>
      <c r="B874" s="3" t="s">
        <v>6</v>
      </c>
      <c r="C874" s="3" t="s">
        <v>91</v>
      </c>
      <c r="D874" s="9">
        <v>40880</v>
      </c>
      <c r="E874" s="5">
        <v>408</v>
      </c>
      <c r="F874">
        <f>VLOOKUP(A874,paiments2[],3,FALSE)</f>
        <v>408</v>
      </c>
      <c r="G874" s="7"/>
    </row>
    <row r="875" spans="1:7" x14ac:dyDescent="0.2">
      <c r="A875" s="2">
        <v>11121</v>
      </c>
      <c r="B875" s="3" t="s">
        <v>7</v>
      </c>
      <c r="C875" s="3" t="s">
        <v>92</v>
      </c>
      <c r="D875" s="9">
        <v>40881</v>
      </c>
      <c r="E875" s="5">
        <v>935</v>
      </c>
      <c r="F875">
        <f>VLOOKUP(A875,paiments2[],3,FALSE)</f>
        <v>935</v>
      </c>
      <c r="G875" s="7"/>
    </row>
    <row r="876" spans="1:7" x14ac:dyDescent="0.2">
      <c r="A876" s="2">
        <v>11122</v>
      </c>
      <c r="B876" s="3" t="s">
        <v>12</v>
      </c>
      <c r="C876" s="3" t="s">
        <v>95</v>
      </c>
      <c r="D876" s="9">
        <v>40881</v>
      </c>
      <c r="E876" s="5">
        <v>2140</v>
      </c>
      <c r="F876">
        <f>VLOOKUP(A876,paiments2[],3,FALSE)</f>
        <v>2140</v>
      </c>
      <c r="G876" s="7"/>
    </row>
    <row r="877" spans="1:7" x14ac:dyDescent="0.2">
      <c r="A877" s="2">
        <v>11123</v>
      </c>
      <c r="B877" s="3" t="s">
        <v>68</v>
      </c>
      <c r="C877" s="3" t="s">
        <v>96</v>
      </c>
      <c r="D877" s="9">
        <v>40882</v>
      </c>
      <c r="E877" s="5">
        <v>390</v>
      </c>
      <c r="F877">
        <f>VLOOKUP(A877,paiments2[],3,FALSE)</f>
        <v>390</v>
      </c>
      <c r="G877" s="7"/>
    </row>
    <row r="878" spans="1:7" x14ac:dyDescent="0.2">
      <c r="A878" s="2">
        <v>11124</v>
      </c>
      <c r="B878" s="3" t="s">
        <v>69</v>
      </c>
      <c r="C878" s="3" t="s">
        <v>90</v>
      </c>
      <c r="D878" s="9">
        <v>40883</v>
      </c>
      <c r="E878" s="5">
        <v>700</v>
      </c>
      <c r="F878">
        <f>VLOOKUP(A878,paiments2[],3,FALSE)</f>
        <v>700</v>
      </c>
      <c r="G878" s="7"/>
    </row>
    <row r="879" spans="1:7" x14ac:dyDescent="0.2">
      <c r="A879" s="2">
        <v>11125</v>
      </c>
      <c r="B879" s="3" t="s">
        <v>49</v>
      </c>
      <c r="C879" s="3" t="s">
        <v>97</v>
      </c>
      <c r="D879" s="9">
        <v>40883</v>
      </c>
      <c r="E879" s="5">
        <v>968</v>
      </c>
      <c r="F879">
        <f>VLOOKUP(A879,paiments2[],3,FALSE)</f>
        <v>968</v>
      </c>
      <c r="G879" s="7"/>
    </row>
    <row r="880" spans="1:7" x14ac:dyDescent="0.2">
      <c r="A880" s="2">
        <v>11126</v>
      </c>
      <c r="B880" s="3" t="s">
        <v>53</v>
      </c>
      <c r="C880" s="3" t="s">
        <v>90</v>
      </c>
      <c r="D880" s="9">
        <v>40884</v>
      </c>
      <c r="E880" s="5">
        <v>525</v>
      </c>
      <c r="F880">
        <f>VLOOKUP(A880,paiments2[],3,FALSE)</f>
        <v>525</v>
      </c>
      <c r="G880" s="7"/>
    </row>
    <row r="881" spans="1:7" x14ac:dyDescent="0.2">
      <c r="A881" s="2">
        <v>11127</v>
      </c>
      <c r="B881" s="3" t="s">
        <v>98</v>
      </c>
      <c r="C881" s="3" t="s">
        <v>91</v>
      </c>
      <c r="D881" s="9">
        <v>40887</v>
      </c>
      <c r="E881" s="5">
        <v>1536</v>
      </c>
      <c r="F881">
        <f>VLOOKUP(A881,paiments2[],3,FALSE)</f>
        <v>1536</v>
      </c>
      <c r="G881" s="7"/>
    </row>
    <row r="882" spans="1:7" x14ac:dyDescent="0.2">
      <c r="A882" s="2">
        <v>11128</v>
      </c>
      <c r="B882" s="3" t="s">
        <v>54</v>
      </c>
      <c r="C882" s="3" t="s">
        <v>91</v>
      </c>
      <c r="D882" s="9">
        <v>40887</v>
      </c>
      <c r="E882" s="5">
        <v>2300</v>
      </c>
      <c r="F882">
        <f>VLOOKUP(A882,paiments2[],3,FALSE)</f>
        <v>2300</v>
      </c>
      <c r="G882" s="7"/>
    </row>
    <row r="883" spans="1:7" x14ac:dyDescent="0.2">
      <c r="A883" s="2">
        <v>11129</v>
      </c>
      <c r="B883" s="3" t="s">
        <v>30</v>
      </c>
      <c r="C883" s="3" t="s">
        <v>97</v>
      </c>
      <c r="D883" s="9">
        <v>40888</v>
      </c>
      <c r="E883" s="5">
        <v>115</v>
      </c>
      <c r="F883">
        <f>VLOOKUP(A883,paiments2[],3,FALSE)</f>
        <v>115</v>
      </c>
      <c r="G883" s="7"/>
    </row>
    <row r="884" spans="1:7" x14ac:dyDescent="0.2">
      <c r="A884" s="2">
        <v>11130</v>
      </c>
      <c r="B884" s="3" t="s">
        <v>34</v>
      </c>
      <c r="C884" s="3" t="s">
        <v>92</v>
      </c>
      <c r="D884" s="9">
        <v>40889</v>
      </c>
      <c r="E884" s="5">
        <v>705</v>
      </c>
      <c r="F884">
        <f>VLOOKUP(A884,paiments2[],3,FALSE)</f>
        <v>705</v>
      </c>
      <c r="G884" s="7"/>
    </row>
    <row r="885" spans="1:7" x14ac:dyDescent="0.2">
      <c r="A885" s="2">
        <v>11131</v>
      </c>
      <c r="B885" s="3" t="s">
        <v>9</v>
      </c>
      <c r="C885" s="3" t="s">
        <v>91</v>
      </c>
      <c r="D885" s="9">
        <v>40890</v>
      </c>
      <c r="E885" s="5">
        <v>4335</v>
      </c>
      <c r="F885">
        <f>VLOOKUP(A885,paiments2[],3,FALSE)</f>
        <v>4335</v>
      </c>
      <c r="G885" s="7"/>
    </row>
    <row r="886" spans="1:7" x14ac:dyDescent="0.2">
      <c r="A886" s="2">
        <v>11132</v>
      </c>
      <c r="B886" s="3" t="s">
        <v>64</v>
      </c>
      <c r="C886" s="3" t="s">
        <v>91</v>
      </c>
      <c r="D886" s="9">
        <v>40890</v>
      </c>
      <c r="E886" s="5">
        <v>1850</v>
      </c>
      <c r="F886">
        <f>VLOOKUP(A886,paiments2[],3,FALSE)</f>
        <v>1850</v>
      </c>
      <c r="G886" s="7"/>
    </row>
    <row r="887" spans="1:7" x14ac:dyDescent="0.2">
      <c r="A887" s="2">
        <v>11133</v>
      </c>
      <c r="B887" s="3" t="s">
        <v>20</v>
      </c>
      <c r="C887" s="3" t="s">
        <v>92</v>
      </c>
      <c r="D887" s="9">
        <v>40891</v>
      </c>
      <c r="E887" s="5">
        <v>340</v>
      </c>
      <c r="F887">
        <f>VLOOKUP(A887,paiments2[],3,FALSE)</f>
        <v>340</v>
      </c>
      <c r="G887" s="7"/>
    </row>
    <row r="888" spans="1:7" x14ac:dyDescent="0.2">
      <c r="A888" s="2">
        <v>11134</v>
      </c>
      <c r="B888" s="3" t="s">
        <v>50</v>
      </c>
      <c r="C888" s="3" t="s">
        <v>92</v>
      </c>
      <c r="D888" s="9">
        <v>40894</v>
      </c>
      <c r="E888" s="5">
        <v>644</v>
      </c>
      <c r="F888">
        <f>VLOOKUP(A888,paiments2[],3,FALSE)</f>
        <v>644</v>
      </c>
      <c r="G888" s="7"/>
    </row>
    <row r="889" spans="1:7" x14ac:dyDescent="0.2">
      <c r="A889" s="2">
        <v>11135</v>
      </c>
      <c r="B889" s="3" t="s">
        <v>14</v>
      </c>
      <c r="C889" s="3" t="s">
        <v>92</v>
      </c>
      <c r="D889" s="9">
        <v>40894</v>
      </c>
      <c r="E889" s="5">
        <v>252</v>
      </c>
      <c r="F889">
        <f>VLOOKUP(A889,paiments2[],3,FALSE)</f>
        <v>252</v>
      </c>
      <c r="G889" s="7"/>
    </row>
    <row r="890" spans="1:7" x14ac:dyDescent="0.2">
      <c r="A890" s="2">
        <v>11136</v>
      </c>
      <c r="B890" s="3" t="s">
        <v>70</v>
      </c>
      <c r="C890" s="3" t="s">
        <v>95</v>
      </c>
      <c r="D890" s="9">
        <v>40895</v>
      </c>
      <c r="E890" s="5">
        <v>464</v>
      </c>
      <c r="F890">
        <f>VLOOKUP(A890,paiments2[],3,FALSE)</f>
        <v>464</v>
      </c>
      <c r="G890" s="7"/>
    </row>
    <row r="891" spans="1:7" x14ac:dyDescent="0.2">
      <c r="A891" s="2">
        <v>11137</v>
      </c>
      <c r="B891" s="3" t="s">
        <v>15</v>
      </c>
      <c r="C891" s="3" t="s">
        <v>92</v>
      </c>
      <c r="D891" s="9">
        <v>40896</v>
      </c>
      <c r="E891" s="5">
        <v>1651</v>
      </c>
      <c r="F891">
        <f>VLOOKUP(A891,paiments2[],3,FALSE)</f>
        <v>1651</v>
      </c>
      <c r="G891" s="7"/>
    </row>
    <row r="892" spans="1:7" x14ac:dyDescent="0.2">
      <c r="A892" s="2">
        <v>11138</v>
      </c>
      <c r="B892" s="3" t="s">
        <v>16</v>
      </c>
      <c r="C892" s="3" t="s">
        <v>95</v>
      </c>
      <c r="D892" s="9">
        <v>40896</v>
      </c>
      <c r="E892" s="5">
        <v>285</v>
      </c>
      <c r="F892">
        <f>VLOOKUP(A892,paiments2[],3,FALSE)</f>
        <v>285</v>
      </c>
      <c r="G892" s="7"/>
    </row>
    <row r="893" spans="1:7" x14ac:dyDescent="0.2">
      <c r="A893" s="2">
        <v>11139</v>
      </c>
      <c r="B893" s="3" t="s">
        <v>1</v>
      </c>
      <c r="C893" s="3" t="s">
        <v>92</v>
      </c>
      <c r="D893" s="9">
        <v>40897</v>
      </c>
      <c r="E893" s="5">
        <v>400</v>
      </c>
      <c r="F893">
        <f>VLOOKUP(A893,paiments2[],3,FALSE)</f>
        <v>400</v>
      </c>
      <c r="G893" s="7"/>
    </row>
    <row r="894" spans="1:7" x14ac:dyDescent="0.2">
      <c r="A894" s="2">
        <v>11140</v>
      </c>
      <c r="B894" s="3" t="s">
        <v>49</v>
      </c>
      <c r="C894" s="3" t="s">
        <v>90</v>
      </c>
      <c r="D894" s="9">
        <v>40898</v>
      </c>
      <c r="E894" s="5">
        <v>805</v>
      </c>
      <c r="F894">
        <f>VLOOKUP(A894,paiments2[],3,FALSE)</f>
        <v>805</v>
      </c>
      <c r="G894" s="7"/>
    </row>
    <row r="895" spans="1:7" x14ac:dyDescent="0.2">
      <c r="A895" s="2">
        <v>11141</v>
      </c>
      <c r="B895" s="3" t="s">
        <v>45</v>
      </c>
      <c r="C895" s="3" t="s">
        <v>91</v>
      </c>
      <c r="D895" s="9">
        <v>40901</v>
      </c>
      <c r="E895" s="5">
        <v>4315</v>
      </c>
      <c r="F895">
        <f>VLOOKUP(A895,paiments2[],3,FALSE)</f>
        <v>4315</v>
      </c>
      <c r="G895" s="7"/>
    </row>
    <row r="896" spans="1:7" x14ac:dyDescent="0.2">
      <c r="A896" s="2">
        <v>11142</v>
      </c>
      <c r="B896" s="3" t="s">
        <v>37</v>
      </c>
      <c r="C896" s="3" t="s">
        <v>92</v>
      </c>
      <c r="D896" s="9">
        <v>40901</v>
      </c>
      <c r="E896" s="5">
        <v>1300</v>
      </c>
      <c r="F896">
        <f>VLOOKUP(A896,paiments2[],3,FALSE)</f>
        <v>1300</v>
      </c>
      <c r="G896" s="7"/>
    </row>
    <row r="897" spans="1:7" x14ac:dyDescent="0.2">
      <c r="A897" s="2">
        <v>11143</v>
      </c>
      <c r="B897" s="3" t="s">
        <v>9</v>
      </c>
      <c r="C897" s="3" t="s">
        <v>92</v>
      </c>
      <c r="D897" s="9">
        <v>40902</v>
      </c>
      <c r="E897" s="5">
        <v>1280</v>
      </c>
      <c r="F897">
        <f>VLOOKUP(A897,paiments2[],3,FALSE)</f>
        <v>1280</v>
      </c>
      <c r="G897" s="7"/>
    </row>
    <row r="898" spans="1:7" x14ac:dyDescent="0.2">
      <c r="A898" s="2">
        <v>11144</v>
      </c>
      <c r="B898" s="3" t="s">
        <v>30</v>
      </c>
      <c r="C898" s="3" t="s">
        <v>95</v>
      </c>
      <c r="D898" s="9">
        <v>40903</v>
      </c>
      <c r="E898" s="5">
        <v>396</v>
      </c>
      <c r="F898">
        <f>VLOOKUP(A898,paiments2[],3,FALSE)</f>
        <v>396</v>
      </c>
      <c r="G898" s="7"/>
    </row>
    <row r="899" spans="1:7" x14ac:dyDescent="0.2">
      <c r="A899" s="2">
        <v>11145</v>
      </c>
      <c r="B899" s="3" t="s">
        <v>25</v>
      </c>
      <c r="C899" s="3" t="s">
        <v>92</v>
      </c>
      <c r="D899" s="9">
        <v>40903</v>
      </c>
      <c r="E899" s="5">
        <v>730</v>
      </c>
      <c r="F899">
        <f>VLOOKUP(A899,paiments2[],3,FALSE)</f>
        <v>730</v>
      </c>
      <c r="G899" s="7"/>
    </row>
    <row r="900" spans="1:7" x14ac:dyDescent="0.2">
      <c r="A900" s="2">
        <v>11146</v>
      </c>
      <c r="B900" s="3" t="s">
        <v>25</v>
      </c>
      <c r="C900" s="3" t="s">
        <v>92</v>
      </c>
      <c r="D900" s="9">
        <v>40904</v>
      </c>
      <c r="E900" s="5">
        <v>120</v>
      </c>
      <c r="F900">
        <f>VLOOKUP(A900,paiments2[],3,FALSE)</f>
        <v>120</v>
      </c>
      <c r="G900" s="7"/>
    </row>
    <row r="901" spans="1:7" x14ac:dyDescent="0.2">
      <c r="A901" s="2">
        <v>11147</v>
      </c>
      <c r="B901" s="3" t="s">
        <v>1</v>
      </c>
      <c r="C901" s="3" t="s">
        <v>90</v>
      </c>
      <c r="D901" s="9">
        <v>40905</v>
      </c>
      <c r="E901" s="5">
        <v>181</v>
      </c>
      <c r="F901">
        <f>VLOOKUP(A901,paiments2[],3,FALSE)</f>
        <v>181</v>
      </c>
      <c r="G901" s="7"/>
    </row>
    <row r="902" spans="1:7" x14ac:dyDescent="0.2">
      <c r="A902" s="2">
        <v>11148</v>
      </c>
      <c r="B902" s="3" t="s">
        <v>29</v>
      </c>
      <c r="C902" s="3" t="s">
        <v>91</v>
      </c>
      <c r="D902" s="9">
        <v>40905</v>
      </c>
      <c r="E902" s="5">
        <v>646</v>
      </c>
      <c r="F902">
        <f>VLOOKUP(A902,paiments2[],3,FALSE)</f>
        <v>646</v>
      </c>
      <c r="G902" s="7"/>
    </row>
    <row r="903" spans="1:7" x14ac:dyDescent="0.2">
      <c r="A903" s="2">
        <v>11149</v>
      </c>
      <c r="B903" s="3" t="s">
        <v>71</v>
      </c>
      <c r="C903" s="3" t="s">
        <v>91</v>
      </c>
      <c r="D903" s="9">
        <v>40908</v>
      </c>
      <c r="E903" s="5">
        <v>328</v>
      </c>
      <c r="F903">
        <f>VLOOKUP(A903,paiments2[],3,FALSE)</f>
        <v>328</v>
      </c>
      <c r="G903" s="7"/>
    </row>
    <row r="904" spans="1:7" x14ac:dyDescent="0.2">
      <c r="A904" s="2">
        <v>11150</v>
      </c>
      <c r="B904" s="3" t="s">
        <v>15</v>
      </c>
      <c r="C904" s="3" t="s">
        <v>92</v>
      </c>
      <c r="D904" s="9">
        <v>41209</v>
      </c>
      <c r="E904" s="5">
        <v>1382</v>
      </c>
      <c r="F904">
        <f>VLOOKUP(A904,paiments2[],3,FALSE)</f>
        <v>1382</v>
      </c>
      <c r="G904" s="7"/>
    </row>
    <row r="905" spans="1:7" x14ac:dyDescent="0.2">
      <c r="A905" s="2">
        <v>11151</v>
      </c>
      <c r="B905" s="3" t="s">
        <v>3</v>
      </c>
      <c r="C905" s="3" t="s">
        <v>95</v>
      </c>
      <c r="D905" s="9">
        <v>41210</v>
      </c>
      <c r="E905" s="5">
        <v>384</v>
      </c>
      <c r="F905">
        <f>VLOOKUP(A905,paiments2[],3,FALSE)</f>
        <v>384</v>
      </c>
      <c r="G905" s="7"/>
    </row>
    <row r="906" spans="1:7" x14ac:dyDescent="0.2">
      <c r="A906" s="2">
        <v>11152</v>
      </c>
      <c r="B906" s="3" t="s">
        <v>21</v>
      </c>
      <c r="C906" s="3" t="s">
        <v>91</v>
      </c>
      <c r="D906" s="9">
        <v>41210</v>
      </c>
      <c r="E906" s="5">
        <v>3101</v>
      </c>
      <c r="F906">
        <f>VLOOKUP(A906,paiments2[],3,FALSE)</f>
        <v>3101</v>
      </c>
      <c r="G906" s="7"/>
    </row>
    <row r="907" spans="1:7" x14ac:dyDescent="0.2">
      <c r="A907" s="2">
        <v>11153</v>
      </c>
      <c r="B907" s="3" t="s">
        <v>45</v>
      </c>
      <c r="C907" s="3" t="s">
        <v>95</v>
      </c>
      <c r="D907" s="9">
        <v>41211</v>
      </c>
      <c r="E907" s="5">
        <v>1505</v>
      </c>
      <c r="F907">
        <f>VLOOKUP(A907,paiments2[],3,FALSE)</f>
        <v>1505</v>
      </c>
      <c r="G907" s="7"/>
    </row>
    <row r="908" spans="1:7" x14ac:dyDescent="0.2">
      <c r="A908" s="2">
        <v>11154</v>
      </c>
      <c r="B908" s="3" t="s">
        <v>55</v>
      </c>
      <c r="C908" s="3" t="s">
        <v>94</v>
      </c>
      <c r="D908" s="9">
        <v>41212</v>
      </c>
      <c r="E908" s="5">
        <v>330</v>
      </c>
      <c r="F908">
        <f>VLOOKUP(A908,paiments2[],3,FALSE)</f>
        <v>330</v>
      </c>
      <c r="G908" s="7"/>
    </row>
    <row r="909" spans="1:7" x14ac:dyDescent="0.2">
      <c r="A909" s="2">
        <v>11155</v>
      </c>
      <c r="B909" s="3" t="s">
        <v>53</v>
      </c>
      <c r="C909" s="3" t="s">
        <v>91</v>
      </c>
      <c r="D909" s="9">
        <v>41212</v>
      </c>
      <c r="E909" s="5">
        <v>290</v>
      </c>
      <c r="F909">
        <f>VLOOKUP(A909,paiments2[],3,FALSE)</f>
        <v>290</v>
      </c>
      <c r="G909" s="7"/>
    </row>
    <row r="910" spans="1:7" x14ac:dyDescent="0.2">
      <c r="A910" s="2">
        <v>11156</v>
      </c>
      <c r="B910" s="3" t="s">
        <v>16</v>
      </c>
      <c r="C910" s="3" t="s">
        <v>95</v>
      </c>
      <c r="D910" s="9">
        <v>41215</v>
      </c>
      <c r="E910" s="5">
        <v>1965</v>
      </c>
      <c r="F910">
        <f>VLOOKUP(A910,paiments2[],3,FALSE)</f>
        <v>1965</v>
      </c>
      <c r="G910" s="7"/>
    </row>
    <row r="911" spans="1:7" x14ac:dyDescent="0.2">
      <c r="A911" s="2">
        <v>11157</v>
      </c>
      <c r="B911" s="3" t="s">
        <v>44</v>
      </c>
      <c r="C911" s="3" t="s">
        <v>95</v>
      </c>
      <c r="D911" s="9">
        <v>41216</v>
      </c>
      <c r="E911" s="5">
        <v>492</v>
      </c>
      <c r="F911">
        <f>VLOOKUP(A911,paiments2[],3,FALSE)</f>
        <v>492</v>
      </c>
      <c r="G911" s="7"/>
    </row>
    <row r="912" spans="1:7" x14ac:dyDescent="0.2">
      <c r="A912" s="2">
        <v>11158</v>
      </c>
      <c r="B912" s="3" t="s">
        <v>44</v>
      </c>
      <c r="C912" s="3" t="s">
        <v>96</v>
      </c>
      <c r="D912" s="9">
        <v>41216</v>
      </c>
      <c r="E912" s="5">
        <v>1188</v>
      </c>
      <c r="F912">
        <f>VLOOKUP(A912,paiments2[],3,FALSE)</f>
        <v>1188</v>
      </c>
      <c r="G912" s="7"/>
    </row>
    <row r="913" spans="1:7" x14ac:dyDescent="0.2">
      <c r="A913" s="2">
        <v>11159</v>
      </c>
      <c r="B913" s="3" t="s">
        <v>4</v>
      </c>
      <c r="C913" s="3" t="s">
        <v>97</v>
      </c>
      <c r="D913" s="9">
        <v>41217</v>
      </c>
      <c r="E913" s="5">
        <v>2905</v>
      </c>
      <c r="F913">
        <f>VLOOKUP(A913,paiments2[],3,FALSE)</f>
        <v>2905</v>
      </c>
      <c r="G913" s="7"/>
    </row>
    <row r="914" spans="1:7" x14ac:dyDescent="0.2">
      <c r="A914" s="2">
        <v>11160</v>
      </c>
      <c r="B914" s="3" t="s">
        <v>3</v>
      </c>
      <c r="C914" s="3" t="s">
        <v>91</v>
      </c>
      <c r="D914" s="9">
        <v>41218</v>
      </c>
      <c r="E914" s="5">
        <v>1154</v>
      </c>
      <c r="F914">
        <f>VLOOKUP(A914,paiments2[],3,FALSE)</f>
        <v>1154</v>
      </c>
      <c r="G914" s="7"/>
    </row>
    <row r="915" spans="1:7" x14ac:dyDescent="0.2">
      <c r="A915" s="2">
        <v>11161</v>
      </c>
      <c r="B915" s="3" t="s">
        <v>14</v>
      </c>
      <c r="C915" s="3" t="s">
        <v>95</v>
      </c>
      <c r="D915" s="9">
        <v>41219</v>
      </c>
      <c r="E915" s="5">
        <v>1340</v>
      </c>
      <c r="F915">
        <f>VLOOKUP(A915,paiments2[],3,FALSE)</f>
        <v>1340</v>
      </c>
      <c r="G915" s="7"/>
    </row>
    <row r="916" spans="1:7" x14ac:dyDescent="0.2">
      <c r="A916" s="2">
        <v>11162</v>
      </c>
      <c r="B916" s="3" t="s">
        <v>28</v>
      </c>
      <c r="C916" s="3" t="s">
        <v>94</v>
      </c>
      <c r="D916" s="9">
        <v>41219</v>
      </c>
      <c r="E916" s="5">
        <v>2729</v>
      </c>
      <c r="F916">
        <f>VLOOKUP(A916,paiments2[],3,FALSE)</f>
        <v>2729</v>
      </c>
      <c r="G916" s="7"/>
    </row>
    <row r="917" spans="1:7" x14ac:dyDescent="0.2">
      <c r="A917" s="2">
        <v>11163</v>
      </c>
      <c r="B917" s="3" t="s">
        <v>70</v>
      </c>
      <c r="C917" s="3" t="s">
        <v>96</v>
      </c>
      <c r="D917" s="9">
        <v>41222</v>
      </c>
      <c r="E917" s="5">
        <v>624</v>
      </c>
      <c r="F917">
        <f>VLOOKUP(A917,paiments2[],3,FALSE)</f>
        <v>624</v>
      </c>
      <c r="G917" s="7"/>
    </row>
    <row r="918" spans="1:7" x14ac:dyDescent="0.2">
      <c r="A918" s="2">
        <v>11164</v>
      </c>
      <c r="B918" s="3" t="s">
        <v>4</v>
      </c>
      <c r="C918" s="3" t="s">
        <v>89</v>
      </c>
      <c r="D918" s="9">
        <v>41223</v>
      </c>
      <c r="E918" s="5">
        <v>850</v>
      </c>
      <c r="F918">
        <f>VLOOKUP(A918,paiments2[],3,FALSE)</f>
        <v>850</v>
      </c>
      <c r="G918" s="7"/>
    </row>
    <row r="919" spans="1:7" x14ac:dyDescent="0.2">
      <c r="A919" s="2">
        <v>11165</v>
      </c>
      <c r="B919" s="3" t="s">
        <v>47</v>
      </c>
      <c r="C919" s="3" t="s">
        <v>91</v>
      </c>
      <c r="D919" s="9">
        <v>41223</v>
      </c>
      <c r="E919" s="5">
        <v>1608</v>
      </c>
      <c r="F919">
        <f>VLOOKUP(A919,paiments2[],3,FALSE)</f>
        <v>1608</v>
      </c>
      <c r="G919" s="7"/>
    </row>
    <row r="920" spans="1:7" x14ac:dyDescent="0.2">
      <c r="A920" s="2">
        <v>11166</v>
      </c>
      <c r="B920" s="3" t="s">
        <v>60</v>
      </c>
      <c r="C920" s="3" t="s">
        <v>94</v>
      </c>
      <c r="D920" s="9">
        <v>41224</v>
      </c>
      <c r="E920" s="5">
        <v>408</v>
      </c>
      <c r="F920">
        <f>VLOOKUP(A920,paiments2[],3,FALSE)</f>
        <v>408</v>
      </c>
      <c r="G920" s="7"/>
    </row>
    <row r="921" spans="1:7" x14ac:dyDescent="0.2">
      <c r="A921" s="2">
        <v>11167</v>
      </c>
      <c r="B921" s="3" t="s">
        <v>32</v>
      </c>
      <c r="C921" s="3" t="s">
        <v>91</v>
      </c>
      <c r="D921" s="9">
        <v>41225</v>
      </c>
      <c r="E921" s="5">
        <v>935</v>
      </c>
      <c r="F921">
        <f>VLOOKUP(A921,paiments2[],3,FALSE)</f>
        <v>935</v>
      </c>
      <c r="G921" s="7"/>
    </row>
    <row r="922" spans="1:7" x14ac:dyDescent="0.2">
      <c r="A922" s="2">
        <v>11168</v>
      </c>
      <c r="B922" s="3" t="s">
        <v>22</v>
      </c>
      <c r="C922" s="3" t="s">
        <v>95</v>
      </c>
      <c r="D922" s="9">
        <v>41225</v>
      </c>
      <c r="E922" s="5">
        <v>2140</v>
      </c>
      <c r="F922">
        <f>VLOOKUP(A922,paiments2[],3,FALSE)</f>
        <v>2140</v>
      </c>
      <c r="G922" s="7"/>
    </row>
    <row r="923" spans="1:7" x14ac:dyDescent="0.2">
      <c r="A923" s="2">
        <v>11169</v>
      </c>
      <c r="B923" s="3" t="s">
        <v>44</v>
      </c>
      <c r="C923" s="3" t="s">
        <v>92</v>
      </c>
      <c r="D923" s="9">
        <v>41226</v>
      </c>
      <c r="E923" s="5">
        <v>390</v>
      </c>
      <c r="F923">
        <f>VLOOKUP(A923,paiments2[],3,FALSE)</f>
        <v>390</v>
      </c>
      <c r="G923" s="7"/>
    </row>
    <row r="924" spans="1:7" x14ac:dyDescent="0.2">
      <c r="A924" s="2">
        <v>11170</v>
      </c>
      <c r="B924" s="3" t="s">
        <v>19</v>
      </c>
      <c r="C924" s="3" t="s">
        <v>94</v>
      </c>
      <c r="D924" s="9">
        <v>41229</v>
      </c>
      <c r="E924" s="5">
        <v>700</v>
      </c>
      <c r="F924">
        <f>VLOOKUP(A924,paiments2[],3,FALSE)</f>
        <v>700</v>
      </c>
      <c r="G924" s="7"/>
    </row>
    <row r="925" spans="1:7" x14ac:dyDescent="0.2">
      <c r="A925" s="2">
        <v>11171</v>
      </c>
      <c r="B925" s="3" t="s">
        <v>48</v>
      </c>
      <c r="C925" s="3" t="s">
        <v>91</v>
      </c>
      <c r="D925" s="9">
        <v>41230</v>
      </c>
      <c r="E925" s="5">
        <v>968</v>
      </c>
      <c r="F925">
        <f>VLOOKUP(A925,paiments2[],3,FALSE)</f>
        <v>968</v>
      </c>
      <c r="G925" s="7"/>
    </row>
    <row r="926" spans="1:7" x14ac:dyDescent="0.2">
      <c r="A926" s="2">
        <v>11172</v>
      </c>
      <c r="B926" s="3" t="s">
        <v>31</v>
      </c>
      <c r="C926" s="3" t="s">
        <v>96</v>
      </c>
      <c r="D926" s="9">
        <v>41230</v>
      </c>
      <c r="E926" s="5">
        <v>525</v>
      </c>
      <c r="F926">
        <f>VLOOKUP(A926,paiments2[],3,FALSE)</f>
        <v>525</v>
      </c>
      <c r="G926" s="7"/>
    </row>
    <row r="927" spans="1:7" x14ac:dyDescent="0.2">
      <c r="A927" s="2">
        <v>11173</v>
      </c>
      <c r="B927" s="3" t="s">
        <v>56</v>
      </c>
      <c r="C927" s="3" t="s">
        <v>95</v>
      </c>
      <c r="D927" s="9">
        <v>41231</v>
      </c>
      <c r="E927" s="5">
        <v>1536</v>
      </c>
      <c r="F927">
        <f>VLOOKUP(A927,paiments2[],3,FALSE)</f>
        <v>1536</v>
      </c>
      <c r="G927" s="7"/>
    </row>
    <row r="928" spans="1:7" x14ac:dyDescent="0.2">
      <c r="A928" s="2">
        <v>11174</v>
      </c>
      <c r="B928" s="3" t="s">
        <v>42</v>
      </c>
      <c r="C928" s="3" t="s">
        <v>94</v>
      </c>
      <c r="D928" s="9">
        <v>41232</v>
      </c>
      <c r="E928" s="5">
        <v>2300</v>
      </c>
      <c r="F928">
        <f>VLOOKUP(A928,paiments2[],3,FALSE)</f>
        <v>2300</v>
      </c>
      <c r="G928" s="7"/>
    </row>
    <row r="929" spans="1:7" x14ac:dyDescent="0.2">
      <c r="A929" s="2">
        <v>11175</v>
      </c>
      <c r="B929" s="3" t="s">
        <v>43</v>
      </c>
      <c r="C929" s="3" t="s">
        <v>89</v>
      </c>
      <c r="D929" s="9">
        <v>41232</v>
      </c>
      <c r="E929" s="5">
        <v>115</v>
      </c>
      <c r="F929">
        <f>VLOOKUP(A929,paiments2[],3,FALSE)</f>
        <v>115</v>
      </c>
      <c r="G929" s="7"/>
    </row>
    <row r="930" spans="1:7" x14ac:dyDescent="0.2">
      <c r="A930" s="2">
        <v>11176</v>
      </c>
      <c r="B930" s="3" t="s">
        <v>4</v>
      </c>
      <c r="C930" s="3" t="s">
        <v>93</v>
      </c>
      <c r="D930" s="9">
        <v>41233</v>
      </c>
      <c r="E930" s="5">
        <v>705</v>
      </c>
      <c r="F930">
        <f>VLOOKUP(A930,paiments2[],3,FALSE)</f>
        <v>705</v>
      </c>
      <c r="G930" s="7"/>
    </row>
    <row r="931" spans="1:7" x14ac:dyDescent="0.2">
      <c r="A931" s="2">
        <v>11177</v>
      </c>
      <c r="B931" s="3" t="s">
        <v>8</v>
      </c>
      <c r="C931" s="3" t="s">
        <v>95</v>
      </c>
      <c r="D931" s="9">
        <v>41236</v>
      </c>
      <c r="E931" s="5">
        <v>136</v>
      </c>
      <c r="F931">
        <f>VLOOKUP(A931,paiments2[],3,FALSE)</f>
        <v>136</v>
      </c>
      <c r="G931" s="7"/>
    </row>
    <row r="932" spans="1:7" x14ac:dyDescent="0.2">
      <c r="A932" s="2">
        <v>11178</v>
      </c>
      <c r="B932" s="3" t="s">
        <v>50</v>
      </c>
      <c r="C932" s="3" t="s">
        <v>89</v>
      </c>
      <c r="D932" s="9">
        <v>41236</v>
      </c>
      <c r="E932" s="5">
        <v>476</v>
      </c>
      <c r="F932">
        <f>VLOOKUP(A932,paiments2[],3,FALSE)</f>
        <v>476</v>
      </c>
      <c r="G932" s="7"/>
    </row>
    <row r="933" spans="1:7" x14ac:dyDescent="0.2">
      <c r="A933" s="2">
        <v>11179</v>
      </c>
      <c r="B933" s="3" t="s">
        <v>3</v>
      </c>
      <c r="C933" s="3" t="s">
        <v>96</v>
      </c>
      <c r="D933" s="9">
        <v>41237</v>
      </c>
      <c r="E933" s="5">
        <v>360</v>
      </c>
      <c r="F933">
        <f>VLOOKUP(A933,paiments2[],3,FALSE)</f>
        <v>360</v>
      </c>
      <c r="G933" s="7"/>
    </row>
    <row r="934" spans="1:7" x14ac:dyDescent="0.2">
      <c r="A934" s="2">
        <v>11180</v>
      </c>
      <c r="B934" s="3" t="s">
        <v>13</v>
      </c>
      <c r="C934" s="3" t="s">
        <v>92</v>
      </c>
      <c r="D934" s="9">
        <v>41238</v>
      </c>
      <c r="E934" s="5">
        <v>7912</v>
      </c>
      <c r="F934">
        <f>VLOOKUP(A934,paiments2[],3,FALSE)</f>
        <v>7912</v>
      </c>
      <c r="G934" s="7"/>
    </row>
    <row r="935" spans="1:7" x14ac:dyDescent="0.2">
      <c r="A935" s="2">
        <v>11181</v>
      </c>
      <c r="B935" s="3" t="s">
        <v>66</v>
      </c>
      <c r="C935" s="3" t="s">
        <v>90</v>
      </c>
      <c r="D935" s="9">
        <v>41239</v>
      </c>
      <c r="E935" s="5">
        <v>546</v>
      </c>
      <c r="F935">
        <f>VLOOKUP(A935,paiments2[],3,FALSE)</f>
        <v>546</v>
      </c>
      <c r="G935" s="7"/>
    </row>
    <row r="936" spans="1:7" x14ac:dyDescent="0.2">
      <c r="A936" s="2">
        <v>11182</v>
      </c>
      <c r="B936" s="3" t="s">
        <v>29</v>
      </c>
      <c r="C936" s="3" t="s">
        <v>95</v>
      </c>
      <c r="D936" s="9">
        <v>41239</v>
      </c>
      <c r="E936" s="5">
        <v>1088</v>
      </c>
      <c r="F936">
        <f>VLOOKUP(A936,paiments2[],3,FALSE)</f>
        <v>1088</v>
      </c>
      <c r="G936" s="7"/>
    </row>
    <row r="937" spans="1:7" x14ac:dyDescent="0.2">
      <c r="A937" s="2">
        <v>11183</v>
      </c>
      <c r="B937" s="3" t="s">
        <v>72</v>
      </c>
      <c r="C937" s="3" t="s">
        <v>94</v>
      </c>
      <c r="D937" s="9">
        <v>41240</v>
      </c>
      <c r="E937" s="5">
        <v>110</v>
      </c>
      <c r="F937">
        <f>VLOOKUP(A937,paiments2[],3,FALSE)</f>
        <v>110</v>
      </c>
      <c r="G937" s="7"/>
    </row>
    <row r="938" spans="1:7" x14ac:dyDescent="0.2">
      <c r="A938" s="2">
        <v>11184</v>
      </c>
      <c r="B938" s="3" t="s">
        <v>19</v>
      </c>
      <c r="C938" s="3" t="s">
        <v>97</v>
      </c>
      <c r="D938" s="9">
        <v>41243</v>
      </c>
      <c r="E938" s="5">
        <v>490</v>
      </c>
      <c r="F938">
        <f>VLOOKUP(A938,paiments2[],3,FALSE)</f>
        <v>490</v>
      </c>
      <c r="G938" s="7"/>
    </row>
    <row r="939" spans="1:7" x14ac:dyDescent="0.2">
      <c r="A939" s="2">
        <v>11185</v>
      </c>
      <c r="B939" s="3" t="s">
        <v>31</v>
      </c>
      <c r="C939" s="3" t="s">
        <v>92</v>
      </c>
      <c r="D939" s="9">
        <v>41243</v>
      </c>
      <c r="E939" s="5">
        <v>290</v>
      </c>
      <c r="F939">
        <f>VLOOKUP(A939,paiments2[],3,FALSE)</f>
        <v>290</v>
      </c>
      <c r="G939" s="7"/>
    </row>
    <row r="940" spans="1:7" x14ac:dyDescent="0.2">
      <c r="A940" s="2">
        <v>11186</v>
      </c>
      <c r="B940" s="3" t="s">
        <v>65</v>
      </c>
      <c r="C940" s="3" t="s">
        <v>91</v>
      </c>
      <c r="D940" s="9">
        <v>41244</v>
      </c>
      <c r="E940" s="5">
        <v>1300</v>
      </c>
      <c r="F940">
        <f>VLOOKUP(A940,paiments2[],3,FALSE)</f>
        <v>1300</v>
      </c>
      <c r="G940" s="7"/>
    </row>
    <row r="941" spans="1:7" x14ac:dyDescent="0.2">
      <c r="A941" s="2">
        <v>11187</v>
      </c>
      <c r="B941" s="3" t="s">
        <v>8</v>
      </c>
      <c r="C941" s="3" t="s">
        <v>94</v>
      </c>
      <c r="D941" s="9">
        <v>41245</v>
      </c>
      <c r="E941" s="5">
        <v>956</v>
      </c>
      <c r="F941">
        <f>VLOOKUP(A941,paiments2[],3,FALSE)</f>
        <v>956</v>
      </c>
      <c r="G941" s="7"/>
    </row>
    <row r="942" spans="1:7" x14ac:dyDescent="0.2">
      <c r="A942" s="2">
        <v>11188</v>
      </c>
      <c r="B942" s="3" t="s">
        <v>61</v>
      </c>
      <c r="C942" s="3" t="s">
        <v>96</v>
      </c>
      <c r="D942" s="9">
        <v>41245</v>
      </c>
      <c r="E942" s="5">
        <v>661</v>
      </c>
      <c r="F942">
        <f>VLOOKUP(A942,paiments2[],3,FALSE)</f>
        <v>661</v>
      </c>
      <c r="G942" s="7"/>
    </row>
    <row r="943" spans="1:7" x14ac:dyDescent="0.2">
      <c r="A943" s="2">
        <v>11189</v>
      </c>
      <c r="B943" s="3" t="s">
        <v>17</v>
      </c>
      <c r="C943" s="3" t="s">
        <v>95</v>
      </c>
      <c r="D943" s="9">
        <v>41246</v>
      </c>
      <c r="E943" s="5">
        <v>1170</v>
      </c>
      <c r="F943">
        <f>VLOOKUP(A943,paiments2[],3,FALSE)</f>
        <v>1170</v>
      </c>
      <c r="G943" s="7"/>
    </row>
    <row r="944" spans="1:7" x14ac:dyDescent="0.2">
      <c r="A944" s="2">
        <v>11190</v>
      </c>
      <c r="B944" s="3" t="s">
        <v>54</v>
      </c>
      <c r="C944" s="3" t="s">
        <v>90</v>
      </c>
      <c r="D944" s="9">
        <v>41247</v>
      </c>
      <c r="E944" s="5">
        <v>360</v>
      </c>
      <c r="F944">
        <f>VLOOKUP(A944,paiments2[],3,FALSE)</f>
        <v>360</v>
      </c>
      <c r="G944" s="7"/>
    </row>
    <row r="945" spans="1:7" x14ac:dyDescent="0.2">
      <c r="A945" s="2">
        <v>11191</v>
      </c>
      <c r="B945" s="3" t="s">
        <v>8</v>
      </c>
      <c r="C945" s="3" t="s">
        <v>97</v>
      </c>
      <c r="D945" s="9">
        <v>41250</v>
      </c>
      <c r="E945" s="5">
        <v>2334</v>
      </c>
      <c r="F945">
        <f>VLOOKUP(A945,paiments2[],3,FALSE)</f>
        <v>2334</v>
      </c>
      <c r="G945" s="7"/>
    </row>
    <row r="946" spans="1:7" x14ac:dyDescent="0.2">
      <c r="A946" s="2">
        <v>11192</v>
      </c>
      <c r="B946" s="3" t="s">
        <v>47</v>
      </c>
      <c r="C946" s="3" t="s">
        <v>95</v>
      </c>
      <c r="D946" s="9">
        <v>41250</v>
      </c>
      <c r="E946" s="5">
        <v>214</v>
      </c>
      <c r="F946">
        <f>VLOOKUP(A946,paiments2[],3,FALSE)</f>
        <v>214</v>
      </c>
      <c r="G946" s="7"/>
    </row>
    <row r="947" spans="1:7" x14ac:dyDescent="0.2">
      <c r="A947" s="2">
        <v>11193</v>
      </c>
      <c r="B947" s="3" t="s">
        <v>64</v>
      </c>
      <c r="C947" s="3" t="s">
        <v>92</v>
      </c>
      <c r="D947" s="9">
        <v>41251</v>
      </c>
      <c r="E947" s="5">
        <v>640</v>
      </c>
      <c r="F947">
        <f>VLOOKUP(A947,paiments2[],3,FALSE)</f>
        <v>640</v>
      </c>
      <c r="G947" s="7"/>
    </row>
    <row r="948" spans="1:7" x14ac:dyDescent="0.2">
      <c r="A948" s="2">
        <v>11194</v>
      </c>
      <c r="B948" s="3" t="s">
        <v>53</v>
      </c>
      <c r="C948" s="3" t="s">
        <v>91</v>
      </c>
      <c r="D948" s="9">
        <v>41252</v>
      </c>
      <c r="E948" s="5">
        <v>490</v>
      </c>
      <c r="F948">
        <f>VLOOKUP(A948,paiments2[],3,FALSE)</f>
        <v>490</v>
      </c>
      <c r="G948" s="7"/>
    </row>
    <row r="949" spans="1:7" x14ac:dyDescent="0.2">
      <c r="A949" s="2">
        <v>11195</v>
      </c>
      <c r="B949" s="3" t="s">
        <v>32</v>
      </c>
      <c r="C949" s="3" t="s">
        <v>91</v>
      </c>
      <c r="D949" s="9">
        <v>41252</v>
      </c>
      <c r="E949" s="5">
        <v>690</v>
      </c>
      <c r="F949">
        <f>VLOOKUP(A949,paiments2[],3,FALSE)</f>
        <v>690</v>
      </c>
      <c r="G949" s="7"/>
    </row>
    <row r="950" spans="1:7" x14ac:dyDescent="0.2">
      <c r="A950" s="2">
        <v>11196</v>
      </c>
      <c r="B950" s="3" t="s">
        <v>73</v>
      </c>
      <c r="C950" s="3" t="s">
        <v>92</v>
      </c>
      <c r="D950" s="9">
        <v>41253</v>
      </c>
      <c r="E950" s="5">
        <v>185</v>
      </c>
      <c r="F950">
        <f>VLOOKUP(A950,paiments2[],3,FALSE)</f>
        <v>185</v>
      </c>
      <c r="G950" s="7"/>
    </row>
    <row r="951" spans="1:7" x14ac:dyDescent="0.2">
      <c r="A951" s="2">
        <v>11197</v>
      </c>
      <c r="B951" s="3" t="s">
        <v>33</v>
      </c>
      <c r="C951" s="3" t="s">
        <v>97</v>
      </c>
      <c r="D951" s="9">
        <v>41254</v>
      </c>
      <c r="E951" s="5">
        <v>140</v>
      </c>
      <c r="F951">
        <f>VLOOKUP(A951,paiments2[],3,FALSE)</f>
        <v>140</v>
      </c>
      <c r="G951" s="7"/>
    </row>
    <row r="952" spans="1:7" x14ac:dyDescent="0.2">
      <c r="A952" s="2">
        <v>11198</v>
      </c>
      <c r="B952" s="3" t="s">
        <v>26</v>
      </c>
      <c r="C952" s="3" t="s">
        <v>97</v>
      </c>
      <c r="D952" s="9">
        <v>41254</v>
      </c>
      <c r="E952" s="5">
        <v>1022</v>
      </c>
      <c r="F952">
        <f>VLOOKUP(A952,paiments2[],3,FALSE)</f>
        <v>1022</v>
      </c>
      <c r="G952" s="7"/>
    </row>
    <row r="953" spans="1:7" x14ac:dyDescent="0.2">
      <c r="A953" s="2">
        <v>11199</v>
      </c>
      <c r="B953" s="3" t="s">
        <v>8</v>
      </c>
      <c r="C953" s="3" t="s">
        <v>95</v>
      </c>
      <c r="D953" s="9">
        <v>41257</v>
      </c>
      <c r="E953" s="5">
        <v>412</v>
      </c>
      <c r="F953">
        <f>VLOOKUP(A953,paiments2[],3,FALSE)</f>
        <v>412</v>
      </c>
      <c r="G953" s="7"/>
    </row>
    <row r="954" spans="1:7" x14ac:dyDescent="0.2">
      <c r="A954" s="2">
        <v>11200</v>
      </c>
      <c r="B954" s="3" t="s">
        <v>28</v>
      </c>
      <c r="C954" s="3" t="s">
        <v>91</v>
      </c>
      <c r="D954" s="9">
        <v>41258</v>
      </c>
      <c r="E954" s="5">
        <v>1055</v>
      </c>
      <c r="F954">
        <f>VLOOKUP(A954,paiments2[],3,FALSE)</f>
        <v>1055</v>
      </c>
      <c r="G954" s="7"/>
    </row>
    <row r="955" spans="1:7" x14ac:dyDescent="0.2">
      <c r="A955" s="2">
        <v>11201</v>
      </c>
      <c r="B955" s="3" t="s">
        <v>53</v>
      </c>
      <c r="C955" s="3" t="s">
        <v>90</v>
      </c>
      <c r="D955" s="9">
        <v>41259</v>
      </c>
      <c r="E955" s="5">
        <v>404</v>
      </c>
      <c r="F955">
        <f>VLOOKUP(A955,paiments2[],3,FALSE)</f>
        <v>404</v>
      </c>
      <c r="G955" s="7"/>
    </row>
    <row r="956" spans="1:7" x14ac:dyDescent="0.2">
      <c r="A956" s="2">
        <v>11202</v>
      </c>
      <c r="B956" s="3" t="s">
        <v>74</v>
      </c>
      <c r="C956" s="3" t="s">
        <v>93</v>
      </c>
      <c r="D956" s="9">
        <v>41259</v>
      </c>
      <c r="E956" s="5">
        <v>100</v>
      </c>
      <c r="F956">
        <f>VLOOKUP(A956,paiments2[],3,FALSE)</f>
        <v>100</v>
      </c>
      <c r="G956" s="7"/>
    </row>
    <row r="957" spans="1:7" x14ac:dyDescent="0.2">
      <c r="A957" s="2">
        <v>11203</v>
      </c>
      <c r="B957" s="3" t="s">
        <v>43</v>
      </c>
      <c r="C957" s="3" t="s">
        <v>96</v>
      </c>
      <c r="D957" s="9">
        <v>41260</v>
      </c>
      <c r="E957" s="5">
        <v>597</v>
      </c>
      <c r="F957">
        <f>VLOOKUP(A957,paiments2[],3,FALSE)</f>
        <v>597</v>
      </c>
      <c r="G957" s="7"/>
    </row>
    <row r="958" spans="1:7" x14ac:dyDescent="0.2">
      <c r="A958" s="2">
        <v>11204</v>
      </c>
      <c r="B958" s="3" t="s">
        <v>34</v>
      </c>
      <c r="C958" s="3" t="s">
        <v>90</v>
      </c>
      <c r="D958" s="9">
        <v>41261</v>
      </c>
      <c r="E958" s="5">
        <v>1510</v>
      </c>
      <c r="F958">
        <f>VLOOKUP(A958,paiments2[],3,FALSE)</f>
        <v>1510</v>
      </c>
      <c r="G958" s="7"/>
    </row>
    <row r="959" spans="1:7" x14ac:dyDescent="0.2">
      <c r="A959" s="2">
        <v>11205</v>
      </c>
      <c r="B959" s="3" t="s">
        <v>19</v>
      </c>
      <c r="C959" s="3" t="s">
        <v>91</v>
      </c>
      <c r="D959" s="9">
        <v>41261</v>
      </c>
      <c r="E959" s="5">
        <v>1027</v>
      </c>
      <c r="F959">
        <f>VLOOKUP(A959,paiments2[],3,FALSE)</f>
        <v>1027</v>
      </c>
      <c r="G959" s="7"/>
    </row>
    <row r="960" spans="1:7" x14ac:dyDescent="0.2">
      <c r="A960" s="2">
        <v>11206</v>
      </c>
      <c r="B960" s="3" t="s">
        <v>49</v>
      </c>
      <c r="C960" s="3" t="s">
        <v>92</v>
      </c>
      <c r="D960" s="9">
        <v>41264</v>
      </c>
      <c r="E960" s="5">
        <v>1154</v>
      </c>
      <c r="F960">
        <f>VLOOKUP(A960,paiments2[],3,FALSE)</f>
        <v>1154</v>
      </c>
      <c r="G960" s="7"/>
    </row>
    <row r="961" spans="1:7" x14ac:dyDescent="0.2">
      <c r="A961" s="2">
        <v>11207</v>
      </c>
      <c r="B961" s="3" t="s">
        <v>44</v>
      </c>
      <c r="C961" s="3" t="s">
        <v>93</v>
      </c>
      <c r="D961" s="9">
        <v>41265</v>
      </c>
      <c r="E961" s="5">
        <v>1340</v>
      </c>
      <c r="F961">
        <f>VLOOKUP(A961,paiments2[],3,FALSE)</f>
        <v>1340</v>
      </c>
      <c r="G961" s="7"/>
    </row>
    <row r="962" spans="1:7" x14ac:dyDescent="0.2">
      <c r="A962" s="2">
        <v>11208</v>
      </c>
      <c r="B962" s="3" t="s">
        <v>59</v>
      </c>
      <c r="C962" s="3" t="s">
        <v>97</v>
      </c>
      <c r="D962" s="9">
        <v>41265</v>
      </c>
      <c r="E962" s="5">
        <v>2729</v>
      </c>
      <c r="F962">
        <f>VLOOKUP(A962,paiments2[],3,FALSE)</f>
        <v>2729</v>
      </c>
      <c r="G962" s="7"/>
    </row>
    <row r="963" spans="1:7" x14ac:dyDescent="0.2">
      <c r="A963" s="2">
        <v>11209</v>
      </c>
      <c r="B963" s="3" t="s">
        <v>11</v>
      </c>
      <c r="C963" s="3" t="s">
        <v>94</v>
      </c>
      <c r="D963" s="9">
        <v>41266</v>
      </c>
      <c r="E963" s="5">
        <v>624</v>
      </c>
      <c r="F963">
        <f>VLOOKUP(A963,paiments2[],3,FALSE)</f>
        <v>624</v>
      </c>
      <c r="G963" s="7"/>
    </row>
    <row r="964" spans="1:7" x14ac:dyDescent="0.2">
      <c r="A964" s="2">
        <v>11210</v>
      </c>
      <c r="B964" s="3" t="s">
        <v>74</v>
      </c>
      <c r="C964" s="3" t="s">
        <v>91</v>
      </c>
      <c r="D964" s="9">
        <v>41267</v>
      </c>
      <c r="E964" s="5">
        <v>850</v>
      </c>
      <c r="F964">
        <f>VLOOKUP(A964,paiments2[],3,FALSE)</f>
        <v>850</v>
      </c>
      <c r="G964" s="7"/>
    </row>
    <row r="965" spans="1:7" x14ac:dyDescent="0.2">
      <c r="A965" s="2">
        <v>11211</v>
      </c>
      <c r="B965" s="3" t="s">
        <v>45</v>
      </c>
      <c r="C965" s="3" t="s">
        <v>90</v>
      </c>
      <c r="D965" s="9">
        <v>41268</v>
      </c>
      <c r="E965" s="5">
        <v>1608</v>
      </c>
      <c r="F965">
        <f>VLOOKUP(A965,paiments2[],3,FALSE)</f>
        <v>1608</v>
      </c>
      <c r="G965" s="7"/>
    </row>
    <row r="966" spans="1:7" x14ac:dyDescent="0.2">
      <c r="A966" s="2">
        <v>11212</v>
      </c>
      <c r="B966" s="3" t="s">
        <v>48</v>
      </c>
      <c r="C966" s="3" t="s">
        <v>91</v>
      </c>
      <c r="D966" s="9">
        <v>41268</v>
      </c>
      <c r="E966" s="5">
        <v>408</v>
      </c>
      <c r="F966">
        <f>VLOOKUP(A966,paiments2[],3,FALSE)</f>
        <v>408</v>
      </c>
      <c r="G966" s="7"/>
    </row>
    <row r="967" spans="1:7" x14ac:dyDescent="0.2">
      <c r="A967" s="2">
        <v>11213</v>
      </c>
      <c r="B967" s="3" t="s">
        <v>52</v>
      </c>
      <c r="C967" s="3" t="s">
        <v>97</v>
      </c>
      <c r="D967" s="9">
        <v>41271</v>
      </c>
      <c r="E967" s="5">
        <v>935</v>
      </c>
      <c r="F967">
        <f>VLOOKUP(A967,paiments2[],3,FALSE)</f>
        <v>935</v>
      </c>
      <c r="G967" s="7"/>
    </row>
    <row r="968" spans="1:7" x14ac:dyDescent="0.2">
      <c r="A968" s="2">
        <v>11214</v>
      </c>
      <c r="B968" s="3" t="s">
        <v>35</v>
      </c>
      <c r="C968" s="3" t="s">
        <v>97</v>
      </c>
      <c r="D968" s="9">
        <v>41272</v>
      </c>
      <c r="E968" s="5">
        <v>2140</v>
      </c>
      <c r="F968">
        <f>VLOOKUP(A968,paiments2[],3,FALSE)</f>
        <v>2140</v>
      </c>
      <c r="G968" s="7"/>
    </row>
    <row r="969" spans="1:7" x14ac:dyDescent="0.2">
      <c r="A969" s="2">
        <v>11215</v>
      </c>
      <c r="B969" s="3" t="s">
        <v>9</v>
      </c>
      <c r="C969" s="3" t="s">
        <v>92</v>
      </c>
      <c r="D969" s="9">
        <v>41272</v>
      </c>
      <c r="E969" s="5">
        <v>390</v>
      </c>
      <c r="F969">
        <f>VLOOKUP(A969,paiments2[],3,FALSE)</f>
        <v>390</v>
      </c>
      <c r="G969" s="7"/>
    </row>
    <row r="970" spans="1:7" x14ac:dyDescent="0.2">
      <c r="A970" s="2">
        <v>11216</v>
      </c>
      <c r="B970" s="3" t="s">
        <v>21</v>
      </c>
      <c r="C970" s="3" t="s">
        <v>96</v>
      </c>
      <c r="D970" s="9">
        <v>41273</v>
      </c>
      <c r="E970" s="5">
        <v>700</v>
      </c>
      <c r="F970">
        <f>VLOOKUP(A970,paiments2[],3,FALSE)</f>
        <v>700</v>
      </c>
      <c r="G970" s="7"/>
    </row>
    <row r="971" spans="1:7" x14ac:dyDescent="0.2">
      <c r="A971" s="2">
        <v>11217</v>
      </c>
      <c r="B971" s="3" t="s">
        <v>34</v>
      </c>
      <c r="C971" s="3" t="s">
        <v>96</v>
      </c>
      <c r="D971" s="9">
        <v>41274</v>
      </c>
      <c r="E971" s="5">
        <v>968</v>
      </c>
      <c r="F971">
        <f>VLOOKUP(A971,paiments2[],3,FALSE)</f>
        <v>968</v>
      </c>
      <c r="G971" s="7"/>
    </row>
    <row r="972" spans="1:7" x14ac:dyDescent="0.2">
      <c r="A972" s="2">
        <v>11218</v>
      </c>
      <c r="B972" s="3" t="s">
        <v>75</v>
      </c>
      <c r="C972" s="3" t="s">
        <v>92</v>
      </c>
      <c r="D972" s="9">
        <v>41274</v>
      </c>
      <c r="E972" s="5">
        <v>525</v>
      </c>
      <c r="F972">
        <f>VLOOKUP(A972,paiments2[],3,FALSE)</f>
        <v>525</v>
      </c>
      <c r="G972" s="7"/>
    </row>
    <row r="973" spans="1:7" x14ac:dyDescent="0.2">
      <c r="A973" s="2">
        <v>11219</v>
      </c>
      <c r="B973" s="3" t="s">
        <v>23</v>
      </c>
      <c r="C973" s="3" t="s">
        <v>91</v>
      </c>
      <c r="D973" s="9">
        <v>41275</v>
      </c>
      <c r="E973" s="5">
        <v>1536</v>
      </c>
      <c r="F973">
        <f>VLOOKUP(A973,paiments2[],3,FALSE)</f>
        <v>1536</v>
      </c>
      <c r="G973" s="7"/>
    </row>
    <row r="974" spans="1:7" x14ac:dyDescent="0.2">
      <c r="A974" s="2">
        <v>11220</v>
      </c>
      <c r="B974" s="3" t="s">
        <v>5</v>
      </c>
      <c r="C974" s="3" t="s">
        <v>90</v>
      </c>
      <c r="D974" s="9">
        <v>41278</v>
      </c>
      <c r="E974" s="5">
        <v>2300</v>
      </c>
      <c r="F974">
        <f>VLOOKUP(A974,paiments2[],3,FALSE)</f>
        <v>2300</v>
      </c>
      <c r="G974" s="7"/>
    </row>
    <row r="975" spans="1:7" x14ac:dyDescent="0.2">
      <c r="A975" s="2">
        <v>11221</v>
      </c>
      <c r="B975" s="3" t="s">
        <v>63</v>
      </c>
      <c r="C975" s="3" t="s">
        <v>97</v>
      </c>
      <c r="D975" s="9">
        <v>41279</v>
      </c>
      <c r="E975" s="5">
        <v>115</v>
      </c>
      <c r="F975">
        <f>VLOOKUP(A975,paiments2[],3,FALSE)</f>
        <v>115</v>
      </c>
      <c r="G975" s="7"/>
    </row>
    <row r="976" spans="1:7" x14ac:dyDescent="0.2">
      <c r="A976" s="2">
        <v>11222</v>
      </c>
      <c r="B976" s="3" t="s">
        <v>76</v>
      </c>
      <c r="C976" s="3" t="s">
        <v>95</v>
      </c>
      <c r="D976" s="9">
        <v>41279</v>
      </c>
      <c r="E976" s="5">
        <v>705</v>
      </c>
      <c r="F976">
        <f>VLOOKUP(A976,paiments2[],3,FALSE)</f>
        <v>705</v>
      </c>
      <c r="G976" s="7"/>
    </row>
    <row r="977" spans="1:7" x14ac:dyDescent="0.2">
      <c r="A977" s="2">
        <v>11223</v>
      </c>
      <c r="B977" s="3" t="s">
        <v>26</v>
      </c>
      <c r="C977" s="3" t="s">
        <v>91</v>
      </c>
      <c r="D977" s="9">
        <v>41280</v>
      </c>
      <c r="E977" s="5">
        <v>1970</v>
      </c>
      <c r="F977">
        <f>VLOOKUP(A977,paiments2[],3,FALSE)</f>
        <v>1970</v>
      </c>
      <c r="G977" s="7"/>
    </row>
    <row r="978" spans="1:7" x14ac:dyDescent="0.2">
      <c r="A978" s="2">
        <v>11224</v>
      </c>
      <c r="B978" s="3" t="s">
        <v>56</v>
      </c>
      <c r="C978" s="3" t="s">
        <v>97</v>
      </c>
      <c r="D978" s="9">
        <v>41281</v>
      </c>
      <c r="E978" s="5">
        <v>2024</v>
      </c>
      <c r="F978">
        <f>VLOOKUP(A978,paiments2[],3,FALSE)</f>
        <v>2024</v>
      </c>
      <c r="G978" s="7"/>
    </row>
    <row r="979" spans="1:7" x14ac:dyDescent="0.2">
      <c r="A979" s="2">
        <v>11225</v>
      </c>
      <c r="B979" s="3" t="s">
        <v>25</v>
      </c>
      <c r="C979" s="3" t="s">
        <v>94</v>
      </c>
      <c r="D979" s="9">
        <v>41281</v>
      </c>
      <c r="E979" s="5">
        <v>2411</v>
      </c>
      <c r="F979">
        <f>VLOOKUP(A979,paiments2[],3,FALSE)</f>
        <v>2411</v>
      </c>
      <c r="G979" s="7"/>
    </row>
    <row r="980" spans="1:7" x14ac:dyDescent="0.2">
      <c r="A980" s="2">
        <v>11226</v>
      </c>
      <c r="B980" s="3" t="s">
        <v>48</v>
      </c>
      <c r="C980" s="3" t="s">
        <v>94</v>
      </c>
      <c r="D980" s="9">
        <v>41282</v>
      </c>
      <c r="E980" s="5">
        <v>630</v>
      </c>
      <c r="F980">
        <f>VLOOKUP(A980,paiments2[],3,FALSE)</f>
        <v>630</v>
      </c>
      <c r="G980" s="7"/>
    </row>
    <row r="981" spans="1:7" x14ac:dyDescent="0.2">
      <c r="A981" s="2">
        <v>11227</v>
      </c>
      <c r="B981" s="3" t="s">
        <v>16</v>
      </c>
      <c r="C981" s="3" t="s">
        <v>91</v>
      </c>
      <c r="D981" s="9">
        <v>41285</v>
      </c>
      <c r="E981" s="5">
        <v>984</v>
      </c>
      <c r="F981">
        <f>VLOOKUP(A981,paiments2[],3,FALSE)</f>
        <v>984</v>
      </c>
      <c r="G981" s="7"/>
    </row>
    <row r="982" spans="1:7" x14ac:dyDescent="0.2">
      <c r="A982" s="2">
        <v>11228</v>
      </c>
      <c r="B982" s="3" t="s">
        <v>21</v>
      </c>
      <c r="C982" s="3" t="s">
        <v>97</v>
      </c>
      <c r="D982" s="9">
        <v>41285</v>
      </c>
      <c r="E982" s="5">
        <v>1220</v>
      </c>
      <c r="F982">
        <f>VLOOKUP(A982,paiments2[],3,FALSE)</f>
        <v>1220</v>
      </c>
      <c r="G982" s="7"/>
    </row>
    <row r="983" spans="1:7" x14ac:dyDescent="0.2">
      <c r="A983" s="2">
        <v>11229</v>
      </c>
      <c r="B983" s="3" t="s">
        <v>77</v>
      </c>
      <c r="C983" s="3" t="s">
        <v>90</v>
      </c>
      <c r="D983" s="9">
        <v>41286</v>
      </c>
      <c r="E983" s="5">
        <v>290</v>
      </c>
      <c r="F983">
        <f>VLOOKUP(A983,paiments2[],3,FALSE)</f>
        <v>290</v>
      </c>
      <c r="G983" s="7"/>
    </row>
    <row r="984" spans="1:7" x14ac:dyDescent="0.2">
      <c r="A984" s="2">
        <v>11230</v>
      </c>
      <c r="B984" s="3" t="s">
        <v>78</v>
      </c>
      <c r="C984" s="3" t="s">
        <v>89</v>
      </c>
      <c r="D984" s="9">
        <v>41287</v>
      </c>
      <c r="E984" s="5">
        <v>702</v>
      </c>
      <c r="F984">
        <f>VLOOKUP(A984,paiments2[],3,FALSE)</f>
        <v>702</v>
      </c>
      <c r="G984" s="7"/>
    </row>
    <row r="985" spans="1:7" x14ac:dyDescent="0.2">
      <c r="A985" s="2">
        <v>11231</v>
      </c>
      <c r="B985" s="3" t="s">
        <v>54</v>
      </c>
      <c r="C985" s="3" t="s">
        <v>92</v>
      </c>
      <c r="D985" s="9">
        <v>41288</v>
      </c>
      <c r="E985" s="5">
        <v>3105</v>
      </c>
      <c r="F985">
        <f>VLOOKUP(A985,paiments2[],3,FALSE)</f>
        <v>3105</v>
      </c>
      <c r="G985" s="7"/>
    </row>
    <row r="986" spans="1:7" x14ac:dyDescent="0.2">
      <c r="A986" s="2">
        <v>11232</v>
      </c>
      <c r="B986" s="3" t="s">
        <v>67</v>
      </c>
      <c r="C986" s="3" t="s">
        <v>97</v>
      </c>
      <c r="D986" s="9">
        <v>41288</v>
      </c>
      <c r="E986" s="5">
        <v>82</v>
      </c>
      <c r="F986">
        <f>VLOOKUP(A986,paiments2[],3,FALSE)</f>
        <v>82</v>
      </c>
      <c r="G986" s="7"/>
    </row>
    <row r="987" spans="1:7" x14ac:dyDescent="0.2">
      <c r="A987" s="2">
        <v>11233</v>
      </c>
      <c r="B987" s="3" t="s">
        <v>58</v>
      </c>
      <c r="C987" s="3" t="s">
        <v>97</v>
      </c>
      <c r="D987" s="9">
        <v>41289</v>
      </c>
      <c r="E987" s="5">
        <v>573</v>
      </c>
      <c r="F987">
        <f>VLOOKUP(A987,paiments2[],3,FALSE)</f>
        <v>573</v>
      </c>
      <c r="G987" s="7"/>
    </row>
    <row r="988" spans="1:7" x14ac:dyDescent="0.2">
      <c r="A988" s="2">
        <v>11234</v>
      </c>
      <c r="B988" s="3" t="s">
        <v>14</v>
      </c>
      <c r="C988" s="3" t="s">
        <v>95</v>
      </c>
      <c r="D988" s="9">
        <v>41292</v>
      </c>
      <c r="E988" s="5">
        <v>1688</v>
      </c>
      <c r="F988">
        <f>VLOOKUP(A988,paiments2[],3,FALSE)</f>
        <v>1688</v>
      </c>
      <c r="G988" s="7"/>
    </row>
    <row r="989" spans="1:7" x14ac:dyDescent="0.2">
      <c r="A989" s="2">
        <v>11235</v>
      </c>
      <c r="B989" s="3" t="s">
        <v>26</v>
      </c>
      <c r="C989" s="3" t="s">
        <v>95</v>
      </c>
      <c r="D989" s="9">
        <v>41292</v>
      </c>
      <c r="E989" s="5">
        <v>380</v>
      </c>
      <c r="F989">
        <f>VLOOKUP(A989,paiments2[],3,FALSE)</f>
        <v>380</v>
      </c>
      <c r="G989" s="7"/>
    </row>
    <row r="990" spans="1:7" x14ac:dyDescent="0.2">
      <c r="A990" s="2">
        <v>11236</v>
      </c>
      <c r="B990" s="3" t="s">
        <v>59</v>
      </c>
      <c r="C990" s="3" t="s">
        <v>91</v>
      </c>
      <c r="D990" s="9">
        <v>41293</v>
      </c>
      <c r="E990" s="5">
        <v>1625</v>
      </c>
      <c r="F990">
        <f>VLOOKUP(A990,paiments2[],3,FALSE)</f>
        <v>1625</v>
      </c>
      <c r="G990" s="7"/>
    </row>
    <row r="991" spans="1:7" x14ac:dyDescent="0.2">
      <c r="A991" s="2">
        <v>11237</v>
      </c>
      <c r="B991" s="3" t="s">
        <v>26</v>
      </c>
      <c r="C991" s="3" t="s">
        <v>92</v>
      </c>
      <c r="D991" s="9">
        <v>41294</v>
      </c>
      <c r="E991" s="5">
        <v>1505</v>
      </c>
      <c r="F991">
        <f>VLOOKUP(A991,paiments2[],3,FALSE)</f>
        <v>1505</v>
      </c>
      <c r="G991" s="7"/>
    </row>
    <row r="992" spans="1:7" x14ac:dyDescent="0.2">
      <c r="A992" s="2">
        <v>11238</v>
      </c>
      <c r="B992" s="3" t="s">
        <v>6</v>
      </c>
      <c r="C992" s="3" t="s">
        <v>94</v>
      </c>
      <c r="D992" s="9">
        <v>41294</v>
      </c>
      <c r="E992" s="5">
        <v>1355</v>
      </c>
      <c r="F992">
        <f>VLOOKUP(A992,paiments2[],3,FALSE)</f>
        <v>1355</v>
      </c>
      <c r="G992" s="7"/>
    </row>
    <row r="993" spans="1:7" x14ac:dyDescent="0.2">
      <c r="A993" s="2">
        <v>11239</v>
      </c>
      <c r="B993" s="3" t="s">
        <v>31</v>
      </c>
      <c r="C993" s="3" t="s">
        <v>93</v>
      </c>
      <c r="D993" s="9">
        <v>41295</v>
      </c>
      <c r="E993" s="5">
        <v>103</v>
      </c>
      <c r="F993">
        <f>VLOOKUP(A993,paiments2[],3,FALSE)</f>
        <v>103</v>
      </c>
      <c r="G993" s="7"/>
    </row>
    <row r="994" spans="1:7" x14ac:dyDescent="0.2">
      <c r="A994" s="2">
        <v>11240</v>
      </c>
      <c r="B994" s="3" t="s">
        <v>31</v>
      </c>
      <c r="C994" s="3" t="s">
        <v>90</v>
      </c>
      <c r="D994" s="9">
        <v>41296</v>
      </c>
      <c r="E994" s="5">
        <v>242</v>
      </c>
      <c r="F994">
        <f>VLOOKUP(A994,paiments2[],3,FALSE)</f>
        <v>242</v>
      </c>
      <c r="G994" s="7"/>
    </row>
    <row r="995" spans="1:7" x14ac:dyDescent="0.2">
      <c r="A995" s="2">
        <v>11241</v>
      </c>
      <c r="B995" s="3" t="s">
        <v>21</v>
      </c>
      <c r="C995" s="3" t="s">
        <v>92</v>
      </c>
      <c r="D995" s="9">
        <v>41299</v>
      </c>
      <c r="E995" s="5">
        <v>7655</v>
      </c>
      <c r="F995">
        <f>VLOOKUP(A995,paiments2[],3,FALSE)</f>
        <v>7655</v>
      </c>
      <c r="G995" s="7"/>
    </row>
    <row r="996" spans="1:7" x14ac:dyDescent="0.2">
      <c r="A996" s="2">
        <v>11242</v>
      </c>
      <c r="B996" s="3" t="s">
        <v>2</v>
      </c>
      <c r="C996" s="3" t="s">
        <v>96</v>
      </c>
      <c r="D996" s="9">
        <v>41299</v>
      </c>
      <c r="E996" s="5">
        <v>1625</v>
      </c>
      <c r="F996">
        <f>VLOOKUP(A996,paiments2[],3,FALSE)</f>
        <v>1625</v>
      </c>
      <c r="G996" s="7"/>
    </row>
    <row r="997" spans="1:7" x14ac:dyDescent="0.2">
      <c r="A997" s="2">
        <v>11243</v>
      </c>
      <c r="B997" s="3" t="s">
        <v>44</v>
      </c>
      <c r="C997" s="3" t="s">
        <v>94</v>
      </c>
      <c r="D997" s="9">
        <v>41300</v>
      </c>
      <c r="E997" s="5">
        <v>360</v>
      </c>
      <c r="F997">
        <f>VLOOKUP(A997,paiments2[],3,FALSE)</f>
        <v>360</v>
      </c>
      <c r="G997" s="7"/>
    </row>
    <row r="998" spans="1:7" x14ac:dyDescent="0.2">
      <c r="A998" s="2">
        <v>11244</v>
      </c>
      <c r="B998" s="3" t="s">
        <v>28</v>
      </c>
      <c r="C998" s="3" t="s">
        <v>95</v>
      </c>
      <c r="D998" s="9">
        <v>41301</v>
      </c>
      <c r="E998" s="5">
        <v>1260</v>
      </c>
      <c r="F998">
        <f>VLOOKUP(A998,paiments2[],3,FALSE)</f>
        <v>1260</v>
      </c>
      <c r="G998" s="7"/>
    </row>
    <row r="999" spans="1:7" x14ac:dyDescent="0.2">
      <c r="A999" s="2">
        <v>11245</v>
      </c>
      <c r="B999" s="3" t="s">
        <v>38</v>
      </c>
      <c r="C999" s="3" t="s">
        <v>91</v>
      </c>
      <c r="D999" s="9">
        <v>41301</v>
      </c>
      <c r="E999" s="5">
        <v>308</v>
      </c>
      <c r="F999">
        <f>VLOOKUP(A999,paiments2[],3,FALSE)</f>
        <v>308</v>
      </c>
      <c r="G999" s="7"/>
    </row>
    <row r="1000" spans="1:7" x14ac:dyDescent="0.2">
      <c r="A1000" s="2">
        <v>11246</v>
      </c>
      <c r="B1000" s="3" t="s">
        <v>72</v>
      </c>
      <c r="C1000" s="3" t="s">
        <v>95</v>
      </c>
      <c r="D1000" s="9">
        <v>41302</v>
      </c>
      <c r="E1000" s="5">
        <v>160</v>
      </c>
      <c r="F1000">
        <f>VLOOKUP(A1000,paiments2[],3,FALSE)</f>
        <v>160</v>
      </c>
      <c r="G1000" s="7"/>
    </row>
    <row r="1001" spans="1:7" x14ac:dyDescent="0.2">
      <c r="A1001" s="2">
        <v>11247</v>
      </c>
      <c r="B1001" s="3" t="s">
        <v>3</v>
      </c>
      <c r="C1001" s="3" t="s">
        <v>94</v>
      </c>
      <c r="D1001" s="9">
        <v>41303</v>
      </c>
      <c r="E1001" s="5">
        <v>2090</v>
      </c>
      <c r="F1001">
        <f>VLOOKUP(A1001,paiments2[],3,FALSE)</f>
        <v>2090</v>
      </c>
      <c r="G1001" s="7"/>
    </row>
    <row r="1002" spans="1:7" x14ac:dyDescent="0.2">
      <c r="A1002" s="2">
        <v>11248</v>
      </c>
      <c r="B1002" s="3" t="s">
        <v>56</v>
      </c>
      <c r="C1002" s="3" t="s">
        <v>92</v>
      </c>
      <c r="D1002" s="9">
        <v>41303</v>
      </c>
      <c r="E1002" s="5">
        <v>1416</v>
      </c>
      <c r="F1002">
        <f>VLOOKUP(A1002,paiments2[],3,FALSE)</f>
        <v>1416</v>
      </c>
      <c r="G1002" s="7"/>
    </row>
    <row r="1003" spans="1:7" x14ac:dyDescent="0.2">
      <c r="A1003" s="2">
        <v>11249</v>
      </c>
      <c r="B1003" s="3" t="s">
        <v>1</v>
      </c>
      <c r="C1003" s="3" t="s">
        <v>92</v>
      </c>
      <c r="D1003" s="9">
        <v>41306</v>
      </c>
      <c r="E1003" s="5">
        <v>198</v>
      </c>
      <c r="F1003">
        <f>VLOOKUP(A1003,paiments2[],3,FALSE)</f>
        <v>198</v>
      </c>
      <c r="G1003" s="7"/>
    </row>
    <row r="1004" spans="1:7" x14ac:dyDescent="0.2">
      <c r="A1004" s="2">
        <v>11250</v>
      </c>
      <c r="B1004" s="3" t="s">
        <v>21</v>
      </c>
      <c r="C1004" s="3" t="s">
        <v>89</v>
      </c>
      <c r="D1004" s="9">
        <v>41307</v>
      </c>
      <c r="E1004" s="5">
        <v>3115</v>
      </c>
      <c r="F1004">
        <f>VLOOKUP(A1004,paiments2[],3,FALSE)</f>
        <v>3115</v>
      </c>
      <c r="G1004" s="7"/>
    </row>
    <row r="1005" spans="1:7" x14ac:dyDescent="0.2">
      <c r="A1005" s="2">
        <v>11251</v>
      </c>
      <c r="B1005" s="3" t="s">
        <v>36</v>
      </c>
      <c r="C1005" s="3" t="s">
        <v>97</v>
      </c>
      <c r="D1005" s="9">
        <v>41308</v>
      </c>
      <c r="E1005" s="5">
        <v>554</v>
      </c>
      <c r="F1005">
        <f>VLOOKUP(A1005,paiments2[],3,FALSE)</f>
        <v>554</v>
      </c>
      <c r="G1005" s="7"/>
    </row>
    <row r="1006" spans="1:7" x14ac:dyDescent="0.2">
      <c r="A1006" s="2">
        <v>11252</v>
      </c>
      <c r="B1006" s="3" t="s">
        <v>47</v>
      </c>
      <c r="C1006" s="3" t="s">
        <v>91</v>
      </c>
      <c r="D1006" s="9">
        <v>41308</v>
      </c>
      <c r="E1006" s="5">
        <v>1340</v>
      </c>
      <c r="F1006">
        <f>VLOOKUP(A1006,paiments2[],3,FALSE)</f>
        <v>1340</v>
      </c>
      <c r="G1006" s="7"/>
    </row>
    <row r="1007" spans="1:7" x14ac:dyDescent="0.2">
      <c r="A1007" s="2">
        <v>11253</v>
      </c>
      <c r="B1007" s="3" t="s">
        <v>8</v>
      </c>
      <c r="C1007" s="3" t="s">
        <v>96</v>
      </c>
      <c r="D1007" s="9">
        <v>41309</v>
      </c>
      <c r="E1007" s="5">
        <v>636</v>
      </c>
      <c r="F1007">
        <f>VLOOKUP(A1007,paiments2[],3,FALSE)</f>
        <v>636</v>
      </c>
      <c r="G1007" s="7"/>
    </row>
    <row r="1008" spans="1:7" x14ac:dyDescent="0.2">
      <c r="A1008" s="2">
        <v>11254</v>
      </c>
      <c r="B1008" s="3" t="s">
        <v>16</v>
      </c>
      <c r="C1008" s="3" t="s">
        <v>96</v>
      </c>
      <c r="D1008" s="9">
        <v>41310</v>
      </c>
      <c r="E1008" s="5">
        <v>1154</v>
      </c>
      <c r="F1008">
        <f>VLOOKUP(A1008,paiments2[],3,FALSE)</f>
        <v>1154</v>
      </c>
      <c r="G1008" s="7"/>
    </row>
    <row r="1009" spans="1:7" x14ac:dyDescent="0.2">
      <c r="A1009" s="2">
        <v>11255</v>
      </c>
      <c r="B1009" s="3" t="s">
        <v>11</v>
      </c>
      <c r="C1009" s="3" t="s">
        <v>91</v>
      </c>
      <c r="D1009" s="9">
        <v>41310</v>
      </c>
      <c r="E1009" s="5">
        <v>1340</v>
      </c>
      <c r="F1009">
        <f>VLOOKUP(A1009,paiments2[],3,FALSE)</f>
        <v>1340</v>
      </c>
      <c r="G1009" s="7"/>
    </row>
    <row r="1010" spans="1:7" x14ac:dyDescent="0.2">
      <c r="A1010" s="2">
        <v>11256</v>
      </c>
      <c r="B1010" s="3" t="s">
        <v>45</v>
      </c>
      <c r="C1010" s="3" t="s">
        <v>90</v>
      </c>
      <c r="D1010" s="9">
        <v>41313</v>
      </c>
      <c r="E1010" s="5">
        <v>2729</v>
      </c>
      <c r="F1010">
        <f>VLOOKUP(A1010,paiments2[],3,FALSE)</f>
        <v>2729</v>
      </c>
      <c r="G1010" s="7"/>
    </row>
    <row r="1011" spans="1:7" x14ac:dyDescent="0.2">
      <c r="A1011" s="2">
        <v>11257</v>
      </c>
      <c r="B1011" s="3" t="s">
        <v>51</v>
      </c>
      <c r="C1011" s="3" t="s">
        <v>96</v>
      </c>
      <c r="D1011" s="9">
        <v>41314</v>
      </c>
      <c r="E1011" s="5">
        <v>624</v>
      </c>
      <c r="F1011">
        <f>VLOOKUP(A1011,paiments2[],3,FALSE)</f>
        <v>624</v>
      </c>
      <c r="G1011" s="7"/>
    </row>
    <row r="1012" spans="1:7" x14ac:dyDescent="0.2">
      <c r="A1012" s="2">
        <v>11258</v>
      </c>
      <c r="B1012" s="3" t="s">
        <v>26</v>
      </c>
      <c r="C1012" s="3" t="s">
        <v>93</v>
      </c>
      <c r="D1012" s="9">
        <v>41314</v>
      </c>
      <c r="E1012" s="5">
        <v>850</v>
      </c>
      <c r="F1012">
        <f>VLOOKUP(A1012,paiments2[],3,FALSE)</f>
        <v>850</v>
      </c>
      <c r="G1012" s="7"/>
    </row>
    <row r="1013" spans="1:7" x14ac:dyDescent="0.2">
      <c r="A1013" s="2">
        <v>11259</v>
      </c>
      <c r="B1013" s="3" t="s">
        <v>55</v>
      </c>
      <c r="C1013" s="3" t="s">
        <v>94</v>
      </c>
      <c r="D1013" s="9">
        <v>41315</v>
      </c>
      <c r="E1013" s="5">
        <v>1608</v>
      </c>
      <c r="F1013">
        <f>VLOOKUP(A1013,paiments2[],3,FALSE)</f>
        <v>1608</v>
      </c>
      <c r="G1013" s="7"/>
    </row>
    <row r="1014" spans="1:7" x14ac:dyDescent="0.2">
      <c r="A1014" s="2">
        <v>11260</v>
      </c>
      <c r="B1014" s="3" t="s">
        <v>15</v>
      </c>
      <c r="C1014" s="3" t="s">
        <v>90</v>
      </c>
      <c r="D1014" s="9">
        <v>41316</v>
      </c>
      <c r="E1014" s="5">
        <v>408</v>
      </c>
      <c r="F1014">
        <f>VLOOKUP(A1014,paiments2[],3,FALSE)</f>
        <v>408</v>
      </c>
      <c r="G1014" s="7"/>
    </row>
    <row r="1015" spans="1:7" x14ac:dyDescent="0.2">
      <c r="A1015" s="2">
        <v>11261</v>
      </c>
      <c r="B1015" s="3" t="s">
        <v>17</v>
      </c>
      <c r="C1015" s="3" t="s">
        <v>95</v>
      </c>
      <c r="D1015" s="9">
        <v>41317</v>
      </c>
      <c r="E1015" s="5">
        <v>935</v>
      </c>
      <c r="F1015">
        <f>VLOOKUP(A1015,paiments2[],3,FALSE)</f>
        <v>935</v>
      </c>
      <c r="G1015" s="7"/>
    </row>
    <row r="1016" spans="1:7" x14ac:dyDescent="0.2">
      <c r="A1016" s="2">
        <v>11262</v>
      </c>
      <c r="B1016" s="3" t="s">
        <v>14</v>
      </c>
      <c r="C1016" s="3" t="s">
        <v>96</v>
      </c>
      <c r="D1016" s="9">
        <v>41317</v>
      </c>
      <c r="E1016" s="5">
        <v>2140</v>
      </c>
      <c r="F1016">
        <f>VLOOKUP(A1016,paiments2[],3,FALSE)</f>
        <v>2140</v>
      </c>
      <c r="G1016" s="7"/>
    </row>
    <row r="1017" spans="1:7" x14ac:dyDescent="0.2">
      <c r="A1017" s="2">
        <v>11263</v>
      </c>
      <c r="B1017" s="3" t="s">
        <v>30</v>
      </c>
      <c r="C1017" s="3" t="s">
        <v>94</v>
      </c>
      <c r="D1017" s="9">
        <v>41320</v>
      </c>
      <c r="E1017" s="5">
        <v>390</v>
      </c>
      <c r="F1017">
        <f>VLOOKUP(A1017,paiments2[],3,FALSE)</f>
        <v>390</v>
      </c>
      <c r="G1017" s="7"/>
    </row>
    <row r="1018" spans="1:7" x14ac:dyDescent="0.2">
      <c r="A1018" s="2">
        <v>11264</v>
      </c>
      <c r="B1018" s="3" t="s">
        <v>29</v>
      </c>
      <c r="C1018" s="3" t="s">
        <v>96</v>
      </c>
      <c r="D1018" s="9">
        <v>41321</v>
      </c>
      <c r="E1018" s="5">
        <v>700</v>
      </c>
      <c r="F1018">
        <f>VLOOKUP(A1018,paiments2[],3,FALSE)</f>
        <v>700</v>
      </c>
      <c r="G1018" s="7"/>
    </row>
    <row r="1019" spans="1:7" x14ac:dyDescent="0.2">
      <c r="A1019" s="2">
        <v>11265</v>
      </c>
      <c r="B1019" s="3" t="s">
        <v>13</v>
      </c>
      <c r="C1019" s="3" t="s">
        <v>91</v>
      </c>
      <c r="D1019" s="9">
        <v>41321</v>
      </c>
      <c r="E1019" s="5">
        <v>968</v>
      </c>
      <c r="F1019">
        <f>VLOOKUP(A1019,paiments2[],3,FALSE)</f>
        <v>968</v>
      </c>
      <c r="G1019" s="7"/>
    </row>
    <row r="1020" spans="1:7" x14ac:dyDescent="0.2">
      <c r="A1020" s="2">
        <v>11266</v>
      </c>
      <c r="B1020" s="3" t="s">
        <v>49</v>
      </c>
      <c r="C1020" s="3" t="s">
        <v>95</v>
      </c>
      <c r="D1020" s="9">
        <v>41322</v>
      </c>
      <c r="E1020" s="5">
        <v>525</v>
      </c>
      <c r="F1020">
        <f>VLOOKUP(A1020,paiments2[],3,FALSE)</f>
        <v>525</v>
      </c>
      <c r="G1020" s="7"/>
    </row>
    <row r="1021" spans="1:7" x14ac:dyDescent="0.2">
      <c r="A1021" s="2">
        <v>11267</v>
      </c>
      <c r="B1021" s="3" t="s">
        <v>15</v>
      </c>
      <c r="C1021" s="3" t="s">
        <v>93</v>
      </c>
      <c r="D1021" s="9">
        <v>41323</v>
      </c>
      <c r="E1021" s="5">
        <v>1536</v>
      </c>
      <c r="F1021">
        <f>VLOOKUP(A1021,paiments2[],3,FALSE)</f>
        <v>1536</v>
      </c>
      <c r="G1021" s="7"/>
    </row>
    <row r="1022" spans="1:7" x14ac:dyDescent="0.2">
      <c r="A1022" s="2">
        <v>11268</v>
      </c>
      <c r="B1022" s="3" t="s">
        <v>34</v>
      </c>
      <c r="C1022" s="3" t="s">
        <v>94</v>
      </c>
      <c r="D1022" s="9">
        <v>41323</v>
      </c>
      <c r="E1022" s="5">
        <v>2300</v>
      </c>
      <c r="F1022">
        <f>VLOOKUP(A1022,paiments2[],3,FALSE)</f>
        <v>2300</v>
      </c>
      <c r="G1022" s="7"/>
    </row>
    <row r="1023" spans="1:7" x14ac:dyDescent="0.2">
      <c r="A1023" s="2">
        <v>11269</v>
      </c>
      <c r="B1023" s="3" t="s">
        <v>98</v>
      </c>
      <c r="C1023" s="3" t="s">
        <v>92</v>
      </c>
      <c r="D1023" s="9">
        <v>41324</v>
      </c>
      <c r="E1023" s="5">
        <v>115</v>
      </c>
      <c r="F1023">
        <f>VLOOKUP(A1023,paiments2[],3,FALSE)</f>
        <v>115</v>
      </c>
      <c r="G1023" s="7"/>
    </row>
    <row r="1024" spans="1:7" x14ac:dyDescent="0.2">
      <c r="A1024" s="2">
        <v>11270</v>
      </c>
      <c r="B1024" s="3" t="s">
        <v>13</v>
      </c>
      <c r="C1024" s="3" t="s">
        <v>89</v>
      </c>
      <c r="D1024" s="9">
        <v>41327</v>
      </c>
      <c r="E1024" s="5">
        <v>705</v>
      </c>
      <c r="F1024">
        <f>VLOOKUP(A1024,paiments2[],3,FALSE)</f>
        <v>705</v>
      </c>
      <c r="G1024" s="7"/>
    </row>
    <row r="1025" spans="1:7" x14ac:dyDescent="0.2">
      <c r="A1025" s="2">
        <v>11271</v>
      </c>
      <c r="B1025" s="3" t="s">
        <v>49</v>
      </c>
      <c r="C1025" s="3" t="s">
        <v>92</v>
      </c>
      <c r="D1025" s="9">
        <v>41328</v>
      </c>
      <c r="E1025" s="5">
        <v>1920</v>
      </c>
      <c r="F1025">
        <f>VLOOKUP(A1025,paiments2[],3,FALSE)</f>
        <v>1920</v>
      </c>
      <c r="G1025" s="7"/>
    </row>
    <row r="1026" spans="1:7" x14ac:dyDescent="0.2">
      <c r="A1026" s="2">
        <v>11272</v>
      </c>
      <c r="B1026" s="3" t="s">
        <v>9</v>
      </c>
      <c r="C1026" s="3" t="s">
        <v>95</v>
      </c>
      <c r="D1026" s="9">
        <v>41328</v>
      </c>
      <c r="E1026" s="5">
        <v>467</v>
      </c>
      <c r="F1026">
        <f>VLOOKUP(A1026,paiments2[],3,FALSE)</f>
        <v>467</v>
      </c>
      <c r="G1026" s="7"/>
    </row>
    <row r="1027" spans="1:7" x14ac:dyDescent="0.2">
      <c r="A1027" s="2">
        <v>11273</v>
      </c>
      <c r="B1027" s="3" t="s">
        <v>25</v>
      </c>
      <c r="C1027" s="3" t="s">
        <v>92</v>
      </c>
      <c r="D1027" s="9">
        <v>41329</v>
      </c>
      <c r="E1027" s="5">
        <v>1171</v>
      </c>
      <c r="F1027">
        <f>VLOOKUP(A1027,paiments2[],3,FALSE)</f>
        <v>1171</v>
      </c>
      <c r="G1027" s="7"/>
    </row>
    <row r="1028" spans="1:7" x14ac:dyDescent="0.2">
      <c r="A1028" s="2">
        <v>11274</v>
      </c>
      <c r="B1028" s="3" t="s">
        <v>59</v>
      </c>
      <c r="C1028" s="3" t="s">
        <v>97</v>
      </c>
      <c r="D1028" s="9">
        <v>41330</v>
      </c>
      <c r="E1028" s="5">
        <v>1547</v>
      </c>
      <c r="F1028">
        <f>VLOOKUP(A1028,paiments2[],3,FALSE)</f>
        <v>1547</v>
      </c>
      <c r="G1028" s="7"/>
    </row>
    <row r="1029" spans="1:7" x14ac:dyDescent="0.2">
      <c r="A1029" s="2">
        <v>11275</v>
      </c>
      <c r="B1029" s="3" t="s">
        <v>79</v>
      </c>
      <c r="C1029" s="3" t="s">
        <v>91</v>
      </c>
      <c r="D1029" s="9">
        <v>41330</v>
      </c>
      <c r="E1029" s="5">
        <v>1154</v>
      </c>
      <c r="F1029">
        <f>VLOOKUP(A1029,paiments2[],3,FALSE)</f>
        <v>1154</v>
      </c>
      <c r="G1029" s="7"/>
    </row>
    <row r="1030" spans="1:7" x14ac:dyDescent="0.2">
      <c r="A1030" s="2">
        <v>11276</v>
      </c>
      <c r="B1030" s="3" t="s">
        <v>24</v>
      </c>
      <c r="C1030" s="3" t="s">
        <v>89</v>
      </c>
      <c r="D1030" s="9">
        <v>41331</v>
      </c>
      <c r="E1030" s="5">
        <v>1340</v>
      </c>
      <c r="F1030">
        <f>VLOOKUP(A1030,paiments2[],3,FALSE)</f>
        <v>1340</v>
      </c>
      <c r="G1030" s="7"/>
    </row>
    <row r="1031" spans="1:7" x14ac:dyDescent="0.2">
      <c r="A1031" s="2">
        <v>11277</v>
      </c>
      <c r="B1031" s="3" t="s">
        <v>23</v>
      </c>
      <c r="C1031" s="3" t="s">
        <v>92</v>
      </c>
      <c r="D1031" s="9">
        <v>41334</v>
      </c>
      <c r="E1031" s="5">
        <v>2729</v>
      </c>
      <c r="F1031">
        <f>VLOOKUP(A1031,paiments2[],3,FALSE)</f>
        <v>2729</v>
      </c>
      <c r="G1031" s="7"/>
    </row>
    <row r="1032" spans="1:7" x14ac:dyDescent="0.2">
      <c r="A1032" s="2">
        <v>11278</v>
      </c>
      <c r="B1032" s="3" t="s">
        <v>79</v>
      </c>
      <c r="C1032" s="3" t="s">
        <v>93</v>
      </c>
      <c r="D1032" s="9">
        <v>41334</v>
      </c>
      <c r="E1032" s="5">
        <v>624</v>
      </c>
      <c r="F1032">
        <f>VLOOKUP(A1032,paiments2[],3,FALSE)</f>
        <v>624</v>
      </c>
      <c r="G1032" s="7"/>
    </row>
    <row r="1033" spans="1:7" x14ac:dyDescent="0.2">
      <c r="A1033" s="2">
        <v>11279</v>
      </c>
      <c r="B1033" s="3" t="s">
        <v>31</v>
      </c>
      <c r="C1033" s="3" t="s">
        <v>91</v>
      </c>
      <c r="D1033" s="9">
        <v>41335</v>
      </c>
      <c r="E1033" s="5">
        <v>850</v>
      </c>
      <c r="F1033">
        <f>VLOOKUP(A1033,paiments2[],3,FALSE)</f>
        <v>850</v>
      </c>
      <c r="G1033" s="7"/>
    </row>
    <row r="1034" spans="1:7" x14ac:dyDescent="0.2">
      <c r="A1034" s="2">
        <v>11280</v>
      </c>
      <c r="B1034" s="3" t="s">
        <v>80</v>
      </c>
      <c r="C1034" s="3" t="s">
        <v>94</v>
      </c>
      <c r="D1034" s="9">
        <v>41336</v>
      </c>
      <c r="E1034" s="5">
        <v>1608</v>
      </c>
      <c r="F1034">
        <f>VLOOKUP(A1034,paiments2[],3,FALSE)</f>
        <v>1608</v>
      </c>
      <c r="G1034" s="7"/>
    </row>
    <row r="1035" spans="1:7" x14ac:dyDescent="0.2">
      <c r="A1035" s="2">
        <v>11281</v>
      </c>
      <c r="B1035" s="3" t="s">
        <v>11</v>
      </c>
      <c r="C1035" s="3" t="s">
        <v>91</v>
      </c>
      <c r="D1035" s="9">
        <v>41337</v>
      </c>
      <c r="E1035" s="5">
        <v>408</v>
      </c>
      <c r="F1035">
        <f>VLOOKUP(A1035,paiments2[],3,FALSE)</f>
        <v>408</v>
      </c>
      <c r="G1035" s="7"/>
    </row>
    <row r="1036" spans="1:7" x14ac:dyDescent="0.2">
      <c r="A1036" s="2">
        <v>11282</v>
      </c>
      <c r="B1036" s="3" t="s">
        <v>52</v>
      </c>
      <c r="C1036" s="3" t="s">
        <v>92</v>
      </c>
      <c r="D1036" s="9">
        <v>41337</v>
      </c>
      <c r="E1036" s="5">
        <v>935</v>
      </c>
      <c r="F1036">
        <f>VLOOKUP(A1036,paiments2[],3,FALSE)</f>
        <v>935</v>
      </c>
      <c r="G1036" s="7"/>
    </row>
    <row r="1037" spans="1:7" x14ac:dyDescent="0.2">
      <c r="A1037" s="2">
        <v>11283</v>
      </c>
      <c r="B1037" s="3" t="s">
        <v>74</v>
      </c>
      <c r="C1037" s="3" t="s">
        <v>92</v>
      </c>
      <c r="D1037" s="9">
        <v>41338</v>
      </c>
      <c r="E1037" s="5">
        <v>2140</v>
      </c>
      <c r="F1037">
        <f>VLOOKUP(A1037,paiments2[],3,FALSE)</f>
        <v>2140</v>
      </c>
      <c r="G1037" s="7"/>
    </row>
    <row r="1038" spans="1:7" x14ac:dyDescent="0.2">
      <c r="A1038" s="2">
        <v>11284</v>
      </c>
      <c r="B1038" s="3" t="s">
        <v>16</v>
      </c>
      <c r="C1038" s="3" t="s">
        <v>96</v>
      </c>
      <c r="D1038" s="9">
        <v>41341</v>
      </c>
      <c r="E1038" s="5">
        <v>390</v>
      </c>
      <c r="F1038">
        <f>VLOOKUP(A1038,paiments2[],3,FALSE)</f>
        <v>390</v>
      </c>
      <c r="G1038" s="7"/>
    </row>
    <row r="1039" spans="1:7" x14ac:dyDescent="0.2">
      <c r="A1039" s="2">
        <v>11285</v>
      </c>
      <c r="B1039" s="3" t="s">
        <v>15</v>
      </c>
      <c r="C1039" s="3" t="s">
        <v>91</v>
      </c>
      <c r="D1039" s="9">
        <v>41341</v>
      </c>
      <c r="E1039" s="5">
        <v>700</v>
      </c>
      <c r="F1039">
        <f>VLOOKUP(A1039,paiments2[],3,FALSE)</f>
        <v>700</v>
      </c>
      <c r="G1039" s="7"/>
    </row>
    <row r="1040" spans="1:7" x14ac:dyDescent="0.2">
      <c r="A1040" s="2">
        <v>11286</v>
      </c>
      <c r="B1040" s="3" t="s">
        <v>7</v>
      </c>
      <c r="C1040" s="3" t="s">
        <v>97</v>
      </c>
      <c r="D1040" s="9">
        <v>41342</v>
      </c>
      <c r="E1040" s="5">
        <v>968</v>
      </c>
      <c r="F1040">
        <f>VLOOKUP(A1040,paiments2[],3,FALSE)</f>
        <v>968</v>
      </c>
      <c r="G1040" s="7"/>
    </row>
    <row r="1041" spans="1:7" x14ac:dyDescent="0.2">
      <c r="A1041" s="2">
        <v>11287</v>
      </c>
      <c r="B1041" s="3" t="s">
        <v>30</v>
      </c>
      <c r="C1041" s="3" t="s">
        <v>93</v>
      </c>
      <c r="D1041" s="9">
        <v>41343</v>
      </c>
      <c r="E1041" s="5">
        <v>525</v>
      </c>
      <c r="F1041">
        <f>VLOOKUP(A1041,paiments2[],3,FALSE)</f>
        <v>525</v>
      </c>
      <c r="G1041" s="7"/>
    </row>
    <row r="1042" spans="1:7" x14ac:dyDescent="0.2">
      <c r="A1042" s="2">
        <v>11288</v>
      </c>
      <c r="B1042" s="3" t="s">
        <v>12</v>
      </c>
      <c r="C1042" s="3" t="s">
        <v>94</v>
      </c>
      <c r="D1042" s="9">
        <v>41343</v>
      </c>
      <c r="E1042" s="5">
        <v>1536</v>
      </c>
      <c r="F1042">
        <f>VLOOKUP(A1042,paiments2[],3,FALSE)</f>
        <v>1536</v>
      </c>
      <c r="G1042" s="7"/>
    </row>
    <row r="1043" spans="1:7" x14ac:dyDescent="0.2">
      <c r="A1043" s="2">
        <v>11289</v>
      </c>
      <c r="B1043" s="3" t="s">
        <v>21</v>
      </c>
      <c r="C1043" s="3" t="s">
        <v>96</v>
      </c>
      <c r="D1043" s="9">
        <v>41344</v>
      </c>
      <c r="E1043" s="5">
        <v>2300</v>
      </c>
      <c r="F1043">
        <f>VLOOKUP(A1043,paiments2[],3,FALSE)</f>
        <v>2300</v>
      </c>
      <c r="G1043" s="7"/>
    </row>
    <row r="1044" spans="1:7" x14ac:dyDescent="0.2">
      <c r="A1044" s="2">
        <v>11290</v>
      </c>
      <c r="B1044" s="3" t="s">
        <v>77</v>
      </c>
      <c r="C1044" s="3" t="s">
        <v>95</v>
      </c>
      <c r="D1044" s="9">
        <v>41345</v>
      </c>
      <c r="E1044" s="5">
        <v>115</v>
      </c>
      <c r="F1044">
        <f>VLOOKUP(A1044,paiments2[],3,FALSE)</f>
        <v>115</v>
      </c>
      <c r="G1044" s="7"/>
    </row>
    <row r="1045" spans="1:7" x14ac:dyDescent="0.2">
      <c r="A1045" s="2">
        <v>11291</v>
      </c>
      <c r="B1045" s="3" t="s">
        <v>49</v>
      </c>
      <c r="C1045" s="3" t="s">
        <v>91</v>
      </c>
      <c r="D1045" s="9">
        <v>41348</v>
      </c>
      <c r="E1045" s="5">
        <v>705</v>
      </c>
      <c r="F1045">
        <f>VLOOKUP(A1045,paiments2[],3,FALSE)</f>
        <v>705</v>
      </c>
      <c r="G1045" s="7"/>
    </row>
    <row r="1046" spans="1:7" x14ac:dyDescent="0.2">
      <c r="A1046" s="2">
        <v>11292</v>
      </c>
      <c r="B1046" s="3" t="s">
        <v>60</v>
      </c>
      <c r="C1046" s="3" t="s">
        <v>94</v>
      </c>
      <c r="D1046" s="9">
        <v>41348</v>
      </c>
      <c r="E1046" s="5">
        <v>568</v>
      </c>
      <c r="F1046">
        <f>VLOOKUP(A1046,paiments2[],3,FALSE)</f>
        <v>568</v>
      </c>
      <c r="G1046" s="7"/>
    </row>
    <row r="1047" spans="1:7" x14ac:dyDescent="0.2">
      <c r="A1047" s="2">
        <v>11293</v>
      </c>
      <c r="B1047" s="3" t="s">
        <v>26</v>
      </c>
      <c r="C1047" s="3" t="s">
        <v>92</v>
      </c>
      <c r="D1047" s="9">
        <v>41349</v>
      </c>
      <c r="E1047" s="5">
        <v>390</v>
      </c>
      <c r="F1047">
        <f>VLOOKUP(A1047,paiments2[],3,FALSE)</f>
        <v>390</v>
      </c>
      <c r="G1047" s="7"/>
    </row>
    <row r="1048" spans="1:7" x14ac:dyDescent="0.2">
      <c r="A1048" s="2">
        <v>11294</v>
      </c>
      <c r="B1048" s="3" t="s">
        <v>26</v>
      </c>
      <c r="C1048" s="3" t="s">
        <v>97</v>
      </c>
      <c r="D1048" s="9">
        <v>41350</v>
      </c>
      <c r="E1048" s="5">
        <v>1873</v>
      </c>
      <c r="F1048">
        <f>VLOOKUP(A1048,paiments2[],3,FALSE)</f>
        <v>1873</v>
      </c>
      <c r="G1048" s="7"/>
    </row>
    <row r="1049" spans="1:7" x14ac:dyDescent="0.2">
      <c r="A1049" s="2">
        <v>11295</v>
      </c>
      <c r="B1049" s="3" t="s">
        <v>37</v>
      </c>
      <c r="C1049" s="3" t="s">
        <v>92</v>
      </c>
      <c r="D1049" s="9">
        <v>41350</v>
      </c>
      <c r="E1049" s="5">
        <v>420</v>
      </c>
      <c r="F1049">
        <f>VLOOKUP(A1049,paiments2[],3,FALSE)</f>
        <v>420</v>
      </c>
      <c r="G1049" s="7"/>
    </row>
    <row r="1050" spans="1:7" x14ac:dyDescent="0.2">
      <c r="A1050" s="2">
        <v>11296</v>
      </c>
      <c r="B1050" s="3" t="s">
        <v>9</v>
      </c>
      <c r="C1050" s="3" t="s">
        <v>96</v>
      </c>
      <c r="D1050" s="9">
        <v>41351</v>
      </c>
      <c r="E1050" s="5">
        <v>4665</v>
      </c>
      <c r="F1050">
        <f>VLOOKUP(A1050,paiments2[],3,FALSE)</f>
        <v>4665</v>
      </c>
      <c r="G1050" s="7"/>
    </row>
    <row r="1051" spans="1:7" x14ac:dyDescent="0.2">
      <c r="A1051" s="2">
        <v>11297</v>
      </c>
      <c r="B1051" s="3" t="s">
        <v>19</v>
      </c>
      <c r="C1051" s="3" t="s">
        <v>95</v>
      </c>
      <c r="D1051" s="9">
        <v>41352</v>
      </c>
      <c r="E1051" s="5">
        <v>1082</v>
      </c>
      <c r="F1051">
        <f>VLOOKUP(A1051,paiments2[],3,FALSE)</f>
        <v>1082</v>
      </c>
      <c r="G1051" s="7"/>
    </row>
    <row r="1052" spans="1:7" x14ac:dyDescent="0.2">
      <c r="A1052" s="2">
        <v>11298</v>
      </c>
      <c r="B1052" s="3" t="s">
        <v>54</v>
      </c>
      <c r="C1052" s="3" t="s">
        <v>97</v>
      </c>
      <c r="D1052" s="9">
        <v>41352</v>
      </c>
      <c r="E1052" s="5">
        <v>577</v>
      </c>
      <c r="F1052">
        <f>VLOOKUP(A1052,paiments2[],3,FALSE)</f>
        <v>577</v>
      </c>
      <c r="G1052" s="7"/>
    </row>
    <row r="1053" spans="1:7" x14ac:dyDescent="0.2">
      <c r="A1053" s="2">
        <v>11299</v>
      </c>
      <c r="B1053" s="3" t="s">
        <v>13</v>
      </c>
      <c r="C1053" s="3" t="s">
        <v>94</v>
      </c>
      <c r="D1053" s="9">
        <v>41355</v>
      </c>
      <c r="E1053" s="5">
        <v>1794</v>
      </c>
      <c r="F1053">
        <f>VLOOKUP(A1053,paiments2[],3,FALSE)</f>
        <v>1794</v>
      </c>
      <c r="G1053" s="7"/>
    </row>
    <row r="1054" spans="1:7" x14ac:dyDescent="0.2">
      <c r="A1054" s="2">
        <v>11300</v>
      </c>
      <c r="B1054" s="3" t="s">
        <v>31</v>
      </c>
      <c r="C1054" s="3" t="s">
        <v>90</v>
      </c>
      <c r="D1054" s="9">
        <v>41356</v>
      </c>
      <c r="E1054" s="5">
        <v>370</v>
      </c>
      <c r="F1054">
        <f>VLOOKUP(A1054,paiments2[],3,FALSE)</f>
        <v>370</v>
      </c>
      <c r="G1054" s="7"/>
    </row>
    <row r="1055" spans="1:7" x14ac:dyDescent="0.2">
      <c r="A1055" s="2">
        <v>11301</v>
      </c>
      <c r="B1055" s="3" t="s">
        <v>62</v>
      </c>
      <c r="C1055" s="3" t="s">
        <v>91</v>
      </c>
      <c r="D1055" s="9">
        <v>41357</v>
      </c>
      <c r="E1055" s="5">
        <v>350</v>
      </c>
      <c r="F1055">
        <f>VLOOKUP(A1055,paiments2[],3,FALSE)</f>
        <v>350</v>
      </c>
      <c r="G1055" s="7"/>
    </row>
    <row r="1056" spans="1:7" x14ac:dyDescent="0.2">
      <c r="A1056" s="2">
        <v>11302</v>
      </c>
      <c r="B1056" s="3" t="s">
        <v>8</v>
      </c>
      <c r="C1056" s="3" t="s">
        <v>97</v>
      </c>
      <c r="D1056" s="9">
        <v>41357</v>
      </c>
      <c r="E1056" s="5">
        <v>1675</v>
      </c>
      <c r="F1056">
        <f>VLOOKUP(A1056,paiments2[],3,FALSE)</f>
        <v>1675</v>
      </c>
      <c r="G1056" s="7"/>
    </row>
    <row r="1057" spans="1:7" x14ac:dyDescent="0.2">
      <c r="A1057" s="2">
        <v>11303</v>
      </c>
      <c r="B1057" s="3" t="s">
        <v>60</v>
      </c>
      <c r="C1057" s="3" t="s">
        <v>95</v>
      </c>
      <c r="D1057" s="9">
        <v>41358</v>
      </c>
      <c r="E1057" s="5">
        <v>45</v>
      </c>
      <c r="F1057">
        <f>VLOOKUP(A1057,paiments2[],3,FALSE)</f>
        <v>45</v>
      </c>
      <c r="G1057" s="7"/>
    </row>
    <row r="1058" spans="1:7" x14ac:dyDescent="0.2">
      <c r="A1058" s="2">
        <v>11304</v>
      </c>
      <c r="B1058" s="3" t="s">
        <v>45</v>
      </c>
      <c r="C1058" s="3" t="s">
        <v>95</v>
      </c>
      <c r="D1058" s="9">
        <v>41359</v>
      </c>
      <c r="E1058" s="5">
        <v>1143</v>
      </c>
      <c r="F1058">
        <f>VLOOKUP(A1058,paiments2[],3,FALSE)</f>
        <v>1143</v>
      </c>
      <c r="G1058" s="7"/>
    </row>
    <row r="1059" spans="1:7" x14ac:dyDescent="0.2">
      <c r="A1059" s="2">
        <v>11305</v>
      </c>
      <c r="B1059" s="3" t="s">
        <v>47</v>
      </c>
      <c r="C1059" s="3" t="s">
        <v>94</v>
      </c>
      <c r="D1059" s="9">
        <v>41359</v>
      </c>
      <c r="E1059" s="5">
        <v>184</v>
      </c>
      <c r="F1059">
        <f>VLOOKUP(A1059,paiments2[],3,FALSE)</f>
        <v>184</v>
      </c>
      <c r="G1059" s="7"/>
    </row>
    <row r="1060" spans="1:7" x14ac:dyDescent="0.2">
      <c r="A1060" s="2">
        <v>11306</v>
      </c>
      <c r="B1060" s="3" t="s">
        <v>49</v>
      </c>
      <c r="C1060" s="3" t="s">
        <v>94</v>
      </c>
      <c r="D1060" s="9">
        <v>41362</v>
      </c>
      <c r="E1060" s="5">
        <v>3200</v>
      </c>
      <c r="F1060">
        <f>VLOOKUP(A1060,paiments2[],3,FALSE)</f>
        <v>3200</v>
      </c>
      <c r="G1060" s="7"/>
    </row>
    <row r="1061" spans="1:7" x14ac:dyDescent="0.2">
      <c r="A1061" s="2">
        <v>11307</v>
      </c>
      <c r="B1061" s="3" t="s">
        <v>33</v>
      </c>
      <c r="C1061" s="3" t="s">
        <v>91</v>
      </c>
      <c r="D1061" s="9">
        <v>41363</v>
      </c>
      <c r="E1061" s="5">
        <v>1050</v>
      </c>
      <c r="F1061">
        <f>VLOOKUP(A1061,paiments2[],3,FALSE)</f>
        <v>1050</v>
      </c>
      <c r="G1061" s="7"/>
    </row>
    <row r="1062" spans="1:7" x14ac:dyDescent="0.2">
      <c r="A1062" s="2">
        <v>11308</v>
      </c>
      <c r="B1062" s="3" t="s">
        <v>45</v>
      </c>
      <c r="C1062" s="3" t="s">
        <v>89</v>
      </c>
      <c r="D1062" s="9">
        <v>41363</v>
      </c>
      <c r="E1062" s="5">
        <v>4804</v>
      </c>
      <c r="F1062">
        <f>VLOOKUP(A1062,paiments2[],3,FALSE)</f>
        <v>4804</v>
      </c>
      <c r="G1062" s="7"/>
    </row>
    <row r="1063" spans="1:7" x14ac:dyDescent="0.2">
      <c r="A1063" s="2">
        <v>11309</v>
      </c>
      <c r="B1063" s="3" t="s">
        <v>1</v>
      </c>
      <c r="C1063" s="3" t="s">
        <v>91</v>
      </c>
      <c r="D1063" s="9">
        <v>41364</v>
      </c>
      <c r="E1063" s="5">
        <v>784</v>
      </c>
      <c r="F1063">
        <f>VLOOKUP(A1063,paiments2[],3,FALSE)</f>
        <v>784</v>
      </c>
      <c r="G1063" s="7"/>
    </row>
    <row r="1064" spans="1:7" x14ac:dyDescent="0.2">
      <c r="A1064" s="2">
        <v>11310</v>
      </c>
      <c r="B1064" s="3" t="s">
        <v>41</v>
      </c>
      <c r="C1064" s="3" t="s">
        <v>97</v>
      </c>
      <c r="D1064" s="9">
        <v>41365</v>
      </c>
      <c r="E1064" s="5">
        <v>311</v>
      </c>
      <c r="F1064">
        <f>VLOOKUP(A1064,paiments2[],3,FALSE)</f>
        <v>311</v>
      </c>
      <c r="G1064" s="7"/>
    </row>
    <row r="1065" spans="1:7" x14ac:dyDescent="0.2">
      <c r="A1065" s="2">
        <v>11311</v>
      </c>
      <c r="B1065" s="3" t="s">
        <v>53</v>
      </c>
      <c r="C1065" s="3" t="s">
        <v>95</v>
      </c>
      <c r="D1065" s="9">
        <v>41366</v>
      </c>
      <c r="E1065" s="5">
        <v>294</v>
      </c>
      <c r="F1065">
        <f>VLOOKUP(A1065,paiments2[],3,FALSE)</f>
        <v>294</v>
      </c>
      <c r="G1065" s="7"/>
    </row>
    <row r="1066" spans="1:7" x14ac:dyDescent="0.2">
      <c r="A1066" s="2">
        <v>11312</v>
      </c>
      <c r="B1066" s="3" t="s">
        <v>99</v>
      </c>
      <c r="C1066" s="3" t="s">
        <v>90</v>
      </c>
      <c r="D1066" s="9">
        <v>41366</v>
      </c>
      <c r="E1066" s="5">
        <v>593</v>
      </c>
      <c r="F1066">
        <f>VLOOKUP(A1066,paiments2[],3,FALSE)</f>
        <v>593</v>
      </c>
      <c r="G1066" s="7"/>
    </row>
    <row r="1067" spans="1:7" x14ac:dyDescent="0.2">
      <c r="A1067" s="2">
        <v>11313</v>
      </c>
      <c r="B1067" s="3" t="s">
        <v>45</v>
      </c>
      <c r="C1067" s="3" t="s">
        <v>94</v>
      </c>
      <c r="D1067" s="9">
        <v>41369</v>
      </c>
      <c r="E1067" s="5">
        <v>4690</v>
      </c>
      <c r="F1067">
        <f>VLOOKUP(A1067,paiments2[],3,FALSE)</f>
        <v>4690</v>
      </c>
      <c r="G1067" s="7"/>
    </row>
    <row r="1068" spans="1:7" x14ac:dyDescent="0.2">
      <c r="A1068" s="2">
        <v>11314</v>
      </c>
      <c r="B1068" s="3" t="s">
        <v>8</v>
      </c>
      <c r="C1068" s="3" t="s">
        <v>91</v>
      </c>
      <c r="D1068" s="9">
        <v>41370</v>
      </c>
      <c r="E1068" s="5">
        <v>232</v>
      </c>
      <c r="F1068">
        <f>VLOOKUP(A1068,paiments2[],3,FALSE)</f>
        <v>232</v>
      </c>
      <c r="G1068" s="7"/>
    </row>
    <row r="1069" spans="1:7" x14ac:dyDescent="0.2">
      <c r="A1069" s="2">
        <v>11315</v>
      </c>
      <c r="B1069" s="3" t="s">
        <v>74</v>
      </c>
      <c r="C1069" s="3" t="s">
        <v>95</v>
      </c>
      <c r="D1069" s="9">
        <v>41370</v>
      </c>
      <c r="E1069" s="5">
        <v>345</v>
      </c>
      <c r="F1069">
        <f>VLOOKUP(A1069,paiments2[],3,FALSE)</f>
        <v>345</v>
      </c>
      <c r="G1069" s="7"/>
    </row>
    <row r="1070" spans="1:7" x14ac:dyDescent="0.2">
      <c r="A1070" s="2">
        <v>11316</v>
      </c>
      <c r="B1070" s="3" t="s">
        <v>81</v>
      </c>
      <c r="C1070" s="3" t="s">
        <v>96</v>
      </c>
      <c r="D1070" s="9">
        <v>41371</v>
      </c>
      <c r="E1070" s="5">
        <v>90</v>
      </c>
      <c r="F1070">
        <f>VLOOKUP(A1070,paiments2[],3,FALSE)</f>
        <v>90</v>
      </c>
      <c r="G1070" s="7"/>
    </row>
    <row r="1071" spans="1:7" x14ac:dyDescent="0.2">
      <c r="A1071" s="2">
        <v>11317</v>
      </c>
      <c r="B1071" s="3" t="s">
        <v>77</v>
      </c>
      <c r="C1071" s="3" t="s">
        <v>94</v>
      </c>
      <c r="D1071" s="9">
        <v>41372</v>
      </c>
      <c r="E1071" s="5">
        <v>3797</v>
      </c>
      <c r="F1071">
        <f>VLOOKUP(A1071,paiments2[],3,FALSE)</f>
        <v>3797</v>
      </c>
      <c r="G1071" s="7"/>
    </row>
    <row r="1072" spans="1:7" x14ac:dyDescent="0.2">
      <c r="A1072" s="2">
        <v>11318</v>
      </c>
      <c r="B1072" s="3" t="s">
        <v>77</v>
      </c>
      <c r="C1072" s="3" t="s">
        <v>91</v>
      </c>
      <c r="D1072" s="9">
        <v>41372</v>
      </c>
      <c r="E1072" s="5">
        <v>1230</v>
      </c>
      <c r="F1072">
        <f>VLOOKUP(A1072,paiments2[],3,FALSE)</f>
        <v>1230</v>
      </c>
      <c r="G1072" s="7"/>
    </row>
    <row r="1073" spans="1:7" x14ac:dyDescent="0.2">
      <c r="A1073" s="2">
        <v>11319</v>
      </c>
      <c r="B1073" s="3" t="s">
        <v>49</v>
      </c>
      <c r="C1073" s="3" t="s">
        <v>94</v>
      </c>
      <c r="D1073" s="9">
        <v>41373</v>
      </c>
      <c r="E1073" s="5">
        <v>2025</v>
      </c>
      <c r="F1073">
        <f>VLOOKUP(A1073,paiments2[],3,FALSE)</f>
        <v>2025</v>
      </c>
      <c r="G1073" s="7"/>
    </row>
    <row r="1074" spans="1:7" x14ac:dyDescent="0.2">
      <c r="A1074" s="2">
        <v>11320</v>
      </c>
      <c r="B1074" s="3" t="s">
        <v>49</v>
      </c>
      <c r="C1074" s="3" t="s">
        <v>92</v>
      </c>
      <c r="D1074" s="9">
        <v>41376</v>
      </c>
      <c r="E1074" s="5">
        <v>1154</v>
      </c>
      <c r="F1074">
        <f>VLOOKUP(A1074,paiments2[],3,FALSE)</f>
        <v>1154</v>
      </c>
      <c r="G1074" s="7"/>
    </row>
    <row r="1075" spans="1:7" x14ac:dyDescent="0.2">
      <c r="A1075" s="2">
        <v>11321</v>
      </c>
      <c r="B1075" s="3" t="s">
        <v>73</v>
      </c>
      <c r="C1075" s="3" t="s">
        <v>96</v>
      </c>
      <c r="D1075" s="9">
        <v>41377</v>
      </c>
      <c r="E1075" s="5">
        <v>1340</v>
      </c>
      <c r="F1075">
        <f>VLOOKUP(A1075,paiments2[],3,FALSE)</f>
        <v>1340</v>
      </c>
      <c r="G1075" s="7"/>
    </row>
    <row r="1076" spans="1:7" x14ac:dyDescent="0.2">
      <c r="A1076" s="2">
        <v>11322</v>
      </c>
      <c r="B1076" s="3" t="s">
        <v>42</v>
      </c>
      <c r="C1076" s="3" t="s">
        <v>91</v>
      </c>
      <c r="D1076" s="9">
        <v>41377</v>
      </c>
      <c r="E1076" s="5">
        <v>2729</v>
      </c>
      <c r="F1076">
        <f>VLOOKUP(A1076,paiments2[],3,FALSE)</f>
        <v>2729</v>
      </c>
      <c r="G1076" s="7"/>
    </row>
    <row r="1077" spans="1:7" x14ac:dyDescent="0.2">
      <c r="A1077" s="2">
        <v>11323</v>
      </c>
      <c r="B1077" s="3" t="s">
        <v>29</v>
      </c>
      <c r="C1077" s="3" t="s">
        <v>91</v>
      </c>
      <c r="D1077" s="9">
        <v>41378</v>
      </c>
      <c r="E1077" s="5">
        <v>624</v>
      </c>
      <c r="F1077">
        <f>VLOOKUP(A1077,paiments2[],3,FALSE)</f>
        <v>624</v>
      </c>
      <c r="G1077" s="7"/>
    </row>
    <row r="1078" spans="1:7" x14ac:dyDescent="0.2">
      <c r="A1078" s="2">
        <v>11324</v>
      </c>
      <c r="B1078" s="3" t="s">
        <v>17</v>
      </c>
      <c r="C1078" s="3" t="s">
        <v>95</v>
      </c>
      <c r="D1078" s="9">
        <v>41379</v>
      </c>
      <c r="E1078" s="5">
        <v>850</v>
      </c>
      <c r="F1078">
        <f>VLOOKUP(A1078,paiments2[],3,FALSE)</f>
        <v>850</v>
      </c>
      <c r="G1078" s="7"/>
    </row>
    <row r="1079" spans="1:7" x14ac:dyDescent="0.2">
      <c r="A1079" s="2">
        <v>11325</v>
      </c>
      <c r="B1079" s="3" t="s">
        <v>82</v>
      </c>
      <c r="C1079" s="3" t="s">
        <v>91</v>
      </c>
      <c r="D1079" s="9">
        <v>41379</v>
      </c>
      <c r="E1079" s="5">
        <v>1608</v>
      </c>
      <c r="F1079">
        <f>VLOOKUP(A1079,paiments2[],3,FALSE)</f>
        <v>1608</v>
      </c>
      <c r="G1079" s="7"/>
    </row>
    <row r="1080" spans="1:7" x14ac:dyDescent="0.2">
      <c r="A1080" s="2">
        <v>11326</v>
      </c>
      <c r="B1080" s="3" t="s">
        <v>39</v>
      </c>
      <c r="C1080" s="3" t="s">
        <v>92</v>
      </c>
      <c r="D1080" s="9">
        <v>41380</v>
      </c>
      <c r="E1080" s="5">
        <v>408</v>
      </c>
      <c r="F1080">
        <f>VLOOKUP(A1080,paiments2[],3,FALSE)</f>
        <v>408</v>
      </c>
      <c r="G1080" s="7"/>
    </row>
    <row r="1081" spans="1:7" x14ac:dyDescent="0.2">
      <c r="A1081" s="2">
        <v>11327</v>
      </c>
      <c r="B1081" s="3" t="s">
        <v>25</v>
      </c>
      <c r="C1081" s="3" t="s">
        <v>94</v>
      </c>
      <c r="D1081" s="9">
        <v>41383</v>
      </c>
      <c r="E1081" s="5">
        <v>935</v>
      </c>
      <c r="F1081">
        <f>VLOOKUP(A1081,paiments2[],3,FALSE)</f>
        <v>935</v>
      </c>
      <c r="G1081" s="7"/>
    </row>
    <row r="1082" spans="1:7" x14ac:dyDescent="0.2">
      <c r="A1082" s="2">
        <v>11328</v>
      </c>
      <c r="B1082" s="3" t="s">
        <v>45</v>
      </c>
      <c r="C1082" s="3" t="s">
        <v>95</v>
      </c>
      <c r="D1082" s="9">
        <v>41383</v>
      </c>
      <c r="E1082" s="5">
        <v>2140</v>
      </c>
      <c r="F1082">
        <f>VLOOKUP(A1082,paiments2[],3,FALSE)</f>
        <v>2140</v>
      </c>
      <c r="G1082" s="7"/>
    </row>
    <row r="1083" spans="1:7" x14ac:dyDescent="0.2">
      <c r="A1083" s="2">
        <v>11329</v>
      </c>
      <c r="B1083" s="3" t="s">
        <v>15</v>
      </c>
      <c r="C1083" s="3" t="s">
        <v>91</v>
      </c>
      <c r="D1083" s="9">
        <v>41384</v>
      </c>
      <c r="E1083" s="5">
        <v>390</v>
      </c>
      <c r="F1083">
        <f>VLOOKUP(A1083,paiments2[],3,FALSE)</f>
        <v>390</v>
      </c>
      <c r="G1083" s="7"/>
    </row>
    <row r="1084" spans="1:7" x14ac:dyDescent="0.2">
      <c r="A1084" s="2">
        <v>11330</v>
      </c>
      <c r="B1084" s="3" t="s">
        <v>36</v>
      </c>
      <c r="C1084" s="3" t="s">
        <v>91</v>
      </c>
      <c r="D1084" s="9">
        <v>41384</v>
      </c>
      <c r="E1084" s="5">
        <v>700</v>
      </c>
      <c r="F1084">
        <f>VLOOKUP(A1084,paiments2[],3,FALSE)</f>
        <v>700</v>
      </c>
      <c r="G1084" s="7"/>
    </row>
    <row r="1085" spans="1:7" x14ac:dyDescent="0.2">
      <c r="A1085" s="2">
        <v>11331</v>
      </c>
      <c r="B1085" s="3" t="s">
        <v>44</v>
      </c>
      <c r="C1085" s="3" t="s">
        <v>94</v>
      </c>
      <c r="D1085" s="9">
        <v>41385</v>
      </c>
      <c r="E1085" s="5">
        <v>968</v>
      </c>
      <c r="F1085">
        <f>VLOOKUP(A1085,paiments2[],3,FALSE)</f>
        <v>968</v>
      </c>
      <c r="G1085" s="7"/>
    </row>
    <row r="1086" spans="1:7" x14ac:dyDescent="0.2">
      <c r="A1086" s="2">
        <v>11332</v>
      </c>
      <c r="B1086" s="3" t="s">
        <v>53</v>
      </c>
      <c r="C1086" s="3" t="s">
        <v>95</v>
      </c>
      <c r="D1086" s="9">
        <v>41386</v>
      </c>
      <c r="E1086" s="5">
        <v>525</v>
      </c>
      <c r="F1086">
        <f>VLOOKUP(A1086,paiments2[],3,FALSE)</f>
        <v>525</v>
      </c>
      <c r="G1086" s="7"/>
    </row>
    <row r="1087" spans="1:7" x14ac:dyDescent="0.2">
      <c r="A1087" s="2">
        <v>11333</v>
      </c>
      <c r="B1087" s="3" t="s">
        <v>35</v>
      </c>
      <c r="C1087" s="3" t="s">
        <v>95</v>
      </c>
      <c r="D1087" s="9">
        <v>41386</v>
      </c>
      <c r="E1087" s="5">
        <v>1536</v>
      </c>
      <c r="F1087">
        <f>VLOOKUP(A1087,paiments2[],3,FALSE)</f>
        <v>1536</v>
      </c>
      <c r="G1087" s="7"/>
    </row>
    <row r="1088" spans="1:7" x14ac:dyDescent="0.2">
      <c r="A1088" s="2">
        <v>11334</v>
      </c>
      <c r="B1088" s="3" t="s">
        <v>9</v>
      </c>
      <c r="C1088" s="3" t="s">
        <v>97</v>
      </c>
      <c r="D1088" s="9">
        <v>41387</v>
      </c>
      <c r="E1088" s="5">
        <v>2300</v>
      </c>
      <c r="F1088">
        <f>VLOOKUP(A1088,paiments2[],3,FALSE)</f>
        <v>2300</v>
      </c>
      <c r="G1088" s="7"/>
    </row>
    <row r="1089" spans="1:7" x14ac:dyDescent="0.2">
      <c r="A1089" s="2">
        <v>11335</v>
      </c>
      <c r="B1089" s="3" t="s">
        <v>66</v>
      </c>
      <c r="C1089" s="3" t="s">
        <v>91</v>
      </c>
      <c r="D1089" s="9">
        <v>41387</v>
      </c>
      <c r="E1089" s="5">
        <v>115</v>
      </c>
      <c r="F1089">
        <f>VLOOKUP(A1089,paiments2[],3,FALSE)</f>
        <v>115</v>
      </c>
      <c r="G1089" s="7"/>
    </row>
    <row r="1090" spans="1:7" x14ac:dyDescent="0.2">
      <c r="A1090" s="2">
        <v>11336</v>
      </c>
      <c r="B1090" s="3" t="s">
        <v>22</v>
      </c>
      <c r="C1090" s="3" t="s">
        <v>95</v>
      </c>
      <c r="D1090" s="9">
        <v>41390</v>
      </c>
      <c r="E1090" s="5">
        <v>705</v>
      </c>
      <c r="F1090">
        <f>VLOOKUP(A1090,paiments2[],3,FALSE)</f>
        <v>705</v>
      </c>
      <c r="G1090" s="7"/>
    </row>
    <row r="1091" spans="1:7" x14ac:dyDescent="0.2">
      <c r="A1091" s="2">
        <v>11337</v>
      </c>
      <c r="B1091" s="3" t="s">
        <v>16</v>
      </c>
      <c r="C1091" s="3" t="s">
        <v>91</v>
      </c>
      <c r="D1091" s="9">
        <v>41391</v>
      </c>
      <c r="E1091" s="5">
        <v>460</v>
      </c>
      <c r="F1091">
        <f>VLOOKUP(A1091,paiments2[],3,FALSE)</f>
        <v>460</v>
      </c>
      <c r="G1091" s="7"/>
    </row>
    <row r="1092" spans="1:7" x14ac:dyDescent="0.2">
      <c r="A1092" s="2">
        <v>11338</v>
      </c>
      <c r="B1092" s="3" t="s">
        <v>61</v>
      </c>
      <c r="C1092" s="3" t="s">
        <v>90</v>
      </c>
      <c r="D1092" s="9">
        <v>41391</v>
      </c>
      <c r="E1092" s="5">
        <v>2140</v>
      </c>
      <c r="F1092">
        <f>VLOOKUP(A1092,paiments2[],3,FALSE)</f>
        <v>2140</v>
      </c>
      <c r="G1092" s="7"/>
    </row>
    <row r="1093" spans="1:7" x14ac:dyDescent="0.2">
      <c r="A1093" s="2">
        <v>11339</v>
      </c>
      <c r="B1093" s="3" t="s">
        <v>65</v>
      </c>
      <c r="C1093" s="3" t="s">
        <v>92</v>
      </c>
      <c r="D1093" s="9">
        <v>41392</v>
      </c>
      <c r="E1093" s="5">
        <v>2036</v>
      </c>
      <c r="F1093">
        <f>VLOOKUP(A1093,paiments2[],3,FALSE)</f>
        <v>2036</v>
      </c>
      <c r="G1093" s="7"/>
    </row>
    <row r="1094" spans="1:7" x14ac:dyDescent="0.2">
      <c r="A1094" s="2">
        <v>11340</v>
      </c>
      <c r="B1094" s="3" t="s">
        <v>63</v>
      </c>
      <c r="C1094" s="3" t="s">
        <v>97</v>
      </c>
      <c r="D1094" s="9">
        <v>41392</v>
      </c>
      <c r="E1094" s="5">
        <v>376</v>
      </c>
      <c r="F1094">
        <f>VLOOKUP(A1094,paiments2[],3,FALSE)</f>
        <v>376</v>
      </c>
      <c r="G1094" s="7"/>
    </row>
    <row r="1095" spans="1:7" x14ac:dyDescent="0.2">
      <c r="A1095" s="2">
        <v>11341</v>
      </c>
      <c r="B1095" s="3" t="s">
        <v>35</v>
      </c>
      <c r="C1095" s="3" t="s">
        <v>91</v>
      </c>
      <c r="D1095" s="9">
        <v>41393</v>
      </c>
      <c r="E1095" s="5">
        <v>705</v>
      </c>
      <c r="F1095">
        <f>VLOOKUP(A1095,paiments2[],3,FALSE)</f>
        <v>705</v>
      </c>
      <c r="G1095" s="7"/>
    </row>
    <row r="1096" spans="1:7" x14ac:dyDescent="0.2">
      <c r="A1096" s="2">
        <v>11342</v>
      </c>
      <c r="B1096" s="3" t="s">
        <v>8</v>
      </c>
      <c r="C1096" s="3" t="s">
        <v>91</v>
      </c>
      <c r="D1096" s="9">
        <v>41394</v>
      </c>
      <c r="E1096" s="5">
        <v>1540</v>
      </c>
      <c r="F1096">
        <f>VLOOKUP(A1096,paiments2[],3,FALSE)</f>
        <v>1540</v>
      </c>
      <c r="G1096" s="7"/>
    </row>
    <row r="1097" spans="1:7" x14ac:dyDescent="0.2">
      <c r="A1097" s="2">
        <v>11343</v>
      </c>
      <c r="B1097" s="3" t="s">
        <v>51</v>
      </c>
      <c r="C1097" s="3" t="s">
        <v>97</v>
      </c>
      <c r="D1097" s="9">
        <v>41394</v>
      </c>
      <c r="E1097" s="5">
        <v>630</v>
      </c>
      <c r="F1097">
        <f>VLOOKUP(A1097,paiments2[],3,FALSE)</f>
        <v>630</v>
      </c>
      <c r="G1097" s="7"/>
    </row>
    <row r="1098" spans="1:7" x14ac:dyDescent="0.2">
      <c r="A1098" s="2">
        <v>11344</v>
      </c>
      <c r="B1098" s="3" t="s">
        <v>55</v>
      </c>
      <c r="C1098" s="3" t="s">
        <v>90</v>
      </c>
      <c r="D1098" s="9">
        <v>41397</v>
      </c>
      <c r="E1098" s="5">
        <v>801</v>
      </c>
      <c r="F1098">
        <f>VLOOKUP(A1098,paiments2[],3,FALSE)</f>
        <v>801</v>
      </c>
      <c r="G1098" s="7"/>
    </row>
    <row r="1099" spans="1:7" x14ac:dyDescent="0.2">
      <c r="A1099" s="2">
        <v>11345</v>
      </c>
      <c r="B1099" s="3" t="s">
        <v>7</v>
      </c>
      <c r="C1099" s="3" t="s">
        <v>92</v>
      </c>
      <c r="D1099" s="9">
        <v>41397</v>
      </c>
      <c r="E1099" s="5">
        <v>1077</v>
      </c>
      <c r="F1099">
        <f>VLOOKUP(A1099,paiments2[],3,FALSE)</f>
        <v>1077</v>
      </c>
      <c r="G1099" s="7"/>
    </row>
    <row r="1100" spans="1:7" x14ac:dyDescent="0.2">
      <c r="A1100" s="2">
        <v>11346</v>
      </c>
      <c r="B1100" s="3" t="s">
        <v>2</v>
      </c>
      <c r="C1100" s="3" t="s">
        <v>91</v>
      </c>
      <c r="D1100" s="9">
        <v>41398</v>
      </c>
      <c r="E1100" s="5">
        <v>1150</v>
      </c>
      <c r="F1100">
        <f>VLOOKUP(A1100,paiments2[],3,FALSE)</f>
        <v>1150</v>
      </c>
      <c r="G1100" s="7"/>
    </row>
    <row r="1101" spans="1:7" x14ac:dyDescent="0.2">
      <c r="A1101" s="2">
        <v>11347</v>
      </c>
      <c r="B1101" s="3" t="s">
        <v>34</v>
      </c>
      <c r="C1101" s="3" t="s">
        <v>93</v>
      </c>
      <c r="D1101" s="9">
        <v>41399</v>
      </c>
      <c r="E1101" s="5">
        <v>1404</v>
      </c>
      <c r="F1101">
        <f>VLOOKUP(A1101,paiments2[],3,FALSE)</f>
        <v>1404</v>
      </c>
      <c r="G1101" s="7"/>
    </row>
    <row r="1102" spans="1:7" x14ac:dyDescent="0.2">
      <c r="A1102" s="2">
        <v>11348</v>
      </c>
      <c r="B1102" s="3" t="s">
        <v>12</v>
      </c>
      <c r="C1102" s="3" t="s">
        <v>91</v>
      </c>
      <c r="D1102" s="9">
        <v>41399</v>
      </c>
      <c r="E1102" s="5">
        <v>470</v>
      </c>
      <c r="F1102">
        <f>VLOOKUP(A1102,paiments2[],3,FALSE)</f>
        <v>470</v>
      </c>
      <c r="G1102" s="7"/>
    </row>
    <row r="1103" spans="1:7" x14ac:dyDescent="0.2">
      <c r="A1103" s="2">
        <v>11349</v>
      </c>
      <c r="B1103" s="3" t="s">
        <v>29</v>
      </c>
      <c r="C1103" s="3" t="s">
        <v>89</v>
      </c>
      <c r="D1103" s="9">
        <v>41400</v>
      </c>
      <c r="E1103" s="5">
        <v>285</v>
      </c>
      <c r="F1103">
        <f>VLOOKUP(A1103,paiments2[],3,FALSE)</f>
        <v>285</v>
      </c>
      <c r="G1103" s="7"/>
    </row>
    <row r="1104" spans="1:7" x14ac:dyDescent="0.2">
      <c r="A1104" s="2">
        <v>11350</v>
      </c>
      <c r="B1104" s="3" t="s">
        <v>78</v>
      </c>
      <c r="C1104" s="3" t="s">
        <v>89</v>
      </c>
      <c r="D1104" s="9">
        <v>41700</v>
      </c>
      <c r="E1104" s="5">
        <v>1070</v>
      </c>
      <c r="F1104">
        <f>VLOOKUP(A1104,paiments2[],3,FALSE)</f>
        <v>1070</v>
      </c>
      <c r="G1104" s="7"/>
    </row>
    <row r="1105" spans="1:7" x14ac:dyDescent="0.2">
      <c r="A1105" s="2">
        <v>11351</v>
      </c>
      <c r="B1105" s="3" t="s">
        <v>52</v>
      </c>
      <c r="C1105" s="3" t="s">
        <v>89</v>
      </c>
      <c r="D1105" s="9">
        <v>41701</v>
      </c>
      <c r="E1105" s="5">
        <v>1345</v>
      </c>
      <c r="F1105">
        <f>VLOOKUP(A1105,paiments2[],3,FALSE)</f>
        <v>1345</v>
      </c>
      <c r="G1105" s="7"/>
    </row>
    <row r="1106" spans="1:7" x14ac:dyDescent="0.2">
      <c r="A1106" s="2">
        <v>11352</v>
      </c>
      <c r="B1106" s="3" t="s">
        <v>35</v>
      </c>
      <c r="C1106" s="3" t="s">
        <v>95</v>
      </c>
      <c r="D1106" s="9">
        <v>41704</v>
      </c>
      <c r="E1106" s="5">
        <v>404</v>
      </c>
      <c r="F1106">
        <f>VLOOKUP(A1106,paiments2[],3,FALSE)</f>
        <v>404</v>
      </c>
      <c r="G1106" s="7"/>
    </row>
    <row r="1107" spans="1:7" x14ac:dyDescent="0.2">
      <c r="A1107" s="2">
        <v>11353</v>
      </c>
      <c r="B1107" s="3" t="s">
        <v>69</v>
      </c>
      <c r="C1107" s="3" t="s">
        <v>91</v>
      </c>
      <c r="D1107" s="9">
        <v>41704</v>
      </c>
      <c r="E1107" s="5">
        <v>238</v>
      </c>
      <c r="F1107">
        <f>VLOOKUP(A1107,paiments2[],3,FALSE)</f>
        <v>238</v>
      </c>
      <c r="G1107" s="7"/>
    </row>
    <row r="1108" spans="1:7" x14ac:dyDescent="0.2">
      <c r="A1108" s="2">
        <v>11354</v>
      </c>
      <c r="B1108" s="3" t="s">
        <v>17</v>
      </c>
      <c r="C1108" s="3" t="s">
        <v>94</v>
      </c>
      <c r="D1108" s="9">
        <v>41705</v>
      </c>
      <c r="E1108" s="5">
        <v>890</v>
      </c>
      <c r="F1108">
        <f>VLOOKUP(A1108,paiments2[],3,FALSE)</f>
        <v>890</v>
      </c>
      <c r="G1108" s="7"/>
    </row>
    <row r="1109" spans="1:7" x14ac:dyDescent="0.2">
      <c r="A1109" s="2">
        <v>11355</v>
      </c>
      <c r="B1109" s="3" t="s">
        <v>25</v>
      </c>
      <c r="C1109" s="3" t="s">
        <v>89</v>
      </c>
      <c r="D1109" s="9">
        <v>41705</v>
      </c>
      <c r="E1109" s="5">
        <v>482</v>
      </c>
      <c r="F1109">
        <f>VLOOKUP(A1109,paiments2[],3,FALSE)</f>
        <v>482</v>
      </c>
      <c r="G1109" s="7"/>
    </row>
    <row r="1110" spans="1:7" x14ac:dyDescent="0.2">
      <c r="A1110" s="2">
        <v>11356</v>
      </c>
      <c r="B1110" s="3" t="s">
        <v>30</v>
      </c>
      <c r="C1110" s="3" t="s">
        <v>94</v>
      </c>
      <c r="D1110" s="9">
        <v>41706</v>
      </c>
      <c r="E1110" s="5">
        <v>140</v>
      </c>
      <c r="F1110">
        <f>VLOOKUP(A1110,paiments2[],3,FALSE)</f>
        <v>140</v>
      </c>
      <c r="G1110" s="7"/>
    </row>
    <row r="1111" spans="1:7" x14ac:dyDescent="0.2">
      <c r="A1111" s="2">
        <v>11357</v>
      </c>
      <c r="B1111" s="3" t="s">
        <v>77</v>
      </c>
      <c r="C1111" s="3" t="s">
        <v>90</v>
      </c>
      <c r="D1111" s="9">
        <v>41707</v>
      </c>
      <c r="E1111" s="5">
        <v>485</v>
      </c>
      <c r="F1111">
        <f>VLOOKUP(A1111,paiments2[],3,FALSE)</f>
        <v>485</v>
      </c>
      <c r="G1111" s="7"/>
    </row>
    <row r="1112" spans="1:7" x14ac:dyDescent="0.2">
      <c r="A1112" s="2">
        <v>11358</v>
      </c>
      <c r="B1112" s="3" t="s">
        <v>45</v>
      </c>
      <c r="C1112" s="3" t="s">
        <v>96</v>
      </c>
      <c r="D1112" s="9">
        <v>41707</v>
      </c>
      <c r="E1112" s="5">
        <v>3203</v>
      </c>
      <c r="F1112">
        <f>VLOOKUP(A1112,paiments2[],3,FALSE)</f>
        <v>3203</v>
      </c>
      <c r="G1112" s="7"/>
    </row>
    <row r="1113" spans="1:7" x14ac:dyDescent="0.2">
      <c r="A1113" s="2">
        <v>11359</v>
      </c>
      <c r="B1113" s="3" t="s">
        <v>21</v>
      </c>
      <c r="C1113" s="3" t="s">
        <v>91</v>
      </c>
      <c r="D1113" s="9">
        <v>41708</v>
      </c>
      <c r="E1113" s="5">
        <v>3405</v>
      </c>
      <c r="F1113">
        <f>VLOOKUP(A1113,paiments2[],3,FALSE)</f>
        <v>3405</v>
      </c>
      <c r="G1113" s="7"/>
    </row>
    <row r="1114" spans="1:7" x14ac:dyDescent="0.2">
      <c r="A1114" s="2">
        <v>11360</v>
      </c>
      <c r="B1114" s="3" t="s">
        <v>61</v>
      </c>
      <c r="C1114" s="3" t="s">
        <v>97</v>
      </c>
      <c r="D1114" s="9">
        <v>41708</v>
      </c>
      <c r="E1114" s="5">
        <v>956</v>
      </c>
      <c r="F1114">
        <f>VLOOKUP(A1114,paiments2[],3,FALSE)</f>
        <v>956</v>
      </c>
      <c r="G1114" s="7"/>
    </row>
    <row r="1115" spans="1:7" x14ac:dyDescent="0.2">
      <c r="A1115" s="2">
        <v>11361</v>
      </c>
      <c r="B1115" s="3" t="s">
        <v>62</v>
      </c>
      <c r="C1115" s="3" t="s">
        <v>95</v>
      </c>
      <c r="D1115" s="9">
        <v>41711</v>
      </c>
      <c r="E1115" s="5">
        <v>1281</v>
      </c>
      <c r="F1115">
        <f>VLOOKUP(A1115,paiments2[],3,FALSE)</f>
        <v>1281</v>
      </c>
      <c r="G1115" s="7"/>
    </row>
    <row r="1116" spans="1:7" x14ac:dyDescent="0.2">
      <c r="A1116" s="2">
        <v>11362</v>
      </c>
      <c r="B1116" s="3" t="s">
        <v>34</v>
      </c>
      <c r="C1116" s="3" t="s">
        <v>97</v>
      </c>
      <c r="D1116" s="9">
        <v>41712</v>
      </c>
      <c r="E1116" s="5">
        <v>529</v>
      </c>
      <c r="F1116">
        <f>VLOOKUP(A1116,paiments2[],3,FALSE)</f>
        <v>529</v>
      </c>
      <c r="G1116" s="7"/>
    </row>
    <row r="1117" spans="1:7" x14ac:dyDescent="0.2">
      <c r="A1117" s="2">
        <v>11363</v>
      </c>
      <c r="B1117" s="3" t="s">
        <v>38</v>
      </c>
      <c r="C1117" s="3" t="s">
        <v>92</v>
      </c>
      <c r="D1117" s="9">
        <v>41712</v>
      </c>
      <c r="E1117" s="5">
        <v>90</v>
      </c>
      <c r="F1117">
        <f>VLOOKUP(A1117,paiments2[],3,FALSE)</f>
        <v>90</v>
      </c>
      <c r="G1117" s="7"/>
    </row>
    <row r="1118" spans="1:7" x14ac:dyDescent="0.2">
      <c r="A1118" s="2">
        <v>11364</v>
      </c>
      <c r="B1118" s="3" t="s">
        <v>48</v>
      </c>
      <c r="C1118" s="3" t="s">
        <v>96</v>
      </c>
      <c r="D1118" s="9">
        <v>41713</v>
      </c>
      <c r="E1118" s="5">
        <v>1520</v>
      </c>
      <c r="F1118">
        <f>VLOOKUP(A1118,paiments2[],3,FALSE)</f>
        <v>1520</v>
      </c>
      <c r="G1118" s="7"/>
    </row>
    <row r="1119" spans="1:7" x14ac:dyDescent="0.2">
      <c r="A1119" s="2">
        <v>11365</v>
      </c>
      <c r="B1119" s="3" t="s">
        <v>47</v>
      </c>
      <c r="C1119" s="3" t="s">
        <v>94</v>
      </c>
      <c r="D1119" s="9">
        <v>41713</v>
      </c>
      <c r="E1119" s="5">
        <v>1128</v>
      </c>
      <c r="F1119">
        <f>VLOOKUP(A1119,paiments2[],3,FALSE)</f>
        <v>1128</v>
      </c>
      <c r="G1119" s="7"/>
    </row>
    <row r="1120" spans="1:7" x14ac:dyDescent="0.2">
      <c r="A1120" s="2">
        <v>11366</v>
      </c>
      <c r="B1120" s="3" t="s">
        <v>38</v>
      </c>
      <c r="C1120" s="3" t="s">
        <v>94</v>
      </c>
      <c r="D1120" s="9">
        <v>41714</v>
      </c>
      <c r="E1120" s="5">
        <v>971</v>
      </c>
      <c r="F1120">
        <f>VLOOKUP(A1120,paiments2[],3,FALSE)</f>
        <v>971</v>
      </c>
      <c r="G1120" s="7"/>
    </row>
    <row r="1121" spans="1:7" x14ac:dyDescent="0.2">
      <c r="A1121" s="2">
        <v>11367</v>
      </c>
      <c r="B1121" s="3" t="s">
        <v>6</v>
      </c>
      <c r="C1121" s="3" t="s">
        <v>97</v>
      </c>
      <c r="D1121" s="9">
        <v>41715</v>
      </c>
      <c r="E1121" s="5">
        <v>3544</v>
      </c>
      <c r="F1121">
        <f>VLOOKUP(A1121,paiments2[],3,FALSE)</f>
        <v>3544</v>
      </c>
      <c r="G1121" s="7"/>
    </row>
    <row r="1122" spans="1:7" x14ac:dyDescent="0.2">
      <c r="A1122" s="2">
        <v>11368</v>
      </c>
      <c r="B1122" s="3" t="s">
        <v>9</v>
      </c>
      <c r="C1122" s="3" t="s">
        <v>97</v>
      </c>
      <c r="D1122" s="9">
        <v>41715</v>
      </c>
      <c r="E1122" s="5">
        <v>1439</v>
      </c>
      <c r="F1122">
        <f>VLOOKUP(A1122,paiments2[],3,FALSE)</f>
        <v>1439</v>
      </c>
      <c r="G1122" s="7"/>
    </row>
    <row r="1123" spans="1:7" x14ac:dyDescent="0.2">
      <c r="A1123" s="2">
        <v>11369</v>
      </c>
      <c r="B1123" s="3" t="s">
        <v>35</v>
      </c>
      <c r="C1123" s="3" t="s">
        <v>94</v>
      </c>
      <c r="D1123" s="9">
        <v>41718</v>
      </c>
      <c r="E1123" s="5">
        <v>519</v>
      </c>
      <c r="F1123">
        <f>VLOOKUP(A1123,paiments2[],3,FALSE)</f>
        <v>519</v>
      </c>
      <c r="G1123" s="7"/>
    </row>
    <row r="1124" spans="1:7" x14ac:dyDescent="0.2">
      <c r="A1124" s="2">
        <v>11370</v>
      </c>
      <c r="B1124" s="3" t="s">
        <v>51</v>
      </c>
      <c r="C1124" s="3" t="s">
        <v>96</v>
      </c>
      <c r="D1124" s="9">
        <v>41718</v>
      </c>
      <c r="E1124" s="5">
        <v>420</v>
      </c>
      <c r="F1124">
        <f>VLOOKUP(A1124,paiments2[],3,FALSE)</f>
        <v>420</v>
      </c>
      <c r="G1124" s="7"/>
    </row>
    <row r="1125" spans="1:7" x14ac:dyDescent="0.2">
      <c r="A1125" s="2">
        <v>11371</v>
      </c>
      <c r="B1125" s="3" t="s">
        <v>17</v>
      </c>
      <c r="C1125" s="3" t="s">
        <v>91</v>
      </c>
      <c r="D1125" s="9">
        <v>41719</v>
      </c>
      <c r="E1125" s="5">
        <v>1657</v>
      </c>
      <c r="F1125">
        <f>VLOOKUP(A1125,paiments2[],3,FALSE)</f>
        <v>1657</v>
      </c>
      <c r="G1125" s="7"/>
    </row>
    <row r="1126" spans="1:7" x14ac:dyDescent="0.2">
      <c r="A1126" s="2">
        <v>11372</v>
      </c>
      <c r="B1126" s="3" t="s">
        <v>83</v>
      </c>
      <c r="C1126" s="3" t="s">
        <v>94</v>
      </c>
      <c r="D1126" s="9">
        <v>41720</v>
      </c>
      <c r="E1126" s="5">
        <v>692</v>
      </c>
      <c r="F1126">
        <f>VLOOKUP(A1126,paiments2[],3,FALSE)</f>
        <v>692</v>
      </c>
      <c r="G1126" s="7"/>
    </row>
    <row r="1127" spans="1:7" x14ac:dyDescent="0.2">
      <c r="A1127" s="2">
        <v>11373</v>
      </c>
      <c r="B1127" s="3" t="s">
        <v>25</v>
      </c>
      <c r="C1127" s="3" t="s">
        <v>93</v>
      </c>
      <c r="D1127" s="9">
        <v>41720</v>
      </c>
      <c r="E1127" s="5">
        <v>3192</v>
      </c>
      <c r="F1127">
        <f>VLOOKUP(A1127,paiments2[],3,FALSE)</f>
        <v>3192</v>
      </c>
      <c r="G1127" s="7"/>
    </row>
    <row r="1128" spans="1:7" x14ac:dyDescent="0.2">
      <c r="A1128" s="2">
        <v>11374</v>
      </c>
      <c r="B1128" s="3" t="s">
        <v>81</v>
      </c>
      <c r="C1128" s="3" t="s">
        <v>96</v>
      </c>
      <c r="D1128" s="9">
        <v>41721</v>
      </c>
      <c r="E1128" s="5">
        <v>309</v>
      </c>
      <c r="F1128">
        <f>VLOOKUP(A1128,paiments2[],3,FALSE)</f>
        <v>309</v>
      </c>
      <c r="G1128" s="7"/>
    </row>
    <row r="1129" spans="1:7" x14ac:dyDescent="0.2">
      <c r="A1129" s="2">
        <v>11375</v>
      </c>
      <c r="B1129" s="3" t="s">
        <v>42</v>
      </c>
      <c r="C1129" s="3" t="s">
        <v>91</v>
      </c>
      <c r="D1129" s="9">
        <v>41721</v>
      </c>
      <c r="E1129" s="5">
        <v>30</v>
      </c>
      <c r="F1129">
        <f>VLOOKUP(A1129,paiments2[],3,FALSE)</f>
        <v>30</v>
      </c>
      <c r="G1129" s="7"/>
    </row>
    <row r="1130" spans="1:7" x14ac:dyDescent="0.2">
      <c r="A1130" s="2">
        <v>11376</v>
      </c>
      <c r="B1130" s="3" t="s">
        <v>17</v>
      </c>
      <c r="C1130" s="3" t="s">
        <v>89</v>
      </c>
      <c r="D1130" s="9">
        <v>41722</v>
      </c>
      <c r="E1130" s="5">
        <v>1060</v>
      </c>
      <c r="F1130">
        <f>VLOOKUP(A1130,paiments2[],3,FALSE)</f>
        <v>1060</v>
      </c>
      <c r="G1130" s="7"/>
    </row>
    <row r="1131" spans="1:7" x14ac:dyDescent="0.2">
      <c r="A1131" s="2">
        <v>11377</v>
      </c>
      <c r="B1131" s="3" t="s">
        <v>23</v>
      </c>
      <c r="C1131" s="3" t="s">
        <v>96</v>
      </c>
      <c r="D1131" s="9">
        <v>41725</v>
      </c>
      <c r="E1131" s="5">
        <v>389</v>
      </c>
      <c r="F1131">
        <f>VLOOKUP(A1131,paiments2[],3,FALSE)</f>
        <v>389</v>
      </c>
      <c r="G1131" s="7"/>
    </row>
    <row r="1132" spans="1:7" x14ac:dyDescent="0.2">
      <c r="A1132" s="2">
        <v>11378</v>
      </c>
      <c r="B1132" s="3" t="s">
        <v>59</v>
      </c>
      <c r="C1132" s="3" t="s">
        <v>94</v>
      </c>
      <c r="D1132" s="9">
        <v>41725</v>
      </c>
      <c r="E1132" s="5">
        <v>698</v>
      </c>
      <c r="F1132">
        <f>VLOOKUP(A1132,paiments2[],3,FALSE)</f>
        <v>698</v>
      </c>
      <c r="G1132" s="7"/>
    </row>
    <row r="1133" spans="1:7" x14ac:dyDescent="0.2">
      <c r="A1133" s="2">
        <v>11379</v>
      </c>
      <c r="B1133" s="3" t="s">
        <v>45</v>
      </c>
      <c r="C1133" s="3" t="s">
        <v>97</v>
      </c>
      <c r="D1133" s="9">
        <v>41726</v>
      </c>
      <c r="E1133" s="5">
        <v>3820</v>
      </c>
      <c r="F1133">
        <f>VLOOKUP(A1133,paiments2[],3,FALSE)</f>
        <v>3820</v>
      </c>
      <c r="G1133" s="7"/>
    </row>
    <row r="1134" spans="1:7" x14ac:dyDescent="0.2">
      <c r="A1134" s="2">
        <v>11380</v>
      </c>
      <c r="B1134" s="3" t="s">
        <v>15</v>
      </c>
      <c r="C1134" s="3" t="s">
        <v>95</v>
      </c>
      <c r="D1134" s="9">
        <v>41726</v>
      </c>
      <c r="E1134" s="5">
        <v>492</v>
      </c>
      <c r="F1134">
        <f>VLOOKUP(A1134,paiments2[],3,FALSE)</f>
        <v>492</v>
      </c>
      <c r="G1134" s="7"/>
    </row>
    <row r="1135" spans="1:7" x14ac:dyDescent="0.2">
      <c r="A1135" s="2">
        <v>11381</v>
      </c>
      <c r="B1135" s="3" t="s">
        <v>37</v>
      </c>
      <c r="C1135" s="3" t="s">
        <v>94</v>
      </c>
      <c r="D1135" s="9">
        <v>41727</v>
      </c>
      <c r="E1135" s="5">
        <v>1230</v>
      </c>
      <c r="F1135">
        <f>VLOOKUP(A1135,paiments2[],3,FALSE)</f>
        <v>1230</v>
      </c>
      <c r="G1135" s="7"/>
    </row>
    <row r="1136" spans="1:7" x14ac:dyDescent="0.2">
      <c r="A1136" s="2">
        <v>11382</v>
      </c>
      <c r="B1136" s="3" t="s">
        <v>77</v>
      </c>
      <c r="C1136" s="3" t="s">
        <v>92</v>
      </c>
      <c r="D1136" s="9">
        <v>41728</v>
      </c>
      <c r="E1136" s="5">
        <v>994</v>
      </c>
      <c r="F1136">
        <f>VLOOKUP(A1136,paiments2[],3,FALSE)</f>
        <v>994</v>
      </c>
      <c r="G1136" s="7"/>
    </row>
    <row r="1137" spans="1:7" x14ac:dyDescent="0.2">
      <c r="A1137" s="2">
        <v>11383</v>
      </c>
      <c r="B1137" s="3" t="s">
        <v>59</v>
      </c>
      <c r="C1137" s="3" t="s">
        <v>92</v>
      </c>
      <c r="D1137" s="9">
        <v>41728</v>
      </c>
      <c r="E1137" s="5">
        <v>228</v>
      </c>
      <c r="F1137">
        <f>VLOOKUP(A1137,paiments2[],3,FALSE)</f>
        <v>228</v>
      </c>
      <c r="G1137" s="7"/>
    </row>
    <row r="1138" spans="1:7" x14ac:dyDescent="0.2">
      <c r="A1138" s="2">
        <v>11384</v>
      </c>
      <c r="B1138" s="3" t="s">
        <v>41</v>
      </c>
      <c r="C1138" s="3" t="s">
        <v>96</v>
      </c>
      <c r="D1138" s="9">
        <v>41729</v>
      </c>
      <c r="E1138" s="5">
        <v>45</v>
      </c>
      <c r="F1138">
        <f>VLOOKUP(A1138,paiments2[],3,FALSE)</f>
        <v>45</v>
      </c>
      <c r="G1138" s="7"/>
    </row>
    <row r="1139" spans="1:7" x14ac:dyDescent="0.2">
      <c r="A1139" s="2">
        <v>11385</v>
      </c>
      <c r="B1139" s="3" t="s">
        <v>11</v>
      </c>
      <c r="C1139" s="3" t="s">
        <v>92</v>
      </c>
      <c r="D1139" s="9">
        <v>41729</v>
      </c>
      <c r="E1139" s="5">
        <v>1310</v>
      </c>
      <c r="F1139">
        <f>VLOOKUP(A1139,paiments2[],3,FALSE)</f>
        <v>1310</v>
      </c>
      <c r="G1139" s="7"/>
    </row>
    <row r="1140" spans="1:7" x14ac:dyDescent="0.2">
      <c r="A1140" s="2">
        <v>11386</v>
      </c>
      <c r="B1140" s="3" t="s">
        <v>69</v>
      </c>
      <c r="C1140" s="3" t="s">
        <v>91</v>
      </c>
      <c r="D1140" s="9">
        <v>41732</v>
      </c>
      <c r="E1140" s="5">
        <v>593</v>
      </c>
      <c r="F1140">
        <f>VLOOKUP(A1140,paiments2[],3,FALSE)</f>
        <v>593</v>
      </c>
      <c r="G1140" s="7"/>
    </row>
    <row r="1141" spans="1:7" x14ac:dyDescent="0.2">
      <c r="A1141" s="2">
        <v>11387</v>
      </c>
      <c r="B1141" s="3" t="s">
        <v>54</v>
      </c>
      <c r="C1141" s="3" t="s">
        <v>96</v>
      </c>
      <c r="D1141" s="9">
        <v>41733</v>
      </c>
      <c r="E1141" s="5">
        <v>1215</v>
      </c>
      <c r="F1141">
        <f>VLOOKUP(A1141,paiments2[],3,FALSE)</f>
        <v>1215</v>
      </c>
      <c r="G1141" s="7"/>
    </row>
    <row r="1142" spans="1:7" x14ac:dyDescent="0.2">
      <c r="A1142" s="2">
        <v>11388</v>
      </c>
      <c r="B1142" s="3" t="s">
        <v>34</v>
      </c>
      <c r="C1142" s="3" t="s">
        <v>93</v>
      </c>
      <c r="D1142" s="9">
        <v>41733</v>
      </c>
      <c r="E1142" s="5">
        <v>4674</v>
      </c>
      <c r="F1142">
        <f>VLOOKUP(A1142,paiments2[],3,FALSE)</f>
        <v>4674</v>
      </c>
      <c r="G1142" s="7"/>
    </row>
    <row r="1143" spans="1:7" x14ac:dyDescent="0.2">
      <c r="A1143" s="2">
        <v>11389</v>
      </c>
      <c r="B1143" s="3" t="s">
        <v>60</v>
      </c>
      <c r="C1143" s="3" t="s">
        <v>91</v>
      </c>
      <c r="D1143" s="9">
        <v>41734</v>
      </c>
      <c r="E1143" s="5">
        <v>2594</v>
      </c>
      <c r="F1143">
        <f>VLOOKUP(A1143,paiments2[],3,FALSE)</f>
        <v>2594</v>
      </c>
      <c r="G1143" s="7"/>
    </row>
    <row r="1144" spans="1:7" x14ac:dyDescent="0.2">
      <c r="A1144" s="2">
        <v>11390</v>
      </c>
      <c r="B1144" s="3" t="s">
        <v>25</v>
      </c>
      <c r="C1144" s="3" t="s">
        <v>94</v>
      </c>
      <c r="D1144" s="9">
        <v>41734</v>
      </c>
      <c r="E1144" s="5">
        <v>455</v>
      </c>
      <c r="F1144">
        <f>VLOOKUP(A1144,paiments2[],3,FALSE)</f>
        <v>455</v>
      </c>
      <c r="G1144" s="7"/>
    </row>
    <row r="1145" spans="1:7" x14ac:dyDescent="0.2">
      <c r="A1145" s="2">
        <v>11391</v>
      </c>
      <c r="B1145" s="3" t="s">
        <v>2</v>
      </c>
      <c r="C1145" s="3" t="s">
        <v>94</v>
      </c>
      <c r="D1145" s="9">
        <v>41735</v>
      </c>
      <c r="E1145" s="5">
        <v>830</v>
      </c>
      <c r="F1145">
        <f>VLOOKUP(A1145,paiments2[],3,FALSE)</f>
        <v>830</v>
      </c>
      <c r="G1145" s="7"/>
    </row>
    <row r="1146" spans="1:7" x14ac:dyDescent="0.2">
      <c r="A1146" s="2">
        <v>11392</v>
      </c>
      <c r="B1146" s="3" t="s">
        <v>21</v>
      </c>
      <c r="C1146" s="3" t="s">
        <v>96</v>
      </c>
      <c r="D1146" s="9">
        <v>41736</v>
      </c>
      <c r="E1146" s="5">
        <v>7662</v>
      </c>
      <c r="F1146">
        <f>VLOOKUP(A1146,paiments2[],3,FALSE)</f>
        <v>7662</v>
      </c>
      <c r="G1146" s="7"/>
    </row>
    <row r="1147" spans="1:7" x14ac:dyDescent="0.2">
      <c r="A1147" s="2">
        <v>11393</v>
      </c>
      <c r="B1147" s="3" t="s">
        <v>31</v>
      </c>
      <c r="C1147" s="3" t="s">
        <v>91</v>
      </c>
      <c r="D1147" s="9">
        <v>41736</v>
      </c>
      <c r="E1147" s="5">
        <v>660</v>
      </c>
      <c r="F1147">
        <f>VLOOKUP(A1147,paiments2[],3,FALSE)</f>
        <v>660</v>
      </c>
      <c r="G1147" s="7"/>
    </row>
    <row r="1148" spans="1:7" x14ac:dyDescent="0.2">
      <c r="A1148" s="2">
        <v>11394</v>
      </c>
      <c r="B1148" s="3" t="s">
        <v>19</v>
      </c>
      <c r="C1148" s="3" t="s">
        <v>92</v>
      </c>
      <c r="D1148" s="9">
        <v>41739</v>
      </c>
      <c r="E1148" s="5">
        <v>1713</v>
      </c>
      <c r="F1148">
        <f>VLOOKUP(A1148,paiments2[],3,FALSE)</f>
        <v>1713</v>
      </c>
      <c r="G1148" s="7"/>
    </row>
    <row r="1149" spans="1:7" x14ac:dyDescent="0.2">
      <c r="A1149" s="2">
        <v>11395</v>
      </c>
      <c r="B1149" s="3" t="s">
        <v>21</v>
      </c>
      <c r="C1149" s="3" t="s">
        <v>95</v>
      </c>
      <c r="D1149" s="9">
        <v>41739</v>
      </c>
      <c r="E1149" s="5">
        <v>3555</v>
      </c>
      <c r="F1149">
        <f>VLOOKUP(A1149,paiments2[],3,FALSE)</f>
        <v>3555</v>
      </c>
      <c r="G1149" s="7"/>
    </row>
    <row r="1150" spans="1:7" x14ac:dyDescent="0.2">
      <c r="A1150" s="2">
        <v>11396</v>
      </c>
      <c r="B1150" s="3" t="s">
        <v>81</v>
      </c>
      <c r="C1150" s="3" t="s">
        <v>97</v>
      </c>
      <c r="D1150" s="9">
        <v>41740</v>
      </c>
      <c r="E1150" s="5">
        <v>472</v>
      </c>
      <c r="F1150">
        <f>VLOOKUP(A1150,paiments2[],3,FALSE)</f>
        <v>472</v>
      </c>
      <c r="G1150" s="7"/>
    </row>
    <row r="1151" spans="1:7" x14ac:dyDescent="0.2">
      <c r="A1151" s="2">
        <v>11397</v>
      </c>
      <c r="B1151" s="3" t="s">
        <v>19</v>
      </c>
      <c r="C1151" s="3" t="s">
        <v>95</v>
      </c>
      <c r="D1151" s="9">
        <v>41741</v>
      </c>
      <c r="E1151" s="5">
        <v>742</v>
      </c>
      <c r="F1151">
        <f>VLOOKUP(A1151,paiments2[],3,FALSE)</f>
        <v>742</v>
      </c>
      <c r="G1151" s="7"/>
    </row>
    <row r="1152" spans="1:7" x14ac:dyDescent="0.2">
      <c r="A1152" s="2">
        <v>11398</v>
      </c>
      <c r="B1152" s="3" t="s">
        <v>65</v>
      </c>
      <c r="C1152" s="3" t="s">
        <v>92</v>
      </c>
      <c r="D1152" s="9">
        <v>41741</v>
      </c>
      <c r="E1152" s="5">
        <v>796</v>
      </c>
      <c r="F1152">
        <f>VLOOKUP(A1152,paiments2[],3,FALSE)</f>
        <v>796</v>
      </c>
      <c r="G1152" s="7"/>
    </row>
    <row r="1153" spans="1:7" x14ac:dyDescent="0.2">
      <c r="A1153" s="2">
        <v>11399</v>
      </c>
      <c r="B1153" s="3" t="s">
        <v>9</v>
      </c>
      <c r="C1153" s="3" t="s">
        <v>91</v>
      </c>
      <c r="D1153" s="9">
        <v>41742</v>
      </c>
      <c r="E1153" s="5">
        <v>2728</v>
      </c>
      <c r="F1153">
        <f>VLOOKUP(A1153,paiments2[],3,FALSE)</f>
        <v>2728</v>
      </c>
      <c r="G1153" s="7"/>
    </row>
    <row r="1154" spans="1:7" x14ac:dyDescent="0.2">
      <c r="A1154" s="2">
        <v>11400</v>
      </c>
      <c r="B1154" s="3" t="s">
        <v>24</v>
      </c>
      <c r="C1154" s="3" t="s">
        <v>92</v>
      </c>
      <c r="D1154" s="9">
        <v>41742</v>
      </c>
      <c r="E1154" s="5">
        <v>84</v>
      </c>
      <c r="F1154">
        <f>VLOOKUP(A1154,paiments2[],3,FALSE)</f>
        <v>84</v>
      </c>
      <c r="G1154" s="7"/>
    </row>
    <row r="1155" spans="1:7" x14ac:dyDescent="0.2">
      <c r="A1155" s="2">
        <v>11401</v>
      </c>
      <c r="B1155" s="3" t="s">
        <v>45</v>
      </c>
      <c r="C1155" s="3" t="s">
        <v>92</v>
      </c>
      <c r="D1155" s="9">
        <v>41743</v>
      </c>
      <c r="E1155" s="5">
        <v>1505</v>
      </c>
      <c r="F1155">
        <f>VLOOKUP(A1155,paiments2[],3,FALSE)</f>
        <v>1505</v>
      </c>
      <c r="G1155" s="7"/>
    </row>
    <row r="1156" spans="1:7" x14ac:dyDescent="0.2">
      <c r="A1156" s="2">
        <v>11402</v>
      </c>
      <c r="B1156" s="3" t="s">
        <v>34</v>
      </c>
      <c r="C1156" s="3" t="s">
        <v>90</v>
      </c>
      <c r="D1156" s="9">
        <v>41746</v>
      </c>
      <c r="E1156" s="5">
        <v>2497</v>
      </c>
      <c r="F1156">
        <f>VLOOKUP(A1156,paiments2[],3,FALSE)</f>
        <v>2497</v>
      </c>
      <c r="G1156" s="7"/>
    </row>
    <row r="1157" spans="1:7" x14ac:dyDescent="0.2">
      <c r="A1157" s="2">
        <v>11403</v>
      </c>
      <c r="B1157" s="3" t="s">
        <v>100</v>
      </c>
      <c r="C1157" s="3" t="s">
        <v>91</v>
      </c>
      <c r="D1157" s="9">
        <v>41746</v>
      </c>
      <c r="E1157" s="5">
        <v>237</v>
      </c>
      <c r="F1157">
        <f>VLOOKUP(A1157,paiments2[],3,FALSE)</f>
        <v>237</v>
      </c>
      <c r="G1157" s="7"/>
    </row>
    <row r="1158" spans="1:7" x14ac:dyDescent="0.2">
      <c r="A1158" s="2">
        <v>11404</v>
      </c>
      <c r="B1158" s="3" t="s">
        <v>14</v>
      </c>
      <c r="C1158" s="3" t="s">
        <v>90</v>
      </c>
      <c r="D1158" s="9">
        <v>41747</v>
      </c>
      <c r="E1158" s="5">
        <v>1890</v>
      </c>
      <c r="F1158">
        <f>VLOOKUP(A1158,paiments2[],3,FALSE)</f>
        <v>1890</v>
      </c>
      <c r="G1158" s="7"/>
    </row>
    <row r="1159" spans="1:7" x14ac:dyDescent="0.2">
      <c r="A1159" s="2">
        <v>11405</v>
      </c>
      <c r="B1159" s="3" t="s">
        <v>61</v>
      </c>
      <c r="C1159" s="3" t="s">
        <v>90</v>
      </c>
      <c r="D1159" s="9">
        <v>41747</v>
      </c>
      <c r="E1159" s="5">
        <v>417</v>
      </c>
      <c r="F1159">
        <f>VLOOKUP(A1159,paiments2[],3,FALSE)</f>
        <v>417</v>
      </c>
      <c r="G1159" s="7"/>
    </row>
    <row r="1160" spans="1:7" x14ac:dyDescent="0.2">
      <c r="A1160" s="2">
        <v>11406</v>
      </c>
      <c r="B1160" s="3" t="s">
        <v>8</v>
      </c>
      <c r="C1160" s="3" t="s">
        <v>93</v>
      </c>
      <c r="D1160" s="9">
        <v>41748</v>
      </c>
      <c r="E1160" s="5">
        <v>276</v>
      </c>
      <c r="F1160">
        <f>VLOOKUP(A1160,paiments2[],3,FALSE)</f>
        <v>276</v>
      </c>
      <c r="G1160" s="7"/>
    </row>
    <row r="1161" spans="1:7" x14ac:dyDescent="0.2">
      <c r="A1161" s="2">
        <v>11407</v>
      </c>
      <c r="B1161" s="3" t="s">
        <v>37</v>
      </c>
      <c r="C1161" s="3" t="s">
        <v>95</v>
      </c>
      <c r="D1161" s="9">
        <v>41749</v>
      </c>
      <c r="E1161" s="5">
        <v>1428</v>
      </c>
      <c r="F1161">
        <f>VLOOKUP(A1161,paiments2[],3,FALSE)</f>
        <v>1428</v>
      </c>
      <c r="G1161" s="7"/>
    </row>
    <row r="1162" spans="1:7" x14ac:dyDescent="0.2">
      <c r="A1162" s="2">
        <v>11408</v>
      </c>
      <c r="B1162" s="3" t="s">
        <v>55</v>
      </c>
      <c r="C1162" s="3" t="s">
        <v>91</v>
      </c>
      <c r="D1162" s="9">
        <v>41749</v>
      </c>
      <c r="E1162" s="5">
        <v>1246</v>
      </c>
      <c r="F1162">
        <f>VLOOKUP(A1162,paiments2[],3,FALSE)</f>
        <v>1246</v>
      </c>
      <c r="G1162" s="7"/>
    </row>
    <row r="1163" spans="1:7" x14ac:dyDescent="0.2">
      <c r="A1163" s="2">
        <v>11409</v>
      </c>
      <c r="B1163" s="3" t="s">
        <v>40</v>
      </c>
      <c r="C1163" s="3" t="s">
        <v>90</v>
      </c>
      <c r="D1163" s="9">
        <v>41750</v>
      </c>
      <c r="E1163" s="5">
        <v>134</v>
      </c>
      <c r="F1163">
        <f>VLOOKUP(A1163,paiments2[],3,FALSE)</f>
        <v>134</v>
      </c>
      <c r="G1163" s="7"/>
    </row>
    <row r="1164" spans="1:7" x14ac:dyDescent="0.2">
      <c r="A1164" s="2">
        <v>11410</v>
      </c>
      <c r="B1164" s="3" t="s">
        <v>69</v>
      </c>
      <c r="C1164" s="3" t="s">
        <v>94</v>
      </c>
      <c r="D1164" s="9">
        <v>41750</v>
      </c>
      <c r="E1164" s="5">
        <v>2570</v>
      </c>
      <c r="F1164">
        <f>VLOOKUP(A1164,paiments2[],3,FALSE)</f>
        <v>2570</v>
      </c>
      <c r="G1164" s="7"/>
    </row>
    <row r="1165" spans="1:7" x14ac:dyDescent="0.2">
      <c r="A1165" s="2">
        <v>11411</v>
      </c>
      <c r="B1165" s="3" t="s">
        <v>68</v>
      </c>
      <c r="C1165" s="3" t="s">
        <v>94</v>
      </c>
      <c r="D1165" s="9">
        <v>41753</v>
      </c>
      <c r="E1165" s="5">
        <v>70</v>
      </c>
      <c r="F1165">
        <f>VLOOKUP(A1165,paiments2[],3,FALSE)</f>
        <v>70</v>
      </c>
      <c r="G1165" s="7"/>
    </row>
    <row r="1166" spans="1:7" x14ac:dyDescent="0.2">
      <c r="A1166" s="2">
        <v>11412</v>
      </c>
      <c r="B1166" s="3" t="s">
        <v>45</v>
      </c>
      <c r="C1166" s="3" t="s">
        <v>89</v>
      </c>
      <c r="D1166" s="9">
        <v>41754</v>
      </c>
      <c r="E1166" s="5">
        <v>3378</v>
      </c>
      <c r="F1166">
        <f>VLOOKUP(A1166,paiments2[],3,FALSE)</f>
        <v>3378</v>
      </c>
      <c r="G1166" s="7"/>
    </row>
    <row r="1167" spans="1:7" x14ac:dyDescent="0.2">
      <c r="A1167" s="2">
        <v>11413</v>
      </c>
      <c r="B1167" s="3" t="s">
        <v>34</v>
      </c>
      <c r="C1167" s="3" t="s">
        <v>92</v>
      </c>
      <c r="D1167" s="9">
        <v>41754</v>
      </c>
      <c r="E1167" s="5">
        <v>915</v>
      </c>
      <c r="F1167">
        <f>VLOOKUP(A1167,paiments2[],3,FALSE)</f>
        <v>915</v>
      </c>
      <c r="G1167" s="7"/>
    </row>
    <row r="1168" spans="1:7" x14ac:dyDescent="0.2">
      <c r="A1168" s="2">
        <v>11414</v>
      </c>
      <c r="B1168" s="3" t="s">
        <v>45</v>
      </c>
      <c r="C1168" s="3" t="s">
        <v>94</v>
      </c>
      <c r="D1168" s="9">
        <v>41755</v>
      </c>
      <c r="E1168" s="5">
        <v>2090</v>
      </c>
      <c r="F1168">
        <f>VLOOKUP(A1168,paiments2[],3,FALSE)</f>
        <v>2090</v>
      </c>
      <c r="G1168" s="7"/>
    </row>
    <row r="1169" spans="1:7" x14ac:dyDescent="0.2">
      <c r="A1169" s="2">
        <v>11415</v>
      </c>
      <c r="B1169" s="3" t="s">
        <v>45</v>
      </c>
      <c r="C1169" s="3" t="s">
        <v>89</v>
      </c>
      <c r="D1169" s="9">
        <v>41755</v>
      </c>
      <c r="E1169" s="5">
        <v>2177</v>
      </c>
      <c r="F1169">
        <f>VLOOKUP(A1169,paiments2[],3,FALSE)</f>
        <v>2177</v>
      </c>
      <c r="G1169" s="7"/>
    </row>
    <row r="1170" spans="1:7" x14ac:dyDescent="0.2">
      <c r="A1170" s="2">
        <v>11416</v>
      </c>
      <c r="B1170" s="3" t="s">
        <v>48</v>
      </c>
      <c r="C1170" s="3" t="s">
        <v>92</v>
      </c>
      <c r="D1170" s="9">
        <v>41756</v>
      </c>
      <c r="E1170" s="5">
        <v>963</v>
      </c>
      <c r="F1170">
        <f>VLOOKUP(A1170,paiments2[],3,FALSE)</f>
        <v>963</v>
      </c>
      <c r="G1170" s="7"/>
    </row>
    <row r="1171" spans="1:7" x14ac:dyDescent="0.2">
      <c r="A1171" s="2">
        <v>11417</v>
      </c>
      <c r="B1171" s="3" t="s">
        <v>71</v>
      </c>
      <c r="C1171" s="3" t="s">
        <v>91</v>
      </c>
      <c r="D1171" s="9">
        <v>41757</v>
      </c>
      <c r="E1171" s="5">
        <v>525</v>
      </c>
      <c r="F1171">
        <f>VLOOKUP(A1171,paiments2[],3,FALSE)</f>
        <v>525</v>
      </c>
      <c r="G1171" s="7"/>
    </row>
    <row r="1172" spans="1:7" x14ac:dyDescent="0.2">
      <c r="A1172" s="2">
        <v>11418</v>
      </c>
      <c r="B1172" s="3" t="s">
        <v>17</v>
      </c>
      <c r="C1172" s="3" t="s">
        <v>94</v>
      </c>
      <c r="D1172" s="9">
        <v>41757</v>
      </c>
      <c r="E1172" s="5">
        <v>974</v>
      </c>
      <c r="F1172">
        <f>VLOOKUP(A1172,paiments2[],3,FALSE)</f>
        <v>974</v>
      </c>
      <c r="G1172" s="7"/>
    </row>
    <row r="1173" spans="1:7" x14ac:dyDescent="0.2">
      <c r="A1173" s="2">
        <v>11419</v>
      </c>
      <c r="B1173" s="3" t="s">
        <v>44</v>
      </c>
      <c r="C1173" s="3" t="s">
        <v>94</v>
      </c>
      <c r="D1173" s="9">
        <v>41760</v>
      </c>
      <c r="E1173" s="5">
        <v>2568</v>
      </c>
      <c r="F1173">
        <f>VLOOKUP(A1173,paiments2[],3,FALSE)</f>
        <v>2568</v>
      </c>
      <c r="G1173" s="7"/>
    </row>
    <row r="1174" spans="1:7" x14ac:dyDescent="0.2">
      <c r="A1174" s="2">
        <v>11420</v>
      </c>
      <c r="B1174" s="3" t="s">
        <v>80</v>
      </c>
      <c r="C1174" s="3" t="s">
        <v>95</v>
      </c>
      <c r="D1174" s="9">
        <v>41760</v>
      </c>
      <c r="E1174" s="5">
        <v>821</v>
      </c>
      <c r="F1174">
        <f>VLOOKUP(A1174,paiments2[],3,FALSE)</f>
        <v>821</v>
      </c>
      <c r="G1174" s="7"/>
    </row>
    <row r="1175" spans="1:7" x14ac:dyDescent="0.2">
      <c r="A1175" s="2">
        <v>11421</v>
      </c>
      <c r="B1175" s="3" t="s">
        <v>12</v>
      </c>
      <c r="C1175" s="3" t="s">
        <v>95</v>
      </c>
      <c r="D1175" s="9">
        <v>41761</v>
      </c>
      <c r="E1175" s="5">
        <v>401</v>
      </c>
      <c r="F1175">
        <f>VLOOKUP(A1175,paiments2[],3,FALSE)</f>
        <v>401</v>
      </c>
      <c r="G1175" s="7"/>
    </row>
    <row r="1176" spans="1:7" x14ac:dyDescent="0.2">
      <c r="A1176" s="2">
        <v>11422</v>
      </c>
      <c r="B1176" s="3" t="s">
        <v>21</v>
      </c>
      <c r="C1176" s="3" t="s">
        <v>89</v>
      </c>
      <c r="D1176" s="9">
        <v>41762</v>
      </c>
      <c r="E1176" s="5">
        <v>700</v>
      </c>
      <c r="F1176">
        <f>VLOOKUP(A1176,paiments2[],3,FALSE)</f>
        <v>700</v>
      </c>
      <c r="G1176" s="7"/>
    </row>
    <row r="1177" spans="1:7" x14ac:dyDescent="0.2">
      <c r="A1177" s="2">
        <v>11423</v>
      </c>
      <c r="B1177" s="3" t="s">
        <v>45</v>
      </c>
      <c r="C1177" s="3" t="s">
        <v>95</v>
      </c>
      <c r="D1177" s="9">
        <v>41762</v>
      </c>
      <c r="E1177" s="5">
        <v>1107</v>
      </c>
      <c r="F1177">
        <f>VLOOKUP(A1177,paiments2[],3,FALSE)</f>
        <v>1107</v>
      </c>
      <c r="G1177" s="7"/>
    </row>
    <row r="1178" spans="1:7" x14ac:dyDescent="0.2">
      <c r="A1178" s="2">
        <v>11424</v>
      </c>
      <c r="B1178" s="3" t="s">
        <v>19</v>
      </c>
      <c r="C1178" s="3" t="s">
        <v>92</v>
      </c>
      <c r="D1178" s="9">
        <v>41763</v>
      </c>
      <c r="E1178" s="5">
        <v>345</v>
      </c>
      <c r="F1178">
        <f>VLOOKUP(A1178,paiments2[],3,FALSE)</f>
        <v>345</v>
      </c>
      <c r="G1178" s="7"/>
    </row>
    <row r="1179" spans="1:7" x14ac:dyDescent="0.2">
      <c r="A1179" s="2">
        <v>11425</v>
      </c>
      <c r="B1179" s="3" t="s">
        <v>49</v>
      </c>
      <c r="C1179" s="3" t="s">
        <v>95</v>
      </c>
      <c r="D1179" s="9">
        <v>41763</v>
      </c>
      <c r="E1179" s="5">
        <v>473</v>
      </c>
      <c r="F1179">
        <f>VLOOKUP(A1179,paiments2[],3,FALSE)</f>
        <v>473</v>
      </c>
      <c r="G1179" s="7"/>
    </row>
    <row r="1180" spans="1:7" x14ac:dyDescent="0.2">
      <c r="A1180" s="2">
        <v>11426</v>
      </c>
      <c r="B1180" s="3" t="s">
        <v>52</v>
      </c>
      <c r="C1180" s="3" t="s">
        <v>91</v>
      </c>
      <c r="D1180" s="9">
        <v>41764</v>
      </c>
      <c r="E1180" s="5">
        <v>212</v>
      </c>
      <c r="F1180">
        <f>VLOOKUP(A1180,paiments2[],3,FALSE)</f>
        <v>212</v>
      </c>
      <c r="G1180" s="7"/>
    </row>
    <row r="1181" spans="1:7" x14ac:dyDescent="0.2">
      <c r="A1181" s="2">
        <v>11427</v>
      </c>
      <c r="B1181" s="3" t="s">
        <v>58</v>
      </c>
      <c r="C1181" s="3" t="s">
        <v>91</v>
      </c>
      <c r="D1181" s="9">
        <v>41767</v>
      </c>
      <c r="E1181" s="5">
        <v>480</v>
      </c>
      <c r="F1181">
        <f>VLOOKUP(A1181,paiments2[],3,FALSE)</f>
        <v>480</v>
      </c>
      <c r="G1181" s="7"/>
    </row>
    <row r="1182" spans="1:7" x14ac:dyDescent="0.2">
      <c r="A1182" s="2">
        <v>11428</v>
      </c>
      <c r="B1182" s="3" t="s">
        <v>30</v>
      </c>
      <c r="C1182" s="3" t="s">
        <v>96</v>
      </c>
      <c r="D1182" s="9">
        <v>41767</v>
      </c>
      <c r="E1182" s="5">
        <v>1270</v>
      </c>
      <c r="F1182">
        <f>VLOOKUP(A1182,paiments2[],3,FALSE)</f>
        <v>1270</v>
      </c>
      <c r="G1182" s="7"/>
    </row>
    <row r="1183" spans="1:7" x14ac:dyDescent="0.2">
      <c r="A1183" s="2">
        <v>11429</v>
      </c>
      <c r="B1183" s="3" t="s">
        <v>61</v>
      </c>
      <c r="C1183" s="3" t="s">
        <v>91</v>
      </c>
      <c r="D1183" s="9">
        <v>41768</v>
      </c>
      <c r="E1183" s="5">
        <v>960</v>
      </c>
      <c r="F1183">
        <f>VLOOKUP(A1183,paiments2[],3,FALSE)</f>
        <v>960</v>
      </c>
      <c r="G1183" s="7"/>
    </row>
    <row r="1184" spans="1:7" x14ac:dyDescent="0.2">
      <c r="A1184" s="2">
        <v>11430</v>
      </c>
      <c r="B1184" s="3" t="s">
        <v>65</v>
      </c>
      <c r="C1184" s="3" t="s">
        <v>95</v>
      </c>
      <c r="D1184" s="9">
        <v>41768</v>
      </c>
      <c r="E1184" s="5">
        <v>1340</v>
      </c>
      <c r="F1184">
        <f>VLOOKUP(A1184,paiments2[],3,FALSE)</f>
        <v>1340</v>
      </c>
      <c r="G1184" s="7"/>
    </row>
    <row r="1185" spans="1:7" x14ac:dyDescent="0.2">
      <c r="A1185" s="2">
        <v>11431</v>
      </c>
      <c r="B1185" s="3" t="s">
        <v>48</v>
      </c>
      <c r="C1185" s="3" t="s">
        <v>89</v>
      </c>
      <c r="D1185" s="9">
        <v>41769</v>
      </c>
      <c r="E1185" s="5">
        <v>382</v>
      </c>
      <c r="F1185">
        <f>VLOOKUP(A1185,paiments2[],3,FALSE)</f>
        <v>382</v>
      </c>
      <c r="G1185" s="7"/>
    </row>
    <row r="1186" spans="1:7" x14ac:dyDescent="0.2">
      <c r="A1186" s="2">
        <v>11432</v>
      </c>
      <c r="B1186" s="3" t="s">
        <v>5</v>
      </c>
      <c r="C1186" s="3" t="s">
        <v>97</v>
      </c>
      <c r="D1186" s="9">
        <v>41770</v>
      </c>
      <c r="E1186" s="5">
        <v>1480</v>
      </c>
      <c r="F1186">
        <f>VLOOKUP(A1186,paiments2[],3,FALSE)</f>
        <v>1480</v>
      </c>
      <c r="G1186" s="7"/>
    </row>
    <row r="1187" spans="1:7" x14ac:dyDescent="0.2">
      <c r="A1187" s="2">
        <v>11433</v>
      </c>
      <c r="B1187" s="3" t="s">
        <v>48</v>
      </c>
      <c r="C1187" s="3" t="s">
        <v>92</v>
      </c>
      <c r="D1187" s="9">
        <v>41770</v>
      </c>
      <c r="E1187" s="5">
        <v>260</v>
      </c>
      <c r="F1187">
        <f>VLOOKUP(A1187,paiments2[],3,FALSE)</f>
        <v>260</v>
      </c>
      <c r="G1187" s="7"/>
    </row>
    <row r="1188" spans="1:7" x14ac:dyDescent="0.2">
      <c r="A1188" s="2">
        <v>11434</v>
      </c>
      <c r="B1188" s="3" t="s">
        <v>25</v>
      </c>
      <c r="C1188" s="3" t="s">
        <v>94</v>
      </c>
      <c r="D1188" s="9">
        <v>41771</v>
      </c>
      <c r="E1188" s="5">
        <v>1077</v>
      </c>
      <c r="F1188">
        <f>VLOOKUP(A1188,paiments2[],3,FALSE)</f>
        <v>1077</v>
      </c>
      <c r="G1188" s="7"/>
    </row>
    <row r="1189" spans="1:7" x14ac:dyDescent="0.2">
      <c r="A1189" s="2">
        <v>11435</v>
      </c>
      <c r="B1189" s="3" t="s">
        <v>69</v>
      </c>
      <c r="C1189" s="3" t="s">
        <v>96</v>
      </c>
      <c r="D1189" s="9">
        <v>41771</v>
      </c>
      <c r="E1189" s="5">
        <v>1115</v>
      </c>
      <c r="F1189">
        <f>VLOOKUP(A1189,paiments2[],3,FALSE)</f>
        <v>1115</v>
      </c>
      <c r="G1189" s="7"/>
    </row>
    <row r="1190" spans="1:7" x14ac:dyDescent="0.2">
      <c r="A1190" s="2">
        <v>11436</v>
      </c>
      <c r="B1190" s="3" t="s">
        <v>80</v>
      </c>
      <c r="C1190" s="3" t="s">
        <v>90</v>
      </c>
      <c r="D1190" s="9">
        <v>41774</v>
      </c>
      <c r="E1190" s="5">
        <v>438</v>
      </c>
      <c r="F1190">
        <f>VLOOKUP(A1190,paiments2[],3,FALSE)</f>
        <v>438</v>
      </c>
      <c r="G1190" s="7"/>
    </row>
    <row r="1191" spans="1:7" x14ac:dyDescent="0.2">
      <c r="A1191" s="2">
        <v>11437</v>
      </c>
      <c r="B1191" s="3" t="s">
        <v>34</v>
      </c>
      <c r="C1191" s="3" t="s">
        <v>93</v>
      </c>
      <c r="D1191" s="9">
        <v>41775</v>
      </c>
      <c r="E1191" s="5">
        <v>740</v>
      </c>
      <c r="F1191">
        <f>VLOOKUP(A1191,paiments2[],3,FALSE)</f>
        <v>740</v>
      </c>
      <c r="G1191" s="7"/>
    </row>
    <row r="1192" spans="1:7" x14ac:dyDescent="0.2">
      <c r="A1192" s="2">
        <v>11438</v>
      </c>
      <c r="B1192" s="3" t="s">
        <v>0</v>
      </c>
      <c r="C1192" s="3" t="s">
        <v>96</v>
      </c>
      <c r="D1192" s="9">
        <v>41775</v>
      </c>
      <c r="E1192" s="5">
        <v>100</v>
      </c>
      <c r="F1192">
        <f>VLOOKUP(A1192,paiments2[],3,FALSE)</f>
        <v>100</v>
      </c>
      <c r="G1192" s="7"/>
    </row>
    <row r="1193" spans="1:7" x14ac:dyDescent="0.2">
      <c r="A1193" s="2">
        <v>11439</v>
      </c>
      <c r="B1193" s="3" t="s">
        <v>84</v>
      </c>
      <c r="C1193" s="3" t="s">
        <v>96</v>
      </c>
      <c r="D1193" s="9">
        <v>41776</v>
      </c>
      <c r="E1193" s="5">
        <v>39</v>
      </c>
      <c r="F1193">
        <f>VLOOKUP(A1193,paiments2[],3,FALSE)</f>
        <v>39</v>
      </c>
      <c r="G1193" s="7"/>
    </row>
    <row r="1194" spans="1:7" x14ac:dyDescent="0.2">
      <c r="A1194" s="2">
        <v>11440</v>
      </c>
      <c r="B1194" s="3" t="s">
        <v>0</v>
      </c>
      <c r="C1194" s="3" t="s">
        <v>92</v>
      </c>
      <c r="D1194" s="9">
        <v>41776</v>
      </c>
      <c r="E1194" s="5">
        <v>174</v>
      </c>
      <c r="F1194">
        <f>VLOOKUP(A1194,paiments2[],3,FALSE)</f>
        <v>174</v>
      </c>
      <c r="G1194" s="7"/>
    </row>
    <row r="1195" spans="1:7" x14ac:dyDescent="0.2">
      <c r="A1195" s="2">
        <v>11441</v>
      </c>
      <c r="B1195" s="3" t="s">
        <v>19</v>
      </c>
      <c r="C1195" s="3" t="s">
        <v>91</v>
      </c>
      <c r="D1195" s="9">
        <v>41777</v>
      </c>
      <c r="E1195" s="5">
        <v>1297</v>
      </c>
      <c r="F1195">
        <f>VLOOKUP(A1195,paiments2[],3,FALSE)</f>
        <v>1297</v>
      </c>
      <c r="G1195" s="7"/>
    </row>
    <row r="1196" spans="1:7" x14ac:dyDescent="0.2">
      <c r="A1196" s="2">
        <v>11442</v>
      </c>
      <c r="B1196" s="3" t="s">
        <v>55</v>
      </c>
      <c r="C1196" s="3" t="s">
        <v>91</v>
      </c>
      <c r="D1196" s="9">
        <v>41778</v>
      </c>
      <c r="E1196" s="5">
        <v>210</v>
      </c>
      <c r="F1196">
        <f>VLOOKUP(A1196,paiments2[],3,FALSE)</f>
        <v>210</v>
      </c>
      <c r="G1196" s="7"/>
    </row>
    <row r="1197" spans="1:7" x14ac:dyDescent="0.2">
      <c r="A1197" s="2">
        <v>11443</v>
      </c>
      <c r="B1197" s="3" t="s">
        <v>64</v>
      </c>
      <c r="C1197" s="3" t="s">
        <v>92</v>
      </c>
      <c r="D1197" s="9">
        <v>41778</v>
      </c>
      <c r="E1197" s="5">
        <v>2300</v>
      </c>
      <c r="F1197">
        <f>VLOOKUP(A1197,paiments2[],3,FALSE)</f>
        <v>2300</v>
      </c>
      <c r="G1197" s="7"/>
    </row>
    <row r="1198" spans="1:7" x14ac:dyDescent="0.2">
      <c r="A1198" s="2">
        <v>11444</v>
      </c>
      <c r="B1198" s="3" t="s">
        <v>55</v>
      </c>
      <c r="C1198" s="3" t="s">
        <v>94</v>
      </c>
      <c r="D1198" s="9">
        <v>41781</v>
      </c>
      <c r="E1198" s="5">
        <v>252</v>
      </c>
      <c r="F1198">
        <f>VLOOKUP(A1198,paiments2[],3,FALSE)</f>
        <v>252</v>
      </c>
      <c r="G1198" s="7"/>
    </row>
    <row r="1199" spans="1:7" x14ac:dyDescent="0.2">
      <c r="A1199" s="2">
        <v>11445</v>
      </c>
      <c r="B1199" s="3" t="s">
        <v>60</v>
      </c>
      <c r="C1199" s="3" t="s">
        <v>90</v>
      </c>
      <c r="D1199" s="9">
        <v>41781</v>
      </c>
      <c r="E1199" s="5">
        <v>700</v>
      </c>
      <c r="F1199">
        <f>VLOOKUP(A1199,paiments2[],3,FALSE)</f>
        <v>700</v>
      </c>
      <c r="G1199" s="7"/>
    </row>
    <row r="1200" spans="1:7" x14ac:dyDescent="0.2">
      <c r="A1200" s="2">
        <v>11446</v>
      </c>
      <c r="B1200" s="3" t="s">
        <v>21</v>
      </c>
      <c r="C1200" s="3" t="s">
        <v>93</v>
      </c>
      <c r="D1200" s="9">
        <v>41782</v>
      </c>
      <c r="E1200" s="5">
        <v>3379</v>
      </c>
      <c r="F1200">
        <f>VLOOKUP(A1200,paiments2[],3,FALSE)</f>
        <v>3379</v>
      </c>
      <c r="G1200" s="7"/>
    </row>
    <row r="1201" spans="1:7" x14ac:dyDescent="0.2">
      <c r="A1201" s="2">
        <v>11447</v>
      </c>
      <c r="B1201" s="3" t="s">
        <v>5</v>
      </c>
      <c r="C1201" s="3" t="s">
        <v>94</v>
      </c>
      <c r="D1201" s="9">
        <v>41783</v>
      </c>
      <c r="E1201" s="5">
        <v>1717</v>
      </c>
      <c r="F1201">
        <f>VLOOKUP(A1201,paiments2[],3,FALSE)</f>
        <v>1717</v>
      </c>
      <c r="G1201" s="7"/>
    </row>
    <row r="1202" spans="1:7" x14ac:dyDescent="0.2">
      <c r="A1202" s="2">
        <v>11448</v>
      </c>
      <c r="B1202" s="3" t="s">
        <v>54</v>
      </c>
      <c r="C1202" s="3" t="s">
        <v>90</v>
      </c>
      <c r="D1202" s="9">
        <v>41783</v>
      </c>
      <c r="E1202" s="5">
        <v>1424</v>
      </c>
      <c r="F1202">
        <f>VLOOKUP(A1202,paiments2[],3,FALSE)</f>
        <v>1424</v>
      </c>
      <c r="G1202" s="7"/>
    </row>
    <row r="1203" spans="1:7" x14ac:dyDescent="0.2">
      <c r="A1203" s="2">
        <v>11449</v>
      </c>
      <c r="B1203" s="3" t="s">
        <v>45</v>
      </c>
      <c r="C1203" s="3" t="s">
        <v>92</v>
      </c>
      <c r="D1203" s="9">
        <v>41784</v>
      </c>
      <c r="E1203" s="5">
        <v>1608</v>
      </c>
      <c r="F1203">
        <f>VLOOKUP(A1203,paiments2[],3,FALSE)</f>
        <v>1608</v>
      </c>
      <c r="G1203" s="7"/>
    </row>
    <row r="1204" spans="1:7" x14ac:dyDescent="0.2">
      <c r="A1204" s="2">
        <v>11450</v>
      </c>
      <c r="B1204" s="3" t="s">
        <v>42</v>
      </c>
      <c r="C1204" s="3" t="s">
        <v>91</v>
      </c>
      <c r="D1204" s="9">
        <v>41784</v>
      </c>
      <c r="E1204" s="5">
        <v>796</v>
      </c>
      <c r="F1204">
        <f>VLOOKUP(A1204,paiments2[],3,FALSE)</f>
        <v>796</v>
      </c>
      <c r="G1204" s="7"/>
    </row>
    <row r="1205" spans="1:7" x14ac:dyDescent="0.2">
      <c r="A1205" s="2">
        <v>11451</v>
      </c>
      <c r="B1205" s="3" t="s">
        <v>16</v>
      </c>
      <c r="C1205" s="3" t="s">
        <v>93</v>
      </c>
      <c r="D1205" s="9">
        <v>41785</v>
      </c>
      <c r="E1205" s="5">
        <v>1390</v>
      </c>
      <c r="F1205">
        <f>VLOOKUP(A1205,paiments2[],3,FALSE)</f>
        <v>1390</v>
      </c>
      <c r="G1205" s="7"/>
    </row>
    <row r="1206" spans="1:7" x14ac:dyDescent="0.2">
      <c r="A1206" s="2">
        <v>11452</v>
      </c>
      <c r="B1206" s="3" t="s">
        <v>6</v>
      </c>
      <c r="C1206" s="3" t="s">
        <v>92</v>
      </c>
      <c r="D1206" s="9">
        <v>41788</v>
      </c>
      <c r="E1206" s="5">
        <v>1251</v>
      </c>
      <c r="F1206">
        <f>VLOOKUP(A1206,paiments2[],3,FALSE)</f>
        <v>1251</v>
      </c>
      <c r="G1206" s="7"/>
    </row>
    <row r="1207" spans="1:7" x14ac:dyDescent="0.2">
      <c r="A1207" s="2">
        <v>11453</v>
      </c>
      <c r="B1207" s="3" t="s">
        <v>75</v>
      </c>
      <c r="C1207" s="3" t="s">
        <v>96</v>
      </c>
      <c r="D1207" s="9">
        <v>41788</v>
      </c>
      <c r="E1207" s="5">
        <v>185</v>
      </c>
      <c r="F1207">
        <f>VLOOKUP(A1207,paiments2[],3,FALSE)</f>
        <v>185</v>
      </c>
      <c r="G1207" s="7"/>
    </row>
    <row r="1208" spans="1:7" x14ac:dyDescent="0.2">
      <c r="A1208" s="2">
        <v>11454</v>
      </c>
      <c r="B1208" s="3" t="s">
        <v>68</v>
      </c>
      <c r="C1208" s="3" t="s">
        <v>92</v>
      </c>
      <c r="D1208" s="9">
        <v>41789</v>
      </c>
      <c r="E1208" s="5">
        <v>63</v>
      </c>
      <c r="F1208">
        <f>VLOOKUP(A1208,paiments2[],3,FALSE)</f>
        <v>63</v>
      </c>
      <c r="G1208" s="7"/>
    </row>
    <row r="1209" spans="1:7" x14ac:dyDescent="0.2">
      <c r="A1209" s="2">
        <v>11455</v>
      </c>
      <c r="B1209" s="3" t="s">
        <v>22</v>
      </c>
      <c r="C1209" s="3" t="s">
        <v>90</v>
      </c>
      <c r="D1209" s="9">
        <v>41789</v>
      </c>
      <c r="E1209" s="5">
        <v>42</v>
      </c>
      <c r="F1209">
        <f>VLOOKUP(A1209,paiments2[],3,FALSE)</f>
        <v>42</v>
      </c>
      <c r="G1209" s="7"/>
    </row>
    <row r="1210" spans="1:7" x14ac:dyDescent="0.2">
      <c r="A1210" s="2">
        <v>11456</v>
      </c>
      <c r="B1210" s="3" t="s">
        <v>48</v>
      </c>
      <c r="C1210" s="3" t="s">
        <v>91</v>
      </c>
      <c r="D1210" s="9">
        <v>41790</v>
      </c>
      <c r="E1210" s="5">
        <v>1921</v>
      </c>
      <c r="F1210">
        <f>VLOOKUP(A1210,paiments2[],3,FALSE)</f>
        <v>1921</v>
      </c>
      <c r="G1210" s="7"/>
    </row>
    <row r="1211" spans="1:7" x14ac:dyDescent="0.2">
      <c r="A1211" s="2">
        <v>11457</v>
      </c>
      <c r="B1211" s="3" t="s">
        <v>20</v>
      </c>
      <c r="C1211" s="3" t="s">
        <v>95</v>
      </c>
      <c r="D1211" s="9">
        <v>41791</v>
      </c>
      <c r="E1211" s="5">
        <v>1861</v>
      </c>
      <c r="F1211">
        <f>VLOOKUP(A1211,paiments2[],3,FALSE)</f>
        <v>1861</v>
      </c>
      <c r="G1211" s="7"/>
    </row>
    <row r="1212" spans="1:7" x14ac:dyDescent="0.2">
      <c r="A1212" s="2">
        <v>11458</v>
      </c>
      <c r="B1212" s="3" t="s">
        <v>45</v>
      </c>
      <c r="C1212" s="3" t="s">
        <v>90</v>
      </c>
      <c r="D1212" s="9">
        <v>41791</v>
      </c>
      <c r="E1212" s="5">
        <v>2297</v>
      </c>
      <c r="F1212">
        <f>VLOOKUP(A1212,paiments2[],3,FALSE)</f>
        <v>2297</v>
      </c>
      <c r="G1212" s="7"/>
    </row>
    <row r="1213" spans="1:7" x14ac:dyDescent="0.2">
      <c r="A1213" s="2">
        <v>11459</v>
      </c>
      <c r="B1213" s="3" t="s">
        <v>6</v>
      </c>
      <c r="C1213" s="3" t="s">
        <v>92</v>
      </c>
      <c r="D1213" s="9">
        <v>41792</v>
      </c>
      <c r="E1213" s="5">
        <v>1200</v>
      </c>
      <c r="F1213">
        <f>VLOOKUP(A1213,paiments2[],3,FALSE)</f>
        <v>1200</v>
      </c>
      <c r="G1213" s="7"/>
    </row>
    <row r="1214" spans="1:7" x14ac:dyDescent="0.2">
      <c r="A1214" s="2">
        <v>11460</v>
      </c>
      <c r="B1214" s="3" t="s">
        <v>39</v>
      </c>
      <c r="C1214" s="3" t="s">
        <v>92</v>
      </c>
      <c r="D1214" s="9">
        <v>41792</v>
      </c>
      <c r="E1214" s="5">
        <v>240</v>
      </c>
      <c r="F1214">
        <f>VLOOKUP(A1214,paiments2[],3,FALSE)</f>
        <v>240</v>
      </c>
      <c r="G1214" s="7"/>
    </row>
    <row r="1215" spans="1:7" x14ac:dyDescent="0.2">
      <c r="A1215" s="2">
        <v>11461</v>
      </c>
      <c r="B1215" s="3" t="s">
        <v>78</v>
      </c>
      <c r="C1215" s="3" t="s">
        <v>91</v>
      </c>
      <c r="D1215" s="9">
        <v>41795</v>
      </c>
      <c r="E1215" s="5">
        <v>2490</v>
      </c>
      <c r="F1215">
        <f>VLOOKUP(A1215,paiments2[],3,FALSE)</f>
        <v>2490</v>
      </c>
      <c r="G1215" s="7"/>
    </row>
    <row r="1216" spans="1:7" x14ac:dyDescent="0.2">
      <c r="A1216" s="2">
        <v>11462</v>
      </c>
      <c r="B1216" s="3" t="s">
        <v>13</v>
      </c>
      <c r="C1216" s="3" t="s">
        <v>89</v>
      </c>
      <c r="D1216" s="9">
        <v>41796</v>
      </c>
      <c r="E1216" s="5">
        <v>440</v>
      </c>
      <c r="F1216">
        <f>VLOOKUP(A1216,paiments2[],3,FALSE)</f>
        <v>440</v>
      </c>
      <c r="G1216" s="7"/>
    </row>
    <row r="1217" spans="1:7" x14ac:dyDescent="0.2">
      <c r="A1217" s="2">
        <v>11463</v>
      </c>
      <c r="B1217" s="3" t="s">
        <v>14</v>
      </c>
      <c r="C1217" s="3" t="s">
        <v>92</v>
      </c>
      <c r="D1217" s="9">
        <v>41796</v>
      </c>
      <c r="E1217" s="5">
        <v>3218</v>
      </c>
      <c r="F1217">
        <f>VLOOKUP(A1217,paiments2[],3,FALSE)</f>
        <v>3218</v>
      </c>
      <c r="G1217" s="7"/>
    </row>
    <row r="1218" spans="1:7" x14ac:dyDescent="0.2">
      <c r="A1218" s="2">
        <v>11464</v>
      </c>
      <c r="B1218" s="3" t="s">
        <v>66</v>
      </c>
      <c r="C1218" s="3" t="s">
        <v>92</v>
      </c>
      <c r="D1218" s="9">
        <v>41797</v>
      </c>
      <c r="E1218" s="5">
        <v>436</v>
      </c>
      <c r="F1218">
        <f>VLOOKUP(A1218,paiments2[],3,FALSE)</f>
        <v>436</v>
      </c>
      <c r="G1218" s="7"/>
    </row>
    <row r="1219" spans="1:7" x14ac:dyDescent="0.2">
      <c r="A1219" s="2">
        <v>11465</v>
      </c>
      <c r="B1219" s="3" t="s">
        <v>9</v>
      </c>
      <c r="C1219" s="3" t="s">
        <v>90</v>
      </c>
      <c r="D1219" s="9">
        <v>41797</v>
      </c>
      <c r="E1219" s="5">
        <v>1830</v>
      </c>
      <c r="F1219">
        <f>VLOOKUP(A1219,paiments2[],3,FALSE)</f>
        <v>1830</v>
      </c>
      <c r="G1219" s="7"/>
    </row>
    <row r="1220" spans="1:7" x14ac:dyDescent="0.2">
      <c r="A1220" s="2">
        <v>11466</v>
      </c>
      <c r="B1220" s="3" t="s">
        <v>21</v>
      </c>
      <c r="C1220" s="3" t="s">
        <v>92</v>
      </c>
      <c r="D1220" s="9">
        <v>41798</v>
      </c>
      <c r="E1220" s="5">
        <v>1280</v>
      </c>
      <c r="F1220">
        <f>VLOOKUP(A1220,paiments2[],3,FALSE)</f>
        <v>1280</v>
      </c>
      <c r="G1220" s="7"/>
    </row>
    <row r="1221" spans="1:7" x14ac:dyDescent="0.2">
      <c r="A1221" s="2">
        <v>11467</v>
      </c>
      <c r="B1221" s="3" t="s">
        <v>11</v>
      </c>
      <c r="C1221" s="3" t="s">
        <v>91</v>
      </c>
      <c r="D1221" s="9">
        <v>41799</v>
      </c>
      <c r="E1221" s="5">
        <v>1690</v>
      </c>
      <c r="F1221">
        <f>VLOOKUP(A1221,paiments2[],3,FALSE)</f>
        <v>1690</v>
      </c>
      <c r="G1221" s="7"/>
    </row>
    <row r="1222" spans="1:7" x14ac:dyDescent="0.2">
      <c r="A1222" s="2">
        <v>11468</v>
      </c>
      <c r="B1222" s="3" t="s">
        <v>4</v>
      </c>
      <c r="C1222" s="3" t="s">
        <v>91</v>
      </c>
      <c r="D1222" s="9">
        <v>41799</v>
      </c>
      <c r="E1222" s="5">
        <v>20</v>
      </c>
      <c r="F1222">
        <f>VLOOKUP(A1222,paiments2[],3,FALSE)</f>
        <v>20</v>
      </c>
      <c r="G1222" s="7"/>
    </row>
    <row r="1223" spans="1:7" x14ac:dyDescent="0.2">
      <c r="A1223" s="2">
        <v>11469</v>
      </c>
      <c r="B1223" s="3" t="s">
        <v>55</v>
      </c>
      <c r="C1223" s="3" t="s">
        <v>92</v>
      </c>
      <c r="D1223" s="9">
        <v>41802</v>
      </c>
      <c r="E1223" s="5">
        <v>1081</v>
      </c>
      <c r="F1223">
        <f>VLOOKUP(A1223,paiments2[],3,FALSE)</f>
        <v>1081</v>
      </c>
      <c r="G1223" s="7"/>
    </row>
    <row r="1224" spans="1:7" x14ac:dyDescent="0.2">
      <c r="A1224" s="2">
        <v>11470</v>
      </c>
      <c r="B1224" s="3" t="s">
        <v>60</v>
      </c>
      <c r="C1224" s="3" t="s">
        <v>92</v>
      </c>
      <c r="D1224" s="9">
        <v>41802</v>
      </c>
      <c r="E1224" s="5">
        <v>1260</v>
      </c>
      <c r="F1224">
        <f>VLOOKUP(A1224,paiments2[],3,FALSE)</f>
        <v>1260</v>
      </c>
      <c r="G1224" s="7"/>
    </row>
    <row r="1225" spans="1:7" x14ac:dyDescent="0.2">
      <c r="A1225" s="2">
        <v>11471</v>
      </c>
      <c r="B1225" s="3" t="s">
        <v>2</v>
      </c>
      <c r="C1225" s="3" t="s">
        <v>95</v>
      </c>
      <c r="D1225" s="9">
        <v>41803</v>
      </c>
      <c r="E1225" s="5">
        <v>240</v>
      </c>
      <c r="F1225">
        <f>VLOOKUP(A1225,paiments2[],3,FALSE)</f>
        <v>240</v>
      </c>
      <c r="G1225" s="7"/>
    </row>
    <row r="1226" spans="1:7" x14ac:dyDescent="0.2">
      <c r="A1226" s="2">
        <v>11472</v>
      </c>
      <c r="B1226" s="3" t="s">
        <v>9</v>
      </c>
      <c r="C1226" s="3" t="s">
        <v>93</v>
      </c>
      <c r="D1226" s="9">
        <v>41804</v>
      </c>
      <c r="E1226" s="5">
        <v>256</v>
      </c>
      <c r="F1226">
        <f>VLOOKUP(A1226,paiments2[],3,FALSE)</f>
        <v>256</v>
      </c>
      <c r="G1226" s="7"/>
    </row>
    <row r="1227" spans="1:7" x14ac:dyDescent="0.2">
      <c r="A1227" s="2">
        <v>11473</v>
      </c>
      <c r="B1227" s="3" t="s">
        <v>26</v>
      </c>
      <c r="C1227" s="3" t="s">
        <v>92</v>
      </c>
      <c r="D1227" s="9">
        <v>41804</v>
      </c>
      <c r="E1227" s="5">
        <v>2717</v>
      </c>
      <c r="F1227">
        <f>VLOOKUP(A1227,paiments2[],3,FALSE)</f>
        <v>2717</v>
      </c>
      <c r="G1227" s="7"/>
    </row>
    <row r="1228" spans="1:7" x14ac:dyDescent="0.2">
      <c r="A1228" s="2">
        <v>11474</v>
      </c>
      <c r="B1228" s="3" t="s">
        <v>9</v>
      </c>
      <c r="C1228" s="3" t="s">
        <v>94</v>
      </c>
      <c r="D1228" s="9">
        <v>41805</v>
      </c>
      <c r="E1228" s="5">
        <v>1622</v>
      </c>
      <c r="F1228">
        <f>VLOOKUP(A1228,paiments2[],3,FALSE)</f>
        <v>1622</v>
      </c>
      <c r="G1228" s="7"/>
    </row>
    <row r="1229" spans="1:7" x14ac:dyDescent="0.2">
      <c r="A1229" s="2">
        <v>11475</v>
      </c>
      <c r="B1229" s="3" t="s">
        <v>14</v>
      </c>
      <c r="C1229" s="3" t="s">
        <v>91</v>
      </c>
      <c r="D1229" s="9">
        <v>41805</v>
      </c>
      <c r="E1229" s="5">
        <v>618</v>
      </c>
      <c r="F1229">
        <f>VLOOKUP(A1229,paiments2[],3,FALSE)</f>
        <v>618</v>
      </c>
      <c r="G1229" s="7"/>
    </row>
    <row r="1230" spans="1:7" x14ac:dyDescent="0.2">
      <c r="A1230" s="2">
        <v>11476</v>
      </c>
      <c r="B1230" s="3" t="s">
        <v>82</v>
      </c>
      <c r="C1230" s="3" t="s">
        <v>97</v>
      </c>
      <c r="D1230" s="9">
        <v>41806</v>
      </c>
      <c r="E1230" s="5">
        <v>168</v>
      </c>
      <c r="F1230">
        <f>VLOOKUP(A1230,paiments2[],3,FALSE)</f>
        <v>168</v>
      </c>
      <c r="G1230" s="7"/>
    </row>
    <row r="1231" spans="1:7" x14ac:dyDescent="0.2">
      <c r="A1231" s="2">
        <v>11477</v>
      </c>
      <c r="B1231" s="3" t="s">
        <v>9</v>
      </c>
      <c r="C1231" s="3" t="s">
        <v>94</v>
      </c>
      <c r="D1231" s="9">
        <v>41809</v>
      </c>
      <c r="E1231" s="5">
        <v>5253</v>
      </c>
      <c r="F1231">
        <f>VLOOKUP(A1231,paiments2[],3,FALSE)</f>
        <v>5253</v>
      </c>
      <c r="G1231" s="7"/>
    </row>
    <row r="1232" spans="1:7" x14ac:dyDescent="0.2">
      <c r="A1232" s="2">
        <v>11478</v>
      </c>
      <c r="B1232" s="3" t="s">
        <v>69</v>
      </c>
      <c r="C1232" s="3" t="s">
        <v>97</v>
      </c>
      <c r="D1232" s="9">
        <v>41809</v>
      </c>
      <c r="E1232" s="5">
        <v>200</v>
      </c>
      <c r="F1232">
        <f>VLOOKUP(A1232,paiments2[],3,FALSE)</f>
        <v>200</v>
      </c>
      <c r="G1232" s="7"/>
    </row>
    <row r="1233" spans="1:7" x14ac:dyDescent="0.2">
      <c r="A1233" s="2">
        <v>11479</v>
      </c>
      <c r="B1233" s="3" t="s">
        <v>25</v>
      </c>
      <c r="C1233" s="3" t="s">
        <v>92</v>
      </c>
      <c r="D1233" s="9">
        <v>41810</v>
      </c>
      <c r="E1233" s="5">
        <v>70</v>
      </c>
      <c r="F1233">
        <f>VLOOKUP(A1233,paiments2[],3,FALSE)</f>
        <v>70</v>
      </c>
      <c r="G1233" s="7"/>
    </row>
    <row r="1234" spans="1:7" x14ac:dyDescent="0.2">
      <c r="A1234" s="2">
        <v>11480</v>
      </c>
      <c r="B1234" s="3" t="s">
        <v>24</v>
      </c>
      <c r="C1234" s="3" t="s">
        <v>92</v>
      </c>
      <c r="D1234" s="9">
        <v>41810</v>
      </c>
      <c r="E1234" s="5">
        <v>1000</v>
      </c>
      <c r="F1234">
        <f>VLOOKUP(A1234,paiments2[],3,FALSE)</f>
        <v>1000</v>
      </c>
      <c r="G1234" s="7"/>
    </row>
    <row r="1235" spans="1:7" x14ac:dyDescent="0.2">
      <c r="A1235" s="2">
        <v>11481</v>
      </c>
      <c r="B1235" s="3" t="s">
        <v>28</v>
      </c>
      <c r="C1235" s="3" t="s">
        <v>96</v>
      </c>
      <c r="D1235" s="9">
        <v>41810</v>
      </c>
      <c r="E1235" s="5">
        <v>520</v>
      </c>
      <c r="F1235">
        <f>VLOOKUP(A1235,paiments2[],3,FALSE)</f>
        <v>520</v>
      </c>
      <c r="G1235" s="7"/>
    </row>
    <row r="1236" spans="1:7" x14ac:dyDescent="0.2">
      <c r="A1236" s="2">
        <v>11482</v>
      </c>
      <c r="B1236" s="3" t="s">
        <v>16</v>
      </c>
      <c r="C1236" s="3" t="s">
        <v>96</v>
      </c>
      <c r="D1236" s="9">
        <v>41811</v>
      </c>
      <c r="E1236" s="5">
        <v>820</v>
      </c>
      <c r="F1236">
        <f>VLOOKUP(A1236,paiments2[],3,FALSE)</f>
        <v>820</v>
      </c>
      <c r="G1236" s="7"/>
    </row>
    <row r="1237" spans="1:7" x14ac:dyDescent="0.2">
      <c r="A1237" s="2">
        <v>11483</v>
      </c>
      <c r="B1237" s="3" t="s">
        <v>76</v>
      </c>
      <c r="C1237" s="3" t="s">
        <v>93</v>
      </c>
      <c r="D1237" s="9">
        <v>41811</v>
      </c>
      <c r="E1237" s="5">
        <v>9</v>
      </c>
      <c r="F1237">
        <f>VLOOKUP(A1237,paiments2[],3,FALSE)</f>
        <v>9</v>
      </c>
      <c r="G1237" s="7"/>
    </row>
    <row r="1238" spans="1:7" x14ac:dyDescent="0.2">
      <c r="A1238" s="2">
        <v>11484</v>
      </c>
      <c r="B1238" s="3" t="s">
        <v>2</v>
      </c>
      <c r="C1238" s="3" t="s">
        <v>91</v>
      </c>
      <c r="D1238" s="9">
        <v>41812</v>
      </c>
      <c r="E1238" s="5">
        <v>1090</v>
      </c>
      <c r="F1238">
        <f>VLOOKUP(A1238,paiments2[],3,FALSE)</f>
        <v>1090</v>
      </c>
      <c r="G1238" s="7"/>
    </row>
    <row r="1239" spans="1:7" x14ac:dyDescent="0.2">
      <c r="A1239" s="2">
        <v>11485</v>
      </c>
      <c r="B1239" s="3" t="s">
        <v>22</v>
      </c>
      <c r="C1239" s="3" t="s">
        <v>91</v>
      </c>
      <c r="D1239" s="9">
        <v>41812</v>
      </c>
      <c r="E1239" s="5">
        <v>1226</v>
      </c>
      <c r="F1239">
        <f>VLOOKUP(A1239,paiments2[],3,FALSE)</f>
        <v>1226</v>
      </c>
      <c r="G1239" s="7"/>
    </row>
    <row r="1240" spans="1:7" x14ac:dyDescent="0.2">
      <c r="A1240" s="2">
        <v>11486</v>
      </c>
      <c r="B1240" s="3" t="s">
        <v>18</v>
      </c>
      <c r="C1240" s="3" t="s">
        <v>94</v>
      </c>
      <c r="D1240" s="9">
        <v>41812</v>
      </c>
      <c r="E1240" s="5">
        <v>280</v>
      </c>
      <c r="F1240">
        <f>VLOOKUP(A1240,paiments2[],3,FALSE)</f>
        <v>280</v>
      </c>
      <c r="G1240" s="7"/>
    </row>
    <row r="1241" spans="1:7" x14ac:dyDescent="0.2">
      <c r="A1241" s="2">
        <v>11487</v>
      </c>
      <c r="B1241" s="3" t="s">
        <v>61</v>
      </c>
      <c r="C1241" s="3" t="s">
        <v>95</v>
      </c>
      <c r="D1241" s="9">
        <v>41813</v>
      </c>
      <c r="E1241" s="5">
        <v>1395</v>
      </c>
      <c r="F1241">
        <f>VLOOKUP(A1241,paiments2[],3,FALSE)</f>
        <v>1395</v>
      </c>
      <c r="G1241" s="7"/>
    </row>
    <row r="1242" spans="1:7" x14ac:dyDescent="0.2">
      <c r="A1242" s="2">
        <v>11488</v>
      </c>
      <c r="B1242" s="3" t="s">
        <v>53</v>
      </c>
      <c r="C1242" s="3" t="s">
        <v>96</v>
      </c>
      <c r="D1242" s="9">
        <v>41813</v>
      </c>
      <c r="E1242" s="5">
        <v>2090</v>
      </c>
      <c r="F1242">
        <f>VLOOKUP(A1242,paiments2[],3,FALSE)</f>
        <v>2090</v>
      </c>
      <c r="G1242" s="7"/>
    </row>
    <row r="1243" spans="1:7" x14ac:dyDescent="0.2">
      <c r="A1243" s="2">
        <v>11489</v>
      </c>
      <c r="B1243" s="3" t="s">
        <v>21</v>
      </c>
      <c r="C1243" s="3" t="s">
        <v>94</v>
      </c>
      <c r="D1243" s="9">
        <v>41816</v>
      </c>
      <c r="E1243" s="5">
        <v>550</v>
      </c>
      <c r="F1243">
        <f>VLOOKUP(A1243,paiments2[],3,FALSE)</f>
        <v>550</v>
      </c>
      <c r="G1243" s="7"/>
    </row>
    <row r="1244" spans="1:7" x14ac:dyDescent="0.2">
      <c r="A1244" s="2">
        <v>11490</v>
      </c>
      <c r="B1244" s="3" t="s">
        <v>66</v>
      </c>
      <c r="C1244" s="3" t="s">
        <v>94</v>
      </c>
      <c r="D1244" s="9">
        <v>41816</v>
      </c>
      <c r="E1244" s="5">
        <v>2757</v>
      </c>
      <c r="F1244">
        <f>VLOOKUP(A1244,paiments2[],3,FALSE)</f>
        <v>2757</v>
      </c>
      <c r="G1244" s="7"/>
    </row>
    <row r="1245" spans="1:7" x14ac:dyDescent="0.2">
      <c r="A1245" s="2">
        <v>11491</v>
      </c>
      <c r="B1245" s="3" t="s">
        <v>69</v>
      </c>
      <c r="C1245" s="3" t="s">
        <v>90</v>
      </c>
      <c r="D1245" s="9">
        <v>41816</v>
      </c>
      <c r="E1245" s="5">
        <v>626</v>
      </c>
      <c r="F1245">
        <f>VLOOKUP(A1245,paiments2[],3,FALSE)</f>
        <v>626</v>
      </c>
      <c r="G1245" s="7"/>
    </row>
    <row r="1246" spans="1:7" x14ac:dyDescent="0.2">
      <c r="A1246" s="2">
        <v>11492</v>
      </c>
      <c r="B1246" s="3" t="s">
        <v>17</v>
      </c>
      <c r="C1246" s="3" t="s">
        <v>90</v>
      </c>
      <c r="D1246" s="9">
        <v>41817</v>
      </c>
      <c r="E1246" s="5">
        <v>1456</v>
      </c>
      <c r="F1246">
        <f>VLOOKUP(A1246,paiments2[],3,FALSE)</f>
        <v>1456</v>
      </c>
      <c r="G1246" s="7"/>
    </row>
    <row r="1247" spans="1:7" x14ac:dyDescent="0.2">
      <c r="A1247" s="2">
        <v>11493</v>
      </c>
      <c r="B1247" s="3" t="s">
        <v>99</v>
      </c>
      <c r="C1247" s="3" t="s">
        <v>94</v>
      </c>
      <c r="D1247" s="9">
        <v>41817</v>
      </c>
      <c r="E1247" s="5">
        <v>290</v>
      </c>
      <c r="F1247">
        <f>VLOOKUP(A1247,paiments2[],3,FALSE)</f>
        <v>290</v>
      </c>
      <c r="G1247" s="7"/>
    </row>
    <row r="1248" spans="1:7" x14ac:dyDescent="0.2">
      <c r="A1248" s="2">
        <v>11494</v>
      </c>
      <c r="B1248" s="3" t="s">
        <v>55</v>
      </c>
      <c r="C1248" s="3" t="s">
        <v>92</v>
      </c>
      <c r="D1248" s="9">
        <v>41818</v>
      </c>
      <c r="E1248" s="5">
        <v>138</v>
      </c>
      <c r="F1248">
        <f>VLOOKUP(A1248,paiments2[],3,FALSE)</f>
        <v>138</v>
      </c>
      <c r="G1248" s="7"/>
    </row>
    <row r="1249" spans="1:7" x14ac:dyDescent="0.2">
      <c r="A1249" s="2">
        <v>11495</v>
      </c>
      <c r="B1249" s="3" t="s">
        <v>12</v>
      </c>
      <c r="C1249" s="3" t="s">
        <v>90</v>
      </c>
      <c r="D1249" s="9">
        <v>41818</v>
      </c>
      <c r="E1249" s="5">
        <v>285</v>
      </c>
      <c r="F1249">
        <f>VLOOKUP(A1249,paiments2[],3,FALSE)</f>
        <v>285</v>
      </c>
      <c r="G1249" s="7"/>
    </row>
    <row r="1250" spans="1:7" x14ac:dyDescent="0.2">
      <c r="A1250" s="2">
        <v>11496</v>
      </c>
      <c r="B1250" s="3" t="s">
        <v>9</v>
      </c>
      <c r="C1250" s="3" t="s">
        <v>95</v>
      </c>
      <c r="D1250" s="9">
        <v>41818</v>
      </c>
      <c r="E1250" s="5">
        <v>1860</v>
      </c>
      <c r="F1250">
        <f>VLOOKUP(A1250,paiments2[],3,FALSE)</f>
        <v>1860</v>
      </c>
      <c r="G1250" s="7"/>
    </row>
    <row r="1251" spans="1:7" x14ac:dyDescent="0.2">
      <c r="A1251" s="2">
        <v>11497</v>
      </c>
      <c r="B1251" s="3" t="s">
        <v>8</v>
      </c>
      <c r="C1251" s="3" t="s">
        <v>92</v>
      </c>
      <c r="D1251" s="9">
        <v>41819</v>
      </c>
      <c r="E1251" s="5">
        <v>2146</v>
      </c>
      <c r="F1251">
        <f>VLOOKUP(A1251,paiments2[],3,FALSE)</f>
        <v>2146</v>
      </c>
      <c r="G1251" s="7"/>
    </row>
    <row r="1252" spans="1:7" x14ac:dyDescent="0.2">
      <c r="A1252" s="2">
        <v>11498</v>
      </c>
      <c r="B1252" s="3" t="s">
        <v>57</v>
      </c>
      <c r="C1252" s="3" t="s">
        <v>97</v>
      </c>
      <c r="D1252" s="9">
        <v>41819</v>
      </c>
      <c r="E1252" s="5">
        <v>320</v>
      </c>
      <c r="F1252">
        <f>VLOOKUP(A1252,paiments2[],3,FALSE)</f>
        <v>320</v>
      </c>
      <c r="G1252" s="7"/>
    </row>
    <row r="1253" spans="1:7" x14ac:dyDescent="0.2">
      <c r="A1253" s="2">
        <v>11499</v>
      </c>
      <c r="B1253" s="3" t="s">
        <v>42</v>
      </c>
      <c r="C1253" s="3" t="s">
        <v>96</v>
      </c>
      <c r="D1253" s="9">
        <v>41820</v>
      </c>
      <c r="E1253" s="5">
        <v>334</v>
      </c>
      <c r="F1253">
        <f>VLOOKUP(A1253,paiments2[],3,FALSE)</f>
        <v>334</v>
      </c>
      <c r="G1253" s="7"/>
    </row>
    <row r="1254" spans="1:7" x14ac:dyDescent="0.2">
      <c r="A1254" s="2">
        <v>11500</v>
      </c>
      <c r="B1254" s="3" t="s">
        <v>44</v>
      </c>
      <c r="C1254" s="3" t="s">
        <v>93</v>
      </c>
      <c r="D1254" s="9">
        <v>41820</v>
      </c>
      <c r="E1254" s="5">
        <v>1165</v>
      </c>
      <c r="F1254">
        <f>VLOOKUP(A1254,paiments2[],3,FALSE)</f>
        <v>1165</v>
      </c>
      <c r="G1254" s="7"/>
    </row>
    <row r="1255" spans="1:7" x14ac:dyDescent="0.2">
      <c r="A1255" s="2">
        <v>11501</v>
      </c>
      <c r="B1255" s="3" t="s">
        <v>56</v>
      </c>
      <c r="C1255" s="3" t="s">
        <v>94</v>
      </c>
      <c r="D1255" s="9">
        <v>41820</v>
      </c>
      <c r="E1255" s="5">
        <v>1235</v>
      </c>
      <c r="F1255">
        <f>VLOOKUP(A1255,paiments2[],3,FALSE)</f>
        <v>1235</v>
      </c>
      <c r="G1255" s="7"/>
    </row>
    <row r="1256" spans="1:7" x14ac:dyDescent="0.2">
      <c r="A1256" s="2">
        <v>11502</v>
      </c>
      <c r="B1256" s="3" t="s">
        <v>46</v>
      </c>
      <c r="C1256" s="3" t="s">
        <v>91</v>
      </c>
      <c r="D1256" s="9">
        <v>41823</v>
      </c>
      <c r="E1256" s="5">
        <v>3040</v>
      </c>
      <c r="F1256">
        <f>VLOOKUP(A1256,paiments2[],3,FALSE)</f>
        <v>3040</v>
      </c>
      <c r="G1256" s="7"/>
    </row>
    <row r="1257" spans="1:7" x14ac:dyDescent="0.2">
      <c r="A1257" s="2">
        <v>11503</v>
      </c>
      <c r="B1257" s="3" t="s">
        <v>51</v>
      </c>
      <c r="C1257" s="3" t="s">
        <v>91</v>
      </c>
      <c r="D1257" s="9">
        <v>41823</v>
      </c>
      <c r="E1257" s="5">
        <v>2940</v>
      </c>
      <c r="F1257">
        <f>VLOOKUP(A1257,paiments2[],3,FALSE)</f>
        <v>2940</v>
      </c>
      <c r="G1257" s="7"/>
    </row>
    <row r="1258" spans="1:7" x14ac:dyDescent="0.2">
      <c r="A1258" s="2">
        <v>11504</v>
      </c>
      <c r="B1258" s="3" t="s">
        <v>7</v>
      </c>
      <c r="C1258" s="3" t="s">
        <v>91</v>
      </c>
      <c r="D1258" s="9">
        <v>41824</v>
      </c>
      <c r="E1258" s="5">
        <v>933</v>
      </c>
      <c r="F1258">
        <f>VLOOKUP(A1258,paiments2[],3,FALSE)</f>
        <v>933</v>
      </c>
      <c r="G1258" s="7"/>
    </row>
    <row r="1259" spans="1:7" x14ac:dyDescent="0.2">
      <c r="A1259" s="2">
        <v>11505</v>
      </c>
      <c r="B1259" s="3" t="s">
        <v>56</v>
      </c>
      <c r="C1259" s="3" t="s">
        <v>90</v>
      </c>
      <c r="D1259" s="9">
        <v>41824</v>
      </c>
      <c r="E1259" s="5">
        <v>1704</v>
      </c>
      <c r="F1259">
        <f>VLOOKUP(A1259,paiments2[],3,FALSE)</f>
        <v>1704</v>
      </c>
      <c r="G1259" s="7"/>
    </row>
    <row r="1260" spans="1:7" x14ac:dyDescent="0.2">
      <c r="A1260" s="2">
        <v>11506</v>
      </c>
      <c r="B1260" s="3" t="s">
        <v>40</v>
      </c>
      <c r="C1260" s="3" t="s">
        <v>96</v>
      </c>
      <c r="D1260" s="9">
        <v>41824</v>
      </c>
      <c r="E1260" s="5">
        <v>2100</v>
      </c>
      <c r="F1260">
        <f>VLOOKUP(A1260,paiments2[],3,FALSE)</f>
        <v>2100</v>
      </c>
      <c r="G1260" s="7"/>
    </row>
    <row r="1261" spans="1:7" x14ac:dyDescent="0.2">
      <c r="A1261" s="2">
        <v>11507</v>
      </c>
      <c r="B1261" s="3" t="s">
        <v>3</v>
      </c>
      <c r="C1261" s="3" t="s">
        <v>92</v>
      </c>
      <c r="D1261" s="9">
        <v>41825</v>
      </c>
      <c r="E1261" s="5">
        <v>417</v>
      </c>
      <c r="F1261">
        <f>VLOOKUP(A1261,paiments2[],3,FALSE)</f>
        <v>417</v>
      </c>
      <c r="G1261" s="7"/>
    </row>
    <row r="1262" spans="1:7" x14ac:dyDescent="0.2">
      <c r="A1262" s="2">
        <v>11508</v>
      </c>
      <c r="B1262" s="3" t="s">
        <v>68</v>
      </c>
      <c r="C1262" s="3" t="s">
        <v>91</v>
      </c>
      <c r="D1262" s="9">
        <v>41825</v>
      </c>
      <c r="E1262" s="5">
        <v>14</v>
      </c>
      <c r="F1262">
        <f>VLOOKUP(A1262,paiments2[],3,FALSE)</f>
        <v>14</v>
      </c>
      <c r="G1262" s="7"/>
    </row>
    <row r="1263" spans="1:7" x14ac:dyDescent="0.2">
      <c r="A1263" s="2">
        <v>11509</v>
      </c>
      <c r="B1263" s="3" t="s">
        <v>37</v>
      </c>
      <c r="C1263" s="3" t="s">
        <v>96</v>
      </c>
      <c r="D1263" s="9">
        <v>41826</v>
      </c>
      <c r="E1263" s="5">
        <v>1210</v>
      </c>
      <c r="F1263">
        <f>VLOOKUP(A1263,paiments2[],3,FALSE)</f>
        <v>1210</v>
      </c>
      <c r="G1263" s="7"/>
    </row>
    <row r="1264" spans="1:7" x14ac:dyDescent="0.2">
      <c r="A1264" s="2">
        <v>11510</v>
      </c>
      <c r="B1264" s="3" t="s">
        <v>7</v>
      </c>
      <c r="C1264" s="3" t="s">
        <v>97</v>
      </c>
      <c r="D1264" s="9">
        <v>41826</v>
      </c>
      <c r="E1264" s="5">
        <v>100</v>
      </c>
      <c r="F1264">
        <f>VLOOKUP(A1264,paiments2[],3,FALSE)</f>
        <v>100</v>
      </c>
      <c r="G1264" s="7"/>
    </row>
    <row r="1265" spans="1:7" x14ac:dyDescent="0.2">
      <c r="A1265" s="2">
        <v>11511</v>
      </c>
      <c r="B1265" s="3" t="s">
        <v>73</v>
      </c>
      <c r="C1265" s="3" t="s">
        <v>96</v>
      </c>
      <c r="D1265" s="9">
        <v>41826</v>
      </c>
      <c r="E1265" s="5">
        <v>133</v>
      </c>
      <c r="F1265">
        <f>VLOOKUP(A1265,paiments2[],3,FALSE)</f>
        <v>133</v>
      </c>
      <c r="G1265" s="7"/>
    </row>
    <row r="1266" spans="1:7" x14ac:dyDescent="0.2">
      <c r="A1266" s="2">
        <v>11512</v>
      </c>
      <c r="B1266" s="3" t="s">
        <v>65</v>
      </c>
      <c r="C1266" s="3" t="s">
        <v>95</v>
      </c>
      <c r="D1266" s="9">
        <v>41827</v>
      </c>
      <c r="E1266" s="5">
        <v>633</v>
      </c>
      <c r="F1266">
        <f>VLOOKUP(A1266,paiments2[],3,FALSE)</f>
        <v>633</v>
      </c>
      <c r="G1266" s="7"/>
    </row>
    <row r="1267" spans="1:7" x14ac:dyDescent="0.2">
      <c r="A1267" s="2">
        <v>11513</v>
      </c>
      <c r="B1267" s="3" t="s">
        <v>30</v>
      </c>
      <c r="C1267" s="3" t="s">
        <v>89</v>
      </c>
      <c r="D1267" s="9">
        <v>41827</v>
      </c>
      <c r="E1267" s="5">
        <v>1364</v>
      </c>
      <c r="F1267">
        <f>VLOOKUP(A1267,paiments2[],3,FALSE)</f>
        <v>1364</v>
      </c>
      <c r="G1267" s="7"/>
    </row>
    <row r="1268" spans="1:7" x14ac:dyDescent="0.2">
      <c r="A1268" s="2">
        <v>11514</v>
      </c>
      <c r="B1268" s="3" t="s">
        <v>29</v>
      </c>
      <c r="C1268" s="3" t="s">
        <v>94</v>
      </c>
      <c r="D1268" s="9">
        <v>41830</v>
      </c>
      <c r="E1268" s="5">
        <v>483</v>
      </c>
      <c r="F1268">
        <f>VLOOKUP(A1268,paiments2[],3,FALSE)</f>
        <v>483</v>
      </c>
      <c r="G1268" s="7"/>
    </row>
    <row r="1269" spans="1:7" x14ac:dyDescent="0.2">
      <c r="A1269" s="2">
        <v>11515</v>
      </c>
      <c r="B1269" s="3" t="s">
        <v>3</v>
      </c>
      <c r="C1269" s="3" t="s">
        <v>92</v>
      </c>
      <c r="D1269" s="9">
        <v>41830</v>
      </c>
      <c r="E1269" s="5">
        <v>1542</v>
      </c>
      <c r="F1269">
        <f>VLOOKUP(A1269,paiments2[],3,FALSE)</f>
        <v>1542</v>
      </c>
      <c r="G1269" s="7"/>
    </row>
    <row r="1270" spans="1:7" x14ac:dyDescent="0.2">
      <c r="A1270" s="2">
        <v>11516</v>
      </c>
      <c r="B1270" s="3" t="s">
        <v>45</v>
      </c>
      <c r="C1270" s="3" t="s">
        <v>96</v>
      </c>
      <c r="D1270" s="9">
        <v>41830</v>
      </c>
      <c r="E1270" s="5">
        <v>16</v>
      </c>
      <c r="F1270">
        <f>VLOOKUP(A1270,paiments2[],3,FALSE)</f>
        <v>16</v>
      </c>
      <c r="G1270" s="7"/>
    </row>
    <row r="1271" spans="1:7" x14ac:dyDescent="0.2">
      <c r="A1271" s="2">
        <v>11517</v>
      </c>
      <c r="B1271" s="3" t="s">
        <v>77</v>
      </c>
      <c r="C1271" s="3" t="s">
        <v>91</v>
      </c>
      <c r="D1271" s="9">
        <v>41831</v>
      </c>
      <c r="E1271" s="5">
        <v>6740</v>
      </c>
      <c r="F1271">
        <f>VLOOKUP(A1271,paiments2[],3,FALSE)</f>
        <v>6740</v>
      </c>
      <c r="G1271" s="7"/>
    </row>
    <row r="1272" spans="1:7" x14ac:dyDescent="0.2">
      <c r="A1272" s="2">
        <v>11518</v>
      </c>
      <c r="B1272" s="3" t="s">
        <v>44</v>
      </c>
      <c r="C1272" s="3" t="s">
        <v>92</v>
      </c>
      <c r="D1272" s="9">
        <v>41831</v>
      </c>
      <c r="E1272" s="5">
        <v>8685</v>
      </c>
      <c r="F1272">
        <f>VLOOKUP(A1272,paiments2[],3,FALSE)</f>
        <v>8685</v>
      </c>
      <c r="G1272" s="7"/>
    </row>
    <row r="1273" spans="1:7" x14ac:dyDescent="0.2">
      <c r="A1273" s="2">
        <v>11519</v>
      </c>
      <c r="B1273" s="3" t="s">
        <v>22</v>
      </c>
      <c r="C1273" s="3" t="s">
        <v>97</v>
      </c>
      <c r="D1273" s="9">
        <v>41832</v>
      </c>
      <c r="E1273" s="5">
        <v>620</v>
      </c>
      <c r="F1273">
        <f>VLOOKUP(A1273,paiments2[],3,FALSE)</f>
        <v>620</v>
      </c>
      <c r="G1273" s="7"/>
    </row>
    <row r="1274" spans="1:7" x14ac:dyDescent="0.2">
      <c r="A1274" s="2">
        <v>11520</v>
      </c>
      <c r="B1274" s="3" t="s">
        <v>76</v>
      </c>
      <c r="C1274" s="3" t="s">
        <v>96</v>
      </c>
      <c r="D1274" s="9">
        <v>41832</v>
      </c>
      <c r="E1274" s="5">
        <v>345</v>
      </c>
      <c r="F1274">
        <f>VLOOKUP(A1274,paiments2[],3,FALSE)</f>
        <v>345</v>
      </c>
      <c r="G1274" s="7"/>
    </row>
    <row r="1275" spans="1:7" x14ac:dyDescent="0.2">
      <c r="A1275" s="2">
        <v>11521</v>
      </c>
      <c r="B1275" s="3" t="s">
        <v>13</v>
      </c>
      <c r="C1275" s="3" t="s">
        <v>92</v>
      </c>
      <c r="D1275" s="9">
        <v>41832</v>
      </c>
      <c r="E1275" s="5">
        <v>840</v>
      </c>
      <c r="F1275">
        <f>VLOOKUP(A1275,paiments2[],3,FALSE)</f>
        <v>840</v>
      </c>
      <c r="G1275" s="7"/>
    </row>
    <row r="1276" spans="1:7" x14ac:dyDescent="0.2">
      <c r="A1276" s="2">
        <v>11522</v>
      </c>
      <c r="B1276" s="3" t="s">
        <v>20</v>
      </c>
      <c r="C1276" s="3" t="s">
        <v>94</v>
      </c>
      <c r="D1276" s="9">
        <v>41833</v>
      </c>
      <c r="E1276" s="5">
        <v>500</v>
      </c>
      <c r="F1276">
        <f>VLOOKUP(A1276,paiments2[],3,FALSE)</f>
        <v>500</v>
      </c>
      <c r="G1276" s="7"/>
    </row>
    <row r="1277" spans="1:7" x14ac:dyDescent="0.2">
      <c r="A1277" s="2">
        <v>11523</v>
      </c>
      <c r="B1277" s="3" t="s">
        <v>79</v>
      </c>
      <c r="C1277" s="3" t="s">
        <v>90</v>
      </c>
      <c r="D1277" s="9">
        <v>41833</v>
      </c>
      <c r="E1277" s="5">
        <v>177</v>
      </c>
      <c r="F1277">
        <f>VLOOKUP(A1277,paiments2[],3,FALSE)</f>
        <v>177</v>
      </c>
      <c r="G1277" s="7"/>
    </row>
    <row r="1278" spans="1:7" x14ac:dyDescent="0.2">
      <c r="A1278" s="2">
        <v>11524</v>
      </c>
      <c r="B1278" s="3" t="s">
        <v>28</v>
      </c>
      <c r="C1278" s="3" t="s">
        <v>89</v>
      </c>
      <c r="D1278" s="9">
        <v>41834</v>
      </c>
      <c r="E1278" s="5">
        <v>2305</v>
      </c>
      <c r="F1278">
        <f>VLOOKUP(A1278,paiments2[],3,FALSE)</f>
        <v>2305</v>
      </c>
      <c r="G1278" s="7"/>
    </row>
    <row r="1279" spans="1:7" x14ac:dyDescent="0.2">
      <c r="A1279" s="2">
        <v>11525</v>
      </c>
      <c r="B1279" s="3" t="s">
        <v>14</v>
      </c>
      <c r="C1279" s="3" t="s">
        <v>95</v>
      </c>
      <c r="D1279" s="9">
        <v>41834</v>
      </c>
      <c r="E1279" s="5">
        <v>183</v>
      </c>
      <c r="F1279">
        <f>VLOOKUP(A1279,paiments2[],3,FALSE)</f>
        <v>183</v>
      </c>
      <c r="G1279" s="7"/>
    </row>
    <row r="1280" spans="1:7" x14ac:dyDescent="0.2">
      <c r="A1280" s="2">
        <v>11526</v>
      </c>
      <c r="B1280" s="3" t="s">
        <v>57</v>
      </c>
      <c r="C1280" s="3" t="s">
        <v>94</v>
      </c>
      <c r="D1280" s="9">
        <v>41834</v>
      </c>
      <c r="E1280" s="5">
        <v>776</v>
      </c>
      <c r="F1280">
        <f>VLOOKUP(A1280,paiments2[],3,FALSE)</f>
        <v>776</v>
      </c>
      <c r="G1280" s="7"/>
    </row>
    <row r="1281" spans="1:7" x14ac:dyDescent="0.2">
      <c r="A1281" s="2">
        <v>11527</v>
      </c>
      <c r="B1281" s="3" t="s">
        <v>15</v>
      </c>
      <c r="C1281" s="3" t="s">
        <v>90</v>
      </c>
      <c r="D1281" s="9">
        <v>41837</v>
      </c>
      <c r="E1281" s="5">
        <v>525</v>
      </c>
      <c r="F1281">
        <f>VLOOKUP(A1281,paiments2[],3,FALSE)</f>
        <v>525</v>
      </c>
      <c r="G1281" s="7"/>
    </row>
    <row r="1282" spans="1:7" x14ac:dyDescent="0.2">
      <c r="A1282" s="2">
        <v>11528</v>
      </c>
      <c r="B1282" s="3" t="s">
        <v>48</v>
      </c>
      <c r="C1282" s="3" t="s">
        <v>94</v>
      </c>
      <c r="D1282" s="9">
        <v>41837</v>
      </c>
      <c r="E1282" s="5">
        <v>618</v>
      </c>
      <c r="F1282">
        <f>VLOOKUP(A1282,paiments2[],3,FALSE)</f>
        <v>618</v>
      </c>
      <c r="G1282" s="7"/>
    </row>
    <row r="1283" spans="1:7" x14ac:dyDescent="0.2">
      <c r="A1283" s="2">
        <v>11529</v>
      </c>
      <c r="B1283" s="3" t="s">
        <v>71</v>
      </c>
      <c r="C1283" s="3" t="s">
        <v>93</v>
      </c>
      <c r="D1283" s="9">
        <v>41838</v>
      </c>
      <c r="E1283" s="5">
        <v>705</v>
      </c>
      <c r="F1283">
        <f>VLOOKUP(A1283,paiments2[],3,FALSE)</f>
        <v>705</v>
      </c>
      <c r="G1283" s="7"/>
    </row>
    <row r="1284" spans="1:7" x14ac:dyDescent="0.2">
      <c r="A1284" s="2">
        <v>11530</v>
      </c>
      <c r="B1284" s="3" t="s">
        <v>42</v>
      </c>
      <c r="C1284" s="3" t="s">
        <v>93</v>
      </c>
      <c r="D1284" s="9">
        <v>41838</v>
      </c>
      <c r="E1284" s="5">
        <v>1305</v>
      </c>
      <c r="F1284">
        <f>VLOOKUP(A1284,paiments2[],3,FALSE)</f>
        <v>1305</v>
      </c>
      <c r="G1284" s="7"/>
    </row>
    <row r="1285" spans="1:7" x14ac:dyDescent="0.2">
      <c r="A1285" s="2">
        <v>11531</v>
      </c>
      <c r="B1285" s="3" t="s">
        <v>33</v>
      </c>
      <c r="C1285" s="3" t="s">
        <v>91</v>
      </c>
      <c r="D1285" s="9">
        <v>41838</v>
      </c>
      <c r="E1285" s="5">
        <v>1444</v>
      </c>
      <c r="F1285">
        <f>VLOOKUP(A1285,paiments2[],3,FALSE)</f>
        <v>1444</v>
      </c>
      <c r="G1285" s="7"/>
    </row>
    <row r="1286" spans="1:7" x14ac:dyDescent="0.2">
      <c r="A1286" s="2">
        <v>11532</v>
      </c>
      <c r="B1286" s="3" t="s">
        <v>63</v>
      </c>
      <c r="C1286" s="3" t="s">
        <v>92</v>
      </c>
      <c r="D1286" s="9">
        <v>41839</v>
      </c>
      <c r="E1286" s="5">
        <v>2033</v>
      </c>
      <c r="F1286">
        <f>VLOOKUP(A1286,paiments2[],3,FALSE)</f>
        <v>2033</v>
      </c>
      <c r="G1286" s="7"/>
    </row>
    <row r="1287" spans="1:7" x14ac:dyDescent="0.2">
      <c r="A1287" s="2">
        <v>11533</v>
      </c>
      <c r="B1287" s="3" t="s">
        <v>53</v>
      </c>
      <c r="C1287" s="3" t="s">
        <v>96</v>
      </c>
      <c r="D1287" s="9">
        <v>41839</v>
      </c>
      <c r="E1287" s="5">
        <v>411</v>
      </c>
      <c r="F1287">
        <f>VLOOKUP(A1287,paiments2[],3,FALSE)</f>
        <v>411</v>
      </c>
      <c r="G1287" s="7"/>
    </row>
    <row r="1288" spans="1:7" x14ac:dyDescent="0.2">
      <c r="A1288" s="2">
        <v>11534</v>
      </c>
      <c r="B1288" s="3" t="s">
        <v>11</v>
      </c>
      <c r="C1288" s="3" t="s">
        <v>90</v>
      </c>
      <c r="D1288" s="9">
        <v>41840</v>
      </c>
      <c r="E1288" s="5">
        <v>746</v>
      </c>
      <c r="F1288">
        <f>VLOOKUP(A1288,paiments2[],3,FALSE)</f>
        <v>746</v>
      </c>
      <c r="G1288" s="7"/>
    </row>
    <row r="1289" spans="1:7" x14ac:dyDescent="0.2">
      <c r="A1289" s="2">
        <v>11535</v>
      </c>
      <c r="B1289" s="3" t="s">
        <v>33</v>
      </c>
      <c r="C1289" s="3" t="s">
        <v>94</v>
      </c>
      <c r="D1289" s="9">
        <v>41840</v>
      </c>
      <c r="E1289" s="5">
        <v>1132</v>
      </c>
      <c r="F1289">
        <f>VLOOKUP(A1289,paiments2[],3,FALSE)</f>
        <v>1132</v>
      </c>
      <c r="G1289" s="7"/>
    </row>
    <row r="1290" spans="1:7" x14ac:dyDescent="0.2">
      <c r="A1290" s="2">
        <v>11536</v>
      </c>
      <c r="B1290" s="3" t="s">
        <v>100</v>
      </c>
      <c r="C1290" s="3" t="s">
        <v>94</v>
      </c>
      <c r="D1290" s="9">
        <v>41840</v>
      </c>
      <c r="E1290" s="5">
        <v>633</v>
      </c>
      <c r="F1290">
        <f>VLOOKUP(A1290,paiments2[],3,FALSE)</f>
        <v>633</v>
      </c>
      <c r="G1290" s="7"/>
    </row>
    <row r="1291" spans="1:7" x14ac:dyDescent="0.2">
      <c r="A1291" s="2">
        <v>11537</v>
      </c>
      <c r="B1291" s="3" t="s">
        <v>9</v>
      </c>
      <c r="C1291" s="3" t="s">
        <v>97</v>
      </c>
      <c r="D1291" s="9">
        <v>41841</v>
      </c>
      <c r="E1291" s="5">
        <v>3496</v>
      </c>
      <c r="F1291">
        <f>VLOOKUP(A1291,paiments2[],3,FALSE)</f>
        <v>3496</v>
      </c>
      <c r="G1291" s="7"/>
    </row>
    <row r="1292" spans="1:7" x14ac:dyDescent="0.2">
      <c r="A1292" s="2">
        <v>11538</v>
      </c>
      <c r="B1292" s="3" t="s">
        <v>25</v>
      </c>
      <c r="C1292" s="3" t="s">
        <v>93</v>
      </c>
      <c r="D1292" s="9">
        <v>41841</v>
      </c>
      <c r="E1292" s="5">
        <v>927</v>
      </c>
      <c r="F1292">
        <f>VLOOKUP(A1292,paiments2[],3,FALSE)</f>
        <v>927</v>
      </c>
      <c r="G1292" s="7"/>
    </row>
    <row r="1293" spans="1:7" x14ac:dyDescent="0.2">
      <c r="A1293" s="2">
        <v>11539</v>
      </c>
      <c r="B1293" s="3" t="s">
        <v>65</v>
      </c>
      <c r="C1293" s="3" t="s">
        <v>92</v>
      </c>
      <c r="D1293" s="9">
        <v>41844</v>
      </c>
      <c r="E1293" s="5">
        <v>1927</v>
      </c>
      <c r="F1293">
        <f>VLOOKUP(A1293,paiments2[],3,FALSE)</f>
        <v>1927</v>
      </c>
      <c r="G1293" s="7"/>
    </row>
    <row r="1294" spans="1:7" x14ac:dyDescent="0.2">
      <c r="A1294" s="2">
        <v>11540</v>
      </c>
      <c r="B1294" s="3" t="s">
        <v>33</v>
      </c>
      <c r="C1294" s="3" t="s">
        <v>92</v>
      </c>
      <c r="D1294" s="9">
        <v>41844</v>
      </c>
      <c r="E1294" s="5">
        <v>690</v>
      </c>
      <c r="F1294">
        <f>VLOOKUP(A1294,paiments2[],3,FALSE)</f>
        <v>690</v>
      </c>
      <c r="G1294" s="7"/>
    </row>
    <row r="1295" spans="1:7" x14ac:dyDescent="0.2">
      <c r="A1295" s="2">
        <v>11541</v>
      </c>
      <c r="B1295" s="3" t="s">
        <v>65</v>
      </c>
      <c r="C1295" s="3" t="s">
        <v>91</v>
      </c>
      <c r="D1295" s="9">
        <v>41844</v>
      </c>
      <c r="E1295" s="5">
        <v>190</v>
      </c>
      <c r="F1295">
        <f>VLOOKUP(A1295,paiments2[],3,FALSE)</f>
        <v>190</v>
      </c>
      <c r="G1295" s="7"/>
    </row>
    <row r="1296" spans="1:7" x14ac:dyDescent="0.2">
      <c r="A1296" s="2">
        <v>11542</v>
      </c>
      <c r="B1296" s="3" t="s">
        <v>4</v>
      </c>
      <c r="C1296" s="3" t="s">
        <v>89</v>
      </c>
      <c r="D1296" s="9">
        <v>41845</v>
      </c>
      <c r="E1296" s="5">
        <v>3393</v>
      </c>
      <c r="F1296">
        <f>VLOOKUP(A1296,paiments2[],3,FALSE)</f>
        <v>3393</v>
      </c>
      <c r="G1296" s="7"/>
    </row>
    <row r="1297" spans="1:7" x14ac:dyDescent="0.2">
      <c r="A1297" s="2">
        <v>11543</v>
      </c>
      <c r="B1297" s="3" t="s">
        <v>23</v>
      </c>
      <c r="C1297" s="3" t="s">
        <v>94</v>
      </c>
      <c r="D1297" s="9">
        <v>41845</v>
      </c>
      <c r="E1297" s="5">
        <v>727</v>
      </c>
      <c r="F1297">
        <f>VLOOKUP(A1297,paiments2[],3,FALSE)</f>
        <v>727</v>
      </c>
      <c r="G1297" s="7"/>
    </row>
    <row r="1298" spans="1:7" x14ac:dyDescent="0.2">
      <c r="A1298" s="2">
        <v>11544</v>
      </c>
      <c r="B1298" s="3" t="s">
        <v>3</v>
      </c>
      <c r="C1298" s="3" t="s">
        <v>91</v>
      </c>
      <c r="D1298" s="9">
        <v>41846</v>
      </c>
      <c r="E1298" s="5">
        <v>160</v>
      </c>
      <c r="F1298">
        <f>VLOOKUP(A1298,paiments2[],3,FALSE)</f>
        <v>160</v>
      </c>
      <c r="G1298" s="7"/>
    </row>
    <row r="1299" spans="1:7" x14ac:dyDescent="0.2">
      <c r="A1299" s="2">
        <v>11545</v>
      </c>
      <c r="B1299" s="3" t="s">
        <v>54</v>
      </c>
      <c r="C1299" s="3" t="s">
        <v>95</v>
      </c>
      <c r="D1299" s="9">
        <v>41846</v>
      </c>
      <c r="E1299" s="5">
        <v>560</v>
      </c>
      <c r="F1299">
        <f>VLOOKUP(A1299,paiments2[],3,FALSE)</f>
        <v>560</v>
      </c>
      <c r="G1299" s="7"/>
    </row>
    <row r="1300" spans="1:7" x14ac:dyDescent="0.2">
      <c r="A1300" s="2">
        <v>11546</v>
      </c>
      <c r="B1300" s="3" t="s">
        <v>21</v>
      </c>
      <c r="C1300" s="3" t="s">
        <v>95</v>
      </c>
      <c r="D1300" s="9">
        <v>41846</v>
      </c>
      <c r="E1300" s="5">
        <v>2965</v>
      </c>
      <c r="F1300">
        <f>VLOOKUP(A1300,paiments2[],3,FALSE)</f>
        <v>2965</v>
      </c>
      <c r="G1300" s="7"/>
    </row>
    <row r="1301" spans="1:7" x14ac:dyDescent="0.2">
      <c r="A1301" s="2">
        <v>11547</v>
      </c>
      <c r="B1301" s="3" t="s">
        <v>4</v>
      </c>
      <c r="C1301" s="3" t="s">
        <v>96</v>
      </c>
      <c r="D1301" s="9">
        <v>41847</v>
      </c>
      <c r="E1301" s="5">
        <v>806</v>
      </c>
      <c r="F1301">
        <f>VLOOKUP(A1301,paiments2[],3,FALSE)</f>
        <v>806</v>
      </c>
      <c r="G1301" s="7"/>
    </row>
    <row r="1302" spans="1:7" x14ac:dyDescent="0.2">
      <c r="A1302" s="2">
        <v>11548</v>
      </c>
      <c r="B1302" s="3" t="s">
        <v>45</v>
      </c>
      <c r="C1302" s="3" t="s">
        <v>91</v>
      </c>
      <c r="D1302" s="9">
        <v>41847</v>
      </c>
      <c r="E1302" s="5">
        <v>4521</v>
      </c>
      <c r="F1302">
        <f>VLOOKUP(A1302,paiments2[],3,FALSE)</f>
        <v>4521</v>
      </c>
      <c r="G1302" s="7"/>
    </row>
    <row r="1303" spans="1:7" x14ac:dyDescent="0.2">
      <c r="A1303" s="2">
        <v>11549</v>
      </c>
      <c r="B1303" s="3" t="s">
        <v>70</v>
      </c>
      <c r="C1303" s="3" t="s">
        <v>97</v>
      </c>
      <c r="D1303" s="9">
        <v>41848</v>
      </c>
      <c r="E1303" s="5">
        <v>699</v>
      </c>
      <c r="F1303">
        <f>VLOOKUP(A1303,paiments2[],3,FALSE)</f>
        <v>699</v>
      </c>
      <c r="G1303" s="7"/>
    </row>
    <row r="1304" spans="1:7" x14ac:dyDescent="0.2">
      <c r="A1304" s="2">
        <v>11550</v>
      </c>
      <c r="B1304" s="3" t="s">
        <v>44</v>
      </c>
      <c r="C1304" s="3" t="s">
        <v>93</v>
      </c>
      <c r="D1304" s="9">
        <v>42148</v>
      </c>
      <c r="E1304" s="5">
        <v>757</v>
      </c>
      <c r="F1304">
        <f>VLOOKUP(A1304,paiments2[],3,FALSE)</f>
        <v>757</v>
      </c>
      <c r="G1304" s="7"/>
    </row>
    <row r="1305" spans="1:7" x14ac:dyDescent="0.2">
      <c r="A1305" s="2">
        <v>11551</v>
      </c>
      <c r="B1305" s="3" t="s">
        <v>3</v>
      </c>
      <c r="C1305" s="3" t="s">
        <v>94</v>
      </c>
      <c r="D1305" s="9">
        <v>42148</v>
      </c>
      <c r="E1305" s="5">
        <v>534</v>
      </c>
      <c r="F1305">
        <f>VLOOKUP(A1305,paiments2[],3,FALSE)</f>
        <v>534</v>
      </c>
      <c r="G1305" s="7"/>
    </row>
    <row r="1306" spans="1:7" x14ac:dyDescent="0.2">
      <c r="A1306" s="2">
        <v>11552</v>
      </c>
      <c r="B1306" s="3" t="s">
        <v>29</v>
      </c>
      <c r="C1306" s="3" t="s">
        <v>89</v>
      </c>
      <c r="D1306" s="9">
        <v>42151</v>
      </c>
      <c r="E1306" s="5">
        <v>2032</v>
      </c>
      <c r="F1306">
        <f>VLOOKUP(A1306,paiments2[],3,FALSE)</f>
        <v>2032</v>
      </c>
      <c r="G1306" s="7"/>
    </row>
    <row r="1307" spans="1:7" x14ac:dyDescent="0.2">
      <c r="A1307" s="2">
        <v>11553</v>
      </c>
      <c r="B1307" s="3" t="s">
        <v>13</v>
      </c>
      <c r="C1307" s="3" t="s">
        <v>95</v>
      </c>
      <c r="D1307" s="9">
        <v>42151</v>
      </c>
      <c r="E1307" s="5">
        <v>2234</v>
      </c>
      <c r="F1307">
        <f>VLOOKUP(A1307,paiments2[],3,FALSE)</f>
        <v>2234</v>
      </c>
      <c r="G1307" s="7"/>
    </row>
    <row r="1308" spans="1:7" x14ac:dyDescent="0.2">
      <c r="A1308" s="2">
        <v>11554</v>
      </c>
      <c r="B1308" s="3" t="s">
        <v>74</v>
      </c>
      <c r="C1308" s="3" t="s">
        <v>93</v>
      </c>
      <c r="D1308" s="9">
        <v>42152</v>
      </c>
      <c r="E1308" s="5">
        <v>470</v>
      </c>
      <c r="F1308">
        <f>VLOOKUP(A1308,paiments2[],3,FALSE)</f>
        <v>470</v>
      </c>
      <c r="G1308" s="7"/>
    </row>
    <row r="1309" spans="1:7" x14ac:dyDescent="0.2">
      <c r="A1309" s="2">
        <v>11555</v>
      </c>
      <c r="B1309" s="3" t="s">
        <v>9</v>
      </c>
      <c r="C1309" s="3" t="s">
        <v>92</v>
      </c>
      <c r="D1309" s="9">
        <v>42152</v>
      </c>
      <c r="E1309" s="5">
        <v>2560</v>
      </c>
      <c r="F1309">
        <f>VLOOKUP(A1309,paiments2[],3,FALSE)</f>
        <v>2560</v>
      </c>
      <c r="G1309" s="7"/>
    </row>
    <row r="1310" spans="1:7" x14ac:dyDescent="0.2">
      <c r="A1310" s="2">
        <v>11556</v>
      </c>
      <c r="B1310" s="3" t="s">
        <v>37</v>
      </c>
      <c r="C1310" s="3" t="s">
        <v>92</v>
      </c>
      <c r="D1310" s="9">
        <v>42152</v>
      </c>
      <c r="E1310" s="5">
        <v>1688</v>
      </c>
      <c r="F1310">
        <f>VLOOKUP(A1310,paiments2[],3,FALSE)</f>
        <v>1688</v>
      </c>
      <c r="G1310" s="7"/>
    </row>
    <row r="1311" spans="1:7" x14ac:dyDescent="0.2">
      <c r="A1311" s="2">
        <v>11557</v>
      </c>
      <c r="B1311" s="3" t="s">
        <v>59</v>
      </c>
      <c r="C1311" s="3" t="s">
        <v>92</v>
      </c>
      <c r="D1311" s="9">
        <v>42153</v>
      </c>
      <c r="E1311" s="5">
        <v>480</v>
      </c>
      <c r="F1311">
        <f>VLOOKUP(A1311,paiments2[],3,FALSE)</f>
        <v>480</v>
      </c>
      <c r="G1311" s="7"/>
    </row>
    <row r="1312" spans="1:7" x14ac:dyDescent="0.2">
      <c r="A1312" s="2">
        <v>11558</v>
      </c>
      <c r="B1312" s="3" t="s">
        <v>25</v>
      </c>
      <c r="C1312" s="3" t="s">
        <v>95</v>
      </c>
      <c r="D1312" s="9">
        <v>42153</v>
      </c>
      <c r="E1312" s="5">
        <v>1955</v>
      </c>
      <c r="F1312">
        <f>VLOOKUP(A1312,paiments2[],3,FALSE)</f>
        <v>1955</v>
      </c>
      <c r="G1312" s="7"/>
    </row>
    <row r="1313" spans="1:7" x14ac:dyDescent="0.2">
      <c r="A1313" s="2">
        <v>11559</v>
      </c>
      <c r="B1313" s="3" t="s">
        <v>85</v>
      </c>
      <c r="C1313" s="3" t="s">
        <v>96</v>
      </c>
      <c r="D1313" s="9">
        <v>42154</v>
      </c>
      <c r="E1313" s="5">
        <v>484</v>
      </c>
      <c r="F1313">
        <f>VLOOKUP(A1313,paiments2[],3,FALSE)</f>
        <v>484</v>
      </c>
      <c r="G1313" s="7"/>
    </row>
    <row r="1314" spans="1:7" x14ac:dyDescent="0.2">
      <c r="A1314" s="2">
        <v>11560</v>
      </c>
      <c r="B1314" s="3" t="s">
        <v>17</v>
      </c>
      <c r="C1314" s="3" t="s">
        <v>94</v>
      </c>
      <c r="D1314" s="9">
        <v>42154</v>
      </c>
      <c r="E1314" s="5">
        <v>1045</v>
      </c>
      <c r="F1314">
        <f>VLOOKUP(A1314,paiments2[],3,FALSE)</f>
        <v>1045</v>
      </c>
      <c r="G1314" s="7"/>
    </row>
    <row r="1315" spans="1:7" x14ac:dyDescent="0.2">
      <c r="A1315" s="2">
        <v>11561</v>
      </c>
      <c r="B1315" s="3" t="s">
        <v>83</v>
      </c>
      <c r="C1315" s="3" t="s">
        <v>92</v>
      </c>
      <c r="D1315" s="9">
        <v>42154</v>
      </c>
      <c r="E1315" s="5">
        <v>380</v>
      </c>
      <c r="F1315">
        <f>VLOOKUP(A1315,paiments2[],3,FALSE)</f>
        <v>380</v>
      </c>
      <c r="G1315" s="7"/>
    </row>
    <row r="1316" spans="1:7" x14ac:dyDescent="0.2">
      <c r="A1316" s="2">
        <v>11562</v>
      </c>
      <c r="B1316" s="3" t="s">
        <v>19</v>
      </c>
      <c r="C1316" s="3" t="s">
        <v>91</v>
      </c>
      <c r="D1316" s="9">
        <v>42155</v>
      </c>
      <c r="E1316" s="5">
        <v>2584</v>
      </c>
      <c r="F1316">
        <f>VLOOKUP(A1316,paiments2[],3,FALSE)</f>
        <v>2584</v>
      </c>
      <c r="G1316" s="7"/>
    </row>
    <row r="1317" spans="1:7" x14ac:dyDescent="0.2">
      <c r="A1317" s="2">
        <v>11563</v>
      </c>
      <c r="B1317" s="3" t="s">
        <v>26</v>
      </c>
      <c r="C1317" s="3" t="s">
        <v>95</v>
      </c>
      <c r="D1317" s="9">
        <v>42155</v>
      </c>
      <c r="E1317" s="5">
        <v>440</v>
      </c>
      <c r="F1317">
        <f>VLOOKUP(A1317,paiments2[],3,FALSE)</f>
        <v>440</v>
      </c>
      <c r="G1317" s="7"/>
    </row>
    <row r="1318" spans="1:7" x14ac:dyDescent="0.2">
      <c r="A1318" s="2">
        <v>11564</v>
      </c>
      <c r="B1318" s="3" t="s">
        <v>8</v>
      </c>
      <c r="C1318" s="3" t="s">
        <v>91</v>
      </c>
      <c r="D1318" s="9">
        <v>42158</v>
      </c>
      <c r="E1318" s="5">
        <v>380</v>
      </c>
      <c r="F1318">
        <f>VLOOKUP(A1318,paiments2[],3,FALSE)</f>
        <v>380</v>
      </c>
      <c r="G1318" s="7"/>
    </row>
    <row r="1319" spans="1:7" x14ac:dyDescent="0.2">
      <c r="A1319" s="2">
        <v>11565</v>
      </c>
      <c r="B1319" s="3" t="s">
        <v>55</v>
      </c>
      <c r="C1319" s="3" t="s">
        <v>91</v>
      </c>
      <c r="D1319" s="9">
        <v>42158</v>
      </c>
      <c r="E1319" s="5">
        <v>202</v>
      </c>
      <c r="F1319">
        <f>VLOOKUP(A1319,paiments2[],3,FALSE)</f>
        <v>202</v>
      </c>
      <c r="G1319" s="7"/>
    </row>
    <row r="1320" spans="1:7" x14ac:dyDescent="0.2">
      <c r="A1320" s="2">
        <v>11566</v>
      </c>
      <c r="B1320" s="3" t="s">
        <v>21</v>
      </c>
      <c r="C1320" s="3" t="s">
        <v>96</v>
      </c>
      <c r="D1320" s="9">
        <v>42158</v>
      </c>
      <c r="E1320" s="5">
        <v>13040</v>
      </c>
      <c r="F1320">
        <f>VLOOKUP(A1320,paiments2[],3,FALSE)</f>
        <v>13040</v>
      </c>
      <c r="G1320" s="7"/>
    </row>
    <row r="1321" spans="1:7" x14ac:dyDescent="0.2">
      <c r="A1321" s="2">
        <v>11567</v>
      </c>
      <c r="B1321" s="3" t="s">
        <v>25</v>
      </c>
      <c r="C1321" s="3" t="s">
        <v>89</v>
      </c>
      <c r="D1321" s="9">
        <v>42159</v>
      </c>
      <c r="E1321" s="5">
        <v>1072</v>
      </c>
      <c r="F1321">
        <f>VLOOKUP(A1321,paiments2[],3,FALSE)</f>
        <v>1072</v>
      </c>
      <c r="G1321" s="7"/>
    </row>
    <row r="1322" spans="1:7" x14ac:dyDescent="0.2">
      <c r="A1322" s="2">
        <v>11568</v>
      </c>
      <c r="B1322" s="3" t="s">
        <v>38</v>
      </c>
      <c r="C1322" s="3" t="s">
        <v>90</v>
      </c>
      <c r="D1322" s="9">
        <v>42159</v>
      </c>
      <c r="E1322" s="5">
        <v>75</v>
      </c>
      <c r="F1322">
        <f>VLOOKUP(A1322,paiments2[],3,FALSE)</f>
        <v>75</v>
      </c>
      <c r="G1322" s="7"/>
    </row>
    <row r="1323" spans="1:7" x14ac:dyDescent="0.2">
      <c r="A1323" s="2">
        <v>11569</v>
      </c>
      <c r="B1323" s="3" t="s">
        <v>61</v>
      </c>
      <c r="C1323" s="3" t="s">
        <v>97</v>
      </c>
      <c r="D1323" s="9">
        <v>42160</v>
      </c>
      <c r="E1323" s="5">
        <v>1480</v>
      </c>
      <c r="F1323">
        <f>VLOOKUP(A1323,paiments2[],3,FALSE)</f>
        <v>1480</v>
      </c>
      <c r="G1323" s="7"/>
    </row>
    <row r="1324" spans="1:7" x14ac:dyDescent="0.2">
      <c r="A1324" s="2">
        <v>11570</v>
      </c>
      <c r="B1324" s="3" t="s">
        <v>56</v>
      </c>
      <c r="C1324" s="3" t="s">
        <v>89</v>
      </c>
      <c r="D1324" s="9">
        <v>42160</v>
      </c>
      <c r="E1324" s="5">
        <v>1160</v>
      </c>
      <c r="F1324">
        <f>VLOOKUP(A1324,paiments2[],3,FALSE)</f>
        <v>1160</v>
      </c>
      <c r="G1324" s="7"/>
    </row>
    <row r="1325" spans="1:7" x14ac:dyDescent="0.2">
      <c r="A1325" s="2">
        <v>11571</v>
      </c>
      <c r="B1325" s="3" t="s">
        <v>99</v>
      </c>
      <c r="C1325" s="3" t="s">
        <v>89</v>
      </c>
      <c r="D1325" s="9">
        <v>42160</v>
      </c>
      <c r="E1325" s="5">
        <v>119</v>
      </c>
      <c r="F1325">
        <f>VLOOKUP(A1325,paiments2[],3,FALSE)</f>
        <v>119</v>
      </c>
      <c r="G1325" s="7"/>
    </row>
    <row r="1326" spans="1:7" x14ac:dyDescent="0.2">
      <c r="A1326" s="2">
        <v>11572</v>
      </c>
      <c r="B1326" s="3" t="s">
        <v>48</v>
      </c>
      <c r="C1326" s="3" t="s">
        <v>93</v>
      </c>
      <c r="D1326" s="9">
        <v>42161</v>
      </c>
      <c r="E1326" s="5">
        <v>1570</v>
      </c>
      <c r="F1326">
        <f>VLOOKUP(A1326,paiments2[],3,FALSE)</f>
        <v>1570</v>
      </c>
      <c r="G1326" s="7"/>
    </row>
    <row r="1327" spans="1:7" x14ac:dyDescent="0.2">
      <c r="A1327" s="2">
        <v>11573</v>
      </c>
      <c r="B1327" s="3" t="s">
        <v>36</v>
      </c>
      <c r="C1327" s="3" t="s">
        <v>89</v>
      </c>
      <c r="D1327" s="9">
        <v>42161</v>
      </c>
      <c r="E1327" s="5">
        <v>1631</v>
      </c>
      <c r="F1327">
        <f>VLOOKUP(A1327,paiments2[],3,FALSE)</f>
        <v>1631</v>
      </c>
      <c r="G1327" s="7"/>
    </row>
    <row r="1328" spans="1:7" x14ac:dyDescent="0.2">
      <c r="A1328" s="2">
        <v>11574</v>
      </c>
      <c r="B1328" s="3" t="s">
        <v>81</v>
      </c>
      <c r="C1328" s="3" t="s">
        <v>91</v>
      </c>
      <c r="D1328" s="9">
        <v>42162</v>
      </c>
      <c r="E1328" s="5">
        <v>242</v>
      </c>
      <c r="F1328">
        <f>VLOOKUP(A1328,paiments2[],3,FALSE)</f>
        <v>242</v>
      </c>
      <c r="G1328" s="7"/>
    </row>
    <row r="1329" spans="1:7" x14ac:dyDescent="0.2">
      <c r="A1329" s="2">
        <v>11575</v>
      </c>
      <c r="B1329" s="3" t="s">
        <v>36</v>
      </c>
      <c r="C1329" s="3" t="s">
        <v>89</v>
      </c>
      <c r="D1329" s="9">
        <v>42162</v>
      </c>
      <c r="E1329" s="5">
        <v>230</v>
      </c>
      <c r="F1329">
        <f>VLOOKUP(A1329,paiments2[],3,FALSE)</f>
        <v>230</v>
      </c>
      <c r="G1329" s="7"/>
    </row>
    <row r="1330" spans="1:7" x14ac:dyDescent="0.2">
      <c r="A1330" s="2">
        <v>11576</v>
      </c>
      <c r="B1330" s="3" t="s">
        <v>25</v>
      </c>
      <c r="C1330" s="3" t="s">
        <v>91</v>
      </c>
      <c r="D1330" s="9">
        <v>42162</v>
      </c>
      <c r="E1330" s="5">
        <v>547</v>
      </c>
      <c r="F1330">
        <f>VLOOKUP(A1330,paiments2[],3,FALSE)</f>
        <v>547</v>
      </c>
      <c r="G1330" s="7"/>
    </row>
    <row r="1331" spans="1:7" x14ac:dyDescent="0.2">
      <c r="A1331" s="2">
        <v>11577</v>
      </c>
      <c r="B1331" s="3" t="s">
        <v>48</v>
      </c>
      <c r="C1331" s="3" t="s">
        <v>97</v>
      </c>
      <c r="D1331" s="9">
        <v>42165</v>
      </c>
      <c r="E1331" s="5">
        <v>689</v>
      </c>
      <c r="F1331">
        <f>VLOOKUP(A1331,paiments2[],3,FALSE)</f>
        <v>689</v>
      </c>
      <c r="G1331" s="7"/>
    </row>
    <row r="1332" spans="1:7" x14ac:dyDescent="0.2">
      <c r="A1332" s="2">
        <v>11578</v>
      </c>
      <c r="B1332" s="3" t="s">
        <v>29</v>
      </c>
      <c r="C1332" s="3" t="s">
        <v>94</v>
      </c>
      <c r="D1332" s="9">
        <v>42165</v>
      </c>
      <c r="E1332" s="5">
        <v>1565</v>
      </c>
      <c r="F1332">
        <f>VLOOKUP(A1332,paiments2[],3,FALSE)</f>
        <v>1565</v>
      </c>
      <c r="G1332" s="7"/>
    </row>
    <row r="1333" spans="1:7" x14ac:dyDescent="0.2">
      <c r="A1333" s="2">
        <v>11579</v>
      </c>
      <c r="B1333" s="3" t="s">
        <v>21</v>
      </c>
      <c r="C1333" s="3" t="s">
        <v>91</v>
      </c>
      <c r="D1333" s="9">
        <v>42166</v>
      </c>
      <c r="E1333" s="5">
        <v>1220</v>
      </c>
      <c r="F1333">
        <f>VLOOKUP(A1333,paiments2[],3,FALSE)</f>
        <v>1220</v>
      </c>
      <c r="G1333" s="7"/>
    </row>
    <row r="1334" spans="1:7" x14ac:dyDescent="0.2">
      <c r="A1334" s="2">
        <v>11580</v>
      </c>
      <c r="B1334" s="3" t="s">
        <v>81</v>
      </c>
      <c r="C1334" s="3" t="s">
        <v>92</v>
      </c>
      <c r="D1334" s="9">
        <v>42166</v>
      </c>
      <c r="E1334" s="5">
        <v>458</v>
      </c>
      <c r="F1334">
        <f>VLOOKUP(A1334,paiments2[],3,FALSE)</f>
        <v>458</v>
      </c>
      <c r="G1334" s="7"/>
    </row>
    <row r="1335" spans="1:7" x14ac:dyDescent="0.2">
      <c r="A1335" s="2">
        <v>11581</v>
      </c>
      <c r="B1335" s="3" t="s">
        <v>14</v>
      </c>
      <c r="C1335" s="3" t="s">
        <v>97</v>
      </c>
      <c r="D1335" s="9">
        <v>42166</v>
      </c>
      <c r="E1335" s="5">
        <v>1360</v>
      </c>
      <c r="F1335">
        <f>VLOOKUP(A1335,paiments2[],3,FALSE)</f>
        <v>1360</v>
      </c>
      <c r="G1335" s="7"/>
    </row>
    <row r="1336" spans="1:7" x14ac:dyDescent="0.2">
      <c r="A1336" s="2">
        <v>11582</v>
      </c>
      <c r="B1336" s="3" t="s">
        <v>76</v>
      </c>
      <c r="C1336" s="3" t="s">
        <v>91</v>
      </c>
      <c r="D1336" s="9">
        <v>42167</v>
      </c>
      <c r="E1336" s="5">
        <v>110</v>
      </c>
      <c r="F1336">
        <f>VLOOKUP(A1336,paiments2[],3,FALSE)</f>
        <v>110</v>
      </c>
      <c r="G1336" s="7"/>
    </row>
    <row r="1337" spans="1:7" x14ac:dyDescent="0.2">
      <c r="A1337" s="2">
        <v>11583</v>
      </c>
      <c r="B1337" s="3" t="s">
        <v>45</v>
      </c>
      <c r="C1337" s="3" t="s">
        <v>91</v>
      </c>
      <c r="D1337" s="9">
        <v>42167</v>
      </c>
      <c r="E1337" s="5">
        <v>710</v>
      </c>
      <c r="F1337">
        <f>VLOOKUP(A1337,paiments2[],3,FALSE)</f>
        <v>710</v>
      </c>
      <c r="G1337" s="7"/>
    </row>
    <row r="1338" spans="1:7" x14ac:dyDescent="0.2">
      <c r="A1338" s="2">
        <v>11584</v>
      </c>
      <c r="B1338" s="3" t="s">
        <v>38</v>
      </c>
      <c r="C1338" s="3" t="s">
        <v>95</v>
      </c>
      <c r="D1338" s="9">
        <v>42168</v>
      </c>
      <c r="E1338" s="5">
        <v>24</v>
      </c>
      <c r="F1338">
        <f>VLOOKUP(A1338,paiments2[],3,FALSE)</f>
        <v>24</v>
      </c>
      <c r="G1338" s="7"/>
    </row>
    <row r="1339" spans="1:7" x14ac:dyDescent="0.2">
      <c r="A1339" s="2">
        <v>11585</v>
      </c>
      <c r="B1339" s="3" t="s">
        <v>80</v>
      </c>
      <c r="C1339" s="3" t="s">
        <v>91</v>
      </c>
      <c r="D1339" s="9">
        <v>42168</v>
      </c>
      <c r="E1339" s="5">
        <v>1060</v>
      </c>
      <c r="F1339">
        <f>VLOOKUP(A1339,paiments2[],3,FALSE)</f>
        <v>1060</v>
      </c>
      <c r="G1339" s="7"/>
    </row>
    <row r="1340" spans="1:7" x14ac:dyDescent="0.2">
      <c r="A1340" s="2">
        <v>11586</v>
      </c>
      <c r="B1340" s="3" t="s">
        <v>4</v>
      </c>
      <c r="C1340" s="3" t="s">
        <v>90</v>
      </c>
      <c r="D1340" s="9">
        <v>42168</v>
      </c>
      <c r="E1340" s="5">
        <v>871</v>
      </c>
      <c r="F1340">
        <f>VLOOKUP(A1340,paiments2[],3,FALSE)</f>
        <v>871</v>
      </c>
      <c r="G1340" s="7"/>
    </row>
    <row r="1341" spans="1:7" x14ac:dyDescent="0.2">
      <c r="A1341" s="2">
        <v>11587</v>
      </c>
      <c r="B1341" s="3" t="s">
        <v>2</v>
      </c>
      <c r="C1341" s="3" t="s">
        <v>94</v>
      </c>
      <c r="D1341" s="9">
        <v>42169</v>
      </c>
      <c r="E1341" s="5">
        <v>2285</v>
      </c>
      <c r="F1341">
        <f>VLOOKUP(A1341,paiments2[],3,FALSE)</f>
        <v>2285</v>
      </c>
      <c r="G1341" s="7"/>
    </row>
    <row r="1342" spans="1:7" x14ac:dyDescent="0.2">
      <c r="A1342" s="2">
        <v>11588</v>
      </c>
      <c r="B1342" s="3" t="s">
        <v>98</v>
      </c>
      <c r="C1342" s="3" t="s">
        <v>95</v>
      </c>
      <c r="D1342" s="9">
        <v>42169</v>
      </c>
      <c r="E1342" s="5">
        <v>50</v>
      </c>
      <c r="F1342">
        <f>VLOOKUP(A1342,paiments2[],3,FALSE)</f>
        <v>50</v>
      </c>
      <c r="G1342" s="7"/>
    </row>
    <row r="1343" spans="1:7" x14ac:dyDescent="0.2">
      <c r="A1343" s="2">
        <v>11589</v>
      </c>
      <c r="B1343" s="3" t="s">
        <v>36</v>
      </c>
      <c r="C1343" s="3" t="s">
        <v>94</v>
      </c>
      <c r="D1343" s="9">
        <v>42172</v>
      </c>
      <c r="E1343" s="5">
        <v>442</v>
      </c>
      <c r="F1343">
        <f>VLOOKUP(A1343,paiments2[],3,FALSE)</f>
        <v>442</v>
      </c>
      <c r="G1343" s="7"/>
    </row>
    <row r="1344" spans="1:7" x14ac:dyDescent="0.2">
      <c r="A1344" s="2">
        <v>11590</v>
      </c>
      <c r="B1344" s="3" t="s">
        <v>13</v>
      </c>
      <c r="C1344" s="3" t="s">
        <v>93</v>
      </c>
      <c r="D1344" s="9">
        <v>42172</v>
      </c>
      <c r="E1344" s="5">
        <v>8640</v>
      </c>
      <c r="F1344">
        <f>VLOOKUP(A1344,paiments2[],3,FALSE)</f>
        <v>8640</v>
      </c>
      <c r="G1344" s="7"/>
    </row>
    <row r="1345" spans="1:7" x14ac:dyDescent="0.2">
      <c r="A1345" s="2">
        <v>11591</v>
      </c>
      <c r="B1345" s="3" t="s">
        <v>41</v>
      </c>
      <c r="C1345" s="3" t="s">
        <v>97</v>
      </c>
      <c r="D1345" s="9">
        <v>42172</v>
      </c>
      <c r="E1345" s="5">
        <v>633</v>
      </c>
      <c r="F1345">
        <f>VLOOKUP(A1345,paiments2[],3,FALSE)</f>
        <v>633</v>
      </c>
      <c r="G1345" s="7"/>
    </row>
    <row r="1346" spans="1:7" x14ac:dyDescent="0.2">
      <c r="A1346" s="2">
        <v>11592</v>
      </c>
      <c r="B1346" s="3" t="s">
        <v>26</v>
      </c>
      <c r="C1346" s="3" t="s">
        <v>97</v>
      </c>
      <c r="D1346" s="9">
        <v>42173</v>
      </c>
      <c r="E1346" s="5">
        <v>285</v>
      </c>
      <c r="F1346">
        <f>VLOOKUP(A1346,paiments2[],3,FALSE)</f>
        <v>285</v>
      </c>
      <c r="G1346" s="7"/>
    </row>
    <row r="1347" spans="1:7" x14ac:dyDescent="0.2">
      <c r="A1347" s="2">
        <v>11593</v>
      </c>
      <c r="B1347" s="3" t="s">
        <v>78</v>
      </c>
      <c r="C1347" s="3" t="s">
        <v>91</v>
      </c>
      <c r="D1347" s="9">
        <v>42173</v>
      </c>
      <c r="E1347" s="5">
        <v>1640</v>
      </c>
      <c r="F1347">
        <f>VLOOKUP(A1347,paiments2[],3,FALSE)</f>
        <v>1640</v>
      </c>
      <c r="G1347" s="7"/>
    </row>
    <row r="1348" spans="1:7" x14ac:dyDescent="0.2">
      <c r="A1348" s="2">
        <v>11594</v>
      </c>
      <c r="B1348" s="3" t="s">
        <v>44</v>
      </c>
      <c r="C1348" s="3" t="s">
        <v>93</v>
      </c>
      <c r="D1348" s="9">
        <v>42174</v>
      </c>
      <c r="E1348" s="5">
        <v>4131</v>
      </c>
      <c r="F1348">
        <f>VLOOKUP(A1348,paiments2[],3,FALSE)</f>
        <v>4131</v>
      </c>
      <c r="G1348" s="7"/>
    </row>
    <row r="1349" spans="1:7" x14ac:dyDescent="0.2">
      <c r="A1349" s="2">
        <v>11595</v>
      </c>
      <c r="B1349" s="3" t="s">
        <v>45</v>
      </c>
      <c r="C1349" s="3" t="s">
        <v>94</v>
      </c>
      <c r="D1349" s="9">
        <v>42174</v>
      </c>
      <c r="E1349" s="5">
        <v>2062</v>
      </c>
      <c r="F1349">
        <f>VLOOKUP(A1349,paiments2[],3,FALSE)</f>
        <v>2062</v>
      </c>
      <c r="G1349" s="7"/>
    </row>
    <row r="1350" spans="1:7" x14ac:dyDescent="0.2">
      <c r="A1350" s="2">
        <v>11596</v>
      </c>
      <c r="B1350" s="3" t="s">
        <v>9</v>
      </c>
      <c r="C1350" s="3" t="s">
        <v>92</v>
      </c>
      <c r="D1350" s="9">
        <v>42174</v>
      </c>
      <c r="E1350" s="5">
        <v>4689</v>
      </c>
      <c r="F1350">
        <f>VLOOKUP(A1350,paiments2[],3,FALSE)</f>
        <v>4689</v>
      </c>
      <c r="G1350" s="7"/>
    </row>
    <row r="1351" spans="1:7" x14ac:dyDescent="0.2">
      <c r="A1351" s="2">
        <v>11597</v>
      </c>
      <c r="B1351" s="3" t="s">
        <v>78</v>
      </c>
      <c r="C1351" s="3" t="s">
        <v>97</v>
      </c>
      <c r="D1351" s="9">
        <v>42175</v>
      </c>
      <c r="E1351" s="5">
        <v>553</v>
      </c>
      <c r="F1351">
        <f>VLOOKUP(A1351,paiments2[],3,FALSE)</f>
        <v>553</v>
      </c>
      <c r="G1351" s="7"/>
    </row>
    <row r="1352" spans="1:7" x14ac:dyDescent="0.2">
      <c r="A1352" s="2">
        <v>11598</v>
      </c>
      <c r="B1352" s="3" t="s">
        <v>34</v>
      </c>
      <c r="C1352" s="3" t="s">
        <v>92</v>
      </c>
      <c r="D1352" s="9">
        <v>42175</v>
      </c>
      <c r="E1352" s="5">
        <v>8204</v>
      </c>
      <c r="F1352">
        <f>VLOOKUP(A1352,paiments2[],3,FALSE)</f>
        <v>8204</v>
      </c>
      <c r="G1352" s="7"/>
    </row>
    <row r="1353" spans="1:7" x14ac:dyDescent="0.2">
      <c r="A1353" s="2">
        <v>11599</v>
      </c>
      <c r="B1353" s="3" t="s">
        <v>67</v>
      </c>
      <c r="C1353" s="3" t="s">
        <v>91</v>
      </c>
      <c r="D1353" s="9">
        <v>42176</v>
      </c>
      <c r="E1353" s="5">
        <v>20</v>
      </c>
      <c r="F1353">
        <f>VLOOKUP(A1353,paiments2[],3,FALSE)</f>
        <v>20</v>
      </c>
      <c r="G1353" s="7"/>
    </row>
    <row r="1354" spans="1:7" x14ac:dyDescent="0.2">
      <c r="A1354" s="2">
        <v>11600</v>
      </c>
      <c r="B1354" s="3" t="s">
        <v>28</v>
      </c>
      <c r="C1354" s="3" t="s">
        <v>89</v>
      </c>
      <c r="D1354" s="9">
        <v>42176</v>
      </c>
      <c r="E1354" s="5">
        <v>104</v>
      </c>
      <c r="F1354">
        <f>VLOOKUP(A1354,paiments2[],3,FALSE)</f>
        <v>104</v>
      </c>
      <c r="G1354" s="7"/>
    </row>
    <row r="1355" spans="1:7" x14ac:dyDescent="0.2">
      <c r="A1355" s="2">
        <v>11601</v>
      </c>
      <c r="B1355" s="3" t="s">
        <v>7</v>
      </c>
      <c r="C1355" s="3" t="s">
        <v>94</v>
      </c>
      <c r="D1355" s="9">
        <v>42176</v>
      </c>
      <c r="E1355" s="5">
        <v>33</v>
      </c>
      <c r="F1355">
        <f>VLOOKUP(A1355,paiments2[],3,FALSE)</f>
        <v>33</v>
      </c>
      <c r="G1355" s="7"/>
    </row>
    <row r="1356" spans="1:7" x14ac:dyDescent="0.2">
      <c r="A1356" s="2">
        <v>11602</v>
      </c>
      <c r="B1356" s="3" t="s">
        <v>8</v>
      </c>
      <c r="C1356" s="3" t="s">
        <v>91</v>
      </c>
      <c r="D1356" s="9">
        <v>42179</v>
      </c>
      <c r="E1356" s="5">
        <v>690</v>
      </c>
      <c r="F1356">
        <f>VLOOKUP(A1356,paiments2[],3,FALSE)</f>
        <v>690</v>
      </c>
      <c r="G1356" s="7"/>
    </row>
    <row r="1357" spans="1:7" x14ac:dyDescent="0.2">
      <c r="A1357" s="2">
        <v>11603</v>
      </c>
      <c r="B1357" s="3" t="s">
        <v>14</v>
      </c>
      <c r="C1357" s="3" t="s">
        <v>94</v>
      </c>
      <c r="D1357" s="9">
        <v>42179</v>
      </c>
      <c r="E1357" s="5">
        <v>762</v>
      </c>
      <c r="F1357">
        <f>VLOOKUP(A1357,paiments2[],3,FALSE)</f>
        <v>762</v>
      </c>
      <c r="G1357" s="7"/>
    </row>
    <row r="1358" spans="1:7" x14ac:dyDescent="0.2">
      <c r="A1358" s="2">
        <v>11604</v>
      </c>
      <c r="B1358" s="3" t="s">
        <v>2</v>
      </c>
      <c r="C1358" s="3" t="s">
        <v>92</v>
      </c>
      <c r="D1358" s="9">
        <v>42180</v>
      </c>
      <c r="E1358" s="5">
        <v>676</v>
      </c>
      <c r="F1358">
        <f>VLOOKUP(A1358,paiments2[],3,FALSE)</f>
        <v>676</v>
      </c>
      <c r="G1358" s="7"/>
    </row>
    <row r="1359" spans="1:7" x14ac:dyDescent="0.2">
      <c r="A1359" s="2">
        <v>11605</v>
      </c>
      <c r="B1359" s="3" t="s">
        <v>19</v>
      </c>
      <c r="C1359" s="3" t="s">
        <v>92</v>
      </c>
      <c r="D1359" s="9">
        <v>42180</v>
      </c>
      <c r="E1359" s="5">
        <v>1445</v>
      </c>
      <c r="F1359">
        <f>VLOOKUP(A1359,paiments2[],3,FALSE)</f>
        <v>1445</v>
      </c>
      <c r="G1359" s="7"/>
    </row>
    <row r="1360" spans="1:7" x14ac:dyDescent="0.2">
      <c r="A1360" s="2">
        <v>11606</v>
      </c>
      <c r="B1360" s="3" t="s">
        <v>7</v>
      </c>
      <c r="C1360" s="3" t="s">
        <v>93</v>
      </c>
      <c r="D1360" s="9">
        <v>42180</v>
      </c>
      <c r="E1360" s="5">
        <v>260</v>
      </c>
      <c r="F1360">
        <f>VLOOKUP(A1360,paiments2[],3,FALSE)</f>
        <v>260</v>
      </c>
      <c r="G1360" s="7"/>
    </row>
    <row r="1361" spans="1:7" x14ac:dyDescent="0.2">
      <c r="A1361" s="2">
        <v>11607</v>
      </c>
      <c r="B1361" s="3" t="s">
        <v>99</v>
      </c>
      <c r="C1361" s="3" t="s">
        <v>91</v>
      </c>
      <c r="D1361" s="9">
        <v>42181</v>
      </c>
      <c r="E1361" s="5">
        <v>315</v>
      </c>
      <c r="F1361">
        <f>VLOOKUP(A1361,paiments2[],3,FALSE)</f>
        <v>315</v>
      </c>
      <c r="G1361" s="7"/>
    </row>
    <row r="1362" spans="1:7" x14ac:dyDescent="0.2">
      <c r="A1362" s="2">
        <v>11608</v>
      </c>
      <c r="B1362" s="3" t="s">
        <v>84</v>
      </c>
      <c r="C1362" s="3" t="s">
        <v>90</v>
      </c>
      <c r="D1362" s="9">
        <v>42181</v>
      </c>
      <c r="E1362" s="5">
        <v>70</v>
      </c>
      <c r="F1362">
        <f>VLOOKUP(A1362,paiments2[],3,FALSE)</f>
        <v>70</v>
      </c>
      <c r="G1362" s="7"/>
    </row>
    <row r="1363" spans="1:7" x14ac:dyDescent="0.2">
      <c r="A1363" s="2">
        <v>11609</v>
      </c>
      <c r="B1363" s="3" t="s">
        <v>30</v>
      </c>
      <c r="C1363" s="3" t="s">
        <v>91</v>
      </c>
      <c r="D1363" s="9">
        <v>42182</v>
      </c>
      <c r="E1363" s="5">
        <v>510</v>
      </c>
      <c r="F1363">
        <f>VLOOKUP(A1363,paiments2[],3,FALSE)</f>
        <v>510</v>
      </c>
      <c r="G1363" s="7"/>
    </row>
    <row r="1364" spans="1:7" x14ac:dyDescent="0.2">
      <c r="A1364" s="2">
        <v>11610</v>
      </c>
      <c r="B1364" s="3" t="s">
        <v>63</v>
      </c>
      <c r="C1364" s="3" t="s">
        <v>94</v>
      </c>
      <c r="D1364" s="9">
        <v>42182</v>
      </c>
      <c r="E1364" s="5">
        <v>494</v>
      </c>
      <c r="F1364">
        <f>VLOOKUP(A1364,paiments2[],3,FALSE)</f>
        <v>494</v>
      </c>
      <c r="G1364" s="7"/>
    </row>
    <row r="1365" spans="1:7" x14ac:dyDescent="0.2">
      <c r="A1365" s="2">
        <v>11611</v>
      </c>
      <c r="B1365" s="3" t="s">
        <v>81</v>
      </c>
      <c r="C1365" s="3" t="s">
        <v>94</v>
      </c>
      <c r="D1365" s="9">
        <v>42182</v>
      </c>
      <c r="E1365" s="5">
        <v>339</v>
      </c>
      <c r="F1365">
        <f>VLOOKUP(A1365,paiments2[],3,FALSE)</f>
        <v>339</v>
      </c>
      <c r="G1365" s="7"/>
    </row>
    <row r="1366" spans="1:7" x14ac:dyDescent="0.2">
      <c r="A1366" s="2">
        <v>11612</v>
      </c>
      <c r="B1366" s="3" t="s">
        <v>36</v>
      </c>
      <c r="C1366" s="3" t="s">
        <v>92</v>
      </c>
      <c r="D1366" s="9">
        <v>42182</v>
      </c>
      <c r="E1366" s="5">
        <v>628</v>
      </c>
      <c r="F1366">
        <f>VLOOKUP(A1366,paiments2[],3,FALSE)</f>
        <v>628</v>
      </c>
      <c r="G1366" s="7"/>
    </row>
    <row r="1367" spans="1:7" x14ac:dyDescent="0.2">
      <c r="A1367" s="2">
        <v>11613</v>
      </c>
      <c r="B1367" s="3" t="s">
        <v>34</v>
      </c>
      <c r="C1367" s="3" t="s">
        <v>96</v>
      </c>
      <c r="D1367" s="9">
        <v>42182</v>
      </c>
      <c r="E1367" s="5">
        <v>6280</v>
      </c>
      <c r="F1367">
        <f>VLOOKUP(A1367,paiments2[],3,FALSE)</f>
        <v>6280</v>
      </c>
      <c r="G1367" s="7"/>
    </row>
    <row r="1368" spans="1:7" x14ac:dyDescent="0.2">
      <c r="A1368" s="2">
        <v>11614</v>
      </c>
      <c r="B1368" s="3" t="s">
        <v>61</v>
      </c>
      <c r="C1368" s="3" t="s">
        <v>91</v>
      </c>
      <c r="D1368" s="9">
        <v>42182</v>
      </c>
      <c r="E1368" s="5">
        <v>670</v>
      </c>
      <c r="F1368">
        <f>VLOOKUP(A1368,paiments2[],3,FALSE)</f>
        <v>670</v>
      </c>
      <c r="G1368" s="7"/>
    </row>
    <row r="1369" spans="1:7" x14ac:dyDescent="0.2">
      <c r="A1369" s="2">
        <v>11615</v>
      </c>
      <c r="B1369" s="3" t="s">
        <v>61</v>
      </c>
      <c r="C1369" s="3" t="s">
        <v>90</v>
      </c>
      <c r="D1369" s="9">
        <v>42183</v>
      </c>
      <c r="E1369" s="5">
        <v>400</v>
      </c>
      <c r="F1369">
        <f>VLOOKUP(A1369,paiments2[],3,FALSE)</f>
        <v>400</v>
      </c>
      <c r="G1369" s="7"/>
    </row>
    <row r="1370" spans="1:7" x14ac:dyDescent="0.2">
      <c r="A1370" s="2">
        <v>11616</v>
      </c>
      <c r="B1370" s="3" t="s">
        <v>23</v>
      </c>
      <c r="C1370" s="3" t="s">
        <v>96</v>
      </c>
      <c r="D1370" s="9">
        <v>42183</v>
      </c>
      <c r="E1370" s="5">
        <v>370</v>
      </c>
      <c r="F1370">
        <f>VLOOKUP(A1370,paiments2[],3,FALSE)</f>
        <v>370</v>
      </c>
      <c r="G1370" s="7"/>
    </row>
    <row r="1371" spans="1:7" x14ac:dyDescent="0.2">
      <c r="A1371" s="2">
        <v>11617</v>
      </c>
      <c r="B1371" s="3" t="s">
        <v>71</v>
      </c>
      <c r="C1371" s="3" t="s">
        <v>94</v>
      </c>
      <c r="D1371" s="9">
        <v>42183</v>
      </c>
      <c r="E1371" s="5">
        <v>502</v>
      </c>
      <c r="F1371">
        <f>VLOOKUP(A1371,paiments2[],3,FALSE)</f>
        <v>502</v>
      </c>
      <c r="G1371" s="7"/>
    </row>
    <row r="1372" spans="1:7" x14ac:dyDescent="0.2">
      <c r="A1372" s="2">
        <v>11618</v>
      </c>
      <c r="B1372" s="3" t="s">
        <v>27</v>
      </c>
      <c r="C1372" s="3" t="s">
        <v>91</v>
      </c>
      <c r="D1372" s="9">
        <v>42186</v>
      </c>
      <c r="E1372" s="5">
        <v>269</v>
      </c>
      <c r="F1372">
        <f>VLOOKUP(A1372,paiments2[],3,FALSE)</f>
        <v>269</v>
      </c>
      <c r="G1372" s="7"/>
    </row>
    <row r="1373" spans="1:7" x14ac:dyDescent="0.2">
      <c r="A1373" s="2">
        <v>11619</v>
      </c>
      <c r="B1373" s="3" t="s">
        <v>64</v>
      </c>
      <c r="C1373" s="3" t="s">
        <v>92</v>
      </c>
      <c r="D1373" s="9">
        <v>42186</v>
      </c>
      <c r="E1373" s="5">
        <v>1405</v>
      </c>
      <c r="F1373">
        <f>VLOOKUP(A1373,paiments2[],3,FALSE)</f>
        <v>1405</v>
      </c>
      <c r="G1373" s="7"/>
    </row>
    <row r="1374" spans="1:7" x14ac:dyDescent="0.2">
      <c r="A1374" s="2">
        <v>11620</v>
      </c>
      <c r="B1374" s="3" t="s">
        <v>65</v>
      </c>
      <c r="C1374" s="3" t="s">
        <v>96</v>
      </c>
      <c r="D1374" s="9">
        <v>42186</v>
      </c>
      <c r="E1374" s="5">
        <v>832</v>
      </c>
      <c r="F1374">
        <f>VLOOKUP(A1374,paiments2[],3,FALSE)</f>
        <v>832</v>
      </c>
      <c r="G1374" s="7"/>
    </row>
    <row r="1375" spans="1:7" x14ac:dyDescent="0.2">
      <c r="A1375" s="2">
        <v>11621</v>
      </c>
      <c r="B1375" s="3" t="s">
        <v>55</v>
      </c>
      <c r="C1375" s="3" t="s">
        <v>91</v>
      </c>
      <c r="D1375" s="9">
        <v>42187</v>
      </c>
      <c r="E1375" s="5">
        <v>288</v>
      </c>
      <c r="F1375">
        <f>VLOOKUP(A1375,paiments2[],3,FALSE)</f>
        <v>288</v>
      </c>
      <c r="G1375" s="7"/>
    </row>
    <row r="1376" spans="1:7" x14ac:dyDescent="0.2">
      <c r="A1376" s="2">
        <v>11622</v>
      </c>
      <c r="B1376" s="3" t="s">
        <v>60</v>
      </c>
      <c r="C1376" s="3" t="s">
        <v>94</v>
      </c>
      <c r="D1376" s="9">
        <v>42187</v>
      </c>
      <c r="E1376" s="5">
        <v>1450</v>
      </c>
      <c r="F1376">
        <f>VLOOKUP(A1376,paiments2[],3,FALSE)</f>
        <v>1450</v>
      </c>
      <c r="G1376" s="7"/>
    </row>
    <row r="1377" spans="1:7" x14ac:dyDescent="0.2">
      <c r="A1377" s="2">
        <v>11623</v>
      </c>
      <c r="B1377" s="3" t="s">
        <v>2</v>
      </c>
      <c r="C1377" s="3" t="s">
        <v>89</v>
      </c>
      <c r="D1377" s="9">
        <v>42187</v>
      </c>
      <c r="E1377" s="5">
        <v>540</v>
      </c>
      <c r="F1377">
        <f>VLOOKUP(A1377,paiments2[],3,FALSE)</f>
        <v>540</v>
      </c>
      <c r="G1377" s="7"/>
    </row>
    <row r="1378" spans="1:7" x14ac:dyDescent="0.2">
      <c r="A1378" s="2">
        <v>11624</v>
      </c>
      <c r="B1378" s="3" t="s">
        <v>53</v>
      </c>
      <c r="C1378" s="3" t="s">
        <v>97</v>
      </c>
      <c r="D1378" s="9">
        <v>42187</v>
      </c>
      <c r="E1378" s="5">
        <v>690</v>
      </c>
      <c r="F1378">
        <f>VLOOKUP(A1378,paiments2[],3,FALSE)</f>
        <v>690</v>
      </c>
      <c r="G1378" s="7"/>
    </row>
    <row r="1379" spans="1:7" x14ac:dyDescent="0.2">
      <c r="A1379" s="2">
        <v>11625</v>
      </c>
      <c r="B1379" s="3" t="s">
        <v>25</v>
      </c>
      <c r="C1379" s="3" t="s">
        <v>92</v>
      </c>
      <c r="D1379" s="9">
        <v>42188</v>
      </c>
      <c r="E1379" s="5">
        <v>1510</v>
      </c>
      <c r="F1379">
        <f>VLOOKUP(A1379,paiments2[],3,FALSE)</f>
        <v>1510</v>
      </c>
      <c r="G1379" s="7"/>
    </row>
    <row r="1380" spans="1:7" x14ac:dyDescent="0.2">
      <c r="A1380" s="2">
        <v>11626</v>
      </c>
      <c r="B1380" s="3" t="s">
        <v>2</v>
      </c>
      <c r="C1380" s="3" t="s">
        <v>92</v>
      </c>
      <c r="D1380" s="9">
        <v>42188</v>
      </c>
      <c r="E1380" s="5">
        <v>410</v>
      </c>
      <c r="F1380">
        <f>VLOOKUP(A1380,paiments2[],3,FALSE)</f>
        <v>410</v>
      </c>
      <c r="G1380" s="7"/>
    </row>
    <row r="1381" spans="1:7" x14ac:dyDescent="0.2">
      <c r="A1381" s="2">
        <v>11627</v>
      </c>
      <c r="B1381" s="3" t="s">
        <v>39</v>
      </c>
      <c r="C1381" s="3" t="s">
        <v>91</v>
      </c>
      <c r="D1381" s="9">
        <v>42188</v>
      </c>
      <c r="E1381" s="5">
        <v>381</v>
      </c>
      <c r="F1381">
        <f>VLOOKUP(A1381,paiments2[],3,FALSE)</f>
        <v>381</v>
      </c>
      <c r="G1381" s="7"/>
    </row>
    <row r="1382" spans="1:7" x14ac:dyDescent="0.2">
      <c r="A1382" s="2">
        <v>11628</v>
      </c>
      <c r="B1382" s="3" t="s">
        <v>85</v>
      </c>
      <c r="C1382" s="3" t="s">
        <v>91</v>
      </c>
      <c r="D1382" s="9">
        <v>42189</v>
      </c>
      <c r="E1382" s="5">
        <v>590</v>
      </c>
      <c r="F1382">
        <f>VLOOKUP(A1382,paiments2[],3,FALSE)</f>
        <v>590</v>
      </c>
      <c r="G1382" s="7"/>
    </row>
    <row r="1383" spans="1:7" x14ac:dyDescent="0.2">
      <c r="A1383" s="2">
        <v>11629</v>
      </c>
      <c r="B1383" s="3" t="s">
        <v>98</v>
      </c>
      <c r="C1383" s="3" t="s">
        <v>94</v>
      </c>
      <c r="D1383" s="9">
        <v>42189</v>
      </c>
      <c r="E1383" s="5">
        <v>100</v>
      </c>
      <c r="F1383">
        <f>VLOOKUP(A1383,paiments2[],3,FALSE)</f>
        <v>100</v>
      </c>
      <c r="G1383" s="7"/>
    </row>
    <row r="1384" spans="1:7" x14ac:dyDescent="0.2">
      <c r="A1384" s="2">
        <v>11630</v>
      </c>
      <c r="B1384" s="3" t="s">
        <v>17</v>
      </c>
      <c r="C1384" s="3" t="s">
        <v>90</v>
      </c>
      <c r="D1384" s="9">
        <v>42189</v>
      </c>
      <c r="E1384" s="5">
        <v>800</v>
      </c>
      <c r="F1384">
        <f>VLOOKUP(A1384,paiments2[],3,FALSE)</f>
        <v>800</v>
      </c>
      <c r="G1384" s="7"/>
    </row>
    <row r="1385" spans="1:7" x14ac:dyDescent="0.2">
      <c r="A1385" s="2">
        <v>11631</v>
      </c>
      <c r="B1385" s="3" t="s">
        <v>4</v>
      </c>
      <c r="C1385" s="3" t="s">
        <v>91</v>
      </c>
      <c r="D1385" s="9">
        <v>42190</v>
      </c>
      <c r="E1385" s="5">
        <v>1827</v>
      </c>
      <c r="F1385">
        <f>VLOOKUP(A1385,paiments2[],3,FALSE)</f>
        <v>1827</v>
      </c>
      <c r="G1385" s="7"/>
    </row>
    <row r="1386" spans="1:7" x14ac:dyDescent="0.2">
      <c r="A1386" s="2">
        <v>11632</v>
      </c>
      <c r="B1386" s="3" t="s">
        <v>6</v>
      </c>
      <c r="C1386" s="3" t="s">
        <v>91</v>
      </c>
      <c r="D1386" s="9">
        <v>42190</v>
      </c>
      <c r="E1386" s="5">
        <v>588</v>
      </c>
      <c r="F1386">
        <f>VLOOKUP(A1386,paiments2[],3,FALSE)</f>
        <v>588</v>
      </c>
      <c r="G1386" s="7"/>
    </row>
    <row r="1387" spans="1:7" x14ac:dyDescent="0.2">
      <c r="A1387" s="2">
        <v>11633</v>
      </c>
      <c r="B1387" s="3" t="s">
        <v>48</v>
      </c>
      <c r="C1387" s="3" t="s">
        <v>95</v>
      </c>
      <c r="D1387" s="9">
        <v>42190</v>
      </c>
      <c r="E1387" s="5">
        <v>1424</v>
      </c>
      <c r="F1387">
        <f>VLOOKUP(A1387,paiments2[],3,FALSE)</f>
        <v>1424</v>
      </c>
      <c r="G1387" s="7"/>
    </row>
    <row r="1388" spans="1:7" x14ac:dyDescent="0.2">
      <c r="A1388" s="2">
        <v>11634</v>
      </c>
      <c r="B1388" s="3" t="s">
        <v>42</v>
      </c>
      <c r="C1388" s="3" t="s">
        <v>90</v>
      </c>
      <c r="D1388" s="9">
        <v>42190</v>
      </c>
      <c r="E1388" s="5">
        <v>680</v>
      </c>
      <c r="F1388">
        <f>VLOOKUP(A1388,paiments2[],3,FALSE)</f>
        <v>680</v>
      </c>
      <c r="G1388" s="7"/>
    </row>
    <row r="1389" spans="1:7" x14ac:dyDescent="0.2">
      <c r="A1389" s="2">
        <v>11635</v>
      </c>
      <c r="B1389" s="3" t="s">
        <v>26</v>
      </c>
      <c r="C1389" s="3" t="s">
        <v>92</v>
      </c>
      <c r="D1389" s="9">
        <v>42193</v>
      </c>
      <c r="E1389" s="5">
        <v>380</v>
      </c>
      <c r="F1389">
        <f>VLOOKUP(A1389,paiments2[],3,FALSE)</f>
        <v>380</v>
      </c>
      <c r="G1389" s="7"/>
    </row>
    <row r="1390" spans="1:7" x14ac:dyDescent="0.2">
      <c r="A1390" s="2">
        <v>11636</v>
      </c>
      <c r="B1390" s="3" t="s">
        <v>7</v>
      </c>
      <c r="C1390" s="3" t="s">
        <v>91</v>
      </c>
      <c r="D1390" s="9">
        <v>42193</v>
      </c>
      <c r="E1390" s="5">
        <v>509</v>
      </c>
      <c r="F1390">
        <f>VLOOKUP(A1390,paiments2[],3,FALSE)</f>
        <v>509</v>
      </c>
      <c r="G1390" s="7"/>
    </row>
    <row r="1391" spans="1:7" x14ac:dyDescent="0.2">
      <c r="A1391" s="2">
        <v>11637</v>
      </c>
      <c r="B1391" s="3" t="s">
        <v>77</v>
      </c>
      <c r="C1391" s="3" t="s">
        <v>92</v>
      </c>
      <c r="D1391" s="9">
        <v>42193</v>
      </c>
      <c r="E1391" s="5">
        <v>420</v>
      </c>
      <c r="F1391">
        <f>VLOOKUP(A1391,paiments2[],3,FALSE)</f>
        <v>420</v>
      </c>
      <c r="G1391" s="7"/>
    </row>
    <row r="1392" spans="1:7" x14ac:dyDescent="0.2">
      <c r="A1392" s="2">
        <v>11638</v>
      </c>
      <c r="B1392" s="3" t="s">
        <v>76</v>
      </c>
      <c r="C1392" s="3" t="s">
        <v>97</v>
      </c>
      <c r="D1392" s="9">
        <v>42194</v>
      </c>
      <c r="E1392" s="5">
        <v>472</v>
      </c>
      <c r="F1392">
        <f>VLOOKUP(A1392,paiments2[],3,FALSE)</f>
        <v>472</v>
      </c>
      <c r="G1392" s="7"/>
    </row>
    <row r="1393" spans="1:7" x14ac:dyDescent="0.2">
      <c r="A1393" s="2">
        <v>11639</v>
      </c>
      <c r="B1393" s="3" t="s">
        <v>21</v>
      </c>
      <c r="C1393" s="3" t="s">
        <v>92</v>
      </c>
      <c r="D1393" s="9">
        <v>42194</v>
      </c>
      <c r="E1393" s="5">
        <v>2705</v>
      </c>
      <c r="F1393">
        <f>VLOOKUP(A1393,paiments2[],3,FALSE)</f>
        <v>2705</v>
      </c>
      <c r="G1393" s="7"/>
    </row>
    <row r="1394" spans="1:7" x14ac:dyDescent="0.2">
      <c r="A1394" s="2">
        <v>11640</v>
      </c>
      <c r="B1394" s="3" t="s">
        <v>22</v>
      </c>
      <c r="C1394" s="3" t="s">
        <v>96</v>
      </c>
      <c r="D1394" s="9">
        <v>42194</v>
      </c>
      <c r="E1394" s="5">
        <v>540</v>
      </c>
      <c r="F1394">
        <f>VLOOKUP(A1394,paiments2[],3,FALSE)</f>
        <v>540</v>
      </c>
      <c r="G1394" s="7"/>
    </row>
    <row r="1395" spans="1:7" x14ac:dyDescent="0.2">
      <c r="A1395" s="2">
        <v>11641</v>
      </c>
      <c r="B1395" s="3" t="s">
        <v>48</v>
      </c>
      <c r="C1395" s="3" t="s">
        <v>95</v>
      </c>
      <c r="D1395" s="9">
        <v>42195</v>
      </c>
      <c r="E1395" s="5">
        <v>256</v>
      </c>
      <c r="F1395">
        <f>VLOOKUP(A1395,paiments2[],3,FALSE)</f>
        <v>256</v>
      </c>
      <c r="G1395" s="7"/>
    </row>
    <row r="1396" spans="1:7" x14ac:dyDescent="0.2">
      <c r="A1396" s="2">
        <v>11642</v>
      </c>
      <c r="B1396" s="3" t="s">
        <v>45</v>
      </c>
      <c r="C1396" s="3" t="s">
        <v>97</v>
      </c>
      <c r="D1396" s="9">
        <v>42195</v>
      </c>
      <c r="E1396" s="5">
        <v>3526</v>
      </c>
      <c r="F1396">
        <f>VLOOKUP(A1396,paiments2[],3,FALSE)</f>
        <v>3526</v>
      </c>
      <c r="G1396" s="7"/>
    </row>
    <row r="1397" spans="1:7" x14ac:dyDescent="0.2">
      <c r="A1397" s="2">
        <v>11643</v>
      </c>
      <c r="B1397" s="3" t="s">
        <v>30</v>
      </c>
      <c r="C1397" s="3" t="s">
        <v>93</v>
      </c>
      <c r="D1397" s="9">
        <v>42195</v>
      </c>
      <c r="E1397" s="5">
        <v>420</v>
      </c>
      <c r="F1397">
        <f>VLOOKUP(A1397,paiments2[],3,FALSE)</f>
        <v>420</v>
      </c>
      <c r="G1397" s="7"/>
    </row>
    <row r="1398" spans="1:7" x14ac:dyDescent="0.2">
      <c r="A1398" s="2">
        <v>11644</v>
      </c>
      <c r="B1398" s="3" t="s">
        <v>31</v>
      </c>
      <c r="C1398" s="3" t="s">
        <v>91</v>
      </c>
      <c r="D1398" s="9">
        <v>42195</v>
      </c>
      <c r="E1398" s="5">
        <v>531</v>
      </c>
      <c r="F1398">
        <f>VLOOKUP(A1398,paiments2[],3,FALSE)</f>
        <v>531</v>
      </c>
      <c r="G1398" s="7"/>
    </row>
    <row r="1399" spans="1:7" x14ac:dyDescent="0.2">
      <c r="A1399" s="2">
        <v>11645</v>
      </c>
      <c r="B1399" s="3" t="s">
        <v>64</v>
      </c>
      <c r="C1399" s="3" t="s">
        <v>90</v>
      </c>
      <c r="D1399" s="9">
        <v>42196</v>
      </c>
      <c r="E1399" s="5">
        <v>836</v>
      </c>
      <c r="F1399">
        <f>VLOOKUP(A1399,paiments2[],3,FALSE)</f>
        <v>836</v>
      </c>
      <c r="G1399" s="7"/>
    </row>
    <row r="1400" spans="1:7" x14ac:dyDescent="0.2">
      <c r="A1400" s="2">
        <v>11646</v>
      </c>
      <c r="B1400" s="3" t="s">
        <v>24</v>
      </c>
      <c r="C1400" s="3" t="s">
        <v>91</v>
      </c>
      <c r="D1400" s="9">
        <v>42196</v>
      </c>
      <c r="E1400" s="5">
        <v>170</v>
      </c>
      <c r="F1400">
        <f>VLOOKUP(A1400,paiments2[],3,FALSE)</f>
        <v>170</v>
      </c>
      <c r="G1400" s="7"/>
    </row>
    <row r="1401" spans="1:7" x14ac:dyDescent="0.2">
      <c r="A1401" s="2">
        <v>11647</v>
      </c>
      <c r="B1401" s="3" t="s">
        <v>60</v>
      </c>
      <c r="C1401" s="3" t="s">
        <v>94</v>
      </c>
      <c r="D1401" s="9">
        <v>42196</v>
      </c>
      <c r="E1401" s="5">
        <v>1010</v>
      </c>
      <c r="F1401">
        <f>VLOOKUP(A1401,paiments2[],3,FALSE)</f>
        <v>1010</v>
      </c>
      <c r="G1401" s="7"/>
    </row>
    <row r="1402" spans="1:7" x14ac:dyDescent="0.2">
      <c r="A1402" s="2">
        <v>11648</v>
      </c>
      <c r="B1402" s="3" t="s">
        <v>31</v>
      </c>
      <c r="C1402" s="3" t="s">
        <v>92</v>
      </c>
      <c r="D1402" s="9">
        <v>42197</v>
      </c>
      <c r="E1402" s="5">
        <v>164</v>
      </c>
      <c r="F1402">
        <f>VLOOKUP(A1402,paiments2[],3,FALSE)</f>
        <v>164</v>
      </c>
      <c r="G1402" s="7"/>
    </row>
    <row r="1403" spans="1:7" x14ac:dyDescent="0.2">
      <c r="A1403" s="2">
        <v>11649</v>
      </c>
      <c r="B1403" s="3" t="s">
        <v>36</v>
      </c>
      <c r="C1403" s="3" t="s">
        <v>92</v>
      </c>
      <c r="D1403" s="9">
        <v>42197</v>
      </c>
      <c r="E1403" s="5">
        <v>1780</v>
      </c>
      <c r="F1403">
        <f>VLOOKUP(A1403,paiments2[],3,FALSE)</f>
        <v>1780</v>
      </c>
      <c r="G1403" s="7"/>
    </row>
    <row r="1404" spans="1:7" x14ac:dyDescent="0.2">
      <c r="A1404" s="2">
        <v>11650</v>
      </c>
      <c r="B1404" s="3" t="s">
        <v>64</v>
      </c>
      <c r="C1404" s="3" t="s">
        <v>96</v>
      </c>
      <c r="D1404" s="9">
        <v>42197</v>
      </c>
      <c r="E1404" s="5">
        <v>3312</v>
      </c>
      <c r="F1404">
        <f>VLOOKUP(A1404,paiments2[],3,FALSE)</f>
        <v>3312</v>
      </c>
      <c r="G1404" s="7"/>
    </row>
    <row r="1405" spans="1:7" x14ac:dyDescent="0.2">
      <c r="A1405" s="2">
        <v>11651</v>
      </c>
      <c r="B1405" s="3" t="s">
        <v>22</v>
      </c>
      <c r="C1405" s="3" t="s">
        <v>94</v>
      </c>
      <c r="D1405" s="9">
        <v>42200</v>
      </c>
      <c r="E1405" s="5">
        <v>80</v>
      </c>
      <c r="F1405">
        <f>VLOOKUP(A1405,paiments2[],3,FALSE)</f>
        <v>80</v>
      </c>
      <c r="G1405" s="7"/>
    </row>
    <row r="1406" spans="1:7" x14ac:dyDescent="0.2">
      <c r="A1406" s="2">
        <v>11652</v>
      </c>
      <c r="B1406" s="3" t="s">
        <v>6</v>
      </c>
      <c r="C1406" s="3" t="s">
        <v>93</v>
      </c>
      <c r="D1406" s="9">
        <v>42200</v>
      </c>
      <c r="E1406" s="5">
        <v>307</v>
      </c>
      <c r="F1406">
        <f>VLOOKUP(A1406,paiments2[],3,FALSE)</f>
        <v>307</v>
      </c>
      <c r="G1406" s="7"/>
    </row>
    <row r="1407" spans="1:7" x14ac:dyDescent="0.2">
      <c r="A1407" s="2">
        <v>11653</v>
      </c>
      <c r="B1407" s="3" t="s">
        <v>100</v>
      </c>
      <c r="C1407" s="3" t="s">
        <v>94</v>
      </c>
      <c r="D1407" s="9">
        <v>42200</v>
      </c>
      <c r="E1407" s="5">
        <v>372</v>
      </c>
      <c r="F1407">
        <f>VLOOKUP(A1407,paiments2[],3,FALSE)</f>
        <v>372</v>
      </c>
      <c r="G1407" s="7"/>
    </row>
    <row r="1408" spans="1:7" x14ac:dyDescent="0.2">
      <c r="A1408" s="2">
        <v>11654</v>
      </c>
      <c r="B1408" s="3" t="s">
        <v>55</v>
      </c>
      <c r="C1408" s="3" t="s">
        <v>93</v>
      </c>
      <c r="D1408" s="9">
        <v>42200</v>
      </c>
      <c r="E1408" s="5">
        <v>3500</v>
      </c>
      <c r="F1408">
        <f>VLOOKUP(A1408,paiments2[],3,FALSE)</f>
        <v>3500</v>
      </c>
      <c r="G1408" s="7"/>
    </row>
    <row r="1409" spans="1:7" x14ac:dyDescent="0.2">
      <c r="A1409" s="2">
        <v>11655</v>
      </c>
      <c r="B1409" s="3" t="s">
        <v>65</v>
      </c>
      <c r="C1409" s="3" t="s">
        <v>89</v>
      </c>
      <c r="D1409" s="9">
        <v>42201</v>
      </c>
      <c r="E1409" s="5">
        <v>1399</v>
      </c>
      <c r="F1409">
        <f>VLOOKUP(A1409,paiments2[],3,FALSE)</f>
        <v>1399</v>
      </c>
      <c r="G1409" s="7"/>
    </row>
    <row r="1410" spans="1:7" x14ac:dyDescent="0.2">
      <c r="A1410" s="2">
        <v>11656</v>
      </c>
      <c r="B1410" s="3" t="s">
        <v>14</v>
      </c>
      <c r="C1410" s="3" t="s">
        <v>95</v>
      </c>
      <c r="D1410" s="9">
        <v>42201</v>
      </c>
      <c r="E1410" s="5">
        <v>60</v>
      </c>
      <c r="F1410">
        <f>VLOOKUP(A1410,paiments2[],3,FALSE)</f>
        <v>60</v>
      </c>
      <c r="G1410" s="7"/>
    </row>
    <row r="1411" spans="1:7" x14ac:dyDescent="0.2">
      <c r="A1411" s="2">
        <v>11657</v>
      </c>
      <c r="B1411" s="3" t="s">
        <v>74</v>
      </c>
      <c r="C1411" s="3" t="s">
        <v>90</v>
      </c>
      <c r="D1411" s="9">
        <v>42201</v>
      </c>
      <c r="E1411" s="5">
        <v>502</v>
      </c>
      <c r="F1411">
        <f>VLOOKUP(A1411,paiments2[],3,FALSE)</f>
        <v>502</v>
      </c>
      <c r="G1411" s="7"/>
    </row>
    <row r="1412" spans="1:7" x14ac:dyDescent="0.2">
      <c r="A1412" s="2">
        <v>11658</v>
      </c>
      <c r="B1412" s="3" t="s">
        <v>8</v>
      </c>
      <c r="C1412" s="3" t="s">
        <v>95</v>
      </c>
      <c r="D1412" s="9">
        <v>42202</v>
      </c>
      <c r="E1412" s="5">
        <v>1290</v>
      </c>
      <c r="F1412">
        <f>VLOOKUP(A1412,paiments2[],3,FALSE)</f>
        <v>1290</v>
      </c>
      <c r="G1412" s="7"/>
    </row>
    <row r="1413" spans="1:7" x14ac:dyDescent="0.2">
      <c r="A1413" s="2">
        <v>11659</v>
      </c>
      <c r="B1413" s="3" t="s">
        <v>67</v>
      </c>
      <c r="C1413" s="3" t="s">
        <v>97</v>
      </c>
      <c r="D1413" s="9">
        <v>42202</v>
      </c>
      <c r="E1413" s="5">
        <v>582</v>
      </c>
      <c r="F1413">
        <f>VLOOKUP(A1413,paiments2[],3,FALSE)</f>
        <v>582</v>
      </c>
      <c r="G1413" s="7"/>
    </row>
    <row r="1414" spans="1:7" x14ac:dyDescent="0.2">
      <c r="A1414" s="2">
        <v>11660</v>
      </c>
      <c r="B1414" s="3" t="s">
        <v>69</v>
      </c>
      <c r="C1414" s="3" t="s">
        <v>90</v>
      </c>
      <c r="D1414" s="9">
        <v>42202</v>
      </c>
      <c r="E1414" s="5">
        <v>100</v>
      </c>
      <c r="F1414">
        <f>VLOOKUP(A1414,paiments2[],3,FALSE)</f>
        <v>100</v>
      </c>
      <c r="G1414" s="7"/>
    </row>
    <row r="1415" spans="1:7" x14ac:dyDescent="0.2">
      <c r="A1415" s="2">
        <v>11661</v>
      </c>
      <c r="B1415" s="3" t="s">
        <v>8</v>
      </c>
      <c r="C1415" s="3" t="s">
        <v>92</v>
      </c>
      <c r="D1415" s="9">
        <v>42203</v>
      </c>
      <c r="E1415" s="5">
        <v>198</v>
      </c>
      <c r="F1415">
        <f>VLOOKUP(A1415,paiments2[],3,FALSE)</f>
        <v>198</v>
      </c>
      <c r="G1415" s="7"/>
    </row>
    <row r="1416" spans="1:7" x14ac:dyDescent="0.2">
      <c r="A1416" s="2">
        <v>11662</v>
      </c>
      <c r="B1416" s="3" t="s">
        <v>61</v>
      </c>
      <c r="C1416" s="3" t="s">
        <v>95</v>
      </c>
      <c r="D1416" s="9">
        <v>42203</v>
      </c>
      <c r="E1416" s="5">
        <v>810</v>
      </c>
      <c r="F1416">
        <f>VLOOKUP(A1416,paiments2[],3,FALSE)</f>
        <v>810</v>
      </c>
      <c r="G1416" s="7"/>
    </row>
    <row r="1417" spans="1:7" x14ac:dyDescent="0.2">
      <c r="A1417" s="2">
        <v>11663</v>
      </c>
      <c r="B1417" s="3" t="s">
        <v>21</v>
      </c>
      <c r="C1417" s="3" t="s">
        <v>95</v>
      </c>
      <c r="D1417" s="9">
        <v>42203</v>
      </c>
      <c r="E1417" s="5">
        <v>2613</v>
      </c>
      <c r="F1417">
        <f>VLOOKUP(A1417,paiments2[],3,FALSE)</f>
        <v>2613</v>
      </c>
      <c r="G1417" s="7"/>
    </row>
    <row r="1418" spans="1:7" x14ac:dyDescent="0.2">
      <c r="A1418" s="2">
        <v>11664</v>
      </c>
      <c r="B1418" s="3" t="s">
        <v>47</v>
      </c>
      <c r="C1418" s="3" t="s">
        <v>93</v>
      </c>
      <c r="D1418" s="9">
        <v>42203</v>
      </c>
      <c r="E1418" s="5">
        <v>50</v>
      </c>
      <c r="F1418">
        <f>VLOOKUP(A1418,paiments2[],3,FALSE)</f>
        <v>50</v>
      </c>
      <c r="G1418" s="7"/>
    </row>
    <row r="1419" spans="1:7" x14ac:dyDescent="0.2">
      <c r="A1419" s="2">
        <v>11665</v>
      </c>
      <c r="B1419" s="3" t="s">
        <v>84</v>
      </c>
      <c r="C1419" s="3" t="s">
        <v>92</v>
      </c>
      <c r="D1419" s="9">
        <v>42204</v>
      </c>
      <c r="E1419" s="5">
        <v>1552</v>
      </c>
      <c r="F1419">
        <f>VLOOKUP(A1419,paiments2[],3,FALSE)</f>
        <v>1552</v>
      </c>
      <c r="G1419" s="7"/>
    </row>
    <row r="1420" spans="1:7" x14ac:dyDescent="0.2">
      <c r="A1420" s="2">
        <v>11666</v>
      </c>
      <c r="B1420" s="3" t="s">
        <v>37</v>
      </c>
      <c r="C1420" s="3" t="s">
        <v>90</v>
      </c>
      <c r="D1420" s="9">
        <v>42204</v>
      </c>
      <c r="E1420" s="5">
        <v>640</v>
      </c>
      <c r="F1420">
        <f>VLOOKUP(A1420,paiments2[],3,FALSE)</f>
        <v>640</v>
      </c>
      <c r="G1420" s="7"/>
    </row>
    <row r="1421" spans="1:7" x14ac:dyDescent="0.2">
      <c r="A1421" s="2">
        <v>11667</v>
      </c>
      <c r="B1421" s="3" t="s">
        <v>5</v>
      </c>
      <c r="C1421" s="3" t="s">
        <v>91</v>
      </c>
      <c r="D1421" s="9">
        <v>42204</v>
      </c>
      <c r="E1421" s="5">
        <v>932</v>
      </c>
      <c r="F1421">
        <f>VLOOKUP(A1421,paiments2[],3,FALSE)</f>
        <v>932</v>
      </c>
      <c r="G1421" s="7"/>
    </row>
    <row r="1422" spans="1:7" x14ac:dyDescent="0.2">
      <c r="A1422" s="2">
        <v>11668</v>
      </c>
      <c r="B1422" s="3" t="s">
        <v>1</v>
      </c>
      <c r="C1422" s="3" t="s">
        <v>96</v>
      </c>
      <c r="D1422" s="9">
        <v>42207</v>
      </c>
      <c r="E1422" s="5">
        <v>684</v>
      </c>
      <c r="F1422">
        <f>VLOOKUP(A1422,paiments2[],3,FALSE)</f>
        <v>684</v>
      </c>
      <c r="G1422" s="7"/>
    </row>
    <row r="1423" spans="1:7" x14ac:dyDescent="0.2">
      <c r="A1423" s="2">
        <v>11669</v>
      </c>
      <c r="B1423" s="3" t="s">
        <v>9</v>
      </c>
      <c r="C1423" s="3" t="s">
        <v>94</v>
      </c>
      <c r="D1423" s="9">
        <v>42207</v>
      </c>
      <c r="E1423" s="5">
        <v>1030</v>
      </c>
      <c r="F1423">
        <f>VLOOKUP(A1423,paiments2[],3,FALSE)</f>
        <v>1030</v>
      </c>
      <c r="G1423" s="7"/>
    </row>
    <row r="1424" spans="1:7" x14ac:dyDescent="0.2">
      <c r="A1424" s="2">
        <v>11670</v>
      </c>
      <c r="B1424" s="3" t="s">
        <v>32</v>
      </c>
      <c r="C1424" s="3" t="s">
        <v>94</v>
      </c>
      <c r="D1424" s="9">
        <v>42207</v>
      </c>
      <c r="E1424" s="5">
        <v>81</v>
      </c>
      <c r="F1424">
        <f>VLOOKUP(A1424,paiments2[],3,FALSE)</f>
        <v>81</v>
      </c>
      <c r="G1424" s="7"/>
    </row>
    <row r="1425" spans="1:7" x14ac:dyDescent="0.2">
      <c r="A1425" s="2">
        <v>11671</v>
      </c>
      <c r="B1425" s="3" t="s">
        <v>46</v>
      </c>
      <c r="C1425" s="3" t="s">
        <v>93</v>
      </c>
      <c r="D1425" s="9">
        <v>42208</v>
      </c>
      <c r="E1425" s="5">
        <v>200</v>
      </c>
      <c r="F1425">
        <f>VLOOKUP(A1425,paiments2[],3,FALSE)</f>
        <v>200</v>
      </c>
      <c r="G1425" s="7"/>
    </row>
    <row r="1426" spans="1:7" x14ac:dyDescent="0.2">
      <c r="A1426" s="2">
        <v>11672</v>
      </c>
      <c r="B1426" s="3" t="s">
        <v>83</v>
      </c>
      <c r="C1426" s="3" t="s">
        <v>96</v>
      </c>
      <c r="D1426" s="9">
        <v>42208</v>
      </c>
      <c r="E1426" s="5">
        <v>1316</v>
      </c>
      <c r="F1426">
        <f>VLOOKUP(A1426,paiments2[],3,FALSE)</f>
        <v>1316</v>
      </c>
      <c r="G1426" s="7"/>
    </row>
    <row r="1427" spans="1:7" x14ac:dyDescent="0.2">
      <c r="A1427" s="2">
        <v>11673</v>
      </c>
      <c r="B1427" s="3" t="s">
        <v>85</v>
      </c>
      <c r="C1427" s="3" t="s">
        <v>91</v>
      </c>
      <c r="D1427" s="9">
        <v>42208</v>
      </c>
      <c r="E1427" s="5">
        <v>181</v>
      </c>
      <c r="F1427">
        <f>VLOOKUP(A1427,paiments2[],3,FALSE)</f>
        <v>181</v>
      </c>
      <c r="G1427" s="7"/>
    </row>
    <row r="1428" spans="1:7" x14ac:dyDescent="0.2">
      <c r="A1428" s="2">
        <v>11674</v>
      </c>
      <c r="B1428" s="3" t="s">
        <v>85</v>
      </c>
      <c r="C1428" s="3" t="s">
        <v>90</v>
      </c>
      <c r="D1428" s="9">
        <v>42208</v>
      </c>
      <c r="E1428" s="5">
        <v>207</v>
      </c>
      <c r="F1428">
        <f>VLOOKUP(A1428,paiments2[],3,FALSE)</f>
        <v>207</v>
      </c>
      <c r="G1428" s="7"/>
    </row>
    <row r="1429" spans="1:7" x14ac:dyDescent="0.2">
      <c r="A1429" s="2">
        <v>11675</v>
      </c>
      <c r="B1429" s="3" t="s">
        <v>20</v>
      </c>
      <c r="C1429" s="3" t="s">
        <v>92</v>
      </c>
      <c r="D1429" s="9">
        <v>42209</v>
      </c>
      <c r="E1429" s="5">
        <v>330</v>
      </c>
      <c r="F1429">
        <f>VLOOKUP(A1429,paiments2[],3,FALSE)</f>
        <v>330</v>
      </c>
      <c r="G1429" s="7"/>
    </row>
    <row r="1430" spans="1:7" x14ac:dyDescent="0.2">
      <c r="A1430" s="2">
        <v>11676</v>
      </c>
      <c r="B1430" s="3" t="s">
        <v>64</v>
      </c>
      <c r="C1430" s="3" t="s">
        <v>94</v>
      </c>
      <c r="D1430" s="9">
        <v>42209</v>
      </c>
      <c r="E1430" s="5">
        <v>530</v>
      </c>
      <c r="F1430">
        <f>VLOOKUP(A1430,paiments2[],3,FALSE)</f>
        <v>530</v>
      </c>
      <c r="G1430" s="7"/>
    </row>
    <row r="1431" spans="1:7" x14ac:dyDescent="0.2">
      <c r="A1431" s="2">
        <v>11677</v>
      </c>
      <c r="B1431" s="3" t="s">
        <v>8</v>
      </c>
      <c r="C1431" s="3" t="s">
        <v>94</v>
      </c>
      <c r="D1431" s="9">
        <v>42209</v>
      </c>
      <c r="E1431" s="5">
        <v>680</v>
      </c>
      <c r="F1431">
        <f>VLOOKUP(A1431,paiments2[],3,FALSE)</f>
        <v>680</v>
      </c>
      <c r="G1431" s="7"/>
    </row>
    <row r="1432" spans="1:7" x14ac:dyDescent="0.2">
      <c r="A1432" s="2">
        <v>11678</v>
      </c>
      <c r="B1432" s="3" t="s">
        <v>14</v>
      </c>
      <c r="C1432" s="3" t="s">
        <v>95</v>
      </c>
      <c r="D1432" s="9">
        <v>42210</v>
      </c>
      <c r="E1432" s="5">
        <v>1660</v>
      </c>
      <c r="F1432">
        <f>VLOOKUP(A1432,paiments2[],3,FALSE)</f>
        <v>1660</v>
      </c>
      <c r="G1432" s="7"/>
    </row>
    <row r="1433" spans="1:7" x14ac:dyDescent="0.2">
      <c r="A1433" s="2">
        <v>11679</v>
      </c>
      <c r="B1433" s="3" t="s">
        <v>78</v>
      </c>
      <c r="C1433" s="3" t="s">
        <v>93</v>
      </c>
      <c r="D1433" s="9">
        <v>42210</v>
      </c>
      <c r="E1433" s="5">
        <v>1104</v>
      </c>
      <c r="F1433">
        <f>VLOOKUP(A1433,paiments2[],3,FALSE)</f>
        <v>1104</v>
      </c>
      <c r="G1433" s="7"/>
    </row>
    <row r="1434" spans="1:7" x14ac:dyDescent="0.2">
      <c r="A1434" s="2">
        <v>11680</v>
      </c>
      <c r="B1434" s="3" t="s">
        <v>9</v>
      </c>
      <c r="C1434" s="3" t="s">
        <v>95</v>
      </c>
      <c r="D1434" s="9">
        <v>42210</v>
      </c>
      <c r="E1434" s="5">
        <v>3557</v>
      </c>
      <c r="F1434">
        <f>VLOOKUP(A1434,paiments2[],3,FALSE)</f>
        <v>3557</v>
      </c>
      <c r="G1434" s="7"/>
    </row>
    <row r="1435" spans="1:7" x14ac:dyDescent="0.2">
      <c r="A1435" s="2">
        <v>11681</v>
      </c>
      <c r="B1435" s="3" t="s">
        <v>14</v>
      </c>
      <c r="C1435" s="3" t="s">
        <v>91</v>
      </c>
      <c r="D1435" s="9">
        <v>42211</v>
      </c>
      <c r="E1435" s="5">
        <v>200</v>
      </c>
      <c r="F1435">
        <f>VLOOKUP(A1435,paiments2[],3,FALSE)</f>
        <v>200</v>
      </c>
      <c r="G1435" s="7"/>
    </row>
    <row r="1436" spans="1:7" x14ac:dyDescent="0.2">
      <c r="A1436" s="2">
        <v>11682</v>
      </c>
      <c r="B1436" s="3" t="s">
        <v>2</v>
      </c>
      <c r="C1436" s="3" t="s">
        <v>94</v>
      </c>
      <c r="D1436" s="9">
        <v>42211</v>
      </c>
      <c r="E1436" s="5">
        <v>12000</v>
      </c>
      <c r="F1436">
        <f>VLOOKUP(A1436,paiments2[],3,FALSE)</f>
        <v>12000</v>
      </c>
      <c r="G1436" s="7"/>
    </row>
    <row r="1437" spans="1:7" x14ac:dyDescent="0.2">
      <c r="A1437" s="2">
        <v>11683</v>
      </c>
      <c r="B1437" s="3" t="s">
        <v>64</v>
      </c>
      <c r="C1437" s="3" t="s">
        <v>96</v>
      </c>
      <c r="D1437" s="9">
        <v>42211</v>
      </c>
      <c r="E1437" s="5">
        <v>755</v>
      </c>
      <c r="F1437">
        <f>VLOOKUP(A1437,paiments2[],3,FALSE)</f>
        <v>755</v>
      </c>
      <c r="G1437" s="7"/>
    </row>
    <row r="1438" spans="1:7" x14ac:dyDescent="0.2">
      <c r="A1438" s="2">
        <v>11684</v>
      </c>
      <c r="B1438" s="3" t="s">
        <v>45</v>
      </c>
      <c r="C1438" s="3" t="s">
        <v>96</v>
      </c>
      <c r="D1438" s="9">
        <v>42211</v>
      </c>
      <c r="E1438" s="5">
        <v>546</v>
      </c>
      <c r="F1438">
        <f>VLOOKUP(A1438,paiments2[],3,FALSE)</f>
        <v>546</v>
      </c>
      <c r="G1438" s="7"/>
    </row>
    <row r="1439" spans="1:7" x14ac:dyDescent="0.2">
      <c r="A1439" s="2">
        <v>11685</v>
      </c>
      <c r="B1439" s="3" t="s">
        <v>45</v>
      </c>
      <c r="C1439" s="3" t="s">
        <v>94</v>
      </c>
      <c r="D1439" s="9">
        <v>42214</v>
      </c>
      <c r="E1439" s="5">
        <v>1335</v>
      </c>
      <c r="F1439">
        <f>VLOOKUP(A1439,paiments2[],3,FALSE)</f>
        <v>1335</v>
      </c>
      <c r="G1439" s="7"/>
    </row>
    <row r="1440" spans="1:7" x14ac:dyDescent="0.2">
      <c r="A1440" s="2">
        <v>11686</v>
      </c>
      <c r="B1440" s="3" t="s">
        <v>34</v>
      </c>
      <c r="C1440" s="3" t="s">
        <v>96</v>
      </c>
      <c r="D1440" s="9">
        <v>42214</v>
      </c>
      <c r="E1440" s="5">
        <v>1684</v>
      </c>
      <c r="F1440">
        <f>VLOOKUP(A1440,paiments2[],3,FALSE)</f>
        <v>1684</v>
      </c>
      <c r="G1440" s="7"/>
    </row>
    <row r="1441" spans="1:7" x14ac:dyDescent="0.2">
      <c r="A1441" s="2">
        <v>11687</v>
      </c>
      <c r="B1441" s="3" t="s">
        <v>67</v>
      </c>
      <c r="C1441" s="3" t="s">
        <v>95</v>
      </c>
      <c r="D1441" s="9">
        <v>42214</v>
      </c>
      <c r="E1441" s="5">
        <v>1660</v>
      </c>
      <c r="F1441">
        <f>VLOOKUP(A1441,paiments2[],3,FALSE)</f>
        <v>1660</v>
      </c>
      <c r="G1441" s="7"/>
    </row>
    <row r="1442" spans="1:7" x14ac:dyDescent="0.2">
      <c r="A1442" s="2">
        <v>11688</v>
      </c>
      <c r="B1442" s="3" t="s">
        <v>58</v>
      </c>
      <c r="C1442" s="3" t="s">
        <v>95</v>
      </c>
      <c r="D1442" s="9">
        <v>42215</v>
      </c>
      <c r="E1442" s="5">
        <v>2050</v>
      </c>
      <c r="F1442">
        <f>VLOOKUP(A1442,paiments2[],3,FALSE)</f>
        <v>2050</v>
      </c>
      <c r="G1442" s="7"/>
    </row>
    <row r="1443" spans="1:7" x14ac:dyDescent="0.2">
      <c r="A1443" s="2">
        <v>11689</v>
      </c>
      <c r="B1443" s="3" t="s">
        <v>13</v>
      </c>
      <c r="C1443" s="3" t="s">
        <v>92</v>
      </c>
      <c r="D1443" s="9">
        <v>42215</v>
      </c>
      <c r="E1443" s="5">
        <v>2800</v>
      </c>
      <c r="F1443">
        <f>VLOOKUP(A1443,paiments2[],3,FALSE)</f>
        <v>2800</v>
      </c>
      <c r="G1443" s="7"/>
    </row>
    <row r="1444" spans="1:7" x14ac:dyDescent="0.2">
      <c r="A1444" s="2">
        <v>11690</v>
      </c>
      <c r="B1444" s="3" t="s">
        <v>12</v>
      </c>
      <c r="C1444" s="3" t="s">
        <v>96</v>
      </c>
      <c r="D1444" s="9">
        <v>42215</v>
      </c>
      <c r="E1444" s="5">
        <v>1028</v>
      </c>
      <c r="F1444">
        <f>VLOOKUP(A1444,paiments2[],3,FALSE)</f>
        <v>1028</v>
      </c>
      <c r="G1444" s="7"/>
    </row>
    <row r="1445" spans="1:7" x14ac:dyDescent="0.2">
      <c r="A1445" s="2">
        <v>11691</v>
      </c>
      <c r="B1445" s="3" t="s">
        <v>9</v>
      </c>
      <c r="C1445" s="3" t="s">
        <v>96</v>
      </c>
      <c r="D1445" s="9">
        <v>42216</v>
      </c>
      <c r="E1445" s="5">
        <v>3611</v>
      </c>
      <c r="F1445">
        <f>VLOOKUP(A1445,paiments2[],3,FALSE)</f>
        <v>3611</v>
      </c>
      <c r="G1445" s="7"/>
    </row>
    <row r="1446" spans="1:7" x14ac:dyDescent="0.2">
      <c r="A1446" s="2">
        <v>11692</v>
      </c>
      <c r="B1446" s="3" t="s">
        <v>21</v>
      </c>
      <c r="C1446" s="3" t="s">
        <v>94</v>
      </c>
      <c r="D1446" s="9">
        <v>42216</v>
      </c>
      <c r="E1446" s="5">
        <v>2090</v>
      </c>
      <c r="F1446">
        <f>VLOOKUP(A1446,paiments2[],3,FALSE)</f>
        <v>2090</v>
      </c>
      <c r="G1446" s="7"/>
    </row>
    <row r="1447" spans="1:7" x14ac:dyDescent="0.2">
      <c r="A1447" s="2">
        <v>11693</v>
      </c>
      <c r="B1447" s="3" t="s">
        <v>40</v>
      </c>
      <c r="C1447" s="3" t="s">
        <v>94</v>
      </c>
      <c r="D1447" s="9">
        <v>42216</v>
      </c>
      <c r="E1447" s="5">
        <v>52</v>
      </c>
      <c r="F1447">
        <f>VLOOKUP(A1447,paiments2[],3,FALSE)</f>
        <v>52</v>
      </c>
      <c r="G1447" s="7"/>
    </row>
    <row r="1448" spans="1:7" x14ac:dyDescent="0.2">
      <c r="A1448" s="2">
        <v>11694</v>
      </c>
      <c r="B1448" s="3" t="s">
        <v>14</v>
      </c>
      <c r="C1448" s="3" t="s">
        <v>97</v>
      </c>
      <c r="D1448" s="9">
        <v>42216</v>
      </c>
      <c r="E1448" s="5">
        <v>4945</v>
      </c>
      <c r="F1448">
        <f>VLOOKUP(A1448,paiments2[],3,FALSE)</f>
        <v>4945</v>
      </c>
      <c r="G1448" s="7"/>
    </row>
    <row r="1449" spans="1:7" x14ac:dyDescent="0.2">
      <c r="A1449" s="2">
        <v>11695</v>
      </c>
      <c r="B1449" s="3" t="s">
        <v>60</v>
      </c>
      <c r="C1449" s="3" t="s">
        <v>96</v>
      </c>
      <c r="D1449" s="9">
        <v>42217</v>
      </c>
      <c r="E1449" s="5">
        <v>738</v>
      </c>
      <c r="F1449">
        <f>VLOOKUP(A1449,paiments2[],3,FALSE)</f>
        <v>738</v>
      </c>
      <c r="G1449" s="7"/>
    </row>
    <row r="1450" spans="1:7" x14ac:dyDescent="0.2">
      <c r="A1450" s="2">
        <v>11696</v>
      </c>
      <c r="B1450" s="3" t="s">
        <v>43</v>
      </c>
      <c r="C1450" s="3" t="s">
        <v>94</v>
      </c>
      <c r="D1450" s="9">
        <v>42217</v>
      </c>
      <c r="E1450" s="5">
        <v>900</v>
      </c>
      <c r="F1450">
        <f>VLOOKUP(A1450,paiments2[],3,FALSE)</f>
        <v>900</v>
      </c>
      <c r="G1450" s="7"/>
    </row>
    <row r="1451" spans="1:7" x14ac:dyDescent="0.2">
      <c r="A1451" s="2">
        <v>11697</v>
      </c>
      <c r="B1451" s="3" t="s">
        <v>21</v>
      </c>
      <c r="C1451" s="3" t="s">
        <v>91</v>
      </c>
      <c r="D1451" s="9">
        <v>42217</v>
      </c>
      <c r="E1451" s="5">
        <v>400</v>
      </c>
      <c r="F1451">
        <f>VLOOKUP(A1451,paiments2[],3,FALSE)</f>
        <v>400</v>
      </c>
      <c r="G1451" s="7"/>
    </row>
    <row r="1452" spans="1:7" x14ac:dyDescent="0.2">
      <c r="A1452" s="2">
        <v>11698</v>
      </c>
      <c r="B1452" s="3" t="s">
        <v>28</v>
      </c>
      <c r="C1452" s="3" t="s">
        <v>95</v>
      </c>
      <c r="D1452" s="9">
        <v>42218</v>
      </c>
      <c r="E1452" s="5">
        <v>1480</v>
      </c>
      <c r="F1452">
        <f>VLOOKUP(A1452,paiments2[],3,FALSE)</f>
        <v>1480</v>
      </c>
      <c r="G1452" s="7"/>
    </row>
    <row r="1453" spans="1:7" x14ac:dyDescent="0.2">
      <c r="A1453" s="2">
        <v>11699</v>
      </c>
      <c r="B1453" s="3" t="s">
        <v>99</v>
      </c>
      <c r="C1453" s="3" t="s">
        <v>95</v>
      </c>
      <c r="D1453" s="9">
        <v>42218</v>
      </c>
      <c r="E1453" s="5">
        <v>473</v>
      </c>
      <c r="F1453">
        <f>VLOOKUP(A1453,paiments2[],3,FALSE)</f>
        <v>473</v>
      </c>
      <c r="G1453" s="7"/>
    </row>
    <row r="1454" spans="1:7" x14ac:dyDescent="0.2">
      <c r="A1454" s="2">
        <v>11700</v>
      </c>
      <c r="B1454" s="3" t="s">
        <v>11</v>
      </c>
      <c r="C1454" s="3" t="s">
        <v>90</v>
      </c>
      <c r="D1454" s="9">
        <v>42218</v>
      </c>
      <c r="E1454" s="5">
        <v>929</v>
      </c>
      <c r="F1454">
        <f>VLOOKUP(A1454,paiments2[],3,FALSE)</f>
        <v>929</v>
      </c>
      <c r="G1454" s="7"/>
    </row>
    <row r="1455" spans="1:7" x14ac:dyDescent="0.2">
      <c r="A1455" s="2">
        <v>11701</v>
      </c>
      <c r="B1455" s="3" t="s">
        <v>13</v>
      </c>
      <c r="C1455" s="3" t="s">
        <v>96</v>
      </c>
      <c r="D1455" s="9">
        <v>42221</v>
      </c>
      <c r="E1455" s="5">
        <v>760</v>
      </c>
      <c r="F1455">
        <f>VLOOKUP(A1455,paiments2[],3,FALSE)</f>
        <v>760</v>
      </c>
      <c r="G1455" s="7"/>
    </row>
    <row r="1456" spans="1:7" x14ac:dyDescent="0.2">
      <c r="A1456" s="2">
        <v>11702</v>
      </c>
      <c r="B1456" s="3" t="s">
        <v>14</v>
      </c>
      <c r="C1456" s="3" t="s">
        <v>96</v>
      </c>
      <c r="D1456" s="9">
        <v>42221</v>
      </c>
      <c r="E1456" s="5">
        <v>2053</v>
      </c>
      <c r="F1456">
        <f>VLOOKUP(A1456,paiments2[],3,FALSE)</f>
        <v>2053</v>
      </c>
      <c r="G1456" s="7"/>
    </row>
    <row r="1457" spans="1:7" x14ac:dyDescent="0.2">
      <c r="A1457" s="2">
        <v>11703</v>
      </c>
      <c r="B1457" s="3" t="s">
        <v>45</v>
      </c>
      <c r="C1457" s="3" t="s">
        <v>91</v>
      </c>
      <c r="D1457" s="9">
        <v>42221</v>
      </c>
      <c r="E1457" s="5">
        <v>1379</v>
      </c>
      <c r="F1457">
        <f>VLOOKUP(A1457,paiments2[],3,FALSE)</f>
        <v>1379</v>
      </c>
      <c r="G1457" s="7"/>
    </row>
    <row r="1458" spans="1:7" x14ac:dyDescent="0.2">
      <c r="A1458" s="2">
        <v>11704</v>
      </c>
      <c r="B1458" s="3" t="s">
        <v>82</v>
      </c>
      <c r="C1458" s="3" t="s">
        <v>92</v>
      </c>
      <c r="D1458" s="9">
        <v>42221</v>
      </c>
      <c r="E1458" s="5">
        <v>242</v>
      </c>
      <c r="F1458">
        <f>VLOOKUP(A1458,paiments2[],3,FALSE)</f>
        <v>242</v>
      </c>
      <c r="G1458" s="7"/>
    </row>
    <row r="1459" spans="1:7" x14ac:dyDescent="0.2">
      <c r="A1459" s="2">
        <v>11705</v>
      </c>
      <c r="B1459" s="3" t="s">
        <v>78</v>
      </c>
      <c r="C1459" s="3" t="s">
        <v>92</v>
      </c>
      <c r="D1459" s="9">
        <v>42222</v>
      </c>
      <c r="E1459" s="5">
        <v>216</v>
      </c>
      <c r="F1459">
        <f>VLOOKUP(A1459,paiments2[],3,FALSE)</f>
        <v>216</v>
      </c>
      <c r="G1459" s="7"/>
    </row>
    <row r="1460" spans="1:7" x14ac:dyDescent="0.2">
      <c r="A1460" s="2">
        <v>11706</v>
      </c>
      <c r="B1460" s="3" t="s">
        <v>81</v>
      </c>
      <c r="C1460" s="3" t="s">
        <v>96</v>
      </c>
      <c r="D1460" s="9">
        <v>42222</v>
      </c>
      <c r="E1460" s="5">
        <v>436</v>
      </c>
      <c r="F1460">
        <f>VLOOKUP(A1460,paiments2[],3,FALSE)</f>
        <v>436</v>
      </c>
      <c r="G1460" s="7"/>
    </row>
    <row r="1461" spans="1:7" x14ac:dyDescent="0.2">
      <c r="A1461" s="2">
        <v>11707</v>
      </c>
      <c r="B1461" s="3" t="s">
        <v>77</v>
      </c>
      <c r="C1461" s="3" t="s">
        <v>92</v>
      </c>
      <c r="D1461" s="9">
        <v>42222</v>
      </c>
      <c r="E1461" s="5">
        <v>292</v>
      </c>
      <c r="F1461">
        <f>VLOOKUP(A1461,paiments2[],3,FALSE)</f>
        <v>292</v>
      </c>
      <c r="G1461" s="7"/>
    </row>
    <row r="1462" spans="1:7" x14ac:dyDescent="0.2">
      <c r="A1462" s="2">
        <v>11708</v>
      </c>
      <c r="B1462" s="3" t="s">
        <v>50</v>
      </c>
      <c r="C1462" s="3" t="s">
        <v>95</v>
      </c>
      <c r="D1462" s="9">
        <v>42223</v>
      </c>
      <c r="E1462" s="5">
        <v>1980</v>
      </c>
      <c r="F1462">
        <f>VLOOKUP(A1462,paiments2[],3,FALSE)</f>
        <v>1980</v>
      </c>
      <c r="G1462" s="7"/>
    </row>
    <row r="1463" spans="1:7" x14ac:dyDescent="0.2">
      <c r="A1463" s="2">
        <v>11709</v>
      </c>
      <c r="B1463" s="3" t="s">
        <v>9</v>
      </c>
      <c r="C1463" s="3" t="s">
        <v>97</v>
      </c>
      <c r="D1463" s="9">
        <v>42223</v>
      </c>
      <c r="E1463" s="5">
        <v>3616</v>
      </c>
      <c r="F1463">
        <f>VLOOKUP(A1463,paiments2[],3,FALSE)</f>
        <v>3616</v>
      </c>
      <c r="G1463" s="7"/>
    </row>
    <row r="1464" spans="1:7" x14ac:dyDescent="0.2">
      <c r="A1464" s="2">
        <v>11710</v>
      </c>
      <c r="B1464" s="3" t="s">
        <v>36</v>
      </c>
      <c r="C1464" s="3" t="s">
        <v>96</v>
      </c>
      <c r="D1464" s="9">
        <v>42223</v>
      </c>
      <c r="E1464" s="5">
        <v>513</v>
      </c>
      <c r="F1464">
        <f>VLOOKUP(A1464,paiments2[],3,FALSE)</f>
        <v>513</v>
      </c>
      <c r="G1464" s="7"/>
    </row>
    <row r="1465" spans="1:7" x14ac:dyDescent="0.2">
      <c r="A1465" s="2">
        <v>11711</v>
      </c>
      <c r="B1465" s="3" t="s">
        <v>30</v>
      </c>
      <c r="C1465" s="3" t="s">
        <v>96</v>
      </c>
      <c r="D1465" s="9">
        <v>42224</v>
      </c>
      <c r="E1465" s="5">
        <v>470</v>
      </c>
      <c r="F1465">
        <f>VLOOKUP(A1465,paiments2[],3,FALSE)</f>
        <v>470</v>
      </c>
      <c r="G1465" s="7"/>
    </row>
    <row r="1466" spans="1:7" x14ac:dyDescent="0.2">
      <c r="A1466" s="2">
        <v>11712</v>
      </c>
      <c r="B1466" s="3" t="s">
        <v>100</v>
      </c>
      <c r="C1466" s="3" t="s">
        <v>92</v>
      </c>
      <c r="D1466" s="9">
        <v>42224</v>
      </c>
      <c r="E1466" s="5">
        <v>720</v>
      </c>
      <c r="F1466">
        <f>VLOOKUP(A1466,paiments2[],3,FALSE)</f>
        <v>720</v>
      </c>
      <c r="G1466" s="7"/>
    </row>
    <row r="1467" spans="1:7" x14ac:dyDescent="0.2">
      <c r="A1467" s="2">
        <v>11713</v>
      </c>
      <c r="B1467" s="3" t="s">
        <v>17</v>
      </c>
      <c r="C1467" s="3" t="s">
        <v>94</v>
      </c>
      <c r="D1467" s="9">
        <v>42224</v>
      </c>
      <c r="E1467" s="5">
        <v>2210</v>
      </c>
      <c r="F1467">
        <f>VLOOKUP(A1467,paiments2[],3,FALSE)</f>
        <v>2210</v>
      </c>
      <c r="G1467" s="7"/>
    </row>
    <row r="1468" spans="1:7" x14ac:dyDescent="0.2">
      <c r="A1468" s="2">
        <v>11714</v>
      </c>
      <c r="B1468" s="3" t="s">
        <v>27</v>
      </c>
      <c r="C1468" s="3" t="s">
        <v>96</v>
      </c>
      <c r="D1468" s="9">
        <v>42224</v>
      </c>
      <c r="E1468" s="5">
        <v>258</v>
      </c>
      <c r="F1468">
        <f>VLOOKUP(A1468,paiments2[],3,FALSE)</f>
        <v>258</v>
      </c>
      <c r="G1468" s="7"/>
    </row>
    <row r="1469" spans="1:7" x14ac:dyDescent="0.2">
      <c r="A1469" s="2">
        <v>11715</v>
      </c>
      <c r="B1469" s="3" t="s">
        <v>65</v>
      </c>
      <c r="C1469" s="3" t="s">
        <v>96</v>
      </c>
      <c r="D1469" s="9">
        <v>42225</v>
      </c>
      <c r="E1469" s="5">
        <v>196</v>
      </c>
      <c r="F1469">
        <f>VLOOKUP(A1469,paiments2[],3,FALSE)</f>
        <v>196</v>
      </c>
      <c r="G1469" s="7"/>
    </row>
    <row r="1470" spans="1:7" x14ac:dyDescent="0.2">
      <c r="A1470" s="2">
        <v>11716</v>
      </c>
      <c r="B1470" s="3" t="s">
        <v>63</v>
      </c>
      <c r="C1470" s="3" t="s">
        <v>96</v>
      </c>
      <c r="D1470" s="9">
        <v>42225</v>
      </c>
      <c r="E1470" s="5">
        <v>447</v>
      </c>
      <c r="F1470">
        <f>VLOOKUP(A1470,paiments2[],3,FALSE)</f>
        <v>447</v>
      </c>
      <c r="G1470" s="7"/>
    </row>
    <row r="1471" spans="1:7" x14ac:dyDescent="0.2">
      <c r="A1471" s="2">
        <v>11717</v>
      </c>
      <c r="B1471" s="3" t="s">
        <v>55</v>
      </c>
      <c r="C1471" s="3" t="s">
        <v>93</v>
      </c>
      <c r="D1471" s="9">
        <v>42225</v>
      </c>
      <c r="E1471" s="5">
        <v>359</v>
      </c>
      <c r="F1471">
        <f>VLOOKUP(A1471,paiments2[],3,FALSE)</f>
        <v>359</v>
      </c>
      <c r="G1471" s="7"/>
    </row>
    <row r="1472" spans="1:7" x14ac:dyDescent="0.2">
      <c r="A1472" s="2">
        <v>11718</v>
      </c>
      <c r="B1472" s="3" t="s">
        <v>9</v>
      </c>
      <c r="C1472" s="3" t="s">
        <v>93</v>
      </c>
      <c r="D1472" s="9">
        <v>42228</v>
      </c>
      <c r="E1472" s="5">
        <v>5015</v>
      </c>
      <c r="F1472">
        <f>VLOOKUP(A1472,paiments2[],3,FALSE)</f>
        <v>5015</v>
      </c>
      <c r="G1472" s="7"/>
    </row>
    <row r="1473" spans="1:7" x14ac:dyDescent="0.2">
      <c r="A1473" s="2">
        <v>11719</v>
      </c>
      <c r="B1473" s="3" t="s">
        <v>38</v>
      </c>
      <c r="C1473" s="3" t="s">
        <v>91</v>
      </c>
      <c r="D1473" s="9">
        <v>42228</v>
      </c>
      <c r="E1473" s="5">
        <v>1170</v>
      </c>
      <c r="F1473">
        <f>VLOOKUP(A1473,paiments2[],3,FALSE)</f>
        <v>1170</v>
      </c>
      <c r="G1473" s="7"/>
    </row>
    <row r="1474" spans="1:7" x14ac:dyDescent="0.2">
      <c r="A1474" s="2">
        <v>11720</v>
      </c>
      <c r="B1474" s="3" t="s">
        <v>71</v>
      </c>
      <c r="C1474" s="3" t="s">
        <v>90</v>
      </c>
      <c r="D1474" s="9">
        <v>42228</v>
      </c>
      <c r="E1474" s="5">
        <v>57</v>
      </c>
      <c r="F1474">
        <f>VLOOKUP(A1474,paiments2[],3,FALSE)</f>
        <v>57</v>
      </c>
      <c r="G1474" s="7"/>
    </row>
    <row r="1475" spans="1:7" x14ac:dyDescent="0.2">
      <c r="A1475" s="2">
        <v>11721</v>
      </c>
      <c r="B1475" s="3" t="s">
        <v>11</v>
      </c>
      <c r="C1475" s="3" t="s">
        <v>96</v>
      </c>
      <c r="D1475" s="9">
        <v>42229</v>
      </c>
      <c r="E1475" s="5">
        <v>552</v>
      </c>
      <c r="F1475">
        <f>VLOOKUP(A1475,paiments2[],3,FALSE)</f>
        <v>552</v>
      </c>
      <c r="G1475" s="7"/>
    </row>
    <row r="1476" spans="1:7" x14ac:dyDescent="0.2">
      <c r="A1476" s="2">
        <v>11722</v>
      </c>
      <c r="B1476" s="3" t="s">
        <v>21</v>
      </c>
      <c r="C1476" s="3" t="s">
        <v>92</v>
      </c>
      <c r="D1476" s="9">
        <v>42229</v>
      </c>
      <c r="E1476" s="5">
        <v>5188</v>
      </c>
      <c r="F1476">
        <f>VLOOKUP(A1476,paiments2[],3,FALSE)</f>
        <v>5188</v>
      </c>
      <c r="G1476" s="7"/>
    </row>
    <row r="1477" spans="1:7" x14ac:dyDescent="0.2">
      <c r="A1477" s="2">
        <v>11723</v>
      </c>
      <c r="B1477" s="3" t="s">
        <v>2</v>
      </c>
      <c r="C1477" s="3" t="s">
        <v>93</v>
      </c>
      <c r="D1477" s="9">
        <v>42229</v>
      </c>
      <c r="E1477" s="5">
        <v>1055</v>
      </c>
      <c r="F1477">
        <f>VLOOKUP(A1477,paiments2[],3,FALSE)</f>
        <v>1055</v>
      </c>
      <c r="G1477" s="7"/>
    </row>
    <row r="1478" spans="1:7" x14ac:dyDescent="0.2">
      <c r="A1478" s="2">
        <v>11724</v>
      </c>
      <c r="B1478" s="3" t="s">
        <v>31</v>
      </c>
      <c r="C1478" s="3" t="s">
        <v>94</v>
      </c>
      <c r="D1478" s="9">
        <v>42229</v>
      </c>
      <c r="E1478" s="5">
        <v>1138</v>
      </c>
      <c r="F1478">
        <f>VLOOKUP(A1478,paiments2[],3,FALSE)</f>
        <v>1138</v>
      </c>
      <c r="G1478" s="7"/>
    </row>
    <row r="1479" spans="1:7" x14ac:dyDescent="0.2">
      <c r="A1479" s="2">
        <v>11725</v>
      </c>
      <c r="B1479" s="3" t="s">
        <v>58</v>
      </c>
      <c r="C1479" s="3" t="s">
        <v>91</v>
      </c>
      <c r="D1479" s="9">
        <v>42230</v>
      </c>
      <c r="E1479" s="5">
        <v>1442</v>
      </c>
      <c r="F1479">
        <f>VLOOKUP(A1479,paiments2[],3,FALSE)</f>
        <v>1442</v>
      </c>
      <c r="G1479" s="7"/>
    </row>
    <row r="1480" spans="1:7" x14ac:dyDescent="0.2">
      <c r="A1480" s="2">
        <v>11726</v>
      </c>
      <c r="B1480" s="3" t="s">
        <v>16</v>
      </c>
      <c r="C1480" s="3" t="s">
        <v>90</v>
      </c>
      <c r="D1480" s="9">
        <v>42230</v>
      </c>
      <c r="E1480" s="5">
        <v>210</v>
      </c>
      <c r="F1480">
        <f>VLOOKUP(A1480,paiments2[],3,FALSE)</f>
        <v>210</v>
      </c>
      <c r="G1480" s="7"/>
    </row>
    <row r="1481" spans="1:7" x14ac:dyDescent="0.2">
      <c r="A1481" s="2">
        <v>11727</v>
      </c>
      <c r="B1481" s="3" t="s">
        <v>68</v>
      </c>
      <c r="C1481" s="3" t="s">
        <v>91</v>
      </c>
      <c r="D1481" s="9">
        <v>42230</v>
      </c>
      <c r="E1481" s="5">
        <v>776</v>
      </c>
      <c r="F1481">
        <f>VLOOKUP(A1481,paiments2[],3,FALSE)</f>
        <v>776</v>
      </c>
      <c r="G1481" s="7"/>
    </row>
    <row r="1482" spans="1:7" x14ac:dyDescent="0.2">
      <c r="A1482" s="2">
        <v>11728</v>
      </c>
      <c r="B1482" s="3" t="s">
        <v>64</v>
      </c>
      <c r="C1482" s="3" t="s">
        <v>94</v>
      </c>
      <c r="D1482" s="9">
        <v>42231</v>
      </c>
      <c r="E1482" s="5">
        <v>867</v>
      </c>
      <c r="F1482">
        <f>VLOOKUP(A1482,paiments2[],3,FALSE)</f>
        <v>867</v>
      </c>
      <c r="G1482" s="7"/>
    </row>
    <row r="1483" spans="1:7" x14ac:dyDescent="0.2">
      <c r="A1483" s="2">
        <v>11729</v>
      </c>
      <c r="B1483" s="3" t="s">
        <v>44</v>
      </c>
      <c r="C1483" s="3" t="s">
        <v>96</v>
      </c>
      <c r="D1483" s="9">
        <v>42231</v>
      </c>
      <c r="E1483" s="5">
        <v>1614</v>
      </c>
      <c r="F1483">
        <f>VLOOKUP(A1483,paiments2[],3,FALSE)</f>
        <v>1614</v>
      </c>
      <c r="G1483" s="7"/>
    </row>
    <row r="1484" spans="1:7" x14ac:dyDescent="0.2">
      <c r="A1484" s="2">
        <v>11730</v>
      </c>
      <c r="B1484" s="3" t="s">
        <v>5</v>
      </c>
      <c r="C1484" s="3" t="s">
        <v>91</v>
      </c>
      <c r="D1484" s="9">
        <v>42231</v>
      </c>
      <c r="E1484" s="5">
        <v>956</v>
      </c>
      <c r="F1484">
        <f>VLOOKUP(A1484,paiments2[],3,FALSE)</f>
        <v>956</v>
      </c>
      <c r="G1484" s="7"/>
    </row>
    <row r="1485" spans="1:7" x14ac:dyDescent="0.2">
      <c r="A1485" s="2">
        <v>11731</v>
      </c>
      <c r="B1485" s="3" t="s">
        <v>45</v>
      </c>
      <c r="C1485" s="3" t="s">
        <v>97</v>
      </c>
      <c r="D1485" s="9">
        <v>42232</v>
      </c>
      <c r="E1485" s="5">
        <v>12260</v>
      </c>
      <c r="F1485">
        <f>VLOOKUP(A1485,paiments2[],3,FALSE)</f>
        <v>12260</v>
      </c>
      <c r="G1485" s="7"/>
    </row>
    <row r="1486" spans="1:7" x14ac:dyDescent="0.2">
      <c r="A1486" s="2">
        <v>11732</v>
      </c>
      <c r="B1486" s="3" t="s">
        <v>45</v>
      </c>
      <c r="C1486" s="3" t="s">
        <v>90</v>
      </c>
      <c r="D1486" s="9">
        <v>42232</v>
      </c>
      <c r="E1486" s="5">
        <v>1724</v>
      </c>
      <c r="F1486">
        <f>VLOOKUP(A1486,paiments2[],3,FALSE)</f>
        <v>1724</v>
      </c>
      <c r="G1486" s="7"/>
    </row>
    <row r="1487" spans="1:7" x14ac:dyDescent="0.2">
      <c r="A1487" s="2">
        <v>11733</v>
      </c>
      <c r="B1487" s="3" t="s">
        <v>19</v>
      </c>
      <c r="C1487" s="3" t="s">
        <v>96</v>
      </c>
      <c r="D1487" s="9">
        <v>42232</v>
      </c>
      <c r="E1487" s="5">
        <v>6720</v>
      </c>
      <c r="F1487">
        <f>VLOOKUP(A1487,paiments2[],3,FALSE)</f>
        <v>6720</v>
      </c>
      <c r="G1487" s="7"/>
    </row>
    <row r="1488" spans="1:7" x14ac:dyDescent="0.2">
      <c r="A1488" s="2">
        <v>11734</v>
      </c>
      <c r="B1488" s="3" t="s">
        <v>6</v>
      </c>
      <c r="C1488" s="3" t="s">
        <v>97</v>
      </c>
      <c r="D1488" s="9">
        <v>42232</v>
      </c>
      <c r="E1488" s="5">
        <v>2722</v>
      </c>
      <c r="F1488">
        <f>VLOOKUP(A1488,paiments2[],3,FALSE)</f>
        <v>2722</v>
      </c>
      <c r="G1488" s="7"/>
    </row>
    <row r="1489" spans="1:7" x14ac:dyDescent="0.2">
      <c r="A1489" s="2">
        <v>11735</v>
      </c>
      <c r="B1489" s="3" t="s">
        <v>37</v>
      </c>
      <c r="C1489" s="3" t="s">
        <v>95</v>
      </c>
      <c r="D1489" s="9">
        <v>42235</v>
      </c>
      <c r="E1489" s="5">
        <v>399</v>
      </c>
      <c r="F1489">
        <f>VLOOKUP(A1489,paiments2[],3,FALSE)</f>
        <v>399</v>
      </c>
      <c r="G1489" s="7"/>
    </row>
    <row r="1490" spans="1:7" x14ac:dyDescent="0.2">
      <c r="A1490" s="2">
        <v>11736</v>
      </c>
      <c r="B1490" s="3" t="s">
        <v>4</v>
      </c>
      <c r="C1490" s="3" t="s">
        <v>96</v>
      </c>
      <c r="D1490" s="9">
        <v>42235</v>
      </c>
      <c r="E1490" s="5">
        <v>1260</v>
      </c>
      <c r="F1490">
        <f>VLOOKUP(A1490,paiments2[],3,FALSE)</f>
        <v>1260</v>
      </c>
      <c r="G1490" s="7"/>
    </row>
    <row r="1491" spans="1:7" x14ac:dyDescent="0.2">
      <c r="A1491" s="2">
        <v>11737</v>
      </c>
      <c r="B1491" s="3" t="s">
        <v>57</v>
      </c>
      <c r="C1491" s="3" t="s">
        <v>95</v>
      </c>
      <c r="D1491" s="9">
        <v>42235</v>
      </c>
      <c r="E1491" s="5">
        <v>1258</v>
      </c>
      <c r="F1491">
        <f>VLOOKUP(A1491,paiments2[],3,FALSE)</f>
        <v>1258</v>
      </c>
      <c r="G1491" s="7"/>
    </row>
    <row r="1492" spans="1:7" x14ac:dyDescent="0.2">
      <c r="A1492" s="2">
        <v>11738</v>
      </c>
      <c r="B1492" s="3" t="s">
        <v>36</v>
      </c>
      <c r="C1492" s="3" t="s">
        <v>97</v>
      </c>
      <c r="D1492" s="9">
        <v>42236</v>
      </c>
      <c r="E1492" s="5">
        <v>44</v>
      </c>
      <c r="F1492">
        <f>VLOOKUP(A1492,paiments2[],3,FALSE)</f>
        <v>44</v>
      </c>
      <c r="G1492" s="7"/>
    </row>
    <row r="1493" spans="1:7" x14ac:dyDescent="0.2">
      <c r="A1493" s="2">
        <v>11739</v>
      </c>
      <c r="B1493" s="3" t="s">
        <v>4</v>
      </c>
      <c r="C1493" s="3" t="s">
        <v>94</v>
      </c>
      <c r="D1493" s="9">
        <v>42236</v>
      </c>
      <c r="E1493" s="5">
        <v>560</v>
      </c>
      <c r="F1493">
        <f>VLOOKUP(A1493,paiments2[],3,FALSE)</f>
        <v>560</v>
      </c>
      <c r="G1493" s="7"/>
    </row>
    <row r="1494" spans="1:7" x14ac:dyDescent="0.2">
      <c r="A1494" s="2">
        <v>11740</v>
      </c>
      <c r="B1494" s="3" t="s">
        <v>65</v>
      </c>
      <c r="C1494" s="3" t="s">
        <v>94</v>
      </c>
      <c r="D1494" s="9">
        <v>42236</v>
      </c>
      <c r="E1494" s="5">
        <v>2284</v>
      </c>
      <c r="F1494">
        <f>VLOOKUP(A1494,paiments2[],3,FALSE)</f>
        <v>2284</v>
      </c>
      <c r="G1494" s="7"/>
    </row>
    <row r="1495" spans="1:7" x14ac:dyDescent="0.2">
      <c r="A1495" s="2">
        <v>11741</v>
      </c>
      <c r="B1495" s="3" t="s">
        <v>77</v>
      </c>
      <c r="C1495" s="3" t="s">
        <v>91</v>
      </c>
      <c r="D1495" s="9">
        <v>42237</v>
      </c>
      <c r="E1495" s="5">
        <v>140</v>
      </c>
      <c r="F1495">
        <f>VLOOKUP(A1495,paiments2[],3,FALSE)</f>
        <v>140</v>
      </c>
      <c r="G1495" s="7"/>
    </row>
    <row r="1496" spans="1:7" x14ac:dyDescent="0.2">
      <c r="A1496" s="2">
        <v>11742</v>
      </c>
      <c r="B1496" s="3" t="s">
        <v>5</v>
      </c>
      <c r="C1496" s="3" t="s">
        <v>92</v>
      </c>
      <c r="D1496" s="9">
        <v>42237</v>
      </c>
      <c r="E1496" s="5">
        <v>1410</v>
      </c>
      <c r="F1496">
        <f>VLOOKUP(A1496,paiments2[],3,FALSE)</f>
        <v>1410</v>
      </c>
      <c r="G1496" s="7"/>
    </row>
    <row r="1497" spans="1:7" x14ac:dyDescent="0.2">
      <c r="A1497" s="2">
        <v>11743</v>
      </c>
      <c r="B1497" s="3" t="s">
        <v>32</v>
      </c>
      <c r="C1497" s="3" t="s">
        <v>96</v>
      </c>
      <c r="D1497" s="9">
        <v>42237</v>
      </c>
      <c r="E1497" s="5">
        <v>294</v>
      </c>
      <c r="F1497">
        <f>VLOOKUP(A1497,paiments2[],3,FALSE)</f>
        <v>294</v>
      </c>
      <c r="G1497" s="7"/>
    </row>
    <row r="1498" spans="1:7" x14ac:dyDescent="0.2">
      <c r="A1498" s="2">
        <v>11744</v>
      </c>
      <c r="B1498" s="3" t="s">
        <v>84</v>
      </c>
      <c r="C1498" s="3" t="s">
        <v>89</v>
      </c>
      <c r="D1498" s="9">
        <v>42237</v>
      </c>
      <c r="E1498" s="5">
        <v>160</v>
      </c>
      <c r="F1498">
        <f>VLOOKUP(A1498,paiments2[],3,FALSE)</f>
        <v>160</v>
      </c>
      <c r="G1498" s="7"/>
    </row>
    <row r="1499" spans="1:7" x14ac:dyDescent="0.2">
      <c r="A1499" s="2">
        <v>11745</v>
      </c>
      <c r="B1499" s="3" t="s">
        <v>99</v>
      </c>
      <c r="C1499" s="3" t="s">
        <v>91</v>
      </c>
      <c r="D1499" s="9">
        <v>42238</v>
      </c>
      <c r="E1499" s="5">
        <v>444</v>
      </c>
      <c r="F1499">
        <f>VLOOKUP(A1499,paiments2[],3,FALSE)</f>
        <v>444</v>
      </c>
      <c r="G1499" s="7"/>
    </row>
    <row r="1500" spans="1:7" x14ac:dyDescent="0.2">
      <c r="A1500" s="2">
        <v>11746</v>
      </c>
      <c r="B1500" s="3" t="s">
        <v>64</v>
      </c>
      <c r="C1500" s="3" t="s">
        <v>90</v>
      </c>
      <c r="D1500" s="9">
        <v>42238</v>
      </c>
      <c r="E1500" s="5">
        <v>975</v>
      </c>
      <c r="F1500">
        <f>VLOOKUP(A1500,paiments2[],3,FALSE)</f>
        <v>975</v>
      </c>
      <c r="G1500" s="7"/>
    </row>
    <row r="1501" spans="1:7" x14ac:dyDescent="0.2">
      <c r="A1501" s="2">
        <v>11747</v>
      </c>
      <c r="B1501" s="3" t="s">
        <v>35</v>
      </c>
      <c r="C1501" s="3" t="s">
        <v>95</v>
      </c>
      <c r="D1501" s="9">
        <v>42238</v>
      </c>
      <c r="E1501" s="5">
        <v>1154</v>
      </c>
      <c r="F1501">
        <f>VLOOKUP(A1501,paiments2[],3,FALSE)</f>
        <v>1154</v>
      </c>
      <c r="G1501" s="7"/>
    </row>
    <row r="1502" spans="1:7" x14ac:dyDescent="0.2">
      <c r="A1502" s="2">
        <v>11748</v>
      </c>
      <c r="B1502" s="3" t="s">
        <v>58</v>
      </c>
      <c r="C1502" s="3" t="s">
        <v>97</v>
      </c>
      <c r="D1502" s="9">
        <v>42239</v>
      </c>
      <c r="E1502" s="5">
        <v>805</v>
      </c>
      <c r="F1502">
        <f>VLOOKUP(A1502,paiments2[],3,FALSE)</f>
        <v>805</v>
      </c>
      <c r="G1502" s="7"/>
    </row>
    <row r="1503" spans="1:7" x14ac:dyDescent="0.2">
      <c r="A1503" s="2">
        <v>11749</v>
      </c>
      <c r="B1503" s="3" t="s">
        <v>64</v>
      </c>
      <c r="C1503" s="3" t="s">
        <v>97</v>
      </c>
      <c r="D1503" s="9">
        <v>42239</v>
      </c>
      <c r="E1503" s="5">
        <v>378</v>
      </c>
      <c r="F1503">
        <f>VLOOKUP(A1503,paiments2[],3,FALSE)</f>
        <v>378</v>
      </c>
      <c r="G1503" s="7"/>
    </row>
  </sheetData>
  <sortState ref="A2:G1503">
    <sortCondition ref="A11"/>
  </sortState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8"/>
  <sheetViews>
    <sheetView workbookViewId="0"/>
  </sheetViews>
  <sheetFormatPr baseColWidth="10" defaultColWidth="12.7109375" defaultRowHeight="12.75" x14ac:dyDescent="0.2"/>
  <cols>
    <col min="1" max="1" width="9.85546875" bestFit="1" customWidth="1"/>
    <col min="2" max="2" width="10.28515625" bestFit="1" customWidth="1"/>
    <col min="3" max="3" width="17.28515625" customWidth="1"/>
  </cols>
  <sheetData>
    <row r="1" spans="1:3" x14ac:dyDescent="0.2">
      <c r="A1" s="11" t="s">
        <v>86</v>
      </c>
      <c r="B1" s="11" t="s">
        <v>87</v>
      </c>
      <c r="C1" s="11" t="s">
        <v>104</v>
      </c>
    </row>
    <row r="2" spans="1:3" x14ac:dyDescent="0.2">
      <c r="A2" s="2">
        <v>10248</v>
      </c>
      <c r="B2" s="4">
        <v>38910</v>
      </c>
      <c r="C2" s="5">
        <v>320</v>
      </c>
    </row>
    <row r="3" spans="1:3" x14ac:dyDescent="0.2">
      <c r="A3" s="2">
        <v>10249</v>
      </c>
      <c r="B3" s="4">
        <v>38911</v>
      </c>
      <c r="C3" s="5">
        <v>1406</v>
      </c>
    </row>
    <row r="4" spans="1:3" x14ac:dyDescent="0.2">
      <c r="A4" s="2">
        <v>10250</v>
      </c>
      <c r="B4" s="4">
        <v>38914</v>
      </c>
      <c r="C4" s="5">
        <v>1350</v>
      </c>
    </row>
    <row r="5" spans="1:3" x14ac:dyDescent="0.2">
      <c r="A5" s="2">
        <v>10251</v>
      </c>
      <c r="B5" s="4">
        <v>38914</v>
      </c>
      <c r="C5" s="5">
        <v>477</v>
      </c>
    </row>
    <row r="6" spans="1:3" x14ac:dyDescent="0.2">
      <c r="A6" s="2">
        <v>10252</v>
      </c>
      <c r="B6" s="4">
        <v>38915</v>
      </c>
      <c r="C6" s="5">
        <v>2785</v>
      </c>
    </row>
    <row r="7" spans="1:3" x14ac:dyDescent="0.2">
      <c r="A7" s="2">
        <v>10253</v>
      </c>
      <c r="B7" s="4">
        <v>38916</v>
      </c>
      <c r="C7" s="5">
        <v>1040</v>
      </c>
    </row>
    <row r="8" spans="1:3" x14ac:dyDescent="0.2">
      <c r="A8" s="2">
        <v>10254</v>
      </c>
      <c r="B8" s="4">
        <v>38917</v>
      </c>
      <c r="C8" s="5">
        <v>450</v>
      </c>
    </row>
    <row r="9" spans="1:3" x14ac:dyDescent="0.2">
      <c r="A9" s="2">
        <v>10255</v>
      </c>
      <c r="B9" s="4">
        <v>38918</v>
      </c>
      <c r="C9" s="5">
        <v>1835</v>
      </c>
    </row>
    <row r="10" spans="1:3" x14ac:dyDescent="0.2">
      <c r="A10" s="2">
        <v>10258</v>
      </c>
      <c r="B10" s="4">
        <v>38923</v>
      </c>
      <c r="C10" s="5">
        <v>1444</v>
      </c>
    </row>
    <row r="11" spans="1:3" x14ac:dyDescent="0.2">
      <c r="A11" s="2">
        <v>10259</v>
      </c>
      <c r="B11" s="4">
        <v>38924</v>
      </c>
      <c r="C11" s="5">
        <v>75</v>
      </c>
    </row>
    <row r="12" spans="1:3" x14ac:dyDescent="0.2">
      <c r="A12" s="2">
        <v>10260</v>
      </c>
      <c r="B12" s="4">
        <v>38925</v>
      </c>
      <c r="C12" s="5">
        <v>1269</v>
      </c>
    </row>
    <row r="13" spans="1:3" x14ac:dyDescent="0.2">
      <c r="A13" s="2">
        <v>10261</v>
      </c>
      <c r="B13" s="4">
        <v>38925</v>
      </c>
      <c r="C13" s="5">
        <v>320</v>
      </c>
    </row>
    <row r="14" spans="1:3" x14ac:dyDescent="0.2">
      <c r="A14" s="2">
        <v>10262</v>
      </c>
      <c r="B14" s="4">
        <v>38928</v>
      </c>
      <c r="C14" s="5">
        <v>460</v>
      </c>
    </row>
    <row r="15" spans="1:3" x14ac:dyDescent="0.2">
      <c r="A15" s="2">
        <v>10263</v>
      </c>
      <c r="B15" s="4">
        <v>38929</v>
      </c>
      <c r="C15" s="5">
        <v>1772</v>
      </c>
    </row>
    <row r="16" spans="1:3" x14ac:dyDescent="0.2">
      <c r="A16" s="2">
        <v>10264</v>
      </c>
      <c r="B16" s="4">
        <v>38930</v>
      </c>
      <c r="C16" s="5">
        <v>509</v>
      </c>
    </row>
    <row r="17" spans="1:3" x14ac:dyDescent="0.2">
      <c r="A17" s="2">
        <v>10265</v>
      </c>
      <c r="B17" s="4">
        <v>38931</v>
      </c>
      <c r="C17" s="5">
        <v>870</v>
      </c>
    </row>
    <row r="18" spans="1:3" x14ac:dyDescent="0.2">
      <c r="A18" s="2">
        <v>10266</v>
      </c>
      <c r="B18" s="4">
        <v>38932</v>
      </c>
      <c r="C18" s="5">
        <v>276</v>
      </c>
    </row>
    <row r="19" spans="1:3" x14ac:dyDescent="0.2">
      <c r="A19" s="2">
        <v>10267</v>
      </c>
      <c r="B19" s="4">
        <v>38935</v>
      </c>
      <c r="C19" s="5">
        <v>3010</v>
      </c>
    </row>
    <row r="20" spans="1:3" x14ac:dyDescent="0.2">
      <c r="A20" s="2">
        <v>10268</v>
      </c>
      <c r="B20" s="4">
        <v>38936</v>
      </c>
      <c r="C20" s="5">
        <v>834</v>
      </c>
    </row>
    <row r="21" spans="1:3" x14ac:dyDescent="0.2">
      <c r="A21" s="2">
        <v>10269</v>
      </c>
      <c r="B21" s="4">
        <v>38937</v>
      </c>
      <c r="C21" s="5">
        <v>480</v>
      </c>
    </row>
    <row r="22" spans="1:3" x14ac:dyDescent="0.2">
      <c r="A22" s="2">
        <v>10272</v>
      </c>
      <c r="B22" s="4">
        <v>38939</v>
      </c>
      <c r="C22" s="5">
        <v>42500</v>
      </c>
    </row>
    <row r="23" spans="1:3" x14ac:dyDescent="0.2">
      <c r="A23" s="2">
        <v>10273</v>
      </c>
      <c r="B23" s="4">
        <v>38942</v>
      </c>
      <c r="C23" s="5">
        <v>1547</v>
      </c>
    </row>
    <row r="24" spans="1:3" x14ac:dyDescent="0.2">
      <c r="A24" s="2">
        <v>10274</v>
      </c>
      <c r="B24" s="4">
        <v>38943</v>
      </c>
      <c r="C24" s="5">
        <v>407</v>
      </c>
    </row>
    <row r="25" spans="1:3" x14ac:dyDescent="0.2">
      <c r="A25" s="2">
        <v>10275</v>
      </c>
      <c r="B25" s="4">
        <v>38944</v>
      </c>
      <c r="C25" s="5">
        <v>222</v>
      </c>
    </row>
    <row r="26" spans="1:3" x14ac:dyDescent="0.2">
      <c r="A26" s="2">
        <v>10276</v>
      </c>
      <c r="B26" s="4">
        <v>38945</v>
      </c>
      <c r="C26" s="5">
        <v>300</v>
      </c>
    </row>
    <row r="27" spans="1:3" x14ac:dyDescent="0.2">
      <c r="A27" s="2">
        <v>10277</v>
      </c>
      <c r="B27" s="4">
        <v>38946</v>
      </c>
      <c r="C27" s="5">
        <v>900</v>
      </c>
    </row>
    <row r="28" spans="1:3" x14ac:dyDescent="0.2">
      <c r="A28" s="2">
        <v>10278</v>
      </c>
      <c r="B28" s="4">
        <v>38949</v>
      </c>
      <c r="C28" s="5">
        <v>1104</v>
      </c>
    </row>
    <row r="29" spans="1:3" x14ac:dyDescent="0.2">
      <c r="A29" s="2">
        <v>10279</v>
      </c>
      <c r="B29" s="4">
        <v>38950</v>
      </c>
      <c r="C29" s="5">
        <v>345</v>
      </c>
    </row>
    <row r="30" spans="1:3" x14ac:dyDescent="0.2">
      <c r="A30" s="2">
        <v>10280</v>
      </c>
      <c r="B30" s="4">
        <v>38951</v>
      </c>
      <c r="C30" s="5">
        <v>424</v>
      </c>
    </row>
    <row r="31" spans="1:3" x14ac:dyDescent="0.2">
      <c r="A31" s="2">
        <v>10283</v>
      </c>
      <c r="B31" s="4">
        <v>38953</v>
      </c>
      <c r="C31" s="5">
        <v>1033</v>
      </c>
    </row>
    <row r="32" spans="1:3" x14ac:dyDescent="0.2">
      <c r="A32" s="2">
        <v>10284</v>
      </c>
      <c r="B32" s="4">
        <v>38956</v>
      </c>
      <c r="C32" s="5">
        <v>1061</v>
      </c>
    </row>
    <row r="33" spans="1:3" x14ac:dyDescent="0.2">
      <c r="A33" s="2">
        <v>10285</v>
      </c>
      <c r="B33" s="4">
        <v>38957</v>
      </c>
      <c r="C33" s="5">
        <v>1574</v>
      </c>
    </row>
    <row r="34" spans="1:3" x14ac:dyDescent="0.2">
      <c r="A34" s="2">
        <v>10286</v>
      </c>
      <c r="B34" s="4">
        <v>38958</v>
      </c>
      <c r="C34" s="5">
        <v>2200</v>
      </c>
    </row>
    <row r="35" spans="1:3" x14ac:dyDescent="0.2">
      <c r="A35" s="2">
        <v>10287</v>
      </c>
      <c r="B35" s="4">
        <v>38959</v>
      </c>
      <c r="C35" s="5">
        <v>665</v>
      </c>
    </row>
    <row r="36" spans="1:3" x14ac:dyDescent="0.2">
      <c r="A36" s="2">
        <v>10288</v>
      </c>
      <c r="B36" s="4">
        <v>38960</v>
      </c>
      <c r="C36" s="5">
        <v>60</v>
      </c>
    </row>
    <row r="37" spans="1:3" x14ac:dyDescent="0.2">
      <c r="A37" s="2">
        <v>10289</v>
      </c>
      <c r="B37" s="4">
        <v>38963</v>
      </c>
      <c r="C37" s="5">
        <v>360</v>
      </c>
    </row>
    <row r="38" spans="1:3" x14ac:dyDescent="0.2">
      <c r="A38" s="2">
        <v>10290</v>
      </c>
      <c r="B38" s="4">
        <v>38964</v>
      </c>
      <c r="C38" s="5">
        <v>1615</v>
      </c>
    </row>
    <row r="39" spans="1:3" x14ac:dyDescent="0.2">
      <c r="A39" s="2">
        <v>10291</v>
      </c>
      <c r="B39" s="4">
        <v>38964</v>
      </c>
      <c r="C39" s="5">
        <v>388</v>
      </c>
    </row>
    <row r="40" spans="1:3" x14ac:dyDescent="0.2">
      <c r="A40" s="2">
        <v>10292</v>
      </c>
      <c r="B40" s="4">
        <v>38965</v>
      </c>
      <c r="C40" s="5">
        <v>980</v>
      </c>
    </row>
    <row r="41" spans="1:3" x14ac:dyDescent="0.2">
      <c r="A41" s="2">
        <v>10293</v>
      </c>
      <c r="B41" s="4">
        <v>38966</v>
      </c>
      <c r="C41" s="5">
        <v>630</v>
      </c>
    </row>
    <row r="42" spans="1:3" x14ac:dyDescent="0.2">
      <c r="A42" s="2">
        <v>10294</v>
      </c>
      <c r="B42" s="4">
        <v>38967</v>
      </c>
      <c r="C42" s="5">
        <v>1389</v>
      </c>
    </row>
    <row r="43" spans="1:3" x14ac:dyDescent="0.2">
      <c r="A43" s="2">
        <v>10295</v>
      </c>
      <c r="B43" s="4">
        <v>38970</v>
      </c>
      <c r="C43" s="5">
        <v>92</v>
      </c>
    </row>
    <row r="44" spans="1:3" x14ac:dyDescent="0.2">
      <c r="A44" s="2">
        <v>10296</v>
      </c>
      <c r="B44" s="4">
        <v>38971</v>
      </c>
      <c r="C44" s="5">
        <v>759</v>
      </c>
    </row>
    <row r="45" spans="1:3" x14ac:dyDescent="0.2">
      <c r="A45" s="2">
        <v>10297</v>
      </c>
      <c r="B45" s="4">
        <v>38972</v>
      </c>
      <c r="C45" s="5">
        <v>1020</v>
      </c>
    </row>
    <row r="46" spans="1:3" x14ac:dyDescent="0.2">
      <c r="A46" s="2">
        <v>10298</v>
      </c>
      <c r="B46" s="4">
        <v>38973</v>
      </c>
      <c r="C46" s="5">
        <v>2320</v>
      </c>
    </row>
    <row r="47" spans="1:3" x14ac:dyDescent="0.2">
      <c r="A47" s="2">
        <v>10299</v>
      </c>
      <c r="B47" s="4">
        <v>38974</v>
      </c>
      <c r="C47" s="5">
        <v>255</v>
      </c>
    </row>
    <row r="48" spans="1:3" x14ac:dyDescent="0.2">
      <c r="A48" s="2">
        <v>10300</v>
      </c>
      <c r="B48" s="4">
        <v>38977</v>
      </c>
      <c r="C48" s="5">
        <v>440</v>
      </c>
    </row>
    <row r="49" spans="1:3" x14ac:dyDescent="0.2">
      <c r="A49" s="2">
        <v>10301</v>
      </c>
      <c r="B49" s="4">
        <v>38977</v>
      </c>
      <c r="C49" s="5">
        <v>570</v>
      </c>
    </row>
    <row r="50" spans="1:3" x14ac:dyDescent="0.2">
      <c r="A50" s="2">
        <v>10302</v>
      </c>
      <c r="B50" s="4">
        <v>38978</v>
      </c>
      <c r="C50" s="5">
        <v>2012</v>
      </c>
    </row>
    <row r="51" spans="1:3" x14ac:dyDescent="0.2">
      <c r="A51" s="2">
        <v>10303</v>
      </c>
      <c r="B51" s="4">
        <v>38979</v>
      </c>
      <c r="C51" s="5">
        <v>905</v>
      </c>
    </row>
    <row r="52" spans="1:3" x14ac:dyDescent="0.2">
      <c r="A52" s="2">
        <v>10304</v>
      </c>
      <c r="B52" s="4">
        <v>38980</v>
      </c>
      <c r="C52" s="5">
        <v>716</v>
      </c>
    </row>
    <row r="53" spans="1:3" x14ac:dyDescent="0.2">
      <c r="A53" s="2">
        <v>10305</v>
      </c>
      <c r="B53" s="4">
        <v>38981</v>
      </c>
      <c r="C53" s="5">
        <v>3125</v>
      </c>
    </row>
    <row r="54" spans="1:3" x14ac:dyDescent="0.2">
      <c r="A54" s="2">
        <v>10306</v>
      </c>
      <c r="B54" s="4">
        <v>38984</v>
      </c>
      <c r="C54" s="5">
        <v>360</v>
      </c>
    </row>
    <row r="55" spans="1:3" x14ac:dyDescent="0.2">
      <c r="A55" s="2">
        <v>10307</v>
      </c>
      <c r="B55" s="4">
        <v>38985</v>
      </c>
      <c r="C55" s="5">
        <v>321</v>
      </c>
    </row>
    <row r="56" spans="1:3" x14ac:dyDescent="0.2">
      <c r="A56" s="2">
        <v>10308</v>
      </c>
      <c r="B56" s="4">
        <v>38986</v>
      </c>
      <c r="C56" s="5">
        <v>66</v>
      </c>
    </row>
    <row r="57" spans="1:3" x14ac:dyDescent="0.2">
      <c r="A57" s="2">
        <v>10309</v>
      </c>
      <c r="B57" s="4">
        <v>38987</v>
      </c>
      <c r="C57" s="5">
        <v>1325</v>
      </c>
    </row>
    <row r="58" spans="1:3" x14ac:dyDescent="0.2">
      <c r="A58" s="2">
        <v>10310</v>
      </c>
      <c r="B58" s="4">
        <v>38988</v>
      </c>
      <c r="C58" s="5">
        <v>250</v>
      </c>
    </row>
    <row r="59" spans="1:3" x14ac:dyDescent="0.2">
      <c r="A59" s="2">
        <v>10311</v>
      </c>
      <c r="B59" s="4">
        <v>38988</v>
      </c>
      <c r="C59" s="5">
        <v>195</v>
      </c>
    </row>
    <row r="60" spans="1:3" x14ac:dyDescent="0.2">
      <c r="A60" s="2">
        <v>10312</v>
      </c>
      <c r="B60" s="4">
        <v>38991</v>
      </c>
      <c r="C60" s="5">
        <v>1200</v>
      </c>
    </row>
    <row r="61" spans="1:3" x14ac:dyDescent="0.2">
      <c r="A61" s="2">
        <v>10313</v>
      </c>
      <c r="B61" s="4">
        <v>38992</v>
      </c>
      <c r="C61" s="5">
        <v>132</v>
      </c>
    </row>
    <row r="62" spans="1:3" x14ac:dyDescent="0.2">
      <c r="A62" s="2">
        <v>10314</v>
      </c>
      <c r="B62" s="4">
        <v>38993</v>
      </c>
      <c r="C62" s="5">
        <v>1750</v>
      </c>
    </row>
    <row r="63" spans="1:3" x14ac:dyDescent="0.2">
      <c r="A63" s="2">
        <v>10315</v>
      </c>
      <c r="B63" s="4">
        <v>38994</v>
      </c>
      <c r="C63" s="5">
        <v>382</v>
      </c>
    </row>
    <row r="64" spans="1:3" x14ac:dyDescent="0.2">
      <c r="A64" s="2">
        <v>10316</v>
      </c>
      <c r="B64" s="4">
        <v>38995</v>
      </c>
      <c r="C64" s="5">
        <v>2150</v>
      </c>
    </row>
    <row r="65" spans="1:3" x14ac:dyDescent="0.2">
      <c r="A65" s="2">
        <v>10317</v>
      </c>
      <c r="B65" s="4">
        <v>38998</v>
      </c>
      <c r="C65" s="5">
        <v>200</v>
      </c>
    </row>
    <row r="66" spans="1:3" x14ac:dyDescent="0.2">
      <c r="A66" s="2">
        <v>10318</v>
      </c>
      <c r="B66" s="4">
        <v>38999</v>
      </c>
      <c r="C66" s="5">
        <v>160</v>
      </c>
    </row>
    <row r="67" spans="1:3" x14ac:dyDescent="0.2">
      <c r="A67" s="2">
        <v>10319</v>
      </c>
      <c r="B67" s="4">
        <v>39000</v>
      </c>
      <c r="C67" s="5">
        <v>862</v>
      </c>
    </row>
    <row r="68" spans="1:3" x14ac:dyDescent="0.2">
      <c r="A68" s="2">
        <v>10320</v>
      </c>
      <c r="B68" s="4">
        <v>39001</v>
      </c>
      <c r="C68" s="5">
        <v>390</v>
      </c>
    </row>
    <row r="69" spans="1:3" x14ac:dyDescent="0.2">
      <c r="A69" s="2">
        <v>10321</v>
      </c>
      <c r="B69" s="4">
        <v>39001</v>
      </c>
      <c r="C69" s="5">
        <v>100</v>
      </c>
    </row>
    <row r="70" spans="1:3" x14ac:dyDescent="0.2">
      <c r="A70" s="2">
        <v>10322</v>
      </c>
      <c r="B70" s="4">
        <v>39002</v>
      </c>
      <c r="C70" s="5">
        <v>80</v>
      </c>
    </row>
    <row r="71" spans="1:3" x14ac:dyDescent="0.2">
      <c r="A71" s="2">
        <v>10323</v>
      </c>
      <c r="B71" s="4">
        <v>39005</v>
      </c>
      <c r="C71" s="5">
        <v>117</v>
      </c>
    </row>
    <row r="72" spans="1:3" x14ac:dyDescent="0.2">
      <c r="A72" s="2">
        <v>10324</v>
      </c>
      <c r="B72" s="4">
        <v>39006</v>
      </c>
      <c r="C72" s="5">
        <v>4520</v>
      </c>
    </row>
    <row r="73" spans="1:3" x14ac:dyDescent="0.2">
      <c r="A73" s="2">
        <v>10325</v>
      </c>
      <c r="B73" s="4">
        <v>39007</v>
      </c>
      <c r="C73" s="5">
        <v>1120</v>
      </c>
    </row>
    <row r="74" spans="1:3" x14ac:dyDescent="0.2">
      <c r="A74" s="2">
        <v>10326</v>
      </c>
      <c r="B74" s="4">
        <v>39008</v>
      </c>
      <c r="C74" s="5">
        <v>688</v>
      </c>
    </row>
    <row r="75" spans="1:3" x14ac:dyDescent="0.2">
      <c r="A75" s="2">
        <v>10327</v>
      </c>
      <c r="B75" s="4">
        <v>39009</v>
      </c>
      <c r="C75" s="5">
        <v>1640</v>
      </c>
    </row>
    <row r="76" spans="1:3" x14ac:dyDescent="0.2">
      <c r="A76" s="2">
        <v>10328</v>
      </c>
      <c r="B76" s="4">
        <v>39012</v>
      </c>
      <c r="C76" s="5">
        <v>847</v>
      </c>
    </row>
    <row r="77" spans="1:3" x14ac:dyDescent="0.2">
      <c r="A77" s="2">
        <v>10329</v>
      </c>
      <c r="B77" s="4">
        <v>39013</v>
      </c>
      <c r="C77" s="5">
        <v>3646</v>
      </c>
    </row>
    <row r="78" spans="1:3" x14ac:dyDescent="0.2">
      <c r="A78" s="2">
        <v>10330</v>
      </c>
      <c r="B78" s="4">
        <v>39014</v>
      </c>
      <c r="C78" s="5">
        <v>1425</v>
      </c>
    </row>
    <row r="79" spans="1:3" x14ac:dyDescent="0.2">
      <c r="A79" s="2">
        <v>10331</v>
      </c>
      <c r="B79" s="4">
        <v>39014</v>
      </c>
      <c r="C79" s="5">
        <v>60</v>
      </c>
    </row>
    <row r="80" spans="1:3" x14ac:dyDescent="0.2">
      <c r="A80" s="2">
        <v>10332</v>
      </c>
      <c r="B80" s="4">
        <v>39015</v>
      </c>
      <c r="C80" s="5">
        <v>1680</v>
      </c>
    </row>
    <row r="81" spans="1:3" x14ac:dyDescent="0.2">
      <c r="A81" s="2">
        <v>10333</v>
      </c>
      <c r="B81" s="4">
        <v>39016</v>
      </c>
      <c r="C81" s="5">
        <v>720</v>
      </c>
    </row>
    <row r="82" spans="1:3" x14ac:dyDescent="0.2">
      <c r="A82" s="2">
        <v>10334</v>
      </c>
      <c r="B82" s="4">
        <v>39019</v>
      </c>
      <c r="C82" s="5">
        <v>102</v>
      </c>
    </row>
    <row r="83" spans="1:3" x14ac:dyDescent="0.2">
      <c r="A83" s="2">
        <v>10335</v>
      </c>
      <c r="B83" s="4">
        <v>39020</v>
      </c>
      <c r="C83" s="5">
        <v>1902</v>
      </c>
    </row>
    <row r="84" spans="1:3" x14ac:dyDescent="0.2">
      <c r="A84" s="2">
        <v>10336</v>
      </c>
      <c r="B84" s="4">
        <v>39021</v>
      </c>
      <c r="C84" s="5">
        <v>234</v>
      </c>
    </row>
    <row r="85" spans="1:3" x14ac:dyDescent="0.2">
      <c r="A85" s="2">
        <v>10337</v>
      </c>
      <c r="B85" s="4">
        <v>39022</v>
      </c>
      <c r="C85" s="5">
        <v>1797</v>
      </c>
    </row>
    <row r="86" spans="1:3" x14ac:dyDescent="0.2">
      <c r="A86" s="2">
        <v>10338</v>
      </c>
      <c r="B86" s="4">
        <v>39023</v>
      </c>
      <c r="C86" s="5">
        <v>685</v>
      </c>
    </row>
    <row r="87" spans="1:3" x14ac:dyDescent="0.2">
      <c r="A87" s="2">
        <v>10339</v>
      </c>
      <c r="B87" s="4">
        <v>39026</v>
      </c>
      <c r="C87" s="5">
        <v>2580</v>
      </c>
    </row>
    <row r="88" spans="1:3" x14ac:dyDescent="0.2">
      <c r="A88" s="2">
        <v>10340</v>
      </c>
      <c r="B88" s="4">
        <v>39027</v>
      </c>
      <c r="C88" s="5">
        <v>1940</v>
      </c>
    </row>
    <row r="89" spans="1:3" x14ac:dyDescent="0.2">
      <c r="A89" s="2">
        <v>10341</v>
      </c>
      <c r="B89" s="4">
        <v>39027</v>
      </c>
      <c r="C89" s="5">
        <v>305</v>
      </c>
    </row>
    <row r="90" spans="1:3" x14ac:dyDescent="0.2">
      <c r="A90" s="2">
        <v>10342</v>
      </c>
      <c r="B90" s="4">
        <v>39028</v>
      </c>
      <c r="C90" s="5">
        <v>1656</v>
      </c>
    </row>
    <row r="91" spans="1:3" x14ac:dyDescent="0.2">
      <c r="A91" s="2">
        <v>10343</v>
      </c>
      <c r="B91" s="4">
        <v>39029</v>
      </c>
      <c r="C91" s="5">
        <v>1178</v>
      </c>
    </row>
    <row r="92" spans="1:3" x14ac:dyDescent="0.2">
      <c r="A92" s="2">
        <v>10344</v>
      </c>
      <c r="B92" s="4">
        <v>39030</v>
      </c>
      <c r="C92" s="5">
        <v>2135</v>
      </c>
    </row>
    <row r="93" spans="1:3" x14ac:dyDescent="0.2">
      <c r="A93" s="2">
        <v>10345</v>
      </c>
      <c r="B93" s="4">
        <v>39033</v>
      </c>
      <c r="C93" s="5">
        <v>2152</v>
      </c>
    </row>
    <row r="94" spans="1:3" x14ac:dyDescent="0.2">
      <c r="A94" s="2">
        <v>10346</v>
      </c>
      <c r="B94" s="4">
        <v>39034</v>
      </c>
      <c r="C94" s="5">
        <v>1288</v>
      </c>
    </row>
    <row r="95" spans="1:3" x14ac:dyDescent="0.2">
      <c r="A95" s="2">
        <v>10347</v>
      </c>
      <c r="B95" s="4">
        <v>39035</v>
      </c>
      <c r="C95" s="5">
        <v>648</v>
      </c>
    </row>
    <row r="96" spans="1:3" x14ac:dyDescent="0.2">
      <c r="A96" s="2">
        <v>10348</v>
      </c>
      <c r="B96" s="4">
        <v>39036</v>
      </c>
      <c r="C96" s="5">
        <v>275</v>
      </c>
    </row>
    <row r="97" spans="1:3" x14ac:dyDescent="0.2">
      <c r="A97" s="2">
        <v>10349</v>
      </c>
      <c r="B97" s="4">
        <v>39037</v>
      </c>
      <c r="C97" s="5">
        <v>96</v>
      </c>
    </row>
    <row r="98" spans="1:3" x14ac:dyDescent="0.2">
      <c r="A98" s="2">
        <v>10350</v>
      </c>
      <c r="B98" s="4">
        <v>39040</v>
      </c>
      <c r="C98" s="5">
        <v>513</v>
      </c>
    </row>
    <row r="99" spans="1:3" x14ac:dyDescent="0.2">
      <c r="A99" s="2">
        <v>10351</v>
      </c>
      <c r="B99" s="4">
        <v>39040</v>
      </c>
      <c r="C99" s="5">
        <v>4232</v>
      </c>
    </row>
    <row r="100" spans="1:3" x14ac:dyDescent="0.2">
      <c r="A100" s="2">
        <v>10352</v>
      </c>
      <c r="B100" s="4">
        <v>39041</v>
      </c>
      <c r="C100" s="5">
        <v>100</v>
      </c>
    </row>
    <row r="101" spans="1:3" x14ac:dyDescent="0.2">
      <c r="A101" s="2">
        <v>10353</v>
      </c>
      <c r="B101" s="4">
        <v>39042</v>
      </c>
      <c r="C101" s="5">
        <v>8144</v>
      </c>
    </row>
    <row r="102" spans="1:3" x14ac:dyDescent="0.2">
      <c r="A102" s="2">
        <v>10354</v>
      </c>
      <c r="B102" s="4">
        <v>39043</v>
      </c>
      <c r="C102" s="5">
        <v>420</v>
      </c>
    </row>
    <row r="103" spans="1:3" x14ac:dyDescent="0.2">
      <c r="A103" s="2">
        <v>10355</v>
      </c>
      <c r="B103" s="4">
        <v>39044</v>
      </c>
      <c r="C103" s="5">
        <v>325</v>
      </c>
    </row>
    <row r="104" spans="1:3" x14ac:dyDescent="0.2">
      <c r="A104" s="2">
        <v>10356</v>
      </c>
      <c r="B104" s="4">
        <v>39047</v>
      </c>
      <c r="C104" s="5">
        <v>798</v>
      </c>
    </row>
    <row r="105" spans="1:3" x14ac:dyDescent="0.2">
      <c r="A105" s="2">
        <v>10357</v>
      </c>
      <c r="B105" s="4">
        <v>39048</v>
      </c>
      <c r="C105" s="5">
        <v>988</v>
      </c>
    </row>
    <row r="106" spans="1:3" x14ac:dyDescent="0.2">
      <c r="A106" s="2">
        <v>10358</v>
      </c>
      <c r="B106" s="4">
        <v>39049</v>
      </c>
      <c r="C106" s="5">
        <v>320</v>
      </c>
    </row>
    <row r="107" spans="1:3" x14ac:dyDescent="0.2">
      <c r="A107" s="2">
        <v>10359</v>
      </c>
      <c r="B107" s="4">
        <v>39050</v>
      </c>
      <c r="C107" s="5">
        <v>2650</v>
      </c>
    </row>
    <row r="108" spans="1:3" x14ac:dyDescent="0.2">
      <c r="A108" s="2">
        <v>10360</v>
      </c>
      <c r="B108" s="4">
        <v>39051</v>
      </c>
      <c r="C108" s="5">
        <v>5567</v>
      </c>
    </row>
    <row r="109" spans="1:3" x14ac:dyDescent="0.2">
      <c r="A109" s="2">
        <v>10361</v>
      </c>
      <c r="B109" s="4">
        <v>39051</v>
      </c>
      <c r="C109" s="5">
        <v>1640</v>
      </c>
    </row>
    <row r="110" spans="1:3" x14ac:dyDescent="0.2">
      <c r="A110" s="2">
        <v>10362</v>
      </c>
      <c r="B110" s="4">
        <v>39054</v>
      </c>
      <c r="C110" s="5">
        <v>1136</v>
      </c>
    </row>
    <row r="111" spans="1:3" x14ac:dyDescent="0.2">
      <c r="A111" s="2">
        <v>10363</v>
      </c>
      <c r="B111" s="4">
        <v>39055</v>
      </c>
      <c r="C111" s="5">
        <v>308</v>
      </c>
    </row>
    <row r="112" spans="1:3" x14ac:dyDescent="0.2">
      <c r="A112" s="2">
        <v>10364</v>
      </c>
      <c r="B112" s="4">
        <v>39055</v>
      </c>
      <c r="C112" s="5">
        <v>695</v>
      </c>
    </row>
    <row r="113" spans="1:3" x14ac:dyDescent="0.2">
      <c r="A113" s="2">
        <v>10365</v>
      </c>
      <c r="B113" s="4">
        <v>39056</v>
      </c>
      <c r="C113" s="5">
        <v>288</v>
      </c>
    </row>
    <row r="114" spans="1:3" x14ac:dyDescent="0.2">
      <c r="A114" s="2">
        <v>10366</v>
      </c>
      <c r="B114" s="4">
        <v>39057</v>
      </c>
      <c r="C114" s="5">
        <v>95</v>
      </c>
    </row>
    <row r="115" spans="1:3" x14ac:dyDescent="0.2">
      <c r="A115" s="2">
        <v>10367</v>
      </c>
      <c r="B115" s="4">
        <v>39057</v>
      </c>
      <c r="C115" s="5">
        <v>589</v>
      </c>
    </row>
    <row r="116" spans="1:3" x14ac:dyDescent="0.2">
      <c r="A116" s="2">
        <v>10368</v>
      </c>
      <c r="B116" s="4">
        <v>39058</v>
      </c>
      <c r="C116" s="5">
        <v>1356</v>
      </c>
    </row>
    <row r="117" spans="1:3" x14ac:dyDescent="0.2">
      <c r="A117" s="2">
        <v>10369</v>
      </c>
      <c r="B117" s="4">
        <v>39061</v>
      </c>
      <c r="C117" s="5">
        <v>1914</v>
      </c>
    </row>
    <row r="118" spans="1:3" x14ac:dyDescent="0.2">
      <c r="A118" s="2">
        <v>10370</v>
      </c>
      <c r="B118" s="4">
        <v>39062</v>
      </c>
      <c r="C118" s="5">
        <v>870</v>
      </c>
    </row>
    <row r="119" spans="1:3" x14ac:dyDescent="0.2">
      <c r="A119" s="2">
        <v>10371</v>
      </c>
      <c r="B119" s="4">
        <v>39062</v>
      </c>
      <c r="C119" s="5">
        <v>66</v>
      </c>
    </row>
    <row r="120" spans="1:3" x14ac:dyDescent="0.2">
      <c r="A120" s="2">
        <v>10372</v>
      </c>
      <c r="B120" s="4">
        <v>39063</v>
      </c>
      <c r="C120" s="5">
        <v>9270</v>
      </c>
    </row>
    <row r="121" spans="1:3" x14ac:dyDescent="0.2">
      <c r="A121" s="2">
        <v>10373</v>
      </c>
      <c r="B121" s="4">
        <v>39064</v>
      </c>
      <c r="C121" s="5">
        <v>1290</v>
      </c>
    </row>
    <row r="122" spans="1:3" x14ac:dyDescent="0.2">
      <c r="A122" s="2">
        <v>10374</v>
      </c>
      <c r="B122" s="4">
        <v>39064</v>
      </c>
      <c r="C122" s="5">
        <v>330</v>
      </c>
    </row>
    <row r="123" spans="1:3" x14ac:dyDescent="0.2">
      <c r="A123" s="2">
        <v>10375</v>
      </c>
      <c r="B123" s="4">
        <v>39065</v>
      </c>
      <c r="C123" s="5">
        <v>250</v>
      </c>
    </row>
    <row r="124" spans="1:3" x14ac:dyDescent="0.2">
      <c r="A124" s="2">
        <v>10376</v>
      </c>
      <c r="B124" s="4">
        <v>39068</v>
      </c>
      <c r="C124" s="5">
        <v>294</v>
      </c>
    </row>
    <row r="125" spans="1:3" x14ac:dyDescent="0.2">
      <c r="A125" s="2">
        <v>10377</v>
      </c>
      <c r="B125" s="4">
        <v>39068</v>
      </c>
      <c r="C125" s="5">
        <v>740</v>
      </c>
    </row>
    <row r="126" spans="1:3" x14ac:dyDescent="0.2">
      <c r="A126" s="2">
        <v>10378</v>
      </c>
      <c r="B126" s="4">
        <v>39069</v>
      </c>
      <c r="C126" s="5">
        <v>78</v>
      </c>
    </row>
    <row r="127" spans="1:3" x14ac:dyDescent="0.2">
      <c r="A127" s="2">
        <v>10379</v>
      </c>
      <c r="B127" s="4">
        <v>39070</v>
      </c>
      <c r="C127" s="5">
        <v>696</v>
      </c>
    </row>
    <row r="128" spans="1:3" x14ac:dyDescent="0.2">
      <c r="A128" s="2">
        <v>10380</v>
      </c>
      <c r="B128" s="4">
        <v>39071</v>
      </c>
      <c r="C128" s="5">
        <v>1040</v>
      </c>
    </row>
    <row r="129" spans="1:3" x14ac:dyDescent="0.2">
      <c r="A129" s="2">
        <v>10381</v>
      </c>
      <c r="B129" s="4">
        <v>39071</v>
      </c>
      <c r="C129" s="5">
        <v>84</v>
      </c>
    </row>
    <row r="130" spans="1:3" x14ac:dyDescent="0.2">
      <c r="A130" s="2">
        <v>10382</v>
      </c>
      <c r="B130" s="4">
        <v>39072</v>
      </c>
      <c r="C130" s="5">
        <v>2136</v>
      </c>
    </row>
    <row r="131" spans="1:3" x14ac:dyDescent="0.2">
      <c r="A131" s="2">
        <v>10383</v>
      </c>
      <c r="B131" s="4">
        <v>39075</v>
      </c>
      <c r="C131" s="5">
        <v>655</v>
      </c>
    </row>
    <row r="132" spans="1:3" x14ac:dyDescent="0.2">
      <c r="A132" s="2">
        <v>10384</v>
      </c>
      <c r="B132" s="4">
        <v>39075</v>
      </c>
      <c r="C132" s="5">
        <v>1672</v>
      </c>
    </row>
    <row r="133" spans="1:3" x14ac:dyDescent="0.2">
      <c r="A133" s="2">
        <v>10385</v>
      </c>
      <c r="B133" s="4">
        <v>39076</v>
      </c>
      <c r="C133" s="5">
        <v>636</v>
      </c>
    </row>
    <row r="134" spans="1:3" x14ac:dyDescent="0.2">
      <c r="A134" s="2">
        <v>10386</v>
      </c>
      <c r="B134" s="4">
        <v>39077</v>
      </c>
      <c r="C134" s="5">
        <v>110</v>
      </c>
    </row>
    <row r="135" spans="1:3" x14ac:dyDescent="0.2">
      <c r="A135" s="2">
        <v>10387</v>
      </c>
      <c r="B135" s="4">
        <v>39077</v>
      </c>
      <c r="C135" s="5">
        <v>783</v>
      </c>
    </row>
    <row r="136" spans="1:3" x14ac:dyDescent="0.2">
      <c r="A136" s="2">
        <v>10388</v>
      </c>
      <c r="B136" s="4">
        <v>39078</v>
      </c>
      <c r="C136" s="5">
        <v>915</v>
      </c>
    </row>
    <row r="137" spans="1:3" x14ac:dyDescent="0.2">
      <c r="A137" s="2">
        <v>10389</v>
      </c>
      <c r="B137" s="4">
        <v>39079</v>
      </c>
      <c r="C137" s="5">
        <v>1368</v>
      </c>
    </row>
    <row r="138" spans="1:3" x14ac:dyDescent="0.2">
      <c r="A138" s="2">
        <v>10390</v>
      </c>
      <c r="B138" s="4">
        <v>39082</v>
      </c>
      <c r="C138" s="5">
        <v>1639</v>
      </c>
    </row>
    <row r="139" spans="1:3" x14ac:dyDescent="0.2">
      <c r="A139" s="2">
        <v>10391</v>
      </c>
      <c r="B139" s="4">
        <v>39082</v>
      </c>
      <c r="C139" s="5">
        <v>54</v>
      </c>
    </row>
    <row r="140" spans="1:3" x14ac:dyDescent="0.2">
      <c r="A140" s="2">
        <v>10392</v>
      </c>
      <c r="B140" s="4">
        <v>39083</v>
      </c>
      <c r="C140" s="5">
        <v>1050</v>
      </c>
    </row>
    <row r="141" spans="1:3" x14ac:dyDescent="0.2">
      <c r="A141" s="2">
        <v>10393</v>
      </c>
      <c r="B141" s="4">
        <v>39084</v>
      </c>
      <c r="C141" s="5">
        <v>2403</v>
      </c>
    </row>
    <row r="142" spans="1:3" x14ac:dyDescent="0.2">
      <c r="A142" s="2">
        <v>10394</v>
      </c>
      <c r="B142" s="4">
        <v>39084</v>
      </c>
      <c r="C142" s="5">
        <v>330</v>
      </c>
    </row>
    <row r="143" spans="1:3" x14ac:dyDescent="0.2">
      <c r="A143" s="2">
        <v>10395</v>
      </c>
      <c r="B143" s="4">
        <v>39085</v>
      </c>
      <c r="C143" s="5">
        <v>1694</v>
      </c>
    </row>
    <row r="144" spans="1:3" x14ac:dyDescent="0.2">
      <c r="A144" s="2">
        <v>10396</v>
      </c>
      <c r="B144" s="4">
        <v>39086</v>
      </c>
      <c r="C144" s="5">
        <v>1421</v>
      </c>
    </row>
    <row r="145" spans="1:3" x14ac:dyDescent="0.2">
      <c r="A145" s="2">
        <v>10397</v>
      </c>
      <c r="B145" s="4">
        <v>39086</v>
      </c>
      <c r="C145" s="5">
        <v>636</v>
      </c>
    </row>
    <row r="146" spans="1:3" x14ac:dyDescent="0.2">
      <c r="A146" s="2">
        <v>10398</v>
      </c>
      <c r="B146" s="4">
        <v>39089</v>
      </c>
      <c r="C146" s="5">
        <v>1980</v>
      </c>
    </row>
    <row r="147" spans="1:3" x14ac:dyDescent="0.2">
      <c r="A147" s="2">
        <v>10399</v>
      </c>
      <c r="B147" s="4">
        <v>39090</v>
      </c>
      <c r="C147" s="5">
        <v>1258</v>
      </c>
    </row>
    <row r="148" spans="1:3" x14ac:dyDescent="0.2">
      <c r="A148" s="2">
        <v>10400</v>
      </c>
      <c r="B148" s="4">
        <v>39091</v>
      </c>
      <c r="C148" s="5">
        <v>2285</v>
      </c>
    </row>
    <row r="149" spans="1:3" x14ac:dyDescent="0.2">
      <c r="A149" s="2">
        <v>10401</v>
      </c>
      <c r="B149" s="4">
        <v>39091</v>
      </c>
      <c r="C149" s="5">
        <v>2900</v>
      </c>
    </row>
    <row r="150" spans="1:3" x14ac:dyDescent="0.2">
      <c r="A150" s="2">
        <v>10402</v>
      </c>
      <c r="B150" s="4">
        <v>39092</v>
      </c>
      <c r="C150" s="5">
        <v>1990</v>
      </c>
    </row>
    <row r="151" spans="1:3" x14ac:dyDescent="0.2">
      <c r="A151" s="2">
        <v>10403</v>
      </c>
      <c r="B151" s="4">
        <v>39093</v>
      </c>
      <c r="C151" s="5">
        <v>700</v>
      </c>
    </row>
    <row r="152" spans="1:3" x14ac:dyDescent="0.2">
      <c r="A152" s="2">
        <v>10404</v>
      </c>
      <c r="B152" s="4">
        <v>39093</v>
      </c>
      <c r="C152" s="5">
        <v>1220</v>
      </c>
    </row>
    <row r="153" spans="1:3" x14ac:dyDescent="0.2">
      <c r="A153" s="2">
        <v>10405</v>
      </c>
      <c r="B153" s="4">
        <v>39096</v>
      </c>
      <c r="C153" s="5">
        <v>300</v>
      </c>
    </row>
    <row r="154" spans="1:3" x14ac:dyDescent="0.2">
      <c r="A154" s="2">
        <v>10406</v>
      </c>
      <c r="B154" s="4">
        <v>39097</v>
      </c>
      <c r="C154" s="5">
        <v>1491</v>
      </c>
    </row>
    <row r="155" spans="1:3" x14ac:dyDescent="0.2">
      <c r="A155" s="2">
        <v>10407</v>
      </c>
      <c r="B155" s="4">
        <v>39097</v>
      </c>
      <c r="C155" s="5">
        <v>870</v>
      </c>
    </row>
    <row r="156" spans="1:3" x14ac:dyDescent="0.2">
      <c r="A156" s="2">
        <v>10408</v>
      </c>
      <c r="B156" s="4">
        <v>39098</v>
      </c>
      <c r="C156" s="5">
        <v>1224</v>
      </c>
    </row>
    <row r="157" spans="1:3" x14ac:dyDescent="0.2">
      <c r="A157" s="2">
        <v>10409</v>
      </c>
      <c r="B157" s="4">
        <v>39099</v>
      </c>
      <c r="C157" s="5">
        <v>240</v>
      </c>
    </row>
    <row r="158" spans="1:3" x14ac:dyDescent="0.2">
      <c r="A158" s="2">
        <v>10410</v>
      </c>
      <c r="B158" s="4">
        <v>39100</v>
      </c>
      <c r="C158" s="5">
        <v>577</v>
      </c>
    </row>
    <row r="159" spans="1:3" x14ac:dyDescent="0.2">
      <c r="A159" s="2">
        <v>10411</v>
      </c>
      <c r="B159" s="4">
        <v>39100</v>
      </c>
      <c r="C159" s="5">
        <v>862</v>
      </c>
    </row>
    <row r="160" spans="1:3" x14ac:dyDescent="0.2">
      <c r="A160" s="2">
        <v>10412</v>
      </c>
      <c r="B160" s="4">
        <v>39103</v>
      </c>
      <c r="C160" s="5">
        <v>280</v>
      </c>
    </row>
    <row r="161" spans="1:3" x14ac:dyDescent="0.2">
      <c r="A161" s="2">
        <v>10413</v>
      </c>
      <c r="B161" s="4">
        <v>39104</v>
      </c>
      <c r="C161" s="5">
        <v>1580</v>
      </c>
    </row>
    <row r="162" spans="1:3" x14ac:dyDescent="0.2">
      <c r="A162" s="2">
        <v>10414</v>
      </c>
      <c r="B162" s="4">
        <v>39104</v>
      </c>
      <c r="C162" s="5">
        <v>140</v>
      </c>
    </row>
    <row r="163" spans="1:3" x14ac:dyDescent="0.2">
      <c r="A163" s="2">
        <v>10415</v>
      </c>
      <c r="B163" s="4">
        <v>39105</v>
      </c>
      <c r="C163" s="5">
        <v>66</v>
      </c>
    </row>
    <row r="164" spans="1:3" x14ac:dyDescent="0.2">
      <c r="A164" s="2">
        <v>10416</v>
      </c>
      <c r="B164" s="4">
        <v>39106</v>
      </c>
      <c r="C164" s="5">
        <v>510</v>
      </c>
    </row>
    <row r="165" spans="1:3" x14ac:dyDescent="0.2">
      <c r="A165" s="2">
        <v>10417</v>
      </c>
      <c r="B165" s="4">
        <v>39106</v>
      </c>
      <c r="C165" s="5">
        <v>8511</v>
      </c>
    </row>
    <row r="166" spans="1:3" x14ac:dyDescent="0.2">
      <c r="A166" s="2">
        <v>10418</v>
      </c>
      <c r="B166" s="4">
        <v>39107</v>
      </c>
      <c r="C166" s="5">
        <v>1297</v>
      </c>
    </row>
    <row r="167" spans="1:3" x14ac:dyDescent="0.2">
      <c r="A167" s="2">
        <v>10419</v>
      </c>
      <c r="B167" s="4">
        <v>39110</v>
      </c>
      <c r="C167" s="5">
        <v>1620</v>
      </c>
    </row>
    <row r="168" spans="1:3" x14ac:dyDescent="0.2">
      <c r="A168" s="2">
        <v>10420</v>
      </c>
      <c r="B168" s="4">
        <v>39111</v>
      </c>
      <c r="C168" s="5">
        <v>1438</v>
      </c>
    </row>
    <row r="169" spans="1:3" x14ac:dyDescent="0.2">
      <c r="A169" s="2">
        <v>10421</v>
      </c>
      <c r="B169" s="4">
        <v>39111</v>
      </c>
      <c r="C169" s="5">
        <v>915</v>
      </c>
    </row>
    <row r="170" spans="1:3" x14ac:dyDescent="0.2">
      <c r="A170" s="2">
        <v>10422</v>
      </c>
      <c r="B170" s="4">
        <v>39112</v>
      </c>
      <c r="C170" s="5">
        <v>36</v>
      </c>
    </row>
    <row r="171" spans="1:3" x14ac:dyDescent="0.2">
      <c r="A171" s="2">
        <v>10423</v>
      </c>
      <c r="B171" s="4">
        <v>39113</v>
      </c>
      <c r="C171" s="5">
        <v>758</v>
      </c>
    </row>
    <row r="172" spans="1:3" x14ac:dyDescent="0.2">
      <c r="A172" s="2">
        <v>10424</v>
      </c>
      <c r="B172" s="4">
        <v>39113</v>
      </c>
      <c r="C172" s="5">
        <v>8650</v>
      </c>
    </row>
    <row r="173" spans="1:3" x14ac:dyDescent="0.2">
      <c r="A173" s="2">
        <v>10425</v>
      </c>
      <c r="B173" s="4">
        <v>39114</v>
      </c>
      <c r="C173" s="5">
        <v>340</v>
      </c>
    </row>
    <row r="174" spans="1:3" x14ac:dyDescent="0.2">
      <c r="A174" s="2">
        <v>10426</v>
      </c>
      <c r="B174" s="4">
        <v>39117</v>
      </c>
      <c r="C174" s="5">
        <v>255</v>
      </c>
    </row>
    <row r="175" spans="1:3" x14ac:dyDescent="0.2">
      <c r="A175" s="2">
        <v>10427</v>
      </c>
      <c r="B175" s="4">
        <v>39117</v>
      </c>
      <c r="C175" s="5">
        <v>490</v>
      </c>
    </row>
    <row r="176" spans="1:3" x14ac:dyDescent="0.2">
      <c r="A176" s="2">
        <v>10428</v>
      </c>
      <c r="B176" s="4">
        <v>39118</v>
      </c>
      <c r="C176" s="5">
        <v>140</v>
      </c>
    </row>
    <row r="177" spans="1:3" x14ac:dyDescent="0.2">
      <c r="A177" s="2">
        <v>10429</v>
      </c>
      <c r="B177" s="4">
        <v>39119</v>
      </c>
      <c r="C177" s="5">
        <v>1270</v>
      </c>
    </row>
    <row r="178" spans="1:3" x14ac:dyDescent="0.2">
      <c r="A178" s="2">
        <v>10430</v>
      </c>
      <c r="B178" s="4">
        <v>39120</v>
      </c>
      <c r="C178" s="5">
        <v>4335</v>
      </c>
    </row>
    <row r="179" spans="1:3" x14ac:dyDescent="0.2">
      <c r="A179" s="2">
        <v>10431</v>
      </c>
      <c r="B179" s="4">
        <v>39120</v>
      </c>
      <c r="C179" s="5">
        <v>1850</v>
      </c>
    </row>
    <row r="180" spans="1:3" x14ac:dyDescent="0.2">
      <c r="A180" s="2">
        <v>10432</v>
      </c>
      <c r="B180" s="4">
        <v>39121</v>
      </c>
      <c r="C180" s="5">
        <v>340</v>
      </c>
    </row>
    <row r="181" spans="1:3" x14ac:dyDescent="0.2">
      <c r="A181" s="2">
        <v>10433</v>
      </c>
      <c r="B181" s="4">
        <v>39124</v>
      </c>
      <c r="C181" s="5">
        <v>644</v>
      </c>
    </row>
    <row r="182" spans="1:3" x14ac:dyDescent="0.2">
      <c r="A182" s="2">
        <v>10434</v>
      </c>
      <c r="B182" s="4">
        <v>39124</v>
      </c>
      <c r="C182" s="5">
        <v>252</v>
      </c>
    </row>
    <row r="183" spans="1:3" x14ac:dyDescent="0.2">
      <c r="A183" s="2">
        <v>10435</v>
      </c>
      <c r="B183" s="4">
        <v>39125</v>
      </c>
      <c r="C183" s="5">
        <v>464</v>
      </c>
    </row>
    <row r="184" spans="1:3" x14ac:dyDescent="0.2">
      <c r="A184" s="2">
        <v>10436</v>
      </c>
      <c r="B184" s="4">
        <v>39126</v>
      </c>
      <c r="C184" s="5">
        <v>1651</v>
      </c>
    </row>
    <row r="185" spans="1:3" x14ac:dyDescent="0.2">
      <c r="A185" s="2">
        <v>10437</v>
      </c>
      <c r="B185" s="4">
        <v>39126</v>
      </c>
      <c r="C185" s="5">
        <v>285</v>
      </c>
    </row>
    <row r="186" spans="1:3" x14ac:dyDescent="0.2">
      <c r="A186" s="2">
        <v>10438</v>
      </c>
      <c r="B186" s="4">
        <v>39127</v>
      </c>
      <c r="C186" s="5">
        <v>400</v>
      </c>
    </row>
    <row r="187" spans="1:3" x14ac:dyDescent="0.2">
      <c r="A187" s="2">
        <v>10439</v>
      </c>
      <c r="B187" s="4">
        <v>39128</v>
      </c>
      <c r="C187" s="5">
        <v>805</v>
      </c>
    </row>
    <row r="188" spans="1:3" x14ac:dyDescent="0.2">
      <c r="A188" s="2">
        <v>10440</v>
      </c>
      <c r="B188" s="4">
        <v>39131</v>
      </c>
      <c r="C188" s="5">
        <v>4315</v>
      </c>
    </row>
    <row r="189" spans="1:3" x14ac:dyDescent="0.2">
      <c r="A189" s="2">
        <v>10441</v>
      </c>
      <c r="B189" s="4">
        <v>39131</v>
      </c>
      <c r="C189" s="5">
        <v>1300</v>
      </c>
    </row>
    <row r="190" spans="1:3" x14ac:dyDescent="0.2">
      <c r="A190" s="2">
        <v>10442</v>
      </c>
      <c r="B190" s="4">
        <v>39132</v>
      </c>
      <c r="C190" s="5">
        <v>1280</v>
      </c>
    </row>
    <row r="191" spans="1:3" x14ac:dyDescent="0.2">
      <c r="A191" s="2">
        <v>10443</v>
      </c>
      <c r="B191" s="4">
        <v>39133</v>
      </c>
      <c r="C191" s="5">
        <v>396</v>
      </c>
    </row>
    <row r="192" spans="1:3" x14ac:dyDescent="0.2">
      <c r="A192" s="2">
        <v>10444</v>
      </c>
      <c r="B192" s="4">
        <v>39133</v>
      </c>
      <c r="C192" s="5">
        <v>730</v>
      </c>
    </row>
    <row r="193" spans="1:3" x14ac:dyDescent="0.2">
      <c r="A193" s="2">
        <v>10445</v>
      </c>
      <c r="B193" s="4">
        <v>39134</v>
      </c>
      <c r="C193" s="5">
        <v>120</v>
      </c>
    </row>
    <row r="194" spans="1:3" x14ac:dyDescent="0.2">
      <c r="A194" s="2">
        <v>10446</v>
      </c>
      <c r="B194" s="4">
        <v>39135</v>
      </c>
      <c r="C194" s="5">
        <v>181</v>
      </c>
    </row>
    <row r="195" spans="1:3" x14ac:dyDescent="0.2">
      <c r="A195" s="2">
        <v>10447</v>
      </c>
      <c r="B195" s="4">
        <v>39135</v>
      </c>
      <c r="C195" s="5">
        <v>646</v>
      </c>
    </row>
    <row r="196" spans="1:3" x14ac:dyDescent="0.2">
      <c r="A196" s="2">
        <v>10448</v>
      </c>
      <c r="B196" s="4">
        <v>39138</v>
      </c>
      <c r="C196" s="5">
        <v>328</v>
      </c>
    </row>
    <row r="197" spans="1:3" x14ac:dyDescent="0.2">
      <c r="A197" s="2">
        <v>10449</v>
      </c>
      <c r="B197" s="4">
        <v>39439</v>
      </c>
      <c r="C197" s="5">
        <v>1382</v>
      </c>
    </row>
    <row r="198" spans="1:3" x14ac:dyDescent="0.2">
      <c r="A198" s="2">
        <v>10450</v>
      </c>
      <c r="B198" s="4">
        <v>39440</v>
      </c>
      <c r="C198" s="5">
        <v>384</v>
      </c>
    </row>
    <row r="199" spans="1:3" x14ac:dyDescent="0.2">
      <c r="A199" s="2">
        <v>10451</v>
      </c>
      <c r="B199" s="4">
        <v>39440</v>
      </c>
      <c r="C199" s="5">
        <v>3101</v>
      </c>
    </row>
    <row r="200" spans="1:3" x14ac:dyDescent="0.2">
      <c r="A200" s="2">
        <v>10452</v>
      </c>
      <c r="B200" s="4">
        <v>39441</v>
      </c>
      <c r="C200" s="5">
        <v>1505</v>
      </c>
    </row>
    <row r="201" spans="1:3" x14ac:dyDescent="0.2">
      <c r="A201" s="2">
        <v>10453</v>
      </c>
      <c r="B201" s="4">
        <v>39442</v>
      </c>
      <c r="C201" s="5">
        <v>330</v>
      </c>
    </row>
    <row r="202" spans="1:3" x14ac:dyDescent="0.2">
      <c r="A202" s="2">
        <v>10454</v>
      </c>
      <c r="B202" s="4">
        <v>39442</v>
      </c>
      <c r="C202" s="5">
        <v>290</v>
      </c>
    </row>
    <row r="203" spans="1:3" x14ac:dyDescent="0.2">
      <c r="A203" s="2">
        <v>10455</v>
      </c>
      <c r="B203" s="4">
        <v>39445</v>
      </c>
      <c r="C203" s="5">
        <v>1965</v>
      </c>
    </row>
    <row r="204" spans="1:3" x14ac:dyDescent="0.2">
      <c r="A204" s="2">
        <v>10456</v>
      </c>
      <c r="B204" s="4">
        <v>39446</v>
      </c>
      <c r="C204" s="5">
        <v>492</v>
      </c>
    </row>
    <row r="205" spans="1:3" x14ac:dyDescent="0.2">
      <c r="A205" s="2">
        <v>10457</v>
      </c>
      <c r="B205" s="4">
        <v>39446</v>
      </c>
      <c r="C205" s="5">
        <v>1188</v>
      </c>
    </row>
    <row r="206" spans="1:3" x14ac:dyDescent="0.2">
      <c r="A206" s="2">
        <v>10458</v>
      </c>
      <c r="B206" s="4">
        <v>39447</v>
      </c>
      <c r="C206" s="5">
        <v>2905</v>
      </c>
    </row>
    <row r="207" spans="1:3" x14ac:dyDescent="0.2">
      <c r="A207" s="2">
        <v>10459</v>
      </c>
      <c r="B207" s="4">
        <v>39448</v>
      </c>
      <c r="C207" s="5">
        <v>1268</v>
      </c>
    </row>
    <row r="208" spans="1:3" x14ac:dyDescent="0.2">
      <c r="A208" s="2">
        <v>10460</v>
      </c>
      <c r="B208" s="4">
        <v>39449</v>
      </c>
      <c r="C208" s="5">
        <v>163</v>
      </c>
    </row>
    <row r="209" spans="1:3" x14ac:dyDescent="0.2">
      <c r="A209" s="2">
        <v>10461</v>
      </c>
      <c r="B209" s="4">
        <v>39449</v>
      </c>
      <c r="C209" s="5">
        <v>1500</v>
      </c>
    </row>
    <row r="210" spans="1:3" x14ac:dyDescent="0.2">
      <c r="A210" s="2">
        <v>10462</v>
      </c>
      <c r="B210" s="4">
        <v>39452</v>
      </c>
      <c r="C210" s="5">
        <v>108</v>
      </c>
    </row>
    <row r="211" spans="1:3" x14ac:dyDescent="0.2">
      <c r="A211" s="2">
        <v>10463</v>
      </c>
      <c r="B211" s="4">
        <v>39453</v>
      </c>
      <c r="C211" s="5">
        <v>505</v>
      </c>
    </row>
    <row r="212" spans="1:3" x14ac:dyDescent="0.2">
      <c r="A212" s="2">
        <v>10464</v>
      </c>
      <c r="B212" s="4">
        <v>39453</v>
      </c>
      <c r="C212" s="5">
        <v>1382</v>
      </c>
    </row>
    <row r="213" spans="1:3" x14ac:dyDescent="0.2">
      <c r="A213" s="2">
        <v>10465</v>
      </c>
      <c r="B213" s="4">
        <v>39454</v>
      </c>
      <c r="C213" s="5">
        <v>1995</v>
      </c>
    </row>
    <row r="214" spans="1:3" x14ac:dyDescent="0.2">
      <c r="A214" s="2">
        <v>10466</v>
      </c>
      <c r="B214" s="4">
        <v>39455</v>
      </c>
      <c r="C214" s="5">
        <v>155</v>
      </c>
    </row>
    <row r="215" spans="1:3" x14ac:dyDescent="0.2">
      <c r="A215" s="2">
        <v>10467</v>
      </c>
      <c r="B215" s="4">
        <v>39455</v>
      </c>
      <c r="C215" s="5">
        <v>152</v>
      </c>
    </row>
    <row r="216" spans="1:3" x14ac:dyDescent="0.2">
      <c r="A216" s="2">
        <v>10468</v>
      </c>
      <c r="B216" s="4">
        <v>39456</v>
      </c>
      <c r="C216" s="5">
        <v>540</v>
      </c>
    </row>
    <row r="217" spans="1:3" x14ac:dyDescent="0.2">
      <c r="A217" s="2">
        <v>10469</v>
      </c>
      <c r="B217" s="4">
        <v>39459</v>
      </c>
      <c r="C217" s="5">
        <v>812</v>
      </c>
    </row>
    <row r="218" spans="1:3" x14ac:dyDescent="0.2">
      <c r="A218" s="2">
        <v>10470</v>
      </c>
      <c r="B218" s="4">
        <v>39460</v>
      </c>
      <c r="C218" s="5">
        <v>1375</v>
      </c>
    </row>
    <row r="219" spans="1:3" x14ac:dyDescent="0.2">
      <c r="A219" s="2">
        <v>10471</v>
      </c>
      <c r="B219" s="4">
        <v>39460</v>
      </c>
      <c r="C219" s="5">
        <v>1000</v>
      </c>
    </row>
    <row r="220" spans="1:3" x14ac:dyDescent="0.2">
      <c r="A220" s="2">
        <v>10472</v>
      </c>
      <c r="B220" s="4">
        <v>39461</v>
      </c>
      <c r="C220" s="5">
        <v>736</v>
      </c>
    </row>
    <row r="221" spans="1:3" x14ac:dyDescent="0.2">
      <c r="A221" s="2">
        <v>10473</v>
      </c>
      <c r="B221" s="4">
        <v>39462</v>
      </c>
      <c r="C221" s="5">
        <v>168</v>
      </c>
    </row>
    <row r="222" spans="1:3" x14ac:dyDescent="0.2">
      <c r="A222" s="2">
        <v>10474</v>
      </c>
      <c r="B222" s="4">
        <v>39462</v>
      </c>
      <c r="C222" s="5">
        <v>925</v>
      </c>
    </row>
    <row r="223" spans="1:3" x14ac:dyDescent="0.2">
      <c r="A223" s="2">
        <v>10475</v>
      </c>
      <c r="B223" s="4">
        <v>39463</v>
      </c>
      <c r="C223" s="5">
        <v>1265</v>
      </c>
    </row>
    <row r="224" spans="1:3" x14ac:dyDescent="0.2">
      <c r="A224" s="2">
        <v>10476</v>
      </c>
      <c r="B224" s="4">
        <v>39466</v>
      </c>
      <c r="C224" s="5">
        <v>136</v>
      </c>
    </row>
    <row r="225" spans="1:3" x14ac:dyDescent="0.2">
      <c r="A225" s="2">
        <v>10477</v>
      </c>
      <c r="B225" s="4">
        <v>39466</v>
      </c>
      <c r="C225" s="5">
        <v>476</v>
      </c>
    </row>
    <row r="226" spans="1:3" x14ac:dyDescent="0.2">
      <c r="A226" s="2">
        <v>10478</v>
      </c>
      <c r="B226" s="4">
        <v>39467</v>
      </c>
      <c r="C226" s="5">
        <v>360</v>
      </c>
    </row>
    <row r="227" spans="1:3" x14ac:dyDescent="0.2">
      <c r="A227" s="2">
        <v>10479</v>
      </c>
      <c r="B227" s="4">
        <v>39468</v>
      </c>
      <c r="C227" s="5">
        <v>7912</v>
      </c>
    </row>
    <row r="228" spans="1:3" x14ac:dyDescent="0.2">
      <c r="A228" s="2">
        <v>10480</v>
      </c>
      <c r="B228" s="4">
        <v>39469</v>
      </c>
      <c r="C228" s="5">
        <v>546</v>
      </c>
    </row>
    <row r="229" spans="1:3" x14ac:dyDescent="0.2">
      <c r="A229" s="2">
        <v>10481</v>
      </c>
      <c r="B229" s="4">
        <v>39469</v>
      </c>
      <c r="C229" s="5">
        <v>1088</v>
      </c>
    </row>
    <row r="230" spans="1:3" x14ac:dyDescent="0.2">
      <c r="A230" s="2">
        <v>10482</v>
      </c>
      <c r="B230" s="4">
        <v>39470</v>
      </c>
      <c r="C230" s="5">
        <v>110</v>
      </c>
    </row>
    <row r="231" spans="1:3" x14ac:dyDescent="0.2">
      <c r="A231" s="2">
        <v>10483</v>
      </c>
      <c r="B231" s="4">
        <v>39473</v>
      </c>
      <c r="C231" s="5">
        <v>490</v>
      </c>
    </row>
    <row r="232" spans="1:3" x14ac:dyDescent="0.2">
      <c r="A232" s="2">
        <v>10484</v>
      </c>
      <c r="B232" s="4">
        <v>39473</v>
      </c>
      <c r="C232" s="5">
        <v>290</v>
      </c>
    </row>
    <row r="233" spans="1:3" x14ac:dyDescent="0.2">
      <c r="A233" s="2">
        <v>10485</v>
      </c>
      <c r="B233" s="4">
        <v>39474</v>
      </c>
      <c r="C233" s="5">
        <v>1300</v>
      </c>
    </row>
    <row r="234" spans="1:3" x14ac:dyDescent="0.2">
      <c r="A234" s="2">
        <v>10486</v>
      </c>
      <c r="B234" s="4">
        <v>39475</v>
      </c>
      <c r="C234" s="5">
        <v>956</v>
      </c>
    </row>
    <row r="235" spans="1:3" x14ac:dyDescent="0.2">
      <c r="A235" s="2">
        <v>10487</v>
      </c>
      <c r="B235" s="4">
        <v>39475</v>
      </c>
      <c r="C235" s="5">
        <v>661</v>
      </c>
    </row>
    <row r="236" spans="1:3" x14ac:dyDescent="0.2">
      <c r="A236" s="2">
        <v>10488</v>
      </c>
      <c r="B236" s="4">
        <v>39476</v>
      </c>
      <c r="C236" s="5">
        <v>1170</v>
      </c>
    </row>
    <row r="237" spans="1:3" x14ac:dyDescent="0.2">
      <c r="A237" s="2">
        <v>10489</v>
      </c>
      <c r="B237" s="4">
        <v>39477</v>
      </c>
      <c r="C237" s="5">
        <v>360</v>
      </c>
    </row>
    <row r="238" spans="1:3" x14ac:dyDescent="0.2">
      <c r="A238" s="2">
        <v>10490</v>
      </c>
      <c r="B238" s="4">
        <v>39480</v>
      </c>
      <c r="C238" s="5">
        <v>2334</v>
      </c>
    </row>
    <row r="239" spans="1:3" x14ac:dyDescent="0.2">
      <c r="A239" s="2">
        <v>10491</v>
      </c>
      <c r="B239" s="4">
        <v>39480</v>
      </c>
      <c r="C239" s="5">
        <v>214</v>
      </c>
    </row>
    <row r="240" spans="1:3" x14ac:dyDescent="0.2">
      <c r="A240" s="2">
        <v>10492</v>
      </c>
      <c r="B240" s="4">
        <v>39481</v>
      </c>
      <c r="C240" s="5">
        <v>640</v>
      </c>
    </row>
    <row r="241" spans="1:3" x14ac:dyDescent="0.2">
      <c r="A241" s="2">
        <v>10493</v>
      </c>
      <c r="B241" s="4">
        <v>39482</v>
      </c>
      <c r="C241" s="5">
        <v>490</v>
      </c>
    </row>
    <row r="242" spans="1:3" x14ac:dyDescent="0.2">
      <c r="A242" s="2">
        <v>10494</v>
      </c>
      <c r="B242" s="4">
        <v>39482</v>
      </c>
      <c r="C242" s="5">
        <v>690</v>
      </c>
    </row>
    <row r="243" spans="1:3" x14ac:dyDescent="0.2">
      <c r="A243" s="2">
        <v>10495</v>
      </c>
      <c r="B243" s="4">
        <v>39483</v>
      </c>
      <c r="C243" s="5">
        <v>185</v>
      </c>
    </row>
    <row r="244" spans="1:3" x14ac:dyDescent="0.2">
      <c r="A244" s="2">
        <v>10496</v>
      </c>
      <c r="B244" s="4">
        <v>39484</v>
      </c>
      <c r="C244" s="5">
        <v>140</v>
      </c>
    </row>
    <row r="245" spans="1:3" x14ac:dyDescent="0.2">
      <c r="A245" s="2">
        <v>10497</v>
      </c>
      <c r="B245" s="4">
        <v>39484</v>
      </c>
      <c r="C245" s="5">
        <v>1022</v>
      </c>
    </row>
    <row r="246" spans="1:3" x14ac:dyDescent="0.2">
      <c r="A246" s="2">
        <v>10498</v>
      </c>
      <c r="B246" s="4">
        <v>39487</v>
      </c>
      <c r="C246" s="5">
        <v>412</v>
      </c>
    </row>
    <row r="247" spans="1:3" x14ac:dyDescent="0.2">
      <c r="A247" s="2">
        <v>10499</v>
      </c>
      <c r="B247" s="4">
        <v>39488</v>
      </c>
      <c r="C247" s="5">
        <v>1055</v>
      </c>
    </row>
    <row r="248" spans="1:3" x14ac:dyDescent="0.2">
      <c r="A248" s="2">
        <v>10500</v>
      </c>
      <c r="B248" s="4">
        <v>39489</v>
      </c>
      <c r="C248" s="5">
        <v>404</v>
      </c>
    </row>
    <row r="249" spans="1:3" x14ac:dyDescent="0.2">
      <c r="A249" s="2">
        <v>10501</v>
      </c>
      <c r="B249" s="4">
        <v>39489</v>
      </c>
      <c r="C249" s="5">
        <v>100</v>
      </c>
    </row>
    <row r="250" spans="1:3" x14ac:dyDescent="0.2">
      <c r="A250" s="2">
        <v>10502</v>
      </c>
      <c r="B250" s="4">
        <v>39490</v>
      </c>
      <c r="C250" s="5">
        <v>597</v>
      </c>
    </row>
    <row r="251" spans="1:3" x14ac:dyDescent="0.2">
      <c r="A251" s="2">
        <v>10503</v>
      </c>
      <c r="B251" s="4">
        <v>39491</v>
      </c>
      <c r="C251" s="5">
        <v>1510</v>
      </c>
    </row>
    <row r="252" spans="1:3" x14ac:dyDescent="0.2">
      <c r="A252" s="2">
        <v>10504</v>
      </c>
      <c r="B252" s="4">
        <v>39491</v>
      </c>
      <c r="C252" s="5">
        <v>1027</v>
      </c>
    </row>
    <row r="253" spans="1:3" x14ac:dyDescent="0.2">
      <c r="A253" s="2">
        <v>10505</v>
      </c>
      <c r="B253" s="4">
        <v>39494</v>
      </c>
      <c r="C253" s="5">
        <v>111</v>
      </c>
    </row>
    <row r="254" spans="1:3" x14ac:dyDescent="0.2">
      <c r="A254" s="2">
        <v>10506</v>
      </c>
      <c r="B254" s="4">
        <v>39495</v>
      </c>
      <c r="C254" s="5">
        <v>334</v>
      </c>
    </row>
    <row r="255" spans="1:3" x14ac:dyDescent="0.2">
      <c r="A255" s="2">
        <v>10507</v>
      </c>
      <c r="B255" s="4">
        <v>39495</v>
      </c>
      <c r="C255" s="5">
        <v>660</v>
      </c>
    </row>
    <row r="256" spans="1:3" x14ac:dyDescent="0.2">
      <c r="A256" s="2">
        <v>10508</v>
      </c>
      <c r="B256" s="4">
        <v>39496</v>
      </c>
      <c r="C256" s="5">
        <v>170</v>
      </c>
    </row>
    <row r="257" spans="1:3" x14ac:dyDescent="0.2">
      <c r="A257" s="2">
        <v>10509</v>
      </c>
      <c r="B257" s="4">
        <v>39497</v>
      </c>
      <c r="C257" s="5">
        <v>102</v>
      </c>
    </row>
    <row r="258" spans="1:3" x14ac:dyDescent="0.2">
      <c r="A258" s="2">
        <v>10510</v>
      </c>
      <c r="B258" s="4">
        <v>39498</v>
      </c>
      <c r="C258" s="5">
        <v>3564</v>
      </c>
    </row>
    <row r="259" spans="1:3" x14ac:dyDescent="0.2">
      <c r="A259" s="2">
        <v>10511</v>
      </c>
      <c r="B259" s="4">
        <v>39498</v>
      </c>
      <c r="C259" s="5">
        <v>2200</v>
      </c>
    </row>
    <row r="260" spans="1:3" x14ac:dyDescent="0.2">
      <c r="A260" s="2">
        <v>10512</v>
      </c>
      <c r="B260" s="4">
        <v>39501</v>
      </c>
      <c r="C260" s="5">
        <v>453</v>
      </c>
    </row>
    <row r="261" spans="1:3" x14ac:dyDescent="0.2">
      <c r="A261" s="2">
        <v>10513</v>
      </c>
      <c r="B261" s="4">
        <v>39502</v>
      </c>
      <c r="C261" s="5">
        <v>1795</v>
      </c>
    </row>
    <row r="262" spans="1:3" x14ac:dyDescent="0.2">
      <c r="A262" s="2">
        <v>10514</v>
      </c>
      <c r="B262" s="4">
        <v>39502</v>
      </c>
      <c r="C262" s="5">
        <v>6403</v>
      </c>
    </row>
    <row r="263" spans="1:3" x14ac:dyDescent="0.2">
      <c r="A263" s="2">
        <v>10515</v>
      </c>
      <c r="B263" s="4">
        <v>39503</v>
      </c>
      <c r="C263" s="5">
        <v>7894</v>
      </c>
    </row>
    <row r="264" spans="1:3" x14ac:dyDescent="0.2">
      <c r="A264" s="2">
        <v>10516</v>
      </c>
      <c r="B264" s="4">
        <v>39504</v>
      </c>
      <c r="C264" s="5">
        <v>1935</v>
      </c>
    </row>
    <row r="265" spans="1:3" x14ac:dyDescent="0.2">
      <c r="A265" s="2">
        <v>10517</v>
      </c>
      <c r="B265" s="4">
        <v>39504</v>
      </c>
      <c r="C265" s="5">
        <v>260</v>
      </c>
    </row>
    <row r="266" spans="1:3" x14ac:dyDescent="0.2">
      <c r="A266" s="2">
        <v>10518</v>
      </c>
      <c r="B266" s="4">
        <v>39505</v>
      </c>
      <c r="C266" s="5">
        <v>3141</v>
      </c>
    </row>
    <row r="267" spans="1:3" x14ac:dyDescent="0.2">
      <c r="A267" s="2">
        <v>10519</v>
      </c>
      <c r="B267" s="4">
        <v>39508</v>
      </c>
      <c r="C267" s="5">
        <v>1738</v>
      </c>
    </row>
    <row r="268" spans="1:3" x14ac:dyDescent="0.2">
      <c r="A268" s="2">
        <v>10520</v>
      </c>
      <c r="B268" s="4">
        <v>39509</v>
      </c>
      <c r="C268" s="5">
        <v>149</v>
      </c>
    </row>
    <row r="269" spans="1:3" x14ac:dyDescent="0.2">
      <c r="A269" s="2">
        <v>10521</v>
      </c>
      <c r="B269" s="4">
        <v>39509</v>
      </c>
      <c r="C269" s="5">
        <v>163</v>
      </c>
    </row>
    <row r="270" spans="1:3" x14ac:dyDescent="0.2">
      <c r="A270" s="2">
        <v>10522</v>
      </c>
      <c r="B270" s="4">
        <v>39510</v>
      </c>
      <c r="C270" s="5">
        <v>1970</v>
      </c>
    </row>
    <row r="271" spans="1:3" x14ac:dyDescent="0.2">
      <c r="A271" s="2">
        <v>10523</v>
      </c>
      <c r="B271" s="4">
        <v>39511</v>
      </c>
      <c r="C271" s="5">
        <v>2024</v>
      </c>
    </row>
    <row r="272" spans="1:3" x14ac:dyDescent="0.2">
      <c r="A272" s="2">
        <v>10524</v>
      </c>
      <c r="B272" s="4">
        <v>39511</v>
      </c>
      <c r="C272" s="5">
        <v>2411</v>
      </c>
    </row>
    <row r="273" spans="1:3" x14ac:dyDescent="0.2">
      <c r="A273" s="2">
        <v>10525</v>
      </c>
      <c r="B273" s="4">
        <v>39512</v>
      </c>
      <c r="C273" s="5">
        <v>630</v>
      </c>
    </row>
    <row r="274" spans="1:3" x14ac:dyDescent="0.2">
      <c r="A274" s="2">
        <v>10526</v>
      </c>
      <c r="B274" s="4">
        <v>39515</v>
      </c>
      <c r="C274" s="5">
        <v>984</v>
      </c>
    </row>
    <row r="275" spans="1:3" x14ac:dyDescent="0.2">
      <c r="A275" s="2">
        <v>10527</v>
      </c>
      <c r="B275" s="4">
        <v>39515</v>
      </c>
      <c r="C275" s="5">
        <v>1220</v>
      </c>
    </row>
    <row r="276" spans="1:3" x14ac:dyDescent="0.2">
      <c r="A276" s="2">
        <v>10528</v>
      </c>
      <c r="B276" s="4">
        <v>39516</v>
      </c>
      <c r="C276" s="5">
        <v>290</v>
      </c>
    </row>
    <row r="277" spans="1:3" x14ac:dyDescent="0.2">
      <c r="A277" s="2">
        <v>10529</v>
      </c>
      <c r="B277" s="4">
        <v>39517</v>
      </c>
      <c r="C277" s="5">
        <v>702</v>
      </c>
    </row>
    <row r="278" spans="1:3" x14ac:dyDescent="0.2">
      <c r="A278" s="2">
        <v>10530</v>
      </c>
      <c r="B278" s="4">
        <v>39518</v>
      </c>
      <c r="C278" s="5">
        <v>3105</v>
      </c>
    </row>
    <row r="279" spans="1:3" x14ac:dyDescent="0.2">
      <c r="A279" s="2">
        <v>10531</v>
      </c>
      <c r="B279" s="4">
        <v>39518</v>
      </c>
      <c r="C279" s="5">
        <v>82</v>
      </c>
    </row>
    <row r="280" spans="1:3" x14ac:dyDescent="0.2">
      <c r="A280" s="2">
        <v>10532</v>
      </c>
      <c r="B280" s="4">
        <v>39519</v>
      </c>
      <c r="C280" s="5">
        <v>573</v>
      </c>
    </row>
    <row r="281" spans="1:3" x14ac:dyDescent="0.2">
      <c r="A281" s="2">
        <v>10533</v>
      </c>
      <c r="B281" s="4">
        <v>39522</v>
      </c>
      <c r="C281" s="5">
        <v>1688</v>
      </c>
    </row>
    <row r="282" spans="1:3" x14ac:dyDescent="0.2">
      <c r="A282" s="2">
        <v>10534</v>
      </c>
      <c r="B282" s="4">
        <v>39522</v>
      </c>
      <c r="C282" s="5">
        <v>380</v>
      </c>
    </row>
    <row r="283" spans="1:3" x14ac:dyDescent="0.2">
      <c r="A283" s="2">
        <v>10535</v>
      </c>
      <c r="B283" s="4">
        <v>39523</v>
      </c>
      <c r="C283" s="5">
        <v>1625</v>
      </c>
    </row>
    <row r="284" spans="1:3" x14ac:dyDescent="0.2">
      <c r="A284" s="2">
        <v>10536</v>
      </c>
      <c r="B284" s="4">
        <v>39524</v>
      </c>
      <c r="C284" s="5">
        <v>1505</v>
      </c>
    </row>
    <row r="285" spans="1:3" x14ac:dyDescent="0.2">
      <c r="A285" s="2">
        <v>10537</v>
      </c>
      <c r="B285" s="4">
        <v>39524</v>
      </c>
      <c r="C285" s="5">
        <v>1355</v>
      </c>
    </row>
    <row r="286" spans="1:3" x14ac:dyDescent="0.2">
      <c r="A286" s="2">
        <v>10538</v>
      </c>
      <c r="B286" s="4">
        <v>39525</v>
      </c>
      <c r="C286" s="5">
        <v>103</v>
      </c>
    </row>
    <row r="287" spans="1:3" x14ac:dyDescent="0.2">
      <c r="A287" s="2">
        <v>10539</v>
      </c>
      <c r="B287" s="4">
        <v>39526</v>
      </c>
      <c r="C287" s="5">
        <v>242</v>
      </c>
    </row>
    <row r="288" spans="1:3" x14ac:dyDescent="0.2">
      <c r="A288" s="2">
        <v>10540</v>
      </c>
      <c r="B288" s="4">
        <v>39529</v>
      </c>
      <c r="C288" s="5">
        <v>7655</v>
      </c>
    </row>
    <row r="289" spans="1:3" x14ac:dyDescent="0.2">
      <c r="A289" s="2">
        <v>10541</v>
      </c>
      <c r="B289" s="4">
        <v>39529</v>
      </c>
      <c r="C289" s="5">
        <v>1625</v>
      </c>
    </row>
    <row r="290" spans="1:3" x14ac:dyDescent="0.2">
      <c r="A290" s="2">
        <v>10542</v>
      </c>
      <c r="B290" s="4">
        <v>39530</v>
      </c>
      <c r="C290" s="5">
        <v>360</v>
      </c>
    </row>
    <row r="291" spans="1:3" x14ac:dyDescent="0.2">
      <c r="A291" s="2">
        <v>10543</v>
      </c>
      <c r="B291" s="4">
        <v>39531</v>
      </c>
      <c r="C291" s="5">
        <v>1260</v>
      </c>
    </row>
    <row r="292" spans="1:3" x14ac:dyDescent="0.2">
      <c r="A292" s="2">
        <v>10544</v>
      </c>
      <c r="B292" s="4">
        <v>39531</v>
      </c>
      <c r="C292" s="5">
        <v>308</v>
      </c>
    </row>
    <row r="293" spans="1:3" x14ac:dyDescent="0.2">
      <c r="A293" s="2">
        <v>10545</v>
      </c>
      <c r="B293" s="4">
        <v>39532</v>
      </c>
      <c r="C293" s="5">
        <v>160</v>
      </c>
    </row>
    <row r="294" spans="1:3" x14ac:dyDescent="0.2">
      <c r="A294" s="2">
        <v>10546</v>
      </c>
      <c r="B294" s="4">
        <v>39533</v>
      </c>
      <c r="C294" s="5">
        <v>2090</v>
      </c>
    </row>
    <row r="295" spans="1:3" x14ac:dyDescent="0.2">
      <c r="A295" s="2">
        <v>10547</v>
      </c>
      <c r="B295" s="4">
        <v>39533</v>
      </c>
      <c r="C295" s="5">
        <v>1416</v>
      </c>
    </row>
    <row r="296" spans="1:3" x14ac:dyDescent="0.2">
      <c r="A296" s="2">
        <v>10548</v>
      </c>
      <c r="B296" s="4">
        <v>39536</v>
      </c>
      <c r="C296" s="5">
        <v>198</v>
      </c>
    </row>
    <row r="297" spans="1:3" x14ac:dyDescent="0.2">
      <c r="A297" s="2">
        <v>10549</v>
      </c>
      <c r="B297" s="4">
        <v>39537</v>
      </c>
      <c r="C297" s="5">
        <v>3115</v>
      </c>
    </row>
    <row r="298" spans="1:3" x14ac:dyDescent="0.2">
      <c r="A298" s="2">
        <v>10550</v>
      </c>
      <c r="B298" s="4">
        <v>39538</v>
      </c>
      <c r="C298" s="5">
        <v>554</v>
      </c>
    </row>
    <row r="299" spans="1:3" x14ac:dyDescent="0.2">
      <c r="A299" s="2">
        <v>10551</v>
      </c>
      <c r="B299" s="4">
        <v>39538</v>
      </c>
      <c r="C299" s="5">
        <v>1340</v>
      </c>
    </row>
    <row r="300" spans="1:3" x14ac:dyDescent="0.2">
      <c r="A300" s="2">
        <v>10552</v>
      </c>
      <c r="B300" s="4">
        <v>39539</v>
      </c>
      <c r="C300" s="5">
        <v>636</v>
      </c>
    </row>
    <row r="301" spans="1:3" x14ac:dyDescent="0.2">
      <c r="A301" s="2">
        <v>10553</v>
      </c>
      <c r="B301" s="4">
        <v>39540</v>
      </c>
      <c r="C301" s="5">
        <v>1154</v>
      </c>
    </row>
    <row r="302" spans="1:3" x14ac:dyDescent="0.2">
      <c r="A302" s="2">
        <v>10554</v>
      </c>
      <c r="B302" s="4">
        <v>39540</v>
      </c>
      <c r="C302" s="5">
        <v>1340</v>
      </c>
    </row>
    <row r="303" spans="1:3" x14ac:dyDescent="0.2">
      <c r="A303" s="2">
        <v>10555</v>
      </c>
      <c r="B303" s="4">
        <v>39543</v>
      </c>
      <c r="C303" s="5">
        <v>2729</v>
      </c>
    </row>
    <row r="304" spans="1:3" x14ac:dyDescent="0.2">
      <c r="A304" s="2">
        <v>10556</v>
      </c>
      <c r="B304" s="4">
        <v>39544</v>
      </c>
      <c r="C304" s="5">
        <v>624</v>
      </c>
    </row>
    <row r="305" spans="1:3" x14ac:dyDescent="0.2">
      <c r="A305" s="2">
        <v>10557</v>
      </c>
      <c r="B305" s="4">
        <v>39544</v>
      </c>
      <c r="C305" s="5">
        <v>850</v>
      </c>
    </row>
    <row r="306" spans="1:3" x14ac:dyDescent="0.2">
      <c r="A306" s="2">
        <v>10558</v>
      </c>
      <c r="B306" s="4">
        <v>39545</v>
      </c>
      <c r="C306" s="5">
        <v>1608</v>
      </c>
    </row>
    <row r="307" spans="1:3" x14ac:dyDescent="0.2">
      <c r="A307" s="2">
        <v>10559</v>
      </c>
      <c r="B307" s="4">
        <v>39546</v>
      </c>
      <c r="C307" s="5">
        <v>408</v>
      </c>
    </row>
    <row r="308" spans="1:3" x14ac:dyDescent="0.2">
      <c r="A308" s="2">
        <v>10560</v>
      </c>
      <c r="B308" s="4">
        <v>39547</v>
      </c>
      <c r="C308" s="5">
        <v>935</v>
      </c>
    </row>
    <row r="309" spans="1:3" x14ac:dyDescent="0.2">
      <c r="A309" s="2">
        <v>10561</v>
      </c>
      <c r="B309" s="4">
        <v>39547</v>
      </c>
      <c r="C309" s="5">
        <v>2140</v>
      </c>
    </row>
    <row r="310" spans="1:3" x14ac:dyDescent="0.2">
      <c r="A310" s="2">
        <v>10562</v>
      </c>
      <c r="B310" s="4">
        <v>39550</v>
      </c>
      <c r="C310" s="5">
        <v>390</v>
      </c>
    </row>
    <row r="311" spans="1:3" x14ac:dyDescent="0.2">
      <c r="A311" s="2">
        <v>10563</v>
      </c>
      <c r="B311" s="4">
        <v>39551</v>
      </c>
      <c r="C311" s="5">
        <v>700</v>
      </c>
    </row>
    <row r="312" spans="1:3" x14ac:dyDescent="0.2">
      <c r="A312" s="2">
        <v>10564</v>
      </c>
      <c r="B312" s="4">
        <v>39551</v>
      </c>
      <c r="C312" s="5">
        <v>968</v>
      </c>
    </row>
    <row r="313" spans="1:3" x14ac:dyDescent="0.2">
      <c r="A313" s="2">
        <v>10565</v>
      </c>
      <c r="B313" s="4">
        <v>39552</v>
      </c>
      <c r="C313" s="5">
        <v>525</v>
      </c>
    </row>
    <row r="314" spans="1:3" x14ac:dyDescent="0.2">
      <c r="A314" s="2">
        <v>10566</v>
      </c>
      <c r="B314" s="4">
        <v>39553</v>
      </c>
      <c r="C314" s="5">
        <v>1536</v>
      </c>
    </row>
    <row r="315" spans="1:3" x14ac:dyDescent="0.2">
      <c r="A315" s="2">
        <v>10567</v>
      </c>
      <c r="B315" s="4">
        <v>39553</v>
      </c>
      <c r="C315" s="5">
        <v>2300</v>
      </c>
    </row>
    <row r="316" spans="1:3" x14ac:dyDescent="0.2">
      <c r="A316" s="2">
        <v>10568</v>
      </c>
      <c r="B316" s="4">
        <v>39554</v>
      </c>
      <c r="C316" s="5">
        <v>115</v>
      </c>
    </row>
    <row r="317" spans="1:3" x14ac:dyDescent="0.2">
      <c r="A317" s="2">
        <v>10569</v>
      </c>
      <c r="B317" s="4">
        <v>39557</v>
      </c>
      <c r="C317" s="5">
        <v>705</v>
      </c>
    </row>
    <row r="318" spans="1:3" x14ac:dyDescent="0.2">
      <c r="A318" s="2">
        <v>10570</v>
      </c>
      <c r="B318" s="4">
        <v>39558</v>
      </c>
      <c r="C318" s="5">
        <v>1920</v>
      </c>
    </row>
    <row r="319" spans="1:3" x14ac:dyDescent="0.2">
      <c r="A319" s="2">
        <v>10571</v>
      </c>
      <c r="B319" s="4">
        <v>39558</v>
      </c>
      <c r="C319" s="5">
        <v>467</v>
      </c>
    </row>
    <row r="320" spans="1:3" x14ac:dyDescent="0.2">
      <c r="A320" s="2">
        <v>10572</v>
      </c>
      <c r="B320" s="4">
        <v>39559</v>
      </c>
      <c r="C320" s="5">
        <v>1171</v>
      </c>
    </row>
    <row r="321" spans="1:3" x14ac:dyDescent="0.2">
      <c r="A321" s="2">
        <v>10573</v>
      </c>
      <c r="B321" s="4">
        <v>39560</v>
      </c>
      <c r="C321" s="5">
        <v>1547</v>
      </c>
    </row>
    <row r="322" spans="1:3" x14ac:dyDescent="0.2">
      <c r="A322" s="2">
        <v>10574</v>
      </c>
      <c r="B322" s="4">
        <v>39560</v>
      </c>
      <c r="C322" s="5">
        <v>562</v>
      </c>
    </row>
    <row r="323" spans="1:3" x14ac:dyDescent="0.2">
      <c r="A323" s="2">
        <v>10575</v>
      </c>
      <c r="B323" s="4">
        <v>39561</v>
      </c>
      <c r="C323" s="5">
        <v>1600</v>
      </c>
    </row>
    <row r="324" spans="1:3" x14ac:dyDescent="0.2">
      <c r="A324" s="2">
        <v>10576</v>
      </c>
      <c r="B324" s="4">
        <v>39564</v>
      </c>
      <c r="C324" s="5">
        <v>604</v>
      </c>
    </row>
    <row r="325" spans="1:3" x14ac:dyDescent="0.2">
      <c r="A325" s="2">
        <v>10577</v>
      </c>
      <c r="B325" s="4">
        <v>39564</v>
      </c>
      <c r="C325" s="5">
        <v>392</v>
      </c>
    </row>
    <row r="326" spans="1:3" x14ac:dyDescent="0.2">
      <c r="A326" s="2">
        <v>10578</v>
      </c>
      <c r="B326" s="4">
        <v>39565</v>
      </c>
      <c r="C326" s="5">
        <v>344</v>
      </c>
    </row>
    <row r="327" spans="1:3" x14ac:dyDescent="0.2">
      <c r="A327" s="2">
        <v>10579</v>
      </c>
      <c r="B327" s="4">
        <v>39566</v>
      </c>
      <c r="C327" s="5">
        <v>215</v>
      </c>
    </row>
    <row r="328" spans="1:3" x14ac:dyDescent="0.2">
      <c r="A328" s="2">
        <v>10580</v>
      </c>
      <c r="B328" s="4">
        <v>39567</v>
      </c>
      <c r="C328" s="5">
        <v>798</v>
      </c>
    </row>
    <row r="329" spans="1:3" x14ac:dyDescent="0.2">
      <c r="A329" s="2">
        <v>10581</v>
      </c>
      <c r="B329" s="4">
        <v>39567</v>
      </c>
      <c r="C329" s="5">
        <v>250</v>
      </c>
    </row>
    <row r="330" spans="1:3" x14ac:dyDescent="0.2">
      <c r="A330" s="2">
        <v>10582</v>
      </c>
      <c r="B330" s="4">
        <v>39568</v>
      </c>
      <c r="C330" s="5">
        <v>238</v>
      </c>
    </row>
    <row r="331" spans="1:3" x14ac:dyDescent="0.2">
      <c r="A331" s="2">
        <v>10583</v>
      </c>
      <c r="B331" s="4">
        <v>39571</v>
      </c>
      <c r="C331" s="5">
        <v>1810</v>
      </c>
    </row>
    <row r="332" spans="1:3" x14ac:dyDescent="0.2">
      <c r="A332" s="2">
        <v>10584</v>
      </c>
      <c r="B332" s="4">
        <v>39571</v>
      </c>
      <c r="C332" s="5">
        <v>450</v>
      </c>
    </row>
    <row r="333" spans="1:3" x14ac:dyDescent="0.2">
      <c r="A333" s="2">
        <v>10585</v>
      </c>
      <c r="B333" s="4">
        <v>39572</v>
      </c>
      <c r="C333" s="5">
        <v>105</v>
      </c>
    </row>
    <row r="334" spans="1:3" x14ac:dyDescent="0.2">
      <c r="A334" s="2">
        <v>10586</v>
      </c>
      <c r="B334" s="4">
        <v>39573</v>
      </c>
      <c r="C334" s="5">
        <v>20</v>
      </c>
    </row>
    <row r="335" spans="1:3" x14ac:dyDescent="0.2">
      <c r="A335" s="2">
        <v>10587</v>
      </c>
      <c r="B335" s="4">
        <v>39573</v>
      </c>
      <c r="C335" s="5">
        <v>578</v>
      </c>
    </row>
    <row r="336" spans="1:3" x14ac:dyDescent="0.2">
      <c r="A336" s="2">
        <v>10588</v>
      </c>
      <c r="B336" s="4">
        <v>39574</v>
      </c>
      <c r="C336" s="5">
        <v>2880</v>
      </c>
    </row>
    <row r="337" spans="1:3" x14ac:dyDescent="0.2">
      <c r="A337" s="2">
        <v>10589</v>
      </c>
      <c r="B337" s="4">
        <v>39575</v>
      </c>
      <c r="C337" s="5">
        <v>52</v>
      </c>
    </row>
    <row r="338" spans="1:3" x14ac:dyDescent="0.2">
      <c r="A338" s="2">
        <v>10590</v>
      </c>
      <c r="B338" s="4">
        <v>39578</v>
      </c>
      <c r="C338" s="5">
        <v>800</v>
      </c>
    </row>
    <row r="339" spans="1:3" x14ac:dyDescent="0.2">
      <c r="A339" s="2">
        <v>10591</v>
      </c>
      <c r="B339" s="4">
        <v>39578</v>
      </c>
      <c r="C339" s="5">
        <v>568</v>
      </c>
    </row>
    <row r="340" spans="1:3" x14ac:dyDescent="0.2">
      <c r="A340" s="2">
        <v>10592</v>
      </c>
      <c r="B340" s="4">
        <v>39579</v>
      </c>
      <c r="C340" s="5">
        <v>390</v>
      </c>
    </row>
    <row r="341" spans="1:3" x14ac:dyDescent="0.2">
      <c r="A341" s="2">
        <v>10593</v>
      </c>
      <c r="B341" s="4">
        <v>39580</v>
      </c>
      <c r="C341" s="5">
        <v>1873</v>
      </c>
    </row>
    <row r="342" spans="1:3" x14ac:dyDescent="0.2">
      <c r="A342" s="2">
        <v>10594</v>
      </c>
      <c r="B342" s="4">
        <v>39580</v>
      </c>
      <c r="C342" s="5">
        <v>420</v>
      </c>
    </row>
    <row r="343" spans="1:3" x14ac:dyDescent="0.2">
      <c r="A343" s="2">
        <v>10595</v>
      </c>
      <c r="B343" s="4">
        <v>39581</v>
      </c>
      <c r="C343" s="5">
        <v>4665</v>
      </c>
    </row>
    <row r="344" spans="1:3" x14ac:dyDescent="0.2">
      <c r="A344" s="2">
        <v>10596</v>
      </c>
      <c r="B344" s="4">
        <v>39582</v>
      </c>
      <c r="C344" s="5">
        <v>1082</v>
      </c>
    </row>
    <row r="345" spans="1:3" x14ac:dyDescent="0.2">
      <c r="A345" s="2">
        <v>10597</v>
      </c>
      <c r="B345" s="4">
        <v>39582</v>
      </c>
      <c r="C345" s="5">
        <v>577</v>
      </c>
    </row>
    <row r="346" spans="1:3" x14ac:dyDescent="0.2">
      <c r="A346" s="2">
        <v>10598</v>
      </c>
      <c r="B346" s="4">
        <v>39585</v>
      </c>
      <c r="C346" s="5">
        <v>1794</v>
      </c>
    </row>
    <row r="347" spans="1:3" x14ac:dyDescent="0.2">
      <c r="A347" s="2">
        <v>10599</v>
      </c>
      <c r="B347" s="4">
        <v>39586</v>
      </c>
      <c r="C347" s="5">
        <v>370</v>
      </c>
    </row>
    <row r="348" spans="1:3" x14ac:dyDescent="0.2">
      <c r="A348" s="2">
        <v>10600</v>
      </c>
      <c r="B348" s="4">
        <v>39587</v>
      </c>
      <c r="C348" s="5">
        <v>350</v>
      </c>
    </row>
    <row r="349" spans="1:3" x14ac:dyDescent="0.2">
      <c r="A349" s="2">
        <v>10601</v>
      </c>
      <c r="B349" s="4">
        <v>39587</v>
      </c>
      <c r="C349" s="5">
        <v>1675</v>
      </c>
    </row>
    <row r="350" spans="1:3" x14ac:dyDescent="0.2">
      <c r="A350" s="2">
        <v>10602</v>
      </c>
      <c r="B350" s="4">
        <v>39588</v>
      </c>
      <c r="C350" s="5">
        <v>45</v>
      </c>
    </row>
    <row r="351" spans="1:3" x14ac:dyDescent="0.2">
      <c r="A351" s="2">
        <v>10603</v>
      </c>
      <c r="B351" s="4">
        <v>39589</v>
      </c>
      <c r="C351" s="5">
        <v>1143</v>
      </c>
    </row>
    <row r="352" spans="1:3" x14ac:dyDescent="0.2">
      <c r="A352" s="2">
        <v>10604</v>
      </c>
      <c r="B352" s="4">
        <v>39589</v>
      </c>
      <c r="C352" s="5">
        <v>184</v>
      </c>
    </row>
    <row r="353" spans="1:3" x14ac:dyDescent="0.2">
      <c r="A353" s="2">
        <v>10605</v>
      </c>
      <c r="B353" s="4">
        <v>39592</v>
      </c>
      <c r="C353" s="5">
        <v>3200</v>
      </c>
    </row>
    <row r="354" spans="1:3" x14ac:dyDescent="0.2">
      <c r="A354" s="2">
        <v>10606</v>
      </c>
      <c r="B354" s="4">
        <v>39593</v>
      </c>
      <c r="C354" s="5">
        <v>1050</v>
      </c>
    </row>
    <row r="355" spans="1:3" x14ac:dyDescent="0.2">
      <c r="A355" s="2">
        <v>10607</v>
      </c>
      <c r="B355" s="4">
        <v>39593</v>
      </c>
      <c r="C355" s="5">
        <v>4804</v>
      </c>
    </row>
    <row r="356" spans="1:3" x14ac:dyDescent="0.2">
      <c r="A356" s="2">
        <v>10608</v>
      </c>
      <c r="B356" s="4">
        <v>39594</v>
      </c>
      <c r="C356" s="5">
        <v>784</v>
      </c>
    </row>
    <row r="357" spans="1:3" x14ac:dyDescent="0.2">
      <c r="A357" s="2">
        <v>10609</v>
      </c>
      <c r="B357" s="4">
        <v>39595</v>
      </c>
      <c r="C357" s="5">
        <v>311</v>
      </c>
    </row>
    <row r="358" spans="1:3" x14ac:dyDescent="0.2">
      <c r="A358" s="2">
        <v>10610</v>
      </c>
      <c r="B358" s="4">
        <v>39596</v>
      </c>
      <c r="C358" s="5">
        <v>294</v>
      </c>
    </row>
    <row r="359" spans="1:3" x14ac:dyDescent="0.2">
      <c r="A359" s="2">
        <v>10611</v>
      </c>
      <c r="B359" s="4">
        <v>39596</v>
      </c>
      <c r="C359" s="5">
        <v>593</v>
      </c>
    </row>
    <row r="360" spans="1:3" x14ac:dyDescent="0.2">
      <c r="A360" s="2">
        <v>10612</v>
      </c>
      <c r="B360" s="4">
        <v>39599</v>
      </c>
      <c r="C360" s="5">
        <v>4690</v>
      </c>
    </row>
    <row r="361" spans="1:3" x14ac:dyDescent="0.2">
      <c r="A361" s="2">
        <v>10613</v>
      </c>
      <c r="B361" s="4">
        <v>39600</v>
      </c>
      <c r="C361" s="5">
        <v>232</v>
      </c>
    </row>
    <row r="362" spans="1:3" x14ac:dyDescent="0.2">
      <c r="A362" s="2">
        <v>10614</v>
      </c>
      <c r="B362" s="4">
        <v>39600</v>
      </c>
      <c r="C362" s="5">
        <v>345</v>
      </c>
    </row>
    <row r="363" spans="1:3" x14ac:dyDescent="0.2">
      <c r="A363" s="2">
        <v>10615</v>
      </c>
      <c r="B363" s="4">
        <v>39601</v>
      </c>
      <c r="C363" s="5">
        <v>90</v>
      </c>
    </row>
    <row r="364" spans="1:3" x14ac:dyDescent="0.2">
      <c r="A364" s="2">
        <v>10616</v>
      </c>
      <c r="B364" s="4">
        <v>39602</v>
      </c>
      <c r="C364" s="5">
        <v>3797</v>
      </c>
    </row>
    <row r="365" spans="1:3" x14ac:dyDescent="0.2">
      <c r="A365" s="2">
        <v>10617</v>
      </c>
      <c r="B365" s="4">
        <v>39602</v>
      </c>
      <c r="C365" s="5">
        <v>1230</v>
      </c>
    </row>
    <row r="366" spans="1:3" x14ac:dyDescent="0.2">
      <c r="A366" s="2">
        <v>10618</v>
      </c>
      <c r="B366" s="4">
        <v>39603</v>
      </c>
      <c r="C366" s="5">
        <v>2025</v>
      </c>
    </row>
    <row r="367" spans="1:3" x14ac:dyDescent="0.2">
      <c r="A367" s="2">
        <v>10619</v>
      </c>
      <c r="B367" s="4">
        <v>39606</v>
      </c>
      <c r="C367" s="5">
        <v>934</v>
      </c>
    </row>
    <row r="368" spans="1:3" x14ac:dyDescent="0.2">
      <c r="A368" s="2">
        <v>10620</v>
      </c>
      <c r="B368" s="4">
        <v>39607</v>
      </c>
      <c r="C368" s="5">
        <v>40</v>
      </c>
    </row>
    <row r="369" spans="1:3" x14ac:dyDescent="0.2">
      <c r="A369" s="2">
        <v>10621</v>
      </c>
      <c r="B369" s="4">
        <v>39607</v>
      </c>
      <c r="C369" s="5">
        <v>555</v>
      </c>
    </row>
    <row r="370" spans="1:3" x14ac:dyDescent="0.2">
      <c r="A370" s="2">
        <v>10622</v>
      </c>
      <c r="B370" s="4">
        <v>39608</v>
      </c>
      <c r="C370" s="5">
        <v>442</v>
      </c>
    </row>
    <row r="371" spans="1:3" x14ac:dyDescent="0.2">
      <c r="A371" s="2">
        <v>10623</v>
      </c>
      <c r="B371" s="4">
        <v>39609</v>
      </c>
      <c r="C371" s="5">
        <v>1036</v>
      </c>
    </row>
    <row r="372" spans="1:3" x14ac:dyDescent="0.2">
      <c r="A372" s="2">
        <v>10624</v>
      </c>
      <c r="B372" s="4">
        <v>39609</v>
      </c>
      <c r="C372" s="5">
        <v>1044</v>
      </c>
    </row>
    <row r="373" spans="1:3" x14ac:dyDescent="0.2">
      <c r="A373" s="2">
        <v>10625</v>
      </c>
      <c r="B373" s="4">
        <v>39610</v>
      </c>
      <c r="C373" s="5">
        <v>351</v>
      </c>
    </row>
    <row r="374" spans="1:3" x14ac:dyDescent="0.2">
      <c r="A374" s="2">
        <v>10626</v>
      </c>
      <c r="B374" s="4">
        <v>39613</v>
      </c>
      <c r="C374" s="5">
        <v>1120</v>
      </c>
    </row>
    <row r="375" spans="1:3" x14ac:dyDescent="0.2">
      <c r="A375" s="2">
        <v>10627</v>
      </c>
      <c r="B375" s="4">
        <v>39613</v>
      </c>
      <c r="C375" s="5">
        <v>940</v>
      </c>
    </row>
    <row r="376" spans="1:3" x14ac:dyDescent="0.2">
      <c r="A376" s="2">
        <v>10628</v>
      </c>
      <c r="B376" s="4">
        <v>39614</v>
      </c>
      <c r="C376" s="5">
        <v>325</v>
      </c>
    </row>
    <row r="377" spans="1:3" x14ac:dyDescent="0.2">
      <c r="A377" s="2">
        <v>10629</v>
      </c>
      <c r="B377" s="4">
        <v>39614</v>
      </c>
      <c r="C377" s="5">
        <v>2105</v>
      </c>
    </row>
    <row r="378" spans="1:3" x14ac:dyDescent="0.2">
      <c r="A378" s="2">
        <v>10630</v>
      </c>
      <c r="B378" s="4">
        <v>39615</v>
      </c>
      <c r="C378" s="5">
        <v>671</v>
      </c>
    </row>
    <row r="379" spans="1:3" x14ac:dyDescent="0.2">
      <c r="A379" s="2">
        <v>10631</v>
      </c>
      <c r="B379" s="4">
        <v>39616</v>
      </c>
      <c r="C379" s="5">
        <v>40</v>
      </c>
    </row>
    <row r="380" spans="1:3" x14ac:dyDescent="0.2">
      <c r="A380" s="2">
        <v>10632</v>
      </c>
      <c r="B380" s="4">
        <v>39616</v>
      </c>
      <c r="C380" s="5">
        <v>440</v>
      </c>
    </row>
    <row r="381" spans="1:3" x14ac:dyDescent="0.2">
      <c r="A381" s="2">
        <v>10633</v>
      </c>
      <c r="B381" s="4">
        <v>39617</v>
      </c>
      <c r="C381" s="5">
        <v>4825</v>
      </c>
    </row>
    <row r="382" spans="1:3" x14ac:dyDescent="0.2">
      <c r="A382" s="2">
        <v>10634</v>
      </c>
      <c r="B382" s="4">
        <v>39617</v>
      </c>
      <c r="C382" s="5">
        <v>3730</v>
      </c>
    </row>
    <row r="383" spans="1:3" x14ac:dyDescent="0.2">
      <c r="A383" s="2">
        <v>10635</v>
      </c>
      <c r="B383" s="4">
        <v>39620</v>
      </c>
      <c r="C383" s="5">
        <v>1040</v>
      </c>
    </row>
    <row r="384" spans="1:3" x14ac:dyDescent="0.2">
      <c r="A384" s="2">
        <v>10636</v>
      </c>
      <c r="B384" s="4">
        <v>39621</v>
      </c>
      <c r="C384" s="5">
        <v>460</v>
      </c>
    </row>
    <row r="385" spans="1:3" x14ac:dyDescent="0.2">
      <c r="A385" s="2">
        <v>10637</v>
      </c>
      <c r="B385" s="4">
        <v>39621</v>
      </c>
      <c r="C385" s="5">
        <v>2140</v>
      </c>
    </row>
    <row r="386" spans="1:3" x14ac:dyDescent="0.2">
      <c r="A386" s="2">
        <v>10638</v>
      </c>
      <c r="B386" s="4">
        <v>39622</v>
      </c>
      <c r="C386" s="5">
        <v>2036</v>
      </c>
    </row>
    <row r="387" spans="1:3" x14ac:dyDescent="0.2">
      <c r="A387" s="2">
        <v>10639</v>
      </c>
      <c r="B387" s="4">
        <v>39622</v>
      </c>
      <c r="C387" s="5">
        <v>376</v>
      </c>
    </row>
    <row r="388" spans="1:3" x14ac:dyDescent="0.2">
      <c r="A388" s="2">
        <v>10640</v>
      </c>
      <c r="B388" s="4">
        <v>39623</v>
      </c>
      <c r="C388" s="5">
        <v>705</v>
      </c>
    </row>
    <row r="389" spans="1:3" x14ac:dyDescent="0.2">
      <c r="A389" s="2">
        <v>10641</v>
      </c>
      <c r="B389" s="4">
        <v>39624</v>
      </c>
      <c r="C389" s="5">
        <v>1540</v>
      </c>
    </row>
    <row r="390" spans="1:3" x14ac:dyDescent="0.2">
      <c r="A390" s="2">
        <v>10642</v>
      </c>
      <c r="B390" s="4">
        <v>39624</v>
      </c>
      <c r="C390" s="5">
        <v>630</v>
      </c>
    </row>
    <row r="391" spans="1:3" x14ac:dyDescent="0.2">
      <c r="A391" s="2">
        <v>10643</v>
      </c>
      <c r="B391" s="4">
        <v>39627</v>
      </c>
      <c r="C391" s="5">
        <v>801</v>
      </c>
    </row>
    <row r="392" spans="1:3" x14ac:dyDescent="0.2">
      <c r="A392" s="2">
        <v>10644</v>
      </c>
      <c r="B392" s="4">
        <v>39627</v>
      </c>
      <c r="C392" s="5">
        <v>1077</v>
      </c>
    </row>
    <row r="393" spans="1:3" x14ac:dyDescent="0.2">
      <c r="A393" s="2">
        <v>10645</v>
      </c>
      <c r="B393" s="4">
        <v>39628</v>
      </c>
      <c r="C393" s="5">
        <v>1150</v>
      </c>
    </row>
    <row r="394" spans="1:3" x14ac:dyDescent="0.2">
      <c r="A394" s="2">
        <v>10646</v>
      </c>
      <c r="B394" s="4">
        <v>39629</v>
      </c>
      <c r="C394" s="5">
        <v>1404</v>
      </c>
    </row>
    <row r="395" spans="1:3" x14ac:dyDescent="0.2">
      <c r="A395" s="2">
        <v>10647</v>
      </c>
      <c r="B395" s="4">
        <v>39629</v>
      </c>
      <c r="C395" s="5">
        <v>470</v>
      </c>
    </row>
    <row r="396" spans="1:3" x14ac:dyDescent="0.2">
      <c r="A396" s="2">
        <v>10648</v>
      </c>
      <c r="B396" s="4">
        <v>39630</v>
      </c>
      <c r="C396" s="5">
        <v>285</v>
      </c>
    </row>
    <row r="397" spans="1:3" x14ac:dyDescent="0.2">
      <c r="A397" s="2">
        <v>10649</v>
      </c>
      <c r="B397" s="4">
        <v>39930</v>
      </c>
      <c r="C397" s="5">
        <v>1070</v>
      </c>
    </row>
    <row r="398" spans="1:3" x14ac:dyDescent="0.2">
      <c r="A398" s="2">
        <v>10650</v>
      </c>
      <c r="B398" s="4">
        <v>39931</v>
      </c>
      <c r="C398" s="5">
        <v>1345</v>
      </c>
    </row>
    <row r="399" spans="1:3" x14ac:dyDescent="0.2">
      <c r="A399" s="2">
        <v>10651</v>
      </c>
      <c r="B399" s="4">
        <v>39934</v>
      </c>
      <c r="C399" s="5">
        <v>404</v>
      </c>
    </row>
    <row r="400" spans="1:3" x14ac:dyDescent="0.2">
      <c r="A400" s="2">
        <v>10652</v>
      </c>
      <c r="B400" s="4">
        <v>39934</v>
      </c>
      <c r="C400" s="5">
        <v>238</v>
      </c>
    </row>
    <row r="401" spans="1:3" x14ac:dyDescent="0.2">
      <c r="A401" s="2">
        <v>10653</v>
      </c>
      <c r="B401" s="4">
        <v>39935</v>
      </c>
      <c r="C401" s="5">
        <v>890</v>
      </c>
    </row>
    <row r="402" spans="1:3" x14ac:dyDescent="0.2">
      <c r="A402" s="2">
        <v>10654</v>
      </c>
      <c r="B402" s="4">
        <v>39935</v>
      </c>
      <c r="C402" s="5">
        <v>482</v>
      </c>
    </row>
    <row r="403" spans="1:3" x14ac:dyDescent="0.2">
      <c r="A403" s="2">
        <v>10655</v>
      </c>
      <c r="B403" s="4">
        <v>39936</v>
      </c>
      <c r="C403" s="5">
        <v>140</v>
      </c>
    </row>
    <row r="404" spans="1:3" x14ac:dyDescent="0.2">
      <c r="A404" s="2">
        <v>10656</v>
      </c>
      <c r="B404" s="4">
        <v>39937</v>
      </c>
      <c r="C404" s="5">
        <v>485</v>
      </c>
    </row>
    <row r="405" spans="1:3" x14ac:dyDescent="0.2">
      <c r="A405" s="2">
        <v>10657</v>
      </c>
      <c r="B405" s="4">
        <v>39937</v>
      </c>
      <c r="C405" s="5">
        <v>3203</v>
      </c>
    </row>
    <row r="406" spans="1:3" x14ac:dyDescent="0.2">
      <c r="A406" s="2">
        <v>10658</v>
      </c>
      <c r="B406" s="4">
        <v>39938</v>
      </c>
      <c r="C406" s="5">
        <v>3405</v>
      </c>
    </row>
    <row r="407" spans="1:3" x14ac:dyDescent="0.2">
      <c r="A407" s="2">
        <v>10659</v>
      </c>
      <c r="B407" s="4">
        <v>39938</v>
      </c>
      <c r="C407" s="5">
        <v>956</v>
      </c>
    </row>
    <row r="408" spans="1:3" x14ac:dyDescent="0.2">
      <c r="A408" s="2">
        <v>10660</v>
      </c>
      <c r="B408" s="4">
        <v>39941</v>
      </c>
      <c r="C408" s="5">
        <v>1281</v>
      </c>
    </row>
    <row r="409" spans="1:3" x14ac:dyDescent="0.2">
      <c r="A409" s="2">
        <v>10661</v>
      </c>
      <c r="B409" s="4">
        <v>39942</v>
      </c>
      <c r="C409" s="5">
        <v>529</v>
      </c>
    </row>
    <row r="410" spans="1:3" x14ac:dyDescent="0.2">
      <c r="A410" s="2">
        <v>10662</v>
      </c>
      <c r="B410" s="4">
        <v>39942</v>
      </c>
      <c r="C410" s="5">
        <v>90</v>
      </c>
    </row>
    <row r="411" spans="1:3" x14ac:dyDescent="0.2">
      <c r="A411" s="2">
        <v>10663</v>
      </c>
      <c r="B411" s="4">
        <v>39943</v>
      </c>
      <c r="C411" s="5">
        <v>1520</v>
      </c>
    </row>
    <row r="412" spans="1:3" x14ac:dyDescent="0.2">
      <c r="A412" s="2">
        <v>10664</v>
      </c>
      <c r="B412" s="4">
        <v>39943</v>
      </c>
      <c r="C412" s="5">
        <v>1128</v>
      </c>
    </row>
    <row r="413" spans="1:3" x14ac:dyDescent="0.2">
      <c r="A413" s="2">
        <v>10665</v>
      </c>
      <c r="B413" s="4">
        <v>39944</v>
      </c>
      <c r="C413" s="5">
        <v>971</v>
      </c>
    </row>
    <row r="414" spans="1:3" x14ac:dyDescent="0.2">
      <c r="A414" s="2">
        <v>10666</v>
      </c>
      <c r="B414" s="4">
        <v>39945</v>
      </c>
      <c r="C414" s="5">
        <v>3544</v>
      </c>
    </row>
    <row r="415" spans="1:3" x14ac:dyDescent="0.2">
      <c r="A415" s="2">
        <v>10667</v>
      </c>
      <c r="B415" s="4">
        <v>39945</v>
      </c>
      <c r="C415" s="5">
        <v>1439</v>
      </c>
    </row>
    <row r="416" spans="1:3" x14ac:dyDescent="0.2">
      <c r="A416" s="2">
        <v>10668</v>
      </c>
      <c r="B416" s="4">
        <v>39948</v>
      </c>
      <c r="C416" s="5">
        <v>519</v>
      </c>
    </row>
    <row r="417" spans="1:3" x14ac:dyDescent="0.2">
      <c r="A417" s="2">
        <v>10669</v>
      </c>
      <c r="B417" s="4">
        <v>39948</v>
      </c>
      <c r="C417" s="5">
        <v>420</v>
      </c>
    </row>
    <row r="418" spans="1:3" x14ac:dyDescent="0.2">
      <c r="A418" s="2">
        <v>10670</v>
      </c>
      <c r="B418" s="4">
        <v>39949</v>
      </c>
      <c r="C418" s="5">
        <v>1657</v>
      </c>
    </row>
    <row r="419" spans="1:3" x14ac:dyDescent="0.2">
      <c r="A419" s="2">
        <v>10671</v>
      </c>
      <c r="B419" s="4">
        <v>39950</v>
      </c>
      <c r="C419" s="5">
        <v>692</v>
      </c>
    </row>
    <row r="420" spans="1:3" x14ac:dyDescent="0.2">
      <c r="A420" s="2">
        <v>10672</v>
      </c>
      <c r="B420" s="4">
        <v>39950</v>
      </c>
      <c r="C420" s="5">
        <v>3192</v>
      </c>
    </row>
    <row r="421" spans="1:3" x14ac:dyDescent="0.2">
      <c r="A421" s="2">
        <v>10673</v>
      </c>
      <c r="B421" s="4">
        <v>39951</v>
      </c>
      <c r="C421" s="5">
        <v>309</v>
      </c>
    </row>
    <row r="422" spans="1:3" x14ac:dyDescent="0.2">
      <c r="A422" s="2">
        <v>10674</v>
      </c>
      <c r="B422" s="4">
        <v>39951</v>
      </c>
      <c r="C422" s="5">
        <v>30</v>
      </c>
    </row>
    <row r="423" spans="1:3" x14ac:dyDescent="0.2">
      <c r="A423" s="2">
        <v>10675</v>
      </c>
      <c r="B423" s="4">
        <v>39952</v>
      </c>
      <c r="C423" s="5">
        <v>1060</v>
      </c>
    </row>
    <row r="424" spans="1:3" x14ac:dyDescent="0.2">
      <c r="A424" s="2">
        <v>10676</v>
      </c>
      <c r="B424" s="4">
        <v>39955</v>
      </c>
      <c r="C424" s="5">
        <v>389</v>
      </c>
    </row>
    <row r="425" spans="1:3" x14ac:dyDescent="0.2">
      <c r="A425" s="2">
        <v>10677</v>
      </c>
      <c r="B425" s="4">
        <v>39955</v>
      </c>
      <c r="C425" s="5">
        <v>698</v>
      </c>
    </row>
    <row r="426" spans="1:3" x14ac:dyDescent="0.2">
      <c r="A426" s="2">
        <v>10678</v>
      </c>
      <c r="B426" s="4">
        <v>39956</v>
      </c>
      <c r="C426" s="5">
        <v>3820</v>
      </c>
    </row>
    <row r="427" spans="1:3" x14ac:dyDescent="0.2">
      <c r="A427" s="2">
        <v>10679</v>
      </c>
      <c r="B427" s="4">
        <v>39956</v>
      </c>
      <c r="C427" s="5">
        <v>492</v>
      </c>
    </row>
    <row r="428" spans="1:3" x14ac:dyDescent="0.2">
      <c r="A428" s="2">
        <v>10680</v>
      </c>
      <c r="B428" s="4">
        <v>39957</v>
      </c>
      <c r="C428" s="5">
        <v>1230</v>
      </c>
    </row>
    <row r="429" spans="1:3" x14ac:dyDescent="0.2">
      <c r="A429" s="2">
        <v>10681</v>
      </c>
      <c r="B429" s="4">
        <v>39958</v>
      </c>
      <c r="C429" s="5">
        <v>994</v>
      </c>
    </row>
    <row r="430" spans="1:3" x14ac:dyDescent="0.2">
      <c r="A430" s="2">
        <v>10682</v>
      </c>
      <c r="B430" s="4">
        <v>39958</v>
      </c>
      <c r="C430" s="5">
        <v>228</v>
      </c>
    </row>
    <row r="431" spans="1:3" x14ac:dyDescent="0.2">
      <c r="A431" s="2">
        <v>10683</v>
      </c>
      <c r="B431" s="4">
        <v>39959</v>
      </c>
      <c r="C431" s="5">
        <v>45</v>
      </c>
    </row>
    <row r="432" spans="1:3" x14ac:dyDescent="0.2">
      <c r="A432" s="2">
        <v>10684</v>
      </c>
      <c r="B432" s="4">
        <v>39959</v>
      </c>
      <c r="C432" s="5">
        <v>1310</v>
      </c>
    </row>
    <row r="433" spans="1:3" x14ac:dyDescent="0.2">
      <c r="A433" s="2">
        <v>10685</v>
      </c>
      <c r="B433" s="4">
        <v>39962</v>
      </c>
      <c r="C433" s="5">
        <v>593</v>
      </c>
    </row>
    <row r="434" spans="1:3" x14ac:dyDescent="0.2">
      <c r="A434" s="2">
        <v>10686</v>
      </c>
      <c r="B434" s="4">
        <v>39963</v>
      </c>
      <c r="C434" s="5">
        <v>1215</v>
      </c>
    </row>
    <row r="435" spans="1:3" x14ac:dyDescent="0.2">
      <c r="A435" s="2">
        <v>10687</v>
      </c>
      <c r="B435" s="4">
        <v>39963</v>
      </c>
      <c r="C435" s="5">
        <v>4674</v>
      </c>
    </row>
    <row r="436" spans="1:3" x14ac:dyDescent="0.2">
      <c r="A436" s="2">
        <v>10688</v>
      </c>
      <c r="B436" s="4">
        <v>39964</v>
      </c>
      <c r="C436" s="5">
        <v>2594</v>
      </c>
    </row>
    <row r="437" spans="1:3" x14ac:dyDescent="0.2">
      <c r="A437" s="2">
        <v>10689</v>
      </c>
      <c r="B437" s="4">
        <v>39964</v>
      </c>
      <c r="C437" s="5">
        <v>455</v>
      </c>
    </row>
    <row r="438" spans="1:3" x14ac:dyDescent="0.2">
      <c r="A438" s="2">
        <v>10690</v>
      </c>
      <c r="B438" s="4">
        <v>39965</v>
      </c>
      <c r="C438" s="5">
        <v>830</v>
      </c>
    </row>
    <row r="439" spans="1:3" x14ac:dyDescent="0.2">
      <c r="A439" s="2">
        <v>10691</v>
      </c>
      <c r="B439" s="4">
        <v>39966</v>
      </c>
      <c r="C439" s="5">
        <v>7662</v>
      </c>
    </row>
    <row r="440" spans="1:3" x14ac:dyDescent="0.2">
      <c r="A440" s="2">
        <v>10692</v>
      </c>
      <c r="B440" s="4">
        <v>39966</v>
      </c>
      <c r="C440" s="5">
        <v>660</v>
      </c>
    </row>
    <row r="441" spans="1:3" x14ac:dyDescent="0.2">
      <c r="A441" s="2">
        <v>10693</v>
      </c>
      <c r="B441" s="4">
        <v>39969</v>
      </c>
      <c r="C441" s="5">
        <v>1713</v>
      </c>
    </row>
    <row r="442" spans="1:3" x14ac:dyDescent="0.2">
      <c r="A442" s="2">
        <v>10694</v>
      </c>
      <c r="B442" s="4">
        <v>39969</v>
      </c>
      <c r="C442" s="5">
        <v>3555</v>
      </c>
    </row>
    <row r="443" spans="1:3" x14ac:dyDescent="0.2">
      <c r="A443" s="2">
        <v>10695</v>
      </c>
      <c r="B443" s="4">
        <v>39970</v>
      </c>
      <c r="C443" s="5">
        <v>472</v>
      </c>
    </row>
    <row r="444" spans="1:3" x14ac:dyDescent="0.2">
      <c r="A444" s="2">
        <v>10696</v>
      </c>
      <c r="B444" s="4">
        <v>39971</v>
      </c>
      <c r="C444" s="5">
        <v>742</v>
      </c>
    </row>
    <row r="445" spans="1:3" x14ac:dyDescent="0.2">
      <c r="A445" s="2">
        <v>10697</v>
      </c>
      <c r="B445" s="4">
        <v>39971</v>
      </c>
      <c r="C445" s="5">
        <v>796</v>
      </c>
    </row>
    <row r="446" spans="1:3" x14ac:dyDescent="0.2">
      <c r="A446" s="2">
        <v>10698</v>
      </c>
      <c r="B446" s="4">
        <v>39972</v>
      </c>
      <c r="C446" s="5">
        <v>2728</v>
      </c>
    </row>
    <row r="447" spans="1:3" x14ac:dyDescent="0.2">
      <c r="A447" s="2">
        <v>10699</v>
      </c>
      <c r="B447" s="4">
        <v>39972</v>
      </c>
      <c r="C447" s="5">
        <v>84</v>
      </c>
    </row>
    <row r="448" spans="1:3" x14ac:dyDescent="0.2">
      <c r="A448" s="2">
        <v>10700</v>
      </c>
      <c r="B448" s="4">
        <v>39973</v>
      </c>
      <c r="C448" s="5">
        <v>1505</v>
      </c>
    </row>
    <row r="449" spans="1:3" x14ac:dyDescent="0.2">
      <c r="A449" s="2">
        <v>10701</v>
      </c>
      <c r="B449" s="4">
        <v>39976</v>
      </c>
      <c r="C449" s="5">
        <v>2497</v>
      </c>
    </row>
    <row r="450" spans="1:3" x14ac:dyDescent="0.2">
      <c r="A450" s="2">
        <v>10702</v>
      </c>
      <c r="B450" s="4">
        <v>39976</v>
      </c>
      <c r="C450" s="5">
        <v>237</v>
      </c>
    </row>
    <row r="451" spans="1:3" x14ac:dyDescent="0.2">
      <c r="A451" s="2">
        <v>10703</v>
      </c>
      <c r="B451" s="4">
        <v>39977</v>
      </c>
      <c r="C451" s="5">
        <v>1890</v>
      </c>
    </row>
    <row r="452" spans="1:3" x14ac:dyDescent="0.2">
      <c r="A452" s="2">
        <v>10704</v>
      </c>
      <c r="B452" s="4">
        <v>39977</v>
      </c>
      <c r="C452" s="5">
        <v>417</v>
      </c>
    </row>
    <row r="453" spans="1:3" x14ac:dyDescent="0.2">
      <c r="A453" s="2">
        <v>10705</v>
      </c>
      <c r="B453" s="4">
        <v>39978</v>
      </c>
      <c r="C453" s="5">
        <v>276</v>
      </c>
    </row>
    <row r="454" spans="1:3" x14ac:dyDescent="0.2">
      <c r="A454" s="2">
        <v>10706</v>
      </c>
      <c r="B454" s="4">
        <v>39979</v>
      </c>
      <c r="C454" s="5">
        <v>1428</v>
      </c>
    </row>
    <row r="455" spans="1:3" x14ac:dyDescent="0.2">
      <c r="A455" s="2">
        <v>10707</v>
      </c>
      <c r="B455" s="4">
        <v>39979</v>
      </c>
      <c r="C455" s="5">
        <v>1246</v>
      </c>
    </row>
    <row r="456" spans="1:3" x14ac:dyDescent="0.2">
      <c r="A456" s="2">
        <v>10708</v>
      </c>
      <c r="B456" s="4">
        <v>39980</v>
      </c>
      <c r="C456" s="5">
        <v>134</v>
      </c>
    </row>
    <row r="457" spans="1:3" x14ac:dyDescent="0.2">
      <c r="A457" s="2">
        <v>10709</v>
      </c>
      <c r="B457" s="4">
        <v>39980</v>
      </c>
      <c r="C457" s="5">
        <v>2570</v>
      </c>
    </row>
    <row r="458" spans="1:3" x14ac:dyDescent="0.2">
      <c r="A458" s="2">
        <v>10710</v>
      </c>
      <c r="B458" s="4">
        <v>39983</v>
      </c>
      <c r="C458" s="5">
        <v>70</v>
      </c>
    </row>
    <row r="459" spans="1:3" x14ac:dyDescent="0.2">
      <c r="A459" s="2">
        <v>10711</v>
      </c>
      <c r="B459" s="4">
        <v>39984</v>
      </c>
      <c r="C459" s="5">
        <v>3378</v>
      </c>
    </row>
    <row r="460" spans="1:3" x14ac:dyDescent="0.2">
      <c r="A460" s="2">
        <v>10712</v>
      </c>
      <c r="B460" s="4">
        <v>39984</v>
      </c>
      <c r="C460" s="5">
        <v>915</v>
      </c>
    </row>
    <row r="461" spans="1:3" x14ac:dyDescent="0.2">
      <c r="A461" s="2">
        <v>10713</v>
      </c>
      <c r="B461" s="4">
        <v>39985</v>
      </c>
      <c r="C461" s="5">
        <v>2090</v>
      </c>
    </row>
    <row r="462" spans="1:3" x14ac:dyDescent="0.2">
      <c r="A462" s="2">
        <v>10714</v>
      </c>
      <c r="B462" s="4">
        <v>39985</v>
      </c>
      <c r="C462" s="5">
        <v>2177</v>
      </c>
    </row>
    <row r="463" spans="1:3" x14ac:dyDescent="0.2">
      <c r="A463" s="2">
        <v>10715</v>
      </c>
      <c r="B463" s="4">
        <v>39986</v>
      </c>
      <c r="C463" s="5">
        <v>963</v>
      </c>
    </row>
    <row r="464" spans="1:3" x14ac:dyDescent="0.2">
      <c r="A464" s="2">
        <v>10716</v>
      </c>
      <c r="B464" s="4">
        <v>39987</v>
      </c>
      <c r="C464" s="5">
        <v>525</v>
      </c>
    </row>
    <row r="465" spans="1:3" x14ac:dyDescent="0.2">
      <c r="A465" s="2">
        <v>10717</v>
      </c>
      <c r="B465" s="4">
        <v>39987</v>
      </c>
      <c r="C465" s="5">
        <v>974</v>
      </c>
    </row>
    <row r="466" spans="1:3" x14ac:dyDescent="0.2">
      <c r="A466" s="2">
        <v>10718</v>
      </c>
      <c r="B466" s="4">
        <v>39990</v>
      </c>
      <c r="C466" s="5">
        <v>2568</v>
      </c>
    </row>
    <row r="467" spans="1:3" x14ac:dyDescent="0.2">
      <c r="A467" s="2">
        <v>10719</v>
      </c>
      <c r="B467" s="4">
        <v>39990</v>
      </c>
      <c r="C467" s="5">
        <v>821</v>
      </c>
    </row>
    <row r="468" spans="1:3" x14ac:dyDescent="0.2">
      <c r="A468" s="2">
        <v>10720</v>
      </c>
      <c r="B468" s="4">
        <v>39991</v>
      </c>
      <c r="C468" s="5">
        <v>401</v>
      </c>
    </row>
    <row r="469" spans="1:3" x14ac:dyDescent="0.2">
      <c r="A469" s="2">
        <v>10721</v>
      </c>
      <c r="B469" s="4">
        <v>39992</v>
      </c>
      <c r="C469" s="5">
        <v>700</v>
      </c>
    </row>
    <row r="470" spans="1:3" x14ac:dyDescent="0.2">
      <c r="A470" s="2">
        <v>10722</v>
      </c>
      <c r="B470" s="4">
        <v>39992</v>
      </c>
      <c r="C470" s="5">
        <v>1107</v>
      </c>
    </row>
    <row r="471" spans="1:3" x14ac:dyDescent="0.2">
      <c r="A471" s="2">
        <v>10723</v>
      </c>
      <c r="B471" s="4">
        <v>39993</v>
      </c>
      <c r="C471" s="5">
        <v>345</v>
      </c>
    </row>
    <row r="472" spans="1:3" x14ac:dyDescent="0.2">
      <c r="A472" s="2">
        <v>10724</v>
      </c>
      <c r="B472" s="4">
        <v>39993</v>
      </c>
      <c r="C472" s="5">
        <v>473</v>
      </c>
    </row>
    <row r="473" spans="1:3" x14ac:dyDescent="0.2">
      <c r="A473" s="2">
        <v>10725</v>
      </c>
      <c r="B473" s="4">
        <v>39994</v>
      </c>
      <c r="C473" s="5">
        <v>1154</v>
      </c>
    </row>
    <row r="474" spans="1:3" x14ac:dyDescent="0.2">
      <c r="A474" s="2">
        <v>10726</v>
      </c>
      <c r="B474" s="4">
        <v>39997</v>
      </c>
      <c r="C474" s="5">
        <v>1340</v>
      </c>
    </row>
    <row r="475" spans="1:3" x14ac:dyDescent="0.2">
      <c r="A475" s="2">
        <v>10727</v>
      </c>
      <c r="B475" s="4">
        <v>39997</v>
      </c>
      <c r="C475" s="5">
        <v>2729</v>
      </c>
    </row>
    <row r="476" spans="1:3" x14ac:dyDescent="0.2">
      <c r="A476" s="2">
        <v>10728</v>
      </c>
      <c r="B476" s="4">
        <v>39998</v>
      </c>
      <c r="C476" s="5">
        <v>624</v>
      </c>
    </row>
    <row r="477" spans="1:3" x14ac:dyDescent="0.2">
      <c r="A477" s="2">
        <v>10729</v>
      </c>
      <c r="B477" s="4">
        <v>39998</v>
      </c>
      <c r="C477" s="5">
        <v>850</v>
      </c>
    </row>
    <row r="478" spans="1:3" x14ac:dyDescent="0.2">
      <c r="A478" s="2">
        <v>10730</v>
      </c>
      <c r="B478" s="4">
        <v>39999</v>
      </c>
      <c r="C478" s="5">
        <v>1608</v>
      </c>
    </row>
    <row r="479" spans="1:3" x14ac:dyDescent="0.2">
      <c r="A479" s="2">
        <v>10731</v>
      </c>
      <c r="B479" s="4">
        <v>40000</v>
      </c>
      <c r="C479" s="5">
        <v>408</v>
      </c>
    </row>
    <row r="480" spans="1:3" x14ac:dyDescent="0.2">
      <c r="A480" s="2">
        <v>10732</v>
      </c>
      <c r="B480" s="4">
        <v>40000</v>
      </c>
      <c r="C480" s="5">
        <v>935</v>
      </c>
    </row>
    <row r="481" spans="1:3" x14ac:dyDescent="0.2">
      <c r="A481" s="2">
        <v>10733</v>
      </c>
      <c r="B481" s="4">
        <v>40001</v>
      </c>
      <c r="C481" s="5">
        <v>2140</v>
      </c>
    </row>
    <row r="482" spans="1:3" x14ac:dyDescent="0.2">
      <c r="A482" s="2">
        <v>10734</v>
      </c>
      <c r="B482" s="4">
        <v>40001</v>
      </c>
      <c r="C482" s="5">
        <v>390</v>
      </c>
    </row>
    <row r="483" spans="1:3" x14ac:dyDescent="0.2">
      <c r="A483" s="2">
        <v>10735</v>
      </c>
      <c r="B483" s="4">
        <v>40004</v>
      </c>
      <c r="C483" s="5">
        <v>700</v>
      </c>
    </row>
    <row r="484" spans="1:3" x14ac:dyDescent="0.2">
      <c r="A484" s="2">
        <v>10736</v>
      </c>
      <c r="B484" s="4">
        <v>40005</v>
      </c>
      <c r="C484" s="5">
        <v>968</v>
      </c>
    </row>
    <row r="485" spans="1:3" x14ac:dyDescent="0.2">
      <c r="A485" s="2">
        <v>10737</v>
      </c>
      <c r="B485" s="4">
        <v>40005</v>
      </c>
      <c r="C485" s="5">
        <v>525</v>
      </c>
    </row>
    <row r="486" spans="1:3" x14ac:dyDescent="0.2">
      <c r="A486" s="2">
        <v>10738</v>
      </c>
      <c r="B486" s="4">
        <v>40006</v>
      </c>
      <c r="C486" s="5">
        <v>1536</v>
      </c>
    </row>
    <row r="487" spans="1:3" x14ac:dyDescent="0.2">
      <c r="A487" s="2">
        <v>10739</v>
      </c>
      <c r="B487" s="4">
        <v>40006</v>
      </c>
      <c r="C487" s="5">
        <v>2300</v>
      </c>
    </row>
    <row r="488" spans="1:3" x14ac:dyDescent="0.2">
      <c r="A488" s="2">
        <v>10740</v>
      </c>
      <c r="B488" s="4">
        <v>40007</v>
      </c>
      <c r="C488" s="5">
        <v>115</v>
      </c>
    </row>
    <row r="489" spans="1:3" x14ac:dyDescent="0.2">
      <c r="A489" s="2">
        <v>10741</v>
      </c>
      <c r="B489" s="4">
        <v>40008</v>
      </c>
      <c r="C489" s="5">
        <v>705</v>
      </c>
    </row>
    <row r="490" spans="1:3" x14ac:dyDescent="0.2">
      <c r="A490" s="2">
        <v>10742</v>
      </c>
      <c r="B490" s="4">
        <v>40008</v>
      </c>
      <c r="C490" s="5">
        <v>2300</v>
      </c>
    </row>
    <row r="491" spans="1:3" x14ac:dyDescent="0.2">
      <c r="A491" s="2">
        <v>10743</v>
      </c>
      <c r="B491" s="4">
        <v>40011</v>
      </c>
      <c r="C491" s="5">
        <v>252</v>
      </c>
    </row>
    <row r="492" spans="1:3" x14ac:dyDescent="0.2">
      <c r="A492" s="2">
        <v>10744</v>
      </c>
      <c r="B492" s="4">
        <v>40011</v>
      </c>
      <c r="C492" s="5">
        <v>700</v>
      </c>
    </row>
    <row r="493" spans="1:3" x14ac:dyDescent="0.2">
      <c r="A493" s="2">
        <v>10745</v>
      </c>
      <c r="B493" s="4">
        <v>40012</v>
      </c>
      <c r="C493" s="5">
        <v>3379</v>
      </c>
    </row>
    <row r="494" spans="1:3" x14ac:dyDescent="0.2">
      <c r="A494" s="2">
        <v>10746</v>
      </c>
      <c r="B494" s="4">
        <v>40013</v>
      </c>
      <c r="C494" s="5">
        <v>1717</v>
      </c>
    </row>
    <row r="495" spans="1:3" x14ac:dyDescent="0.2">
      <c r="A495" s="2">
        <v>10747</v>
      </c>
      <c r="B495" s="4">
        <v>40013</v>
      </c>
      <c r="C495" s="5">
        <v>1424</v>
      </c>
    </row>
    <row r="496" spans="1:3" x14ac:dyDescent="0.2">
      <c r="A496" s="2">
        <v>10748</v>
      </c>
      <c r="B496" s="4">
        <v>40014</v>
      </c>
      <c r="C496" s="5">
        <v>1608</v>
      </c>
    </row>
    <row r="497" spans="1:3" x14ac:dyDescent="0.2">
      <c r="A497" s="2">
        <v>10749</v>
      </c>
      <c r="B497" s="4">
        <v>40014</v>
      </c>
      <c r="C497" s="5">
        <v>796</v>
      </c>
    </row>
    <row r="498" spans="1:3" x14ac:dyDescent="0.2">
      <c r="A498" s="2">
        <v>10750</v>
      </c>
      <c r="B498" s="4">
        <v>40015</v>
      </c>
      <c r="C498" s="5">
        <v>1390</v>
      </c>
    </row>
    <row r="499" spans="1:3" x14ac:dyDescent="0.2">
      <c r="A499" s="2">
        <v>10751</v>
      </c>
      <c r="B499" s="4">
        <v>40018</v>
      </c>
      <c r="C499" s="5">
        <v>1251</v>
      </c>
    </row>
    <row r="500" spans="1:3" x14ac:dyDescent="0.2">
      <c r="A500" s="2">
        <v>10752</v>
      </c>
      <c r="B500" s="4">
        <v>40018</v>
      </c>
      <c r="C500" s="5">
        <v>185</v>
      </c>
    </row>
    <row r="501" spans="1:3" x14ac:dyDescent="0.2">
      <c r="A501" s="2">
        <v>10753</v>
      </c>
      <c r="B501" s="4">
        <v>40019</v>
      </c>
      <c r="C501" s="5">
        <v>63</v>
      </c>
    </row>
    <row r="502" spans="1:3" x14ac:dyDescent="0.2">
      <c r="A502" s="2">
        <v>10754</v>
      </c>
      <c r="B502" s="4">
        <v>40019</v>
      </c>
      <c r="C502" s="5">
        <v>42</v>
      </c>
    </row>
    <row r="503" spans="1:3" x14ac:dyDescent="0.2">
      <c r="A503" s="2">
        <v>10755</v>
      </c>
      <c r="B503" s="4">
        <v>40020</v>
      </c>
      <c r="C503" s="5">
        <v>1921</v>
      </c>
    </row>
    <row r="504" spans="1:3" x14ac:dyDescent="0.2">
      <c r="A504" s="2">
        <v>10756</v>
      </c>
      <c r="B504" s="4">
        <v>40021</v>
      </c>
      <c r="C504" s="5">
        <v>1861</v>
      </c>
    </row>
    <row r="505" spans="1:3" x14ac:dyDescent="0.2">
      <c r="A505" s="2">
        <v>10757</v>
      </c>
      <c r="B505" s="4">
        <v>40021</v>
      </c>
      <c r="C505" s="5">
        <v>2297</v>
      </c>
    </row>
    <row r="506" spans="1:3" x14ac:dyDescent="0.2">
      <c r="A506" s="2">
        <v>10758</v>
      </c>
      <c r="B506" s="4">
        <v>40022</v>
      </c>
      <c r="C506" s="5">
        <v>1200</v>
      </c>
    </row>
    <row r="507" spans="1:3" x14ac:dyDescent="0.2">
      <c r="A507" s="2">
        <v>10759</v>
      </c>
      <c r="B507" s="4">
        <v>40022</v>
      </c>
      <c r="C507" s="5">
        <v>240</v>
      </c>
    </row>
    <row r="508" spans="1:3" x14ac:dyDescent="0.2">
      <c r="A508" s="2">
        <v>10760</v>
      </c>
      <c r="B508" s="4">
        <v>40025</v>
      </c>
      <c r="C508" s="5">
        <v>2490</v>
      </c>
    </row>
    <row r="509" spans="1:3" x14ac:dyDescent="0.2">
      <c r="A509" s="2">
        <v>10761</v>
      </c>
      <c r="B509" s="4">
        <v>40026</v>
      </c>
      <c r="C509" s="5">
        <v>440</v>
      </c>
    </row>
    <row r="510" spans="1:3" x14ac:dyDescent="0.2">
      <c r="A510" s="2">
        <v>10762</v>
      </c>
      <c r="B510" s="4">
        <v>40026</v>
      </c>
      <c r="C510" s="5">
        <v>3218</v>
      </c>
    </row>
    <row r="511" spans="1:3" x14ac:dyDescent="0.2">
      <c r="A511" s="2">
        <v>10763</v>
      </c>
      <c r="B511" s="4">
        <v>40027</v>
      </c>
      <c r="C511" s="5">
        <v>436</v>
      </c>
    </row>
    <row r="512" spans="1:3" x14ac:dyDescent="0.2">
      <c r="A512" s="2">
        <v>10764</v>
      </c>
      <c r="B512" s="4">
        <v>40027</v>
      </c>
      <c r="C512" s="5">
        <v>1830</v>
      </c>
    </row>
    <row r="513" spans="1:3" x14ac:dyDescent="0.2">
      <c r="A513" s="2">
        <v>10765</v>
      </c>
      <c r="B513" s="4">
        <v>40028</v>
      </c>
      <c r="C513" s="5">
        <v>1280</v>
      </c>
    </row>
    <row r="514" spans="1:3" x14ac:dyDescent="0.2">
      <c r="A514" s="2">
        <v>10766</v>
      </c>
      <c r="B514" s="4">
        <v>40029</v>
      </c>
      <c r="C514" s="5">
        <v>1154</v>
      </c>
    </row>
    <row r="515" spans="1:3" x14ac:dyDescent="0.2">
      <c r="A515" s="2">
        <v>10767</v>
      </c>
      <c r="B515" s="4">
        <v>40029</v>
      </c>
      <c r="C515" s="5">
        <v>1340</v>
      </c>
    </row>
    <row r="516" spans="1:3" x14ac:dyDescent="0.2">
      <c r="A516" s="2">
        <v>10768</v>
      </c>
      <c r="B516" s="4">
        <v>40032</v>
      </c>
      <c r="C516" s="5">
        <v>2729</v>
      </c>
    </row>
    <row r="517" spans="1:3" x14ac:dyDescent="0.2">
      <c r="A517" s="2">
        <v>10769</v>
      </c>
      <c r="B517" s="4">
        <v>40032</v>
      </c>
      <c r="C517" s="5">
        <v>624</v>
      </c>
    </row>
    <row r="518" spans="1:3" x14ac:dyDescent="0.2">
      <c r="A518" s="2">
        <v>10770</v>
      </c>
      <c r="B518" s="4">
        <v>40033</v>
      </c>
      <c r="C518" s="5">
        <v>850</v>
      </c>
    </row>
    <row r="519" spans="1:3" x14ac:dyDescent="0.2">
      <c r="A519" s="2">
        <v>10771</v>
      </c>
      <c r="B519" s="4">
        <v>40034</v>
      </c>
      <c r="C519" s="5">
        <v>1608</v>
      </c>
    </row>
    <row r="520" spans="1:3" x14ac:dyDescent="0.2">
      <c r="A520" s="2">
        <v>10772</v>
      </c>
      <c r="B520" s="4">
        <v>40034</v>
      </c>
      <c r="C520" s="5">
        <v>408</v>
      </c>
    </row>
    <row r="521" spans="1:3" x14ac:dyDescent="0.2">
      <c r="A521" s="2">
        <v>10773</v>
      </c>
      <c r="B521" s="4">
        <v>40035</v>
      </c>
      <c r="C521" s="5">
        <v>935</v>
      </c>
    </row>
    <row r="522" spans="1:3" x14ac:dyDescent="0.2">
      <c r="A522" s="2">
        <v>10774</v>
      </c>
      <c r="B522" s="4">
        <v>40035</v>
      </c>
      <c r="C522" s="5">
        <v>2140</v>
      </c>
    </row>
    <row r="523" spans="1:3" x14ac:dyDescent="0.2">
      <c r="A523" s="2">
        <v>10775</v>
      </c>
      <c r="B523" s="4">
        <v>40036</v>
      </c>
      <c r="C523" s="5">
        <v>390</v>
      </c>
    </row>
    <row r="524" spans="1:3" x14ac:dyDescent="0.2">
      <c r="A524" s="2">
        <v>10776</v>
      </c>
      <c r="B524" s="4">
        <v>40039</v>
      </c>
      <c r="C524" s="5">
        <v>700</v>
      </c>
    </row>
    <row r="525" spans="1:3" x14ac:dyDescent="0.2">
      <c r="A525" s="2">
        <v>10777</v>
      </c>
      <c r="B525" s="4">
        <v>40039</v>
      </c>
      <c r="C525" s="5">
        <v>968</v>
      </c>
    </row>
    <row r="526" spans="1:3" x14ac:dyDescent="0.2">
      <c r="A526" s="2">
        <v>10778</v>
      </c>
      <c r="B526" s="4">
        <v>40040</v>
      </c>
      <c r="C526" s="5">
        <v>525</v>
      </c>
    </row>
    <row r="527" spans="1:3" x14ac:dyDescent="0.2">
      <c r="A527" s="2">
        <v>10779</v>
      </c>
      <c r="B527" s="4">
        <v>40040</v>
      </c>
      <c r="C527" s="5">
        <v>1536</v>
      </c>
    </row>
    <row r="528" spans="1:3" x14ac:dyDescent="0.2">
      <c r="A528" s="2">
        <v>10780</v>
      </c>
      <c r="B528" s="4">
        <v>40040</v>
      </c>
      <c r="C528" s="5">
        <v>2300</v>
      </c>
    </row>
    <row r="529" spans="1:3" x14ac:dyDescent="0.2">
      <c r="A529" s="2">
        <v>10781</v>
      </c>
      <c r="B529" s="4">
        <v>40041</v>
      </c>
      <c r="C529" s="5">
        <v>115</v>
      </c>
    </row>
    <row r="530" spans="1:3" x14ac:dyDescent="0.2">
      <c r="A530" s="2">
        <v>10782</v>
      </c>
      <c r="B530" s="4">
        <v>40041</v>
      </c>
      <c r="C530" s="5">
        <v>705</v>
      </c>
    </row>
    <row r="531" spans="1:3" x14ac:dyDescent="0.2">
      <c r="A531" s="2">
        <v>10783</v>
      </c>
      <c r="B531" s="4">
        <v>40042</v>
      </c>
      <c r="C531" s="5">
        <v>1090</v>
      </c>
    </row>
    <row r="532" spans="1:3" x14ac:dyDescent="0.2">
      <c r="A532" s="2">
        <v>10784</v>
      </c>
      <c r="B532" s="4">
        <v>40042</v>
      </c>
      <c r="C532" s="5">
        <v>1226</v>
      </c>
    </row>
    <row r="533" spans="1:3" x14ac:dyDescent="0.2">
      <c r="A533" s="2">
        <v>10785</v>
      </c>
      <c r="B533" s="4">
        <v>40042</v>
      </c>
      <c r="C533" s="5">
        <v>280</v>
      </c>
    </row>
    <row r="534" spans="1:3" x14ac:dyDescent="0.2">
      <c r="A534" s="2">
        <v>10786</v>
      </c>
      <c r="B534" s="4">
        <v>40043</v>
      </c>
      <c r="C534" s="5">
        <v>1395</v>
      </c>
    </row>
    <row r="535" spans="1:3" x14ac:dyDescent="0.2">
      <c r="A535" s="2">
        <v>10787</v>
      </c>
      <c r="B535" s="4">
        <v>40043</v>
      </c>
      <c r="C535" s="5">
        <v>2090</v>
      </c>
    </row>
    <row r="536" spans="1:3" x14ac:dyDescent="0.2">
      <c r="A536" s="2">
        <v>10788</v>
      </c>
      <c r="B536" s="4">
        <v>40046</v>
      </c>
      <c r="C536" s="5">
        <v>550</v>
      </c>
    </row>
    <row r="537" spans="1:3" x14ac:dyDescent="0.2">
      <c r="A537" s="2">
        <v>10789</v>
      </c>
      <c r="B537" s="4">
        <v>40046</v>
      </c>
      <c r="C537" s="5">
        <v>2757</v>
      </c>
    </row>
    <row r="538" spans="1:3" x14ac:dyDescent="0.2">
      <c r="A538" s="2">
        <v>10790</v>
      </c>
      <c r="B538" s="4">
        <v>40046</v>
      </c>
      <c r="C538" s="5">
        <v>626</v>
      </c>
    </row>
    <row r="539" spans="1:3" x14ac:dyDescent="0.2">
      <c r="A539" s="2">
        <v>10791</v>
      </c>
      <c r="B539" s="4">
        <v>40047</v>
      </c>
      <c r="C539" s="5">
        <v>1456</v>
      </c>
    </row>
    <row r="540" spans="1:3" x14ac:dyDescent="0.2">
      <c r="A540" s="2">
        <v>10792</v>
      </c>
      <c r="B540" s="4">
        <v>40047</v>
      </c>
      <c r="C540" s="5">
        <v>290</v>
      </c>
    </row>
    <row r="541" spans="1:3" x14ac:dyDescent="0.2">
      <c r="A541" s="2">
        <v>10793</v>
      </c>
      <c r="B541" s="4">
        <v>40048</v>
      </c>
      <c r="C541" s="5">
        <v>138</v>
      </c>
    </row>
    <row r="542" spans="1:3" x14ac:dyDescent="0.2">
      <c r="A542" s="2">
        <v>10794</v>
      </c>
      <c r="B542" s="4">
        <v>40048</v>
      </c>
      <c r="C542" s="5">
        <v>285</v>
      </c>
    </row>
    <row r="543" spans="1:3" x14ac:dyDescent="0.2">
      <c r="A543" s="2">
        <v>10795</v>
      </c>
      <c r="B543" s="4">
        <v>40048</v>
      </c>
      <c r="C543" s="5">
        <v>1860</v>
      </c>
    </row>
    <row r="544" spans="1:3" x14ac:dyDescent="0.2">
      <c r="A544" s="2">
        <v>10796</v>
      </c>
      <c r="B544" s="4">
        <v>40049</v>
      </c>
      <c r="C544" s="5">
        <v>2146</v>
      </c>
    </row>
    <row r="545" spans="1:3" x14ac:dyDescent="0.2">
      <c r="A545" s="2">
        <v>10797</v>
      </c>
      <c r="B545" s="4">
        <v>40049</v>
      </c>
      <c r="C545" s="5">
        <v>320</v>
      </c>
    </row>
    <row r="546" spans="1:3" x14ac:dyDescent="0.2">
      <c r="A546" s="2">
        <v>10798</v>
      </c>
      <c r="B546" s="4">
        <v>40050</v>
      </c>
      <c r="C546" s="5">
        <v>334</v>
      </c>
    </row>
    <row r="547" spans="1:3" x14ac:dyDescent="0.2">
      <c r="A547" s="2">
        <v>10799</v>
      </c>
      <c r="B547" s="4">
        <v>40050</v>
      </c>
      <c r="C547" s="5">
        <v>1165</v>
      </c>
    </row>
    <row r="548" spans="1:3" x14ac:dyDescent="0.2">
      <c r="A548" s="2">
        <v>10800</v>
      </c>
      <c r="B548" s="4">
        <v>40050</v>
      </c>
      <c r="C548" s="5">
        <v>1235</v>
      </c>
    </row>
    <row r="549" spans="1:3" x14ac:dyDescent="0.2">
      <c r="A549" s="2">
        <v>10801</v>
      </c>
      <c r="B549" s="4">
        <v>40053</v>
      </c>
      <c r="C549" s="5">
        <v>3040</v>
      </c>
    </row>
    <row r="550" spans="1:3" x14ac:dyDescent="0.2">
      <c r="A550" s="2">
        <v>10802</v>
      </c>
      <c r="B550" s="4">
        <v>40053</v>
      </c>
      <c r="C550" s="5">
        <v>2940</v>
      </c>
    </row>
    <row r="551" spans="1:3" x14ac:dyDescent="0.2">
      <c r="A551" s="2">
        <v>10803</v>
      </c>
      <c r="B551" s="4">
        <v>40054</v>
      </c>
      <c r="C551" s="5">
        <v>933</v>
      </c>
    </row>
    <row r="552" spans="1:3" x14ac:dyDescent="0.2">
      <c r="A552" s="2">
        <v>10804</v>
      </c>
      <c r="B552" s="4">
        <v>40054</v>
      </c>
      <c r="C552" s="5">
        <v>1704</v>
      </c>
    </row>
    <row r="553" spans="1:3" x14ac:dyDescent="0.2">
      <c r="A553" s="2">
        <v>10805</v>
      </c>
      <c r="B553" s="4">
        <v>40054</v>
      </c>
      <c r="C553" s="5">
        <v>2100</v>
      </c>
    </row>
    <row r="554" spans="1:3" x14ac:dyDescent="0.2">
      <c r="A554" s="2">
        <v>10806</v>
      </c>
      <c r="B554" s="4">
        <v>40055</v>
      </c>
      <c r="C554" s="5">
        <v>417</v>
      </c>
    </row>
    <row r="555" spans="1:3" x14ac:dyDescent="0.2">
      <c r="A555" s="2">
        <v>10807</v>
      </c>
      <c r="B555" s="4">
        <v>40055</v>
      </c>
      <c r="C555" s="5">
        <v>14</v>
      </c>
    </row>
    <row r="556" spans="1:3" x14ac:dyDescent="0.2">
      <c r="A556" s="2">
        <v>10808</v>
      </c>
      <c r="B556" s="4">
        <v>40056</v>
      </c>
      <c r="C556" s="5">
        <v>1210</v>
      </c>
    </row>
    <row r="557" spans="1:3" x14ac:dyDescent="0.2">
      <c r="A557" s="2">
        <v>10809</v>
      </c>
      <c r="B557" s="4">
        <v>40056</v>
      </c>
      <c r="C557" s="5">
        <v>100</v>
      </c>
    </row>
    <row r="558" spans="1:3" x14ac:dyDescent="0.2">
      <c r="A558" s="2">
        <v>10810</v>
      </c>
      <c r="B558" s="4">
        <v>40056</v>
      </c>
      <c r="C558" s="5">
        <v>133</v>
      </c>
    </row>
    <row r="559" spans="1:3" x14ac:dyDescent="0.2">
      <c r="A559" s="2">
        <v>10811</v>
      </c>
      <c r="B559" s="4">
        <v>40057</v>
      </c>
      <c r="C559" s="5">
        <v>633</v>
      </c>
    </row>
    <row r="560" spans="1:3" x14ac:dyDescent="0.2">
      <c r="A560" s="2">
        <v>10812</v>
      </c>
      <c r="B560" s="4">
        <v>40057</v>
      </c>
      <c r="C560" s="5">
        <v>1364</v>
      </c>
    </row>
    <row r="561" spans="1:3" x14ac:dyDescent="0.2">
      <c r="A561" s="2">
        <v>10813</v>
      </c>
      <c r="B561" s="4">
        <v>40060</v>
      </c>
      <c r="C561" s="5">
        <v>483</v>
      </c>
    </row>
    <row r="562" spans="1:3" x14ac:dyDescent="0.2">
      <c r="A562" s="2">
        <v>10814</v>
      </c>
      <c r="B562" s="4">
        <v>40060</v>
      </c>
      <c r="C562" s="5">
        <v>1542</v>
      </c>
    </row>
    <row r="563" spans="1:3" x14ac:dyDescent="0.2">
      <c r="A563" s="2">
        <v>10815</v>
      </c>
      <c r="B563" s="4">
        <v>40060</v>
      </c>
      <c r="C563" s="5">
        <v>16</v>
      </c>
    </row>
    <row r="564" spans="1:3" x14ac:dyDescent="0.2">
      <c r="A564" s="2">
        <v>10816</v>
      </c>
      <c r="B564" s="4">
        <v>40061</v>
      </c>
      <c r="C564" s="5">
        <v>6740</v>
      </c>
    </row>
    <row r="565" spans="1:3" x14ac:dyDescent="0.2">
      <c r="A565" s="2">
        <v>10817</v>
      </c>
      <c r="B565" s="4">
        <v>40061</v>
      </c>
      <c r="C565" s="5">
        <v>8685</v>
      </c>
    </row>
    <row r="566" spans="1:3" x14ac:dyDescent="0.2">
      <c r="A566" s="2">
        <v>10818</v>
      </c>
      <c r="B566" s="4">
        <v>40062</v>
      </c>
      <c r="C566" s="5">
        <v>620</v>
      </c>
    </row>
    <row r="567" spans="1:3" x14ac:dyDescent="0.2">
      <c r="A567" s="2">
        <v>10819</v>
      </c>
      <c r="B567" s="4">
        <v>40062</v>
      </c>
      <c r="C567" s="5">
        <v>345</v>
      </c>
    </row>
    <row r="568" spans="1:3" x14ac:dyDescent="0.2">
      <c r="A568" s="2">
        <v>10820</v>
      </c>
      <c r="B568" s="4">
        <v>40062</v>
      </c>
      <c r="C568" s="5">
        <v>840</v>
      </c>
    </row>
    <row r="569" spans="1:3" x14ac:dyDescent="0.2">
      <c r="A569" s="2">
        <v>10821</v>
      </c>
      <c r="B569" s="4">
        <v>40063</v>
      </c>
      <c r="C569" s="5">
        <v>500</v>
      </c>
    </row>
    <row r="570" spans="1:3" x14ac:dyDescent="0.2">
      <c r="A570" s="2">
        <v>10822</v>
      </c>
      <c r="B570" s="4">
        <v>40063</v>
      </c>
      <c r="C570" s="5">
        <v>177</v>
      </c>
    </row>
    <row r="571" spans="1:3" x14ac:dyDescent="0.2">
      <c r="A571" s="2">
        <v>10823</v>
      </c>
      <c r="B571" s="4">
        <v>40064</v>
      </c>
      <c r="C571" s="5">
        <v>2305</v>
      </c>
    </row>
    <row r="572" spans="1:3" x14ac:dyDescent="0.2">
      <c r="A572" s="2">
        <v>10824</v>
      </c>
      <c r="B572" s="4">
        <v>40064</v>
      </c>
      <c r="C572" s="5">
        <v>183</v>
      </c>
    </row>
    <row r="573" spans="1:3" x14ac:dyDescent="0.2">
      <c r="A573" s="2">
        <v>10825</v>
      </c>
      <c r="B573" s="4">
        <v>40064</v>
      </c>
      <c r="C573" s="5">
        <v>776</v>
      </c>
    </row>
    <row r="574" spans="1:3" x14ac:dyDescent="0.2">
      <c r="A574" s="2">
        <v>10826</v>
      </c>
      <c r="B574" s="4">
        <v>40067</v>
      </c>
      <c r="C574" s="5">
        <v>525</v>
      </c>
    </row>
    <row r="575" spans="1:3" x14ac:dyDescent="0.2">
      <c r="A575" s="2">
        <v>10827</v>
      </c>
      <c r="B575" s="4">
        <v>40067</v>
      </c>
      <c r="C575" s="5">
        <v>618</v>
      </c>
    </row>
    <row r="576" spans="1:3" x14ac:dyDescent="0.2">
      <c r="A576" s="2">
        <v>10828</v>
      </c>
      <c r="B576" s="4">
        <v>40068</v>
      </c>
      <c r="C576" s="5">
        <v>705</v>
      </c>
    </row>
    <row r="577" spans="1:3" x14ac:dyDescent="0.2">
      <c r="A577" s="2">
        <v>10829</v>
      </c>
      <c r="B577" s="4">
        <v>40068</v>
      </c>
      <c r="C577" s="5">
        <v>1305</v>
      </c>
    </row>
    <row r="578" spans="1:3" x14ac:dyDescent="0.2">
      <c r="A578" s="2">
        <v>10830</v>
      </c>
      <c r="B578" s="4">
        <v>40068</v>
      </c>
      <c r="C578" s="5">
        <v>1444</v>
      </c>
    </row>
    <row r="579" spans="1:3" x14ac:dyDescent="0.2">
      <c r="A579" s="2">
        <v>10831</v>
      </c>
      <c r="B579" s="4">
        <v>40069</v>
      </c>
      <c r="C579" s="5">
        <v>2033</v>
      </c>
    </row>
    <row r="580" spans="1:3" x14ac:dyDescent="0.2">
      <c r="A580" s="2">
        <v>10832</v>
      </c>
      <c r="B580" s="4">
        <v>40069</v>
      </c>
      <c r="C580" s="5">
        <v>411</v>
      </c>
    </row>
    <row r="581" spans="1:3" x14ac:dyDescent="0.2">
      <c r="A581" s="2">
        <v>10833</v>
      </c>
      <c r="B581" s="4">
        <v>40070</v>
      </c>
      <c r="C581" s="5">
        <v>746</v>
      </c>
    </row>
    <row r="582" spans="1:3" x14ac:dyDescent="0.2">
      <c r="A582" s="2">
        <v>10834</v>
      </c>
      <c r="B582" s="4">
        <v>40070</v>
      </c>
      <c r="C582" s="5">
        <v>1132</v>
      </c>
    </row>
    <row r="583" spans="1:3" x14ac:dyDescent="0.2">
      <c r="A583" s="2">
        <v>10835</v>
      </c>
      <c r="B583" s="4">
        <v>40070</v>
      </c>
      <c r="C583" s="5">
        <v>633</v>
      </c>
    </row>
    <row r="584" spans="1:3" x14ac:dyDescent="0.2">
      <c r="A584" s="2">
        <v>10836</v>
      </c>
      <c r="B584" s="4">
        <v>40071</v>
      </c>
      <c r="C584" s="5">
        <v>3496</v>
      </c>
    </row>
    <row r="585" spans="1:3" x14ac:dyDescent="0.2">
      <c r="A585" s="2">
        <v>10837</v>
      </c>
      <c r="B585" s="4">
        <v>40071</v>
      </c>
      <c r="C585" s="5">
        <v>1154</v>
      </c>
    </row>
    <row r="586" spans="1:3" x14ac:dyDescent="0.2">
      <c r="A586" s="2">
        <v>10838</v>
      </c>
      <c r="B586" s="4">
        <v>40074</v>
      </c>
      <c r="C586" s="5">
        <v>1340</v>
      </c>
    </row>
    <row r="587" spans="1:3" x14ac:dyDescent="0.2">
      <c r="A587" s="2">
        <v>10839</v>
      </c>
      <c r="B587" s="4">
        <v>40074</v>
      </c>
      <c r="C587" s="5">
        <v>2729</v>
      </c>
    </row>
    <row r="588" spans="1:3" x14ac:dyDescent="0.2">
      <c r="A588" s="2">
        <v>10840</v>
      </c>
      <c r="B588" s="4">
        <v>40074</v>
      </c>
      <c r="C588" s="5">
        <v>624</v>
      </c>
    </row>
    <row r="589" spans="1:3" x14ac:dyDescent="0.2">
      <c r="A589" s="2">
        <v>10841</v>
      </c>
      <c r="B589" s="4">
        <v>40075</v>
      </c>
      <c r="C589" s="5">
        <v>850</v>
      </c>
    </row>
    <row r="590" spans="1:3" x14ac:dyDescent="0.2">
      <c r="A590" s="2">
        <v>10842</v>
      </c>
      <c r="B590" s="4">
        <v>40075</v>
      </c>
      <c r="C590" s="5">
        <v>1608</v>
      </c>
    </row>
    <row r="591" spans="1:3" x14ac:dyDescent="0.2">
      <c r="A591" s="2">
        <v>10843</v>
      </c>
      <c r="B591" s="4">
        <v>40076</v>
      </c>
      <c r="C591" s="5">
        <v>408</v>
      </c>
    </row>
    <row r="592" spans="1:3" x14ac:dyDescent="0.2">
      <c r="A592" s="2">
        <v>10844</v>
      </c>
      <c r="B592" s="4">
        <v>40076</v>
      </c>
      <c r="C592" s="5">
        <v>935</v>
      </c>
    </row>
    <row r="593" spans="1:3" x14ac:dyDescent="0.2">
      <c r="A593" s="2">
        <v>10845</v>
      </c>
      <c r="B593" s="4">
        <v>40076</v>
      </c>
      <c r="C593" s="5">
        <v>2140</v>
      </c>
    </row>
    <row r="594" spans="1:3" x14ac:dyDescent="0.2">
      <c r="A594" s="2">
        <v>10846</v>
      </c>
      <c r="B594" s="4">
        <v>40077</v>
      </c>
      <c r="C594" s="5">
        <v>390</v>
      </c>
    </row>
    <row r="595" spans="1:3" x14ac:dyDescent="0.2">
      <c r="A595" s="2">
        <v>10847</v>
      </c>
      <c r="B595" s="4">
        <v>40077</v>
      </c>
      <c r="C595" s="5">
        <v>700</v>
      </c>
    </row>
    <row r="596" spans="1:3" x14ac:dyDescent="0.2">
      <c r="A596" s="2">
        <v>10848</v>
      </c>
      <c r="B596" s="4">
        <v>40078</v>
      </c>
      <c r="C596" s="5">
        <v>968</v>
      </c>
    </row>
    <row r="597" spans="1:3" x14ac:dyDescent="0.2">
      <c r="A597" s="2">
        <v>10849</v>
      </c>
      <c r="B597" s="4">
        <v>40378</v>
      </c>
      <c r="C597" s="5">
        <v>525</v>
      </c>
    </row>
    <row r="598" spans="1:3" x14ac:dyDescent="0.2">
      <c r="A598" s="2">
        <v>10850</v>
      </c>
      <c r="B598" s="4">
        <v>40378</v>
      </c>
      <c r="C598" s="5">
        <v>1536</v>
      </c>
    </row>
    <row r="599" spans="1:3" x14ac:dyDescent="0.2">
      <c r="A599" s="2">
        <v>10851</v>
      </c>
      <c r="B599" s="4">
        <v>40381</v>
      </c>
      <c r="C599" s="5">
        <v>2300</v>
      </c>
    </row>
    <row r="600" spans="1:3" x14ac:dyDescent="0.2">
      <c r="A600" s="2">
        <v>10852</v>
      </c>
      <c r="B600" s="4">
        <v>40381</v>
      </c>
      <c r="C600" s="5">
        <v>115</v>
      </c>
    </row>
    <row r="601" spans="1:3" x14ac:dyDescent="0.2">
      <c r="A601" s="2">
        <v>10853</v>
      </c>
      <c r="B601" s="4">
        <v>40382</v>
      </c>
      <c r="C601" s="5">
        <v>705</v>
      </c>
    </row>
    <row r="602" spans="1:3" x14ac:dyDescent="0.2">
      <c r="A602" s="2">
        <v>10854</v>
      </c>
      <c r="B602" s="4">
        <v>40382</v>
      </c>
      <c r="C602" s="5">
        <v>2560</v>
      </c>
    </row>
    <row r="603" spans="1:3" x14ac:dyDescent="0.2">
      <c r="A603" s="2">
        <v>10855</v>
      </c>
      <c r="B603" s="4">
        <v>40382</v>
      </c>
      <c r="C603" s="5">
        <v>1688</v>
      </c>
    </row>
    <row r="604" spans="1:3" x14ac:dyDescent="0.2">
      <c r="A604" s="2">
        <v>10856</v>
      </c>
      <c r="B604" s="4">
        <v>40383</v>
      </c>
      <c r="C604" s="5">
        <v>480</v>
      </c>
    </row>
    <row r="605" spans="1:3" x14ac:dyDescent="0.2">
      <c r="A605" s="2">
        <v>10857</v>
      </c>
      <c r="B605" s="4">
        <v>40383</v>
      </c>
      <c r="C605" s="5">
        <v>1955</v>
      </c>
    </row>
    <row r="606" spans="1:3" x14ac:dyDescent="0.2">
      <c r="A606" s="2">
        <v>10858</v>
      </c>
      <c r="B606" s="4">
        <v>40384</v>
      </c>
      <c r="C606" s="5">
        <v>484</v>
      </c>
    </row>
    <row r="607" spans="1:3" x14ac:dyDescent="0.2">
      <c r="A607" s="2">
        <v>10859</v>
      </c>
      <c r="B607" s="4">
        <v>40384</v>
      </c>
      <c r="C607" s="5">
        <v>1045</v>
      </c>
    </row>
    <row r="608" spans="1:3" x14ac:dyDescent="0.2">
      <c r="A608" s="2">
        <v>10860</v>
      </c>
      <c r="B608" s="4">
        <v>40384</v>
      </c>
      <c r="C608" s="5">
        <v>380</v>
      </c>
    </row>
    <row r="609" spans="1:3" x14ac:dyDescent="0.2">
      <c r="A609" s="2">
        <v>10861</v>
      </c>
      <c r="B609" s="4">
        <v>40385</v>
      </c>
      <c r="C609" s="5">
        <v>2584</v>
      </c>
    </row>
    <row r="610" spans="1:3" x14ac:dyDescent="0.2">
      <c r="A610" s="2">
        <v>10862</v>
      </c>
      <c r="B610" s="4">
        <v>40385</v>
      </c>
      <c r="C610" s="5">
        <v>440</v>
      </c>
    </row>
    <row r="611" spans="1:3" x14ac:dyDescent="0.2">
      <c r="A611" s="2">
        <v>10863</v>
      </c>
      <c r="B611" s="4">
        <v>40388</v>
      </c>
      <c r="C611" s="5">
        <v>380</v>
      </c>
    </row>
    <row r="612" spans="1:3" x14ac:dyDescent="0.2">
      <c r="A612" s="2">
        <v>10864</v>
      </c>
      <c r="B612" s="4">
        <v>40388</v>
      </c>
      <c r="C612" s="5">
        <v>202</v>
      </c>
    </row>
    <row r="613" spans="1:3" x14ac:dyDescent="0.2">
      <c r="A613" s="2">
        <v>10865</v>
      </c>
      <c r="B613" s="4">
        <v>40388</v>
      </c>
      <c r="C613" s="5">
        <v>13040</v>
      </c>
    </row>
    <row r="614" spans="1:3" x14ac:dyDescent="0.2">
      <c r="A614" s="2">
        <v>10866</v>
      </c>
      <c r="B614" s="4">
        <v>40389</v>
      </c>
      <c r="C614" s="5">
        <v>1072</v>
      </c>
    </row>
    <row r="615" spans="1:3" x14ac:dyDescent="0.2">
      <c r="A615" s="2">
        <v>10867</v>
      </c>
      <c r="B615" s="4">
        <v>40389</v>
      </c>
      <c r="C615" s="5">
        <v>75</v>
      </c>
    </row>
    <row r="616" spans="1:3" x14ac:dyDescent="0.2">
      <c r="A616" s="2">
        <v>10868</v>
      </c>
      <c r="B616" s="4">
        <v>40390</v>
      </c>
      <c r="C616" s="5">
        <v>1480</v>
      </c>
    </row>
    <row r="617" spans="1:3" x14ac:dyDescent="0.2">
      <c r="A617" s="2">
        <v>10869</v>
      </c>
      <c r="B617" s="4">
        <v>40390</v>
      </c>
      <c r="C617" s="5">
        <v>1160</v>
      </c>
    </row>
    <row r="618" spans="1:3" x14ac:dyDescent="0.2">
      <c r="A618" s="2">
        <v>10870</v>
      </c>
      <c r="B618" s="4">
        <v>40390</v>
      </c>
      <c r="C618" s="5">
        <v>119</v>
      </c>
    </row>
    <row r="619" spans="1:3" x14ac:dyDescent="0.2">
      <c r="A619" s="2">
        <v>10871</v>
      </c>
      <c r="B619" s="4">
        <v>40391</v>
      </c>
      <c r="C619" s="5">
        <v>1570</v>
      </c>
    </row>
    <row r="620" spans="1:3" x14ac:dyDescent="0.2">
      <c r="A620" s="2">
        <v>10872</v>
      </c>
      <c r="B620" s="4">
        <v>40391</v>
      </c>
      <c r="C620" s="5">
        <v>1631</v>
      </c>
    </row>
    <row r="621" spans="1:3" x14ac:dyDescent="0.2">
      <c r="A621" s="2">
        <v>10873</v>
      </c>
      <c r="B621" s="4">
        <v>40392</v>
      </c>
      <c r="C621" s="5">
        <v>242</v>
      </c>
    </row>
    <row r="622" spans="1:3" x14ac:dyDescent="0.2">
      <c r="A622" s="2">
        <v>10874</v>
      </c>
      <c r="B622" s="4">
        <v>40392</v>
      </c>
      <c r="C622" s="5">
        <v>230</v>
      </c>
    </row>
    <row r="623" spans="1:3" x14ac:dyDescent="0.2">
      <c r="A623" s="2">
        <v>10875</v>
      </c>
      <c r="B623" s="4">
        <v>40392</v>
      </c>
      <c r="C623" s="5">
        <v>547</v>
      </c>
    </row>
    <row r="624" spans="1:3" x14ac:dyDescent="0.2">
      <c r="A624" s="2">
        <v>10876</v>
      </c>
      <c r="B624" s="4">
        <v>40395</v>
      </c>
      <c r="C624" s="5">
        <v>689</v>
      </c>
    </row>
    <row r="625" spans="1:3" x14ac:dyDescent="0.2">
      <c r="A625" s="2">
        <v>10877</v>
      </c>
      <c r="B625" s="4">
        <v>40395</v>
      </c>
      <c r="C625" s="5">
        <v>1565</v>
      </c>
    </row>
    <row r="626" spans="1:3" x14ac:dyDescent="0.2">
      <c r="A626" s="2">
        <v>10878</v>
      </c>
      <c r="B626" s="4">
        <v>40396</v>
      </c>
      <c r="C626" s="5">
        <v>1220</v>
      </c>
    </row>
    <row r="627" spans="1:3" x14ac:dyDescent="0.2">
      <c r="A627" s="2">
        <v>10879</v>
      </c>
      <c r="B627" s="4">
        <v>40396</v>
      </c>
      <c r="C627" s="5">
        <v>458</v>
      </c>
    </row>
    <row r="628" spans="1:3" x14ac:dyDescent="0.2">
      <c r="A628" s="2">
        <v>10880</v>
      </c>
      <c r="B628" s="4">
        <v>40396</v>
      </c>
      <c r="C628" s="5">
        <v>1360</v>
      </c>
    </row>
    <row r="629" spans="1:3" x14ac:dyDescent="0.2">
      <c r="A629" s="2">
        <v>10881</v>
      </c>
      <c r="B629" s="4">
        <v>40397</v>
      </c>
      <c r="C629" s="5">
        <v>110</v>
      </c>
    </row>
    <row r="630" spans="1:3" x14ac:dyDescent="0.2">
      <c r="A630" s="2">
        <v>10882</v>
      </c>
      <c r="B630" s="4">
        <v>40397</v>
      </c>
      <c r="C630" s="5">
        <v>710</v>
      </c>
    </row>
    <row r="631" spans="1:3" x14ac:dyDescent="0.2">
      <c r="A631" s="2">
        <v>10883</v>
      </c>
      <c r="B631" s="4">
        <v>40398</v>
      </c>
      <c r="C631" s="5">
        <v>24</v>
      </c>
    </row>
    <row r="632" spans="1:3" x14ac:dyDescent="0.2">
      <c r="A632" s="2">
        <v>10884</v>
      </c>
      <c r="B632" s="4">
        <v>40398</v>
      </c>
      <c r="C632" s="5">
        <v>1060</v>
      </c>
    </row>
    <row r="633" spans="1:3" x14ac:dyDescent="0.2">
      <c r="A633" s="2">
        <v>10885</v>
      </c>
      <c r="B633" s="4">
        <v>40398</v>
      </c>
      <c r="C633" s="5">
        <v>871</v>
      </c>
    </row>
    <row r="634" spans="1:3" x14ac:dyDescent="0.2">
      <c r="A634" s="2">
        <v>10886</v>
      </c>
      <c r="B634" s="4">
        <v>40399</v>
      </c>
      <c r="C634" s="5">
        <v>2285</v>
      </c>
    </row>
    <row r="635" spans="1:3" x14ac:dyDescent="0.2">
      <c r="A635" s="2">
        <v>10887</v>
      </c>
      <c r="B635" s="4">
        <v>40399</v>
      </c>
      <c r="C635" s="5">
        <v>50</v>
      </c>
    </row>
    <row r="636" spans="1:3" x14ac:dyDescent="0.2">
      <c r="A636" s="2">
        <v>10888</v>
      </c>
      <c r="B636" s="4">
        <v>40402</v>
      </c>
      <c r="C636" s="5">
        <v>442</v>
      </c>
    </row>
    <row r="637" spans="1:3" x14ac:dyDescent="0.2">
      <c r="A637" s="2">
        <v>10889</v>
      </c>
      <c r="B637" s="4">
        <v>40402</v>
      </c>
      <c r="C637" s="5">
        <v>8640</v>
      </c>
    </row>
    <row r="638" spans="1:3" x14ac:dyDescent="0.2">
      <c r="A638" s="2">
        <v>10890</v>
      </c>
      <c r="B638" s="4">
        <v>40402</v>
      </c>
      <c r="C638" s="5">
        <v>633</v>
      </c>
    </row>
    <row r="639" spans="1:3" x14ac:dyDescent="0.2">
      <c r="A639" s="2">
        <v>10891</v>
      </c>
      <c r="B639" s="4">
        <v>40403</v>
      </c>
      <c r="C639" s="5">
        <v>285</v>
      </c>
    </row>
    <row r="640" spans="1:3" x14ac:dyDescent="0.2">
      <c r="A640" s="2">
        <v>10892</v>
      </c>
      <c r="B640" s="4">
        <v>40403</v>
      </c>
      <c r="C640" s="5">
        <v>1640</v>
      </c>
    </row>
    <row r="641" spans="1:3" x14ac:dyDescent="0.2">
      <c r="A641" s="2">
        <v>10893</v>
      </c>
      <c r="B641" s="4">
        <v>40404</v>
      </c>
      <c r="C641" s="5">
        <v>4131</v>
      </c>
    </row>
    <row r="642" spans="1:3" x14ac:dyDescent="0.2">
      <c r="A642" s="2">
        <v>10894</v>
      </c>
      <c r="B642" s="4">
        <v>40404</v>
      </c>
      <c r="C642" s="5">
        <v>2062</v>
      </c>
    </row>
    <row r="643" spans="1:3" x14ac:dyDescent="0.2">
      <c r="A643" s="2">
        <v>10895</v>
      </c>
      <c r="B643" s="4">
        <v>40404</v>
      </c>
      <c r="C643" s="5">
        <v>4689</v>
      </c>
    </row>
    <row r="644" spans="1:3" x14ac:dyDescent="0.2">
      <c r="A644" s="2">
        <v>10896</v>
      </c>
      <c r="B644" s="4">
        <v>40405</v>
      </c>
      <c r="C644" s="5">
        <v>553</v>
      </c>
    </row>
    <row r="645" spans="1:3" x14ac:dyDescent="0.2">
      <c r="A645" s="2">
        <v>10897</v>
      </c>
      <c r="B645" s="4">
        <v>40405</v>
      </c>
      <c r="C645" s="5">
        <v>8204</v>
      </c>
    </row>
    <row r="646" spans="1:3" x14ac:dyDescent="0.2">
      <c r="A646" s="2">
        <v>10898</v>
      </c>
      <c r="B646" s="4">
        <v>40406</v>
      </c>
      <c r="C646" s="5">
        <v>20</v>
      </c>
    </row>
    <row r="647" spans="1:3" x14ac:dyDescent="0.2">
      <c r="A647" s="2">
        <v>10899</v>
      </c>
      <c r="B647" s="4">
        <v>40406</v>
      </c>
      <c r="C647" s="5">
        <v>104</v>
      </c>
    </row>
    <row r="648" spans="1:3" x14ac:dyDescent="0.2">
      <c r="A648" s="2">
        <v>10900</v>
      </c>
      <c r="B648" s="4">
        <v>40406</v>
      </c>
      <c r="C648" s="5">
        <v>33</v>
      </c>
    </row>
    <row r="649" spans="1:3" x14ac:dyDescent="0.2">
      <c r="A649" s="2">
        <v>10901</v>
      </c>
      <c r="B649" s="4">
        <v>40409</v>
      </c>
      <c r="C649" s="5">
        <v>690</v>
      </c>
    </row>
    <row r="650" spans="1:3" x14ac:dyDescent="0.2">
      <c r="A650" s="2">
        <v>10902</v>
      </c>
      <c r="B650" s="4">
        <v>40409</v>
      </c>
      <c r="C650" s="5">
        <v>762</v>
      </c>
    </row>
    <row r="651" spans="1:3" x14ac:dyDescent="0.2">
      <c r="A651" s="2">
        <v>10903</v>
      </c>
      <c r="B651" s="4">
        <v>40410</v>
      </c>
      <c r="C651" s="5">
        <v>676</v>
      </c>
    </row>
    <row r="652" spans="1:3" x14ac:dyDescent="0.2">
      <c r="A652" s="2">
        <v>10904</v>
      </c>
      <c r="B652" s="4">
        <v>40410</v>
      </c>
      <c r="C652" s="5">
        <v>1445</v>
      </c>
    </row>
    <row r="653" spans="1:3" x14ac:dyDescent="0.2">
      <c r="A653" s="2">
        <v>10905</v>
      </c>
      <c r="B653" s="4">
        <v>40410</v>
      </c>
      <c r="C653" s="5">
        <v>1154</v>
      </c>
    </row>
    <row r="654" spans="1:3" x14ac:dyDescent="0.2">
      <c r="A654" s="2">
        <v>10906</v>
      </c>
      <c r="B654" s="4">
        <v>40411</v>
      </c>
      <c r="C654" s="5">
        <v>1340</v>
      </c>
    </row>
    <row r="655" spans="1:3" x14ac:dyDescent="0.2">
      <c r="A655" s="2">
        <v>10907</v>
      </c>
      <c r="B655" s="4">
        <v>40411</v>
      </c>
      <c r="C655" s="5">
        <v>2729</v>
      </c>
    </row>
    <row r="656" spans="1:3" x14ac:dyDescent="0.2">
      <c r="A656" s="2">
        <v>10908</v>
      </c>
      <c r="B656" s="4">
        <v>40412</v>
      </c>
      <c r="C656" s="5">
        <v>624</v>
      </c>
    </row>
    <row r="657" spans="1:3" x14ac:dyDescent="0.2">
      <c r="A657" s="2">
        <v>10909</v>
      </c>
      <c r="B657" s="4">
        <v>40412</v>
      </c>
      <c r="C657" s="5">
        <v>850</v>
      </c>
    </row>
    <row r="658" spans="1:3" x14ac:dyDescent="0.2">
      <c r="A658" s="2">
        <v>10910</v>
      </c>
      <c r="B658" s="4">
        <v>40412</v>
      </c>
      <c r="C658" s="5">
        <v>1608</v>
      </c>
    </row>
    <row r="659" spans="1:3" x14ac:dyDescent="0.2">
      <c r="A659" s="2">
        <v>10911</v>
      </c>
      <c r="B659" s="4">
        <v>40412</v>
      </c>
      <c r="C659" s="5">
        <v>408</v>
      </c>
    </row>
    <row r="660" spans="1:3" x14ac:dyDescent="0.2">
      <c r="A660" s="2">
        <v>10912</v>
      </c>
      <c r="B660" s="4">
        <v>40412</v>
      </c>
      <c r="C660" s="5">
        <v>935</v>
      </c>
    </row>
    <row r="661" spans="1:3" x14ac:dyDescent="0.2">
      <c r="A661" s="2">
        <v>10913</v>
      </c>
      <c r="B661" s="4">
        <v>40412</v>
      </c>
      <c r="C661" s="5">
        <v>2140</v>
      </c>
    </row>
    <row r="662" spans="1:3" x14ac:dyDescent="0.2">
      <c r="A662" s="2">
        <v>10914</v>
      </c>
      <c r="B662" s="4">
        <v>40413</v>
      </c>
      <c r="C662" s="5">
        <v>390</v>
      </c>
    </row>
    <row r="663" spans="1:3" x14ac:dyDescent="0.2">
      <c r="A663" s="2">
        <v>10915</v>
      </c>
      <c r="B663" s="4">
        <v>40413</v>
      </c>
      <c r="C663" s="5">
        <v>700</v>
      </c>
    </row>
    <row r="664" spans="1:3" x14ac:dyDescent="0.2">
      <c r="A664" s="2">
        <v>10916</v>
      </c>
      <c r="B664" s="4">
        <v>40413</v>
      </c>
      <c r="C664" s="5">
        <v>968</v>
      </c>
    </row>
    <row r="665" spans="1:3" x14ac:dyDescent="0.2">
      <c r="A665" s="2">
        <v>10917</v>
      </c>
      <c r="B665" s="4">
        <v>40416</v>
      </c>
      <c r="C665" s="5">
        <v>525</v>
      </c>
    </row>
    <row r="666" spans="1:3" x14ac:dyDescent="0.2">
      <c r="A666" s="2">
        <v>10918</v>
      </c>
      <c r="B666" s="4">
        <v>40416</v>
      </c>
      <c r="C666" s="5">
        <v>1536</v>
      </c>
    </row>
    <row r="667" spans="1:3" x14ac:dyDescent="0.2">
      <c r="A667" s="2">
        <v>10919</v>
      </c>
      <c r="B667" s="4">
        <v>40416</v>
      </c>
      <c r="C667" s="5">
        <v>2300</v>
      </c>
    </row>
    <row r="668" spans="1:3" x14ac:dyDescent="0.2">
      <c r="A668" s="2">
        <v>10920</v>
      </c>
      <c r="B668" s="4">
        <v>40417</v>
      </c>
      <c r="C668" s="5">
        <v>115</v>
      </c>
    </row>
    <row r="669" spans="1:3" x14ac:dyDescent="0.2">
      <c r="A669" s="2">
        <v>10921</v>
      </c>
      <c r="B669" s="4">
        <v>40417</v>
      </c>
      <c r="C669" s="5">
        <v>705</v>
      </c>
    </row>
    <row r="670" spans="1:3" x14ac:dyDescent="0.2">
      <c r="A670" s="2">
        <v>10922</v>
      </c>
      <c r="B670" s="4">
        <v>40417</v>
      </c>
      <c r="C670" s="5">
        <v>540</v>
      </c>
    </row>
    <row r="671" spans="1:3" x14ac:dyDescent="0.2">
      <c r="A671" s="2">
        <v>10923</v>
      </c>
      <c r="B671" s="4">
        <v>40417</v>
      </c>
      <c r="C671" s="5">
        <v>690</v>
      </c>
    </row>
    <row r="672" spans="1:3" x14ac:dyDescent="0.2">
      <c r="A672" s="2">
        <v>10924</v>
      </c>
      <c r="B672" s="4">
        <v>40418</v>
      </c>
      <c r="C672" s="5">
        <v>1510</v>
      </c>
    </row>
    <row r="673" spans="1:3" x14ac:dyDescent="0.2">
      <c r="A673" s="2">
        <v>10925</v>
      </c>
      <c r="B673" s="4">
        <v>40418</v>
      </c>
      <c r="C673" s="5">
        <v>410</v>
      </c>
    </row>
    <row r="674" spans="1:3" x14ac:dyDescent="0.2">
      <c r="A674" s="2">
        <v>10926</v>
      </c>
      <c r="B674" s="4">
        <v>40418</v>
      </c>
      <c r="C674" s="5">
        <v>381</v>
      </c>
    </row>
    <row r="675" spans="1:3" x14ac:dyDescent="0.2">
      <c r="A675" s="2">
        <v>10927</v>
      </c>
      <c r="B675" s="4">
        <v>40419</v>
      </c>
      <c r="C675" s="5">
        <v>590</v>
      </c>
    </row>
    <row r="676" spans="1:3" x14ac:dyDescent="0.2">
      <c r="A676" s="2">
        <v>10928</v>
      </c>
      <c r="B676" s="4">
        <v>40419</v>
      </c>
      <c r="C676" s="5">
        <v>100</v>
      </c>
    </row>
    <row r="677" spans="1:3" x14ac:dyDescent="0.2">
      <c r="A677" s="2">
        <v>10929</v>
      </c>
      <c r="B677" s="4">
        <v>40419</v>
      </c>
      <c r="C677" s="5">
        <v>800</v>
      </c>
    </row>
    <row r="678" spans="1:3" x14ac:dyDescent="0.2">
      <c r="A678" s="2">
        <v>10930</v>
      </c>
      <c r="B678" s="4">
        <v>40420</v>
      </c>
      <c r="C678" s="5">
        <v>1827</v>
      </c>
    </row>
    <row r="679" spans="1:3" x14ac:dyDescent="0.2">
      <c r="A679" s="2">
        <v>10931</v>
      </c>
      <c r="B679" s="4">
        <v>40420</v>
      </c>
      <c r="C679" s="5">
        <v>588</v>
      </c>
    </row>
    <row r="680" spans="1:3" x14ac:dyDescent="0.2">
      <c r="A680" s="2">
        <v>10932</v>
      </c>
      <c r="B680" s="4">
        <v>40420</v>
      </c>
      <c r="C680" s="5">
        <v>1424</v>
      </c>
    </row>
    <row r="681" spans="1:3" x14ac:dyDescent="0.2">
      <c r="A681" s="2">
        <v>10933</v>
      </c>
      <c r="B681" s="4">
        <v>40420</v>
      </c>
      <c r="C681" s="5">
        <v>680</v>
      </c>
    </row>
    <row r="682" spans="1:3" x14ac:dyDescent="0.2">
      <c r="A682" s="2">
        <v>10934</v>
      </c>
      <c r="B682" s="4">
        <v>40423</v>
      </c>
      <c r="C682" s="5">
        <v>380</v>
      </c>
    </row>
    <row r="683" spans="1:3" x14ac:dyDescent="0.2">
      <c r="A683" s="2">
        <v>10935</v>
      </c>
      <c r="B683" s="4">
        <v>40423</v>
      </c>
      <c r="C683" s="5">
        <v>509</v>
      </c>
    </row>
    <row r="684" spans="1:3" x14ac:dyDescent="0.2">
      <c r="A684" s="2">
        <v>10936</v>
      </c>
      <c r="B684" s="4">
        <v>40423</v>
      </c>
      <c r="C684" s="5">
        <v>420</v>
      </c>
    </row>
    <row r="685" spans="1:3" x14ac:dyDescent="0.2">
      <c r="A685" s="2">
        <v>10937</v>
      </c>
      <c r="B685" s="4">
        <v>40424</v>
      </c>
      <c r="C685" s="5">
        <v>472</v>
      </c>
    </row>
    <row r="686" spans="1:3" x14ac:dyDescent="0.2">
      <c r="A686" s="2">
        <v>10938</v>
      </c>
      <c r="B686" s="4">
        <v>40424</v>
      </c>
      <c r="C686" s="5">
        <v>2705</v>
      </c>
    </row>
    <row r="687" spans="1:3" x14ac:dyDescent="0.2">
      <c r="A687" s="2">
        <v>10939</v>
      </c>
      <c r="B687" s="4">
        <v>40424</v>
      </c>
      <c r="C687" s="5">
        <v>540</v>
      </c>
    </row>
    <row r="688" spans="1:3" x14ac:dyDescent="0.2">
      <c r="A688" s="2">
        <v>10940</v>
      </c>
      <c r="B688" s="4">
        <v>40425</v>
      </c>
      <c r="C688" s="5">
        <v>256</v>
      </c>
    </row>
    <row r="689" spans="1:3" x14ac:dyDescent="0.2">
      <c r="A689" s="2">
        <v>10941</v>
      </c>
      <c r="B689" s="4">
        <v>40425</v>
      </c>
      <c r="C689" s="5">
        <v>3526</v>
      </c>
    </row>
    <row r="690" spans="1:3" x14ac:dyDescent="0.2">
      <c r="A690" s="2">
        <v>10942</v>
      </c>
      <c r="B690" s="4">
        <v>40425</v>
      </c>
      <c r="C690" s="5">
        <v>420</v>
      </c>
    </row>
    <row r="691" spans="1:3" x14ac:dyDescent="0.2">
      <c r="A691" s="2">
        <v>10943</v>
      </c>
      <c r="B691" s="4">
        <v>40425</v>
      </c>
      <c r="C691" s="5">
        <v>531</v>
      </c>
    </row>
    <row r="692" spans="1:3" x14ac:dyDescent="0.2">
      <c r="A692" s="2">
        <v>10944</v>
      </c>
      <c r="B692" s="4">
        <v>40426</v>
      </c>
      <c r="C692" s="5">
        <v>836</v>
      </c>
    </row>
    <row r="693" spans="1:3" x14ac:dyDescent="0.2">
      <c r="A693" s="2">
        <v>10945</v>
      </c>
      <c r="B693" s="4">
        <v>40426</v>
      </c>
      <c r="C693" s="5">
        <v>170</v>
      </c>
    </row>
    <row r="694" spans="1:3" x14ac:dyDescent="0.2">
      <c r="A694" s="2">
        <v>10946</v>
      </c>
      <c r="B694" s="4">
        <v>40426</v>
      </c>
      <c r="C694" s="5">
        <v>1010</v>
      </c>
    </row>
    <row r="695" spans="1:3" x14ac:dyDescent="0.2">
      <c r="A695" s="2">
        <v>10947</v>
      </c>
      <c r="B695" s="4">
        <v>40427</v>
      </c>
      <c r="C695" s="5">
        <v>164</v>
      </c>
    </row>
    <row r="696" spans="1:3" x14ac:dyDescent="0.2">
      <c r="A696" s="2">
        <v>10948</v>
      </c>
      <c r="B696" s="4">
        <v>40427</v>
      </c>
      <c r="C696" s="5">
        <v>1780</v>
      </c>
    </row>
    <row r="697" spans="1:3" x14ac:dyDescent="0.2">
      <c r="A697" s="2">
        <v>10949</v>
      </c>
      <c r="B697" s="4">
        <v>40427</v>
      </c>
      <c r="C697" s="5">
        <v>3312</v>
      </c>
    </row>
    <row r="698" spans="1:3" x14ac:dyDescent="0.2">
      <c r="A698" s="2">
        <v>10950</v>
      </c>
      <c r="B698" s="4">
        <v>40430</v>
      </c>
      <c r="C698" s="5">
        <v>80</v>
      </c>
    </row>
    <row r="699" spans="1:3" x14ac:dyDescent="0.2">
      <c r="A699" s="2">
        <v>10951</v>
      </c>
      <c r="B699" s="4">
        <v>40430</v>
      </c>
      <c r="C699" s="5">
        <v>307</v>
      </c>
    </row>
    <row r="700" spans="1:3" x14ac:dyDescent="0.2">
      <c r="A700" s="2">
        <v>10952</v>
      </c>
      <c r="B700" s="4">
        <v>40430</v>
      </c>
      <c r="C700" s="5">
        <v>372</v>
      </c>
    </row>
    <row r="701" spans="1:3" x14ac:dyDescent="0.2">
      <c r="A701" s="2">
        <v>10953</v>
      </c>
      <c r="B701" s="4">
        <v>40430</v>
      </c>
      <c r="C701" s="5">
        <v>3500</v>
      </c>
    </row>
    <row r="702" spans="1:3" x14ac:dyDescent="0.2">
      <c r="A702" s="2">
        <v>10954</v>
      </c>
      <c r="B702" s="4">
        <v>40431</v>
      </c>
      <c r="C702" s="5">
        <v>1399</v>
      </c>
    </row>
    <row r="703" spans="1:3" x14ac:dyDescent="0.2">
      <c r="A703" s="2">
        <v>10955</v>
      </c>
      <c r="B703" s="4">
        <v>40431</v>
      </c>
      <c r="C703" s="5">
        <v>60</v>
      </c>
    </row>
    <row r="704" spans="1:3" x14ac:dyDescent="0.2">
      <c r="A704" s="2">
        <v>10956</v>
      </c>
      <c r="B704" s="4">
        <v>40431</v>
      </c>
      <c r="C704" s="5">
        <v>502</v>
      </c>
    </row>
    <row r="705" spans="1:3" x14ac:dyDescent="0.2">
      <c r="A705" s="2">
        <v>10957</v>
      </c>
      <c r="B705" s="4">
        <v>40432</v>
      </c>
      <c r="C705" s="5">
        <v>1290</v>
      </c>
    </row>
    <row r="706" spans="1:3" x14ac:dyDescent="0.2">
      <c r="A706" s="2">
        <v>10958</v>
      </c>
      <c r="B706" s="4">
        <v>40432</v>
      </c>
      <c r="C706" s="5">
        <v>582</v>
      </c>
    </row>
    <row r="707" spans="1:3" x14ac:dyDescent="0.2">
      <c r="A707" s="2">
        <v>10959</v>
      </c>
      <c r="B707" s="4">
        <v>40432</v>
      </c>
      <c r="C707" s="5">
        <v>100</v>
      </c>
    </row>
    <row r="708" spans="1:3" x14ac:dyDescent="0.2">
      <c r="A708" s="2">
        <v>10960</v>
      </c>
      <c r="B708" s="4">
        <v>40433</v>
      </c>
      <c r="C708" s="5">
        <v>198</v>
      </c>
    </row>
    <row r="709" spans="1:3" x14ac:dyDescent="0.2">
      <c r="A709" s="2">
        <v>10961</v>
      </c>
      <c r="B709" s="4">
        <v>40433</v>
      </c>
      <c r="C709" s="5">
        <v>810</v>
      </c>
    </row>
    <row r="710" spans="1:3" x14ac:dyDescent="0.2">
      <c r="A710" s="2">
        <v>10962</v>
      </c>
      <c r="B710" s="4">
        <v>40433</v>
      </c>
      <c r="C710" s="5">
        <v>2613</v>
      </c>
    </row>
    <row r="711" spans="1:3" x14ac:dyDescent="0.2">
      <c r="A711" s="2">
        <v>10963</v>
      </c>
      <c r="B711" s="4">
        <v>40433</v>
      </c>
      <c r="C711" s="5">
        <v>50</v>
      </c>
    </row>
    <row r="712" spans="1:3" x14ac:dyDescent="0.2">
      <c r="A712" s="2">
        <v>10964</v>
      </c>
      <c r="B712" s="4">
        <v>40434</v>
      </c>
      <c r="C712" s="5">
        <v>1552</v>
      </c>
    </row>
    <row r="713" spans="1:3" x14ac:dyDescent="0.2">
      <c r="A713" s="2">
        <v>10965</v>
      </c>
      <c r="B713" s="4">
        <v>40434</v>
      </c>
      <c r="C713" s="5">
        <v>640</v>
      </c>
    </row>
    <row r="714" spans="1:3" x14ac:dyDescent="0.2">
      <c r="A714" s="2">
        <v>10966</v>
      </c>
      <c r="B714" s="4">
        <v>40434</v>
      </c>
      <c r="C714" s="5">
        <v>932</v>
      </c>
    </row>
    <row r="715" spans="1:3" x14ac:dyDescent="0.2">
      <c r="A715" s="2">
        <v>10967</v>
      </c>
      <c r="B715" s="4">
        <v>40437</v>
      </c>
      <c r="C715" s="5">
        <v>684</v>
      </c>
    </row>
    <row r="716" spans="1:3" x14ac:dyDescent="0.2">
      <c r="A716" s="2">
        <v>10968</v>
      </c>
      <c r="B716" s="4">
        <v>40437</v>
      </c>
      <c r="C716" s="5">
        <v>1030</v>
      </c>
    </row>
    <row r="717" spans="1:3" x14ac:dyDescent="0.2">
      <c r="A717" s="2">
        <v>10969</v>
      </c>
      <c r="B717" s="4">
        <v>40437</v>
      </c>
      <c r="C717" s="5">
        <v>81</v>
      </c>
    </row>
    <row r="718" spans="1:3" x14ac:dyDescent="0.2">
      <c r="A718" s="2">
        <v>10970</v>
      </c>
      <c r="B718" s="4">
        <v>40438</v>
      </c>
      <c r="C718" s="5">
        <v>1154</v>
      </c>
    </row>
    <row r="719" spans="1:3" x14ac:dyDescent="0.2">
      <c r="A719" s="2">
        <v>10971</v>
      </c>
      <c r="B719" s="4">
        <v>40438</v>
      </c>
      <c r="C719" s="5">
        <v>1340</v>
      </c>
    </row>
    <row r="720" spans="1:3" x14ac:dyDescent="0.2">
      <c r="A720" s="2">
        <v>10972</v>
      </c>
      <c r="B720" s="4">
        <v>40438</v>
      </c>
      <c r="C720" s="5">
        <v>2729</v>
      </c>
    </row>
    <row r="721" spans="1:3" x14ac:dyDescent="0.2">
      <c r="A721" s="2">
        <v>10973</v>
      </c>
      <c r="B721" s="4">
        <v>40438</v>
      </c>
      <c r="C721" s="5">
        <v>624</v>
      </c>
    </row>
    <row r="722" spans="1:3" x14ac:dyDescent="0.2">
      <c r="A722" s="2">
        <v>10974</v>
      </c>
      <c r="B722" s="4">
        <v>40439</v>
      </c>
      <c r="C722" s="5">
        <v>850</v>
      </c>
    </row>
    <row r="723" spans="1:3" x14ac:dyDescent="0.2">
      <c r="A723" s="2">
        <v>10975</v>
      </c>
      <c r="B723" s="4">
        <v>40439</v>
      </c>
      <c r="C723" s="5">
        <v>1608</v>
      </c>
    </row>
    <row r="724" spans="1:3" x14ac:dyDescent="0.2">
      <c r="A724" s="2">
        <v>10976</v>
      </c>
      <c r="B724" s="4">
        <v>40439</v>
      </c>
      <c r="C724" s="5">
        <v>408</v>
      </c>
    </row>
    <row r="725" spans="1:3" x14ac:dyDescent="0.2">
      <c r="A725" s="2">
        <v>10977</v>
      </c>
      <c r="B725" s="4">
        <v>40440</v>
      </c>
      <c r="C725" s="5">
        <v>935</v>
      </c>
    </row>
    <row r="726" spans="1:3" x14ac:dyDescent="0.2">
      <c r="A726" s="2">
        <v>10978</v>
      </c>
      <c r="B726" s="4">
        <v>40440</v>
      </c>
      <c r="C726" s="5">
        <v>2140</v>
      </c>
    </row>
    <row r="727" spans="1:3" x14ac:dyDescent="0.2">
      <c r="A727" s="2">
        <v>10979</v>
      </c>
      <c r="B727" s="4">
        <v>40440</v>
      </c>
      <c r="C727" s="5">
        <v>390</v>
      </c>
    </row>
    <row r="728" spans="1:3" x14ac:dyDescent="0.2">
      <c r="A728" s="2">
        <v>10980</v>
      </c>
      <c r="B728" s="4">
        <v>40441</v>
      </c>
      <c r="C728" s="5">
        <v>700</v>
      </c>
    </row>
    <row r="729" spans="1:3" x14ac:dyDescent="0.2">
      <c r="A729" s="2">
        <v>10981</v>
      </c>
      <c r="B729" s="4">
        <v>40441</v>
      </c>
      <c r="C729" s="5">
        <v>968</v>
      </c>
    </row>
    <row r="730" spans="1:3" x14ac:dyDescent="0.2">
      <c r="A730" s="2">
        <v>10982</v>
      </c>
      <c r="B730" s="4">
        <v>40441</v>
      </c>
      <c r="C730" s="5">
        <v>525</v>
      </c>
    </row>
    <row r="731" spans="1:3" x14ac:dyDescent="0.2">
      <c r="A731" s="2">
        <v>10983</v>
      </c>
      <c r="B731" s="4">
        <v>40441</v>
      </c>
      <c r="C731" s="5">
        <v>1536</v>
      </c>
    </row>
    <row r="732" spans="1:3" x14ac:dyDescent="0.2">
      <c r="A732" s="2">
        <v>10984</v>
      </c>
      <c r="B732" s="4">
        <v>40444</v>
      </c>
      <c r="C732" s="5">
        <v>2300</v>
      </c>
    </row>
    <row r="733" spans="1:3" x14ac:dyDescent="0.2">
      <c r="A733" s="2">
        <v>10985</v>
      </c>
      <c r="B733" s="4">
        <v>40444</v>
      </c>
      <c r="C733" s="5">
        <v>115</v>
      </c>
    </row>
    <row r="734" spans="1:3" x14ac:dyDescent="0.2">
      <c r="A734" s="2">
        <v>10986</v>
      </c>
      <c r="B734" s="4">
        <v>40444</v>
      </c>
      <c r="C734" s="5">
        <v>705</v>
      </c>
    </row>
    <row r="735" spans="1:3" x14ac:dyDescent="0.2">
      <c r="A735" s="2">
        <v>10987</v>
      </c>
      <c r="B735" s="4">
        <v>40445</v>
      </c>
      <c r="C735" s="5">
        <v>2050</v>
      </c>
    </row>
    <row r="736" spans="1:3" x14ac:dyDescent="0.2">
      <c r="A736" s="2">
        <v>10988</v>
      </c>
      <c r="B736" s="4">
        <v>40445</v>
      </c>
      <c r="C736" s="5">
        <v>2800</v>
      </c>
    </row>
    <row r="737" spans="1:3" x14ac:dyDescent="0.2">
      <c r="A737" s="2">
        <v>10989</v>
      </c>
      <c r="B737" s="4">
        <v>40445</v>
      </c>
      <c r="C737" s="5">
        <v>1028</v>
      </c>
    </row>
    <row r="738" spans="1:3" x14ac:dyDescent="0.2">
      <c r="A738" s="2">
        <v>10990</v>
      </c>
      <c r="B738" s="4">
        <v>40446</v>
      </c>
      <c r="C738" s="5">
        <v>3611</v>
      </c>
    </row>
    <row r="739" spans="1:3" x14ac:dyDescent="0.2">
      <c r="A739" s="2">
        <v>10991</v>
      </c>
      <c r="B739" s="4">
        <v>40446</v>
      </c>
      <c r="C739" s="5">
        <v>2090</v>
      </c>
    </row>
    <row r="740" spans="1:3" x14ac:dyDescent="0.2">
      <c r="A740" s="2">
        <v>10992</v>
      </c>
      <c r="B740" s="4">
        <v>40446</v>
      </c>
      <c r="C740" s="5">
        <v>52</v>
      </c>
    </row>
    <row r="741" spans="1:3" x14ac:dyDescent="0.2">
      <c r="A741" s="2">
        <v>10993</v>
      </c>
      <c r="B741" s="4">
        <v>40446</v>
      </c>
      <c r="C741" s="5">
        <v>4945</v>
      </c>
    </row>
    <row r="742" spans="1:3" x14ac:dyDescent="0.2">
      <c r="A742" s="2">
        <v>10994</v>
      </c>
      <c r="B742" s="4">
        <v>40447</v>
      </c>
      <c r="C742" s="5">
        <v>738</v>
      </c>
    </row>
    <row r="743" spans="1:3" x14ac:dyDescent="0.2">
      <c r="A743" s="2">
        <v>10995</v>
      </c>
      <c r="B743" s="4">
        <v>40447</v>
      </c>
      <c r="C743" s="5">
        <v>900</v>
      </c>
    </row>
    <row r="744" spans="1:3" x14ac:dyDescent="0.2">
      <c r="A744" s="2">
        <v>10996</v>
      </c>
      <c r="B744" s="4">
        <v>40447</v>
      </c>
      <c r="C744" s="5">
        <v>400</v>
      </c>
    </row>
    <row r="745" spans="1:3" x14ac:dyDescent="0.2">
      <c r="A745" s="2">
        <v>10997</v>
      </c>
      <c r="B745" s="4">
        <v>40448</v>
      </c>
      <c r="C745" s="5">
        <v>1480</v>
      </c>
    </row>
    <row r="746" spans="1:3" x14ac:dyDescent="0.2">
      <c r="A746" s="2">
        <v>10998</v>
      </c>
      <c r="B746" s="4">
        <v>40448</v>
      </c>
      <c r="C746" s="5">
        <v>473</v>
      </c>
    </row>
    <row r="747" spans="1:3" x14ac:dyDescent="0.2">
      <c r="A747" s="2">
        <v>10999</v>
      </c>
      <c r="B747" s="4">
        <v>40448</v>
      </c>
      <c r="C747" s="5">
        <v>929</v>
      </c>
    </row>
    <row r="748" spans="1:3" x14ac:dyDescent="0.2">
      <c r="A748" s="2">
        <v>11000</v>
      </c>
      <c r="B748" s="4">
        <v>40451</v>
      </c>
      <c r="C748" s="5">
        <v>760</v>
      </c>
    </row>
    <row r="749" spans="1:3" x14ac:dyDescent="0.2">
      <c r="A749" s="2">
        <v>11001</v>
      </c>
      <c r="B749" s="4">
        <v>40451</v>
      </c>
      <c r="C749" s="5">
        <v>2053</v>
      </c>
    </row>
    <row r="750" spans="1:3" x14ac:dyDescent="0.2">
      <c r="A750" s="2">
        <v>11002</v>
      </c>
      <c r="B750" s="4">
        <v>40451</v>
      </c>
      <c r="C750" s="5">
        <v>1379</v>
      </c>
    </row>
    <row r="751" spans="1:3" x14ac:dyDescent="0.2">
      <c r="A751" s="2">
        <v>11003</v>
      </c>
      <c r="B751" s="4">
        <v>40451</v>
      </c>
      <c r="C751" s="5">
        <v>242</v>
      </c>
    </row>
    <row r="752" spans="1:3" x14ac:dyDescent="0.2">
      <c r="A752" s="2">
        <v>11004</v>
      </c>
      <c r="B752" s="4">
        <v>40452</v>
      </c>
      <c r="C752" s="5">
        <v>216</v>
      </c>
    </row>
    <row r="753" spans="1:3" x14ac:dyDescent="0.2">
      <c r="A753" s="2">
        <v>11005</v>
      </c>
      <c r="B753" s="4">
        <v>40452</v>
      </c>
      <c r="C753" s="5">
        <v>436</v>
      </c>
    </row>
    <row r="754" spans="1:3" x14ac:dyDescent="0.2">
      <c r="A754" s="2">
        <v>11006</v>
      </c>
      <c r="B754" s="4">
        <v>40452</v>
      </c>
      <c r="C754" s="5">
        <v>292</v>
      </c>
    </row>
    <row r="755" spans="1:3" x14ac:dyDescent="0.2">
      <c r="A755" s="2">
        <v>11007</v>
      </c>
      <c r="B755" s="4">
        <v>40453</v>
      </c>
      <c r="C755" s="5">
        <v>1980</v>
      </c>
    </row>
    <row r="756" spans="1:3" x14ac:dyDescent="0.2">
      <c r="A756" s="2">
        <v>11008</v>
      </c>
      <c r="B756" s="4">
        <v>40453</v>
      </c>
      <c r="C756" s="5">
        <v>3616</v>
      </c>
    </row>
    <row r="757" spans="1:3" x14ac:dyDescent="0.2">
      <c r="A757" s="2">
        <v>11009</v>
      </c>
      <c r="B757" s="4">
        <v>40453</v>
      </c>
      <c r="C757" s="5">
        <v>513</v>
      </c>
    </row>
    <row r="758" spans="1:3" x14ac:dyDescent="0.2">
      <c r="A758" s="2">
        <v>11010</v>
      </c>
      <c r="B758" s="4">
        <v>40454</v>
      </c>
      <c r="C758" s="5">
        <v>470</v>
      </c>
    </row>
    <row r="759" spans="1:3" x14ac:dyDescent="0.2">
      <c r="A759" s="2">
        <v>11011</v>
      </c>
      <c r="B759" s="4">
        <v>40454</v>
      </c>
      <c r="C759" s="5">
        <v>720</v>
      </c>
    </row>
    <row r="760" spans="1:3" x14ac:dyDescent="0.2">
      <c r="A760" s="2">
        <v>11012</v>
      </c>
      <c r="B760" s="4">
        <v>40454</v>
      </c>
      <c r="C760" s="5">
        <v>2210</v>
      </c>
    </row>
    <row r="761" spans="1:3" x14ac:dyDescent="0.2">
      <c r="A761" s="2">
        <v>11013</v>
      </c>
      <c r="B761" s="4">
        <v>40454</v>
      </c>
      <c r="C761" s="5">
        <v>258</v>
      </c>
    </row>
    <row r="762" spans="1:3" x14ac:dyDescent="0.2">
      <c r="A762" s="2">
        <v>11014</v>
      </c>
      <c r="B762" s="4">
        <v>40455</v>
      </c>
      <c r="C762" s="5">
        <v>196</v>
      </c>
    </row>
    <row r="763" spans="1:3" x14ac:dyDescent="0.2">
      <c r="A763" s="2">
        <v>11015</v>
      </c>
      <c r="B763" s="4">
        <v>40455</v>
      </c>
      <c r="C763" s="5">
        <v>447</v>
      </c>
    </row>
    <row r="764" spans="1:3" x14ac:dyDescent="0.2">
      <c r="A764" s="2">
        <v>11016</v>
      </c>
      <c r="B764" s="4">
        <v>40455</v>
      </c>
      <c r="C764" s="5">
        <v>359</v>
      </c>
    </row>
    <row r="765" spans="1:3" x14ac:dyDescent="0.2">
      <c r="A765" s="2">
        <v>11017</v>
      </c>
      <c r="B765" s="4">
        <v>40458</v>
      </c>
      <c r="C765" s="5">
        <v>5015</v>
      </c>
    </row>
    <row r="766" spans="1:3" x14ac:dyDescent="0.2">
      <c r="A766" s="2">
        <v>11018</v>
      </c>
      <c r="B766" s="4">
        <v>40458</v>
      </c>
      <c r="C766" s="5">
        <v>1170</v>
      </c>
    </row>
    <row r="767" spans="1:3" x14ac:dyDescent="0.2">
      <c r="A767" s="2">
        <v>11019</v>
      </c>
      <c r="B767" s="4">
        <v>40458</v>
      </c>
      <c r="C767" s="5">
        <v>57</v>
      </c>
    </row>
    <row r="768" spans="1:3" x14ac:dyDescent="0.2">
      <c r="A768" s="2">
        <v>11020</v>
      </c>
      <c r="B768" s="4">
        <v>40459</v>
      </c>
      <c r="C768" s="5">
        <v>552</v>
      </c>
    </row>
    <row r="769" spans="1:3" x14ac:dyDescent="0.2">
      <c r="A769" s="2">
        <v>11021</v>
      </c>
      <c r="B769" s="4">
        <v>40459</v>
      </c>
      <c r="C769" s="5">
        <v>1154</v>
      </c>
    </row>
    <row r="770" spans="1:3" x14ac:dyDescent="0.2">
      <c r="A770" s="2">
        <v>11022</v>
      </c>
      <c r="B770" s="4">
        <v>40459</v>
      </c>
      <c r="C770" s="5">
        <v>1340</v>
      </c>
    </row>
    <row r="771" spans="1:3" x14ac:dyDescent="0.2">
      <c r="A771" s="2">
        <v>11023</v>
      </c>
      <c r="B771" s="4">
        <v>40459</v>
      </c>
      <c r="C771" s="5">
        <v>2729</v>
      </c>
    </row>
    <row r="772" spans="1:3" x14ac:dyDescent="0.2">
      <c r="A772" s="2">
        <v>11024</v>
      </c>
      <c r="B772" s="4">
        <v>40460</v>
      </c>
      <c r="C772" s="5">
        <v>624</v>
      </c>
    </row>
    <row r="773" spans="1:3" x14ac:dyDescent="0.2">
      <c r="A773" s="2">
        <v>11025</v>
      </c>
      <c r="B773" s="4">
        <v>40460</v>
      </c>
      <c r="C773" s="5">
        <v>850</v>
      </c>
    </row>
    <row r="774" spans="1:3" x14ac:dyDescent="0.2">
      <c r="A774" s="2">
        <v>11026</v>
      </c>
      <c r="B774" s="4">
        <v>40460</v>
      </c>
      <c r="C774" s="5">
        <v>1608</v>
      </c>
    </row>
    <row r="775" spans="1:3" x14ac:dyDescent="0.2">
      <c r="A775" s="2">
        <v>11027</v>
      </c>
      <c r="B775" s="4">
        <v>40461</v>
      </c>
      <c r="C775" s="5">
        <v>408</v>
      </c>
    </row>
    <row r="776" spans="1:3" x14ac:dyDescent="0.2">
      <c r="A776" s="2">
        <v>11028</v>
      </c>
      <c r="B776" s="4">
        <v>40461</v>
      </c>
      <c r="C776" s="5">
        <v>935</v>
      </c>
    </row>
    <row r="777" spans="1:3" x14ac:dyDescent="0.2">
      <c r="A777" s="2">
        <v>11029</v>
      </c>
      <c r="B777" s="4">
        <v>40461</v>
      </c>
      <c r="C777" s="5">
        <v>2140</v>
      </c>
    </row>
    <row r="778" spans="1:3" x14ac:dyDescent="0.2">
      <c r="A778" s="2">
        <v>11030</v>
      </c>
      <c r="B778" s="4">
        <v>40462</v>
      </c>
      <c r="C778" s="5">
        <v>390</v>
      </c>
    </row>
    <row r="779" spans="1:3" x14ac:dyDescent="0.2">
      <c r="A779" s="2">
        <v>11031</v>
      </c>
      <c r="B779" s="4">
        <v>40462</v>
      </c>
      <c r="C779" s="5">
        <v>700</v>
      </c>
    </row>
    <row r="780" spans="1:3" x14ac:dyDescent="0.2">
      <c r="A780" s="2">
        <v>11032</v>
      </c>
      <c r="B780" s="4">
        <v>40462</v>
      </c>
      <c r="C780" s="5">
        <v>968</v>
      </c>
    </row>
    <row r="781" spans="1:3" x14ac:dyDescent="0.2">
      <c r="A781" s="2">
        <v>11033</v>
      </c>
      <c r="B781" s="4">
        <v>40462</v>
      </c>
      <c r="C781" s="5">
        <v>525</v>
      </c>
    </row>
    <row r="782" spans="1:3" x14ac:dyDescent="0.2">
      <c r="A782" s="2">
        <v>11034</v>
      </c>
      <c r="B782" s="4">
        <v>40465</v>
      </c>
      <c r="C782" s="5">
        <v>1536</v>
      </c>
    </row>
    <row r="783" spans="1:3" x14ac:dyDescent="0.2">
      <c r="A783" s="2">
        <v>11035</v>
      </c>
      <c r="B783" s="4">
        <v>40465</v>
      </c>
      <c r="C783" s="5">
        <v>2300</v>
      </c>
    </row>
    <row r="784" spans="1:3" x14ac:dyDescent="0.2">
      <c r="A784" s="2">
        <v>11036</v>
      </c>
      <c r="B784" s="4">
        <v>40465</v>
      </c>
      <c r="C784" s="5">
        <v>115</v>
      </c>
    </row>
    <row r="785" spans="1:3" x14ac:dyDescent="0.2">
      <c r="A785" s="2">
        <v>11037</v>
      </c>
      <c r="B785" s="4">
        <v>40466</v>
      </c>
      <c r="C785" s="5">
        <v>705</v>
      </c>
    </row>
    <row r="786" spans="1:3" x14ac:dyDescent="0.2">
      <c r="A786" s="2">
        <v>11038</v>
      </c>
      <c r="B786" s="4">
        <v>40466</v>
      </c>
      <c r="C786" s="5">
        <v>560</v>
      </c>
    </row>
    <row r="787" spans="1:3" x14ac:dyDescent="0.2">
      <c r="A787" s="2">
        <v>11039</v>
      </c>
      <c r="B787" s="4">
        <v>40466</v>
      </c>
      <c r="C787" s="5">
        <v>2284</v>
      </c>
    </row>
    <row r="788" spans="1:3" x14ac:dyDescent="0.2">
      <c r="A788" s="2">
        <v>11040</v>
      </c>
      <c r="B788" s="4">
        <v>40467</v>
      </c>
      <c r="C788" s="5">
        <v>140</v>
      </c>
    </row>
    <row r="789" spans="1:3" x14ac:dyDescent="0.2">
      <c r="A789" s="2">
        <v>11041</v>
      </c>
      <c r="B789" s="4">
        <v>40467</v>
      </c>
      <c r="C789" s="5">
        <v>1410</v>
      </c>
    </row>
    <row r="790" spans="1:3" x14ac:dyDescent="0.2">
      <c r="A790" s="2">
        <v>11042</v>
      </c>
      <c r="B790" s="4">
        <v>40467</v>
      </c>
      <c r="C790" s="5">
        <v>294</v>
      </c>
    </row>
    <row r="791" spans="1:3" x14ac:dyDescent="0.2">
      <c r="A791" s="2">
        <v>11043</v>
      </c>
      <c r="B791" s="4">
        <v>40467</v>
      </c>
      <c r="C791" s="5">
        <v>160</v>
      </c>
    </row>
    <row r="792" spans="1:3" x14ac:dyDescent="0.2">
      <c r="A792" s="2">
        <v>11044</v>
      </c>
      <c r="B792" s="4">
        <v>40468</v>
      </c>
      <c r="C792" s="5">
        <v>444</v>
      </c>
    </row>
    <row r="793" spans="1:3" x14ac:dyDescent="0.2">
      <c r="A793" s="2">
        <v>11045</v>
      </c>
      <c r="B793" s="4">
        <v>40468</v>
      </c>
      <c r="C793" s="5">
        <v>975</v>
      </c>
    </row>
    <row r="794" spans="1:3" x14ac:dyDescent="0.2">
      <c r="A794" s="2">
        <v>11046</v>
      </c>
      <c r="B794" s="4">
        <v>40468</v>
      </c>
      <c r="C794" s="5">
        <v>1154</v>
      </c>
    </row>
    <row r="795" spans="1:3" x14ac:dyDescent="0.2">
      <c r="A795" s="2">
        <v>11047</v>
      </c>
      <c r="B795" s="4">
        <v>40469</v>
      </c>
      <c r="C795" s="5">
        <v>805</v>
      </c>
    </row>
    <row r="796" spans="1:3" x14ac:dyDescent="0.2">
      <c r="A796" s="2">
        <v>11048</v>
      </c>
      <c r="B796" s="4">
        <v>40469</v>
      </c>
      <c r="C796" s="5">
        <v>378</v>
      </c>
    </row>
    <row r="797" spans="1:3" x14ac:dyDescent="0.2">
      <c r="A797" s="2">
        <v>11049</v>
      </c>
      <c r="B797" s="4">
        <v>40769</v>
      </c>
      <c r="C797" s="5">
        <v>252</v>
      </c>
    </row>
    <row r="798" spans="1:3" x14ac:dyDescent="0.2">
      <c r="A798" s="2">
        <v>11050</v>
      </c>
      <c r="B798" s="4">
        <v>40772</v>
      </c>
      <c r="C798" s="5">
        <v>650</v>
      </c>
    </row>
    <row r="799" spans="1:3" x14ac:dyDescent="0.2">
      <c r="A799" s="2">
        <v>11051</v>
      </c>
      <c r="B799" s="4">
        <v>40772</v>
      </c>
      <c r="C799" s="5">
        <v>30</v>
      </c>
    </row>
    <row r="800" spans="1:3" x14ac:dyDescent="0.2">
      <c r="A800" s="2">
        <v>11052</v>
      </c>
      <c r="B800" s="4">
        <v>40772</v>
      </c>
      <c r="C800" s="5">
        <v>1260</v>
      </c>
    </row>
    <row r="801" spans="1:3" x14ac:dyDescent="0.2">
      <c r="A801" s="2">
        <v>11053</v>
      </c>
      <c r="B801" s="4">
        <v>40772</v>
      </c>
      <c r="C801" s="5">
        <v>2750</v>
      </c>
    </row>
    <row r="802" spans="1:3" x14ac:dyDescent="0.2">
      <c r="A802" s="2">
        <v>11054</v>
      </c>
      <c r="B802" s="4">
        <v>40773</v>
      </c>
      <c r="C802" s="5">
        <v>210</v>
      </c>
    </row>
    <row r="803" spans="1:3" x14ac:dyDescent="0.2">
      <c r="A803" s="2">
        <v>11055</v>
      </c>
      <c r="B803" s="4">
        <v>40773</v>
      </c>
      <c r="C803" s="5">
        <v>1275</v>
      </c>
    </row>
    <row r="804" spans="1:3" x14ac:dyDescent="0.2">
      <c r="A804" s="2">
        <v>11056</v>
      </c>
      <c r="B804" s="4">
        <v>40773</v>
      </c>
      <c r="C804" s="5">
        <v>2760</v>
      </c>
    </row>
    <row r="805" spans="1:3" x14ac:dyDescent="0.2">
      <c r="A805" s="2">
        <v>11057</v>
      </c>
      <c r="B805" s="4">
        <v>40774</v>
      </c>
      <c r="C805" s="5">
        <v>33</v>
      </c>
    </row>
    <row r="806" spans="1:3" x14ac:dyDescent="0.2">
      <c r="A806" s="2">
        <v>11058</v>
      </c>
      <c r="B806" s="4">
        <v>40774</v>
      </c>
      <c r="C806" s="5">
        <v>630</v>
      </c>
    </row>
    <row r="807" spans="1:3" x14ac:dyDescent="0.2">
      <c r="A807" s="2">
        <v>11059</v>
      </c>
      <c r="B807" s="4">
        <v>40774</v>
      </c>
      <c r="C807" s="5">
        <v>1343</v>
      </c>
    </row>
    <row r="808" spans="1:3" x14ac:dyDescent="0.2">
      <c r="A808" s="2">
        <v>11060</v>
      </c>
      <c r="B808" s="4">
        <v>40775</v>
      </c>
      <c r="C808" s="5">
        <v>190</v>
      </c>
    </row>
    <row r="809" spans="1:3" x14ac:dyDescent="0.2">
      <c r="A809" s="2">
        <v>11061</v>
      </c>
      <c r="B809" s="4">
        <v>40775</v>
      </c>
      <c r="C809" s="5">
        <v>375</v>
      </c>
    </row>
    <row r="810" spans="1:3" x14ac:dyDescent="0.2">
      <c r="A810" s="2">
        <v>11062</v>
      </c>
      <c r="B810" s="4">
        <v>40775</v>
      </c>
      <c r="C810" s="5">
        <v>382</v>
      </c>
    </row>
    <row r="811" spans="1:3" x14ac:dyDescent="0.2">
      <c r="A811" s="2">
        <v>11063</v>
      </c>
      <c r="B811" s="4">
        <v>40775</v>
      </c>
      <c r="C811" s="5">
        <v>1070</v>
      </c>
    </row>
    <row r="812" spans="1:3" x14ac:dyDescent="0.2">
      <c r="A812" s="2">
        <v>11064</v>
      </c>
      <c r="B812" s="4">
        <v>40776</v>
      </c>
      <c r="C812" s="5">
        <v>3509</v>
      </c>
    </row>
    <row r="813" spans="1:3" x14ac:dyDescent="0.2">
      <c r="A813" s="2">
        <v>11065</v>
      </c>
      <c r="B813" s="4">
        <v>40776</v>
      </c>
      <c r="C813" s="5">
        <v>176</v>
      </c>
    </row>
    <row r="814" spans="1:3" x14ac:dyDescent="0.2">
      <c r="A814" s="2">
        <v>11066</v>
      </c>
      <c r="B814" s="4">
        <v>40776</v>
      </c>
      <c r="C814" s="5">
        <v>683</v>
      </c>
    </row>
    <row r="815" spans="1:3" x14ac:dyDescent="0.2">
      <c r="A815" s="2">
        <v>11067</v>
      </c>
      <c r="B815" s="4">
        <v>40779</v>
      </c>
      <c r="C815" s="5">
        <v>1154</v>
      </c>
    </row>
    <row r="816" spans="1:3" x14ac:dyDescent="0.2">
      <c r="A816" s="2">
        <v>11068</v>
      </c>
      <c r="B816" s="4">
        <v>40779</v>
      </c>
      <c r="C816" s="5">
        <v>1340</v>
      </c>
    </row>
    <row r="817" spans="1:3" x14ac:dyDescent="0.2">
      <c r="A817" s="2">
        <v>11069</v>
      </c>
      <c r="B817" s="4">
        <v>40779</v>
      </c>
      <c r="C817" s="5">
        <v>2729</v>
      </c>
    </row>
    <row r="818" spans="1:3" x14ac:dyDescent="0.2">
      <c r="A818" s="2">
        <v>11070</v>
      </c>
      <c r="B818" s="4">
        <v>40780</v>
      </c>
      <c r="C818" s="5">
        <v>624</v>
      </c>
    </row>
    <row r="819" spans="1:3" x14ac:dyDescent="0.2">
      <c r="A819" s="2">
        <v>11071</v>
      </c>
      <c r="B819" s="4">
        <v>40780</v>
      </c>
      <c r="C819" s="5">
        <v>850</v>
      </c>
    </row>
    <row r="820" spans="1:3" x14ac:dyDescent="0.2">
      <c r="A820" s="2">
        <v>11072</v>
      </c>
      <c r="B820" s="4">
        <v>40780</v>
      </c>
      <c r="C820" s="5">
        <v>1608</v>
      </c>
    </row>
    <row r="821" spans="1:3" x14ac:dyDescent="0.2">
      <c r="A821" s="2">
        <v>11073</v>
      </c>
      <c r="B821" s="4">
        <v>40780</v>
      </c>
      <c r="C821" s="5">
        <v>408</v>
      </c>
    </row>
    <row r="822" spans="1:3" x14ac:dyDescent="0.2">
      <c r="A822" s="2">
        <v>11074</v>
      </c>
      <c r="B822" s="4">
        <v>40781</v>
      </c>
      <c r="C822" s="5">
        <v>935</v>
      </c>
    </row>
    <row r="823" spans="1:3" x14ac:dyDescent="0.2">
      <c r="A823" s="2">
        <v>11075</v>
      </c>
      <c r="B823" s="4">
        <v>40781</v>
      </c>
      <c r="C823" s="5">
        <v>2140</v>
      </c>
    </row>
    <row r="824" spans="1:3" x14ac:dyDescent="0.2">
      <c r="A824" s="2">
        <v>11076</v>
      </c>
      <c r="B824" s="4">
        <v>40781</v>
      </c>
      <c r="C824" s="5">
        <v>390</v>
      </c>
    </row>
    <row r="825" spans="1:3" x14ac:dyDescent="0.2">
      <c r="A825" s="2">
        <v>11077</v>
      </c>
      <c r="B825" s="4">
        <v>40781</v>
      </c>
      <c r="C825" s="5">
        <v>700</v>
      </c>
    </row>
    <row r="826" spans="1:3" x14ac:dyDescent="0.2">
      <c r="A826" s="2">
        <v>11078</v>
      </c>
      <c r="B826" s="4">
        <v>40781</v>
      </c>
      <c r="C826" s="5">
        <v>968</v>
      </c>
    </row>
    <row r="827" spans="1:3" x14ac:dyDescent="0.2">
      <c r="A827" s="2">
        <v>11079</v>
      </c>
      <c r="B827" s="4">
        <v>40869</v>
      </c>
      <c r="C827" s="5">
        <v>525</v>
      </c>
    </row>
    <row r="828" spans="1:3" x14ac:dyDescent="0.2">
      <c r="A828" s="2">
        <v>11080</v>
      </c>
      <c r="B828" s="4">
        <v>40870</v>
      </c>
      <c r="C828" s="5">
        <v>1536</v>
      </c>
    </row>
    <row r="829" spans="1:3" x14ac:dyDescent="0.2">
      <c r="A829" s="2">
        <v>11081</v>
      </c>
      <c r="B829" s="4">
        <v>40871</v>
      </c>
      <c r="C829" s="5">
        <v>2300</v>
      </c>
    </row>
    <row r="830" spans="1:3" x14ac:dyDescent="0.2">
      <c r="A830" s="2">
        <v>11082</v>
      </c>
      <c r="B830" s="4">
        <v>40871</v>
      </c>
      <c r="C830" s="5">
        <v>115</v>
      </c>
    </row>
    <row r="831" spans="1:3" x14ac:dyDescent="0.2">
      <c r="A831" s="2">
        <v>11083</v>
      </c>
      <c r="B831" s="4">
        <v>40872</v>
      </c>
      <c r="C831" s="5">
        <v>705</v>
      </c>
    </row>
    <row r="832" spans="1:3" x14ac:dyDescent="0.2">
      <c r="A832" s="2">
        <v>11084</v>
      </c>
      <c r="B832" s="4">
        <v>40875</v>
      </c>
      <c r="C832" s="5">
        <v>655</v>
      </c>
    </row>
    <row r="833" spans="1:3" x14ac:dyDescent="0.2">
      <c r="A833" s="2">
        <v>11085</v>
      </c>
      <c r="B833" s="4">
        <v>40875</v>
      </c>
      <c r="C833" s="5">
        <v>1672</v>
      </c>
    </row>
    <row r="834" spans="1:3" x14ac:dyDescent="0.2">
      <c r="A834" s="2">
        <v>11086</v>
      </c>
      <c r="B834" s="4">
        <v>40876</v>
      </c>
      <c r="C834" s="5">
        <v>636</v>
      </c>
    </row>
    <row r="835" spans="1:3" x14ac:dyDescent="0.2">
      <c r="A835" s="2">
        <v>11087</v>
      </c>
      <c r="B835" s="4">
        <v>40877</v>
      </c>
      <c r="C835" s="5">
        <v>110</v>
      </c>
    </row>
    <row r="836" spans="1:3" x14ac:dyDescent="0.2">
      <c r="A836" s="2">
        <v>11088</v>
      </c>
      <c r="B836" s="4">
        <v>40877</v>
      </c>
      <c r="C836" s="5">
        <v>783</v>
      </c>
    </row>
    <row r="837" spans="1:3" x14ac:dyDescent="0.2">
      <c r="A837" s="2">
        <v>11089</v>
      </c>
      <c r="B837" s="4">
        <v>40878</v>
      </c>
      <c r="C837" s="5">
        <v>915</v>
      </c>
    </row>
    <row r="838" spans="1:3" x14ac:dyDescent="0.2">
      <c r="A838" s="2">
        <v>11090</v>
      </c>
      <c r="B838" s="4">
        <v>40879</v>
      </c>
      <c r="C838" s="5">
        <v>1368</v>
      </c>
    </row>
    <row r="839" spans="1:3" x14ac:dyDescent="0.2">
      <c r="A839" s="2">
        <v>11091</v>
      </c>
      <c r="B839" s="4">
        <v>40882</v>
      </c>
      <c r="C839" s="5">
        <v>1639</v>
      </c>
    </row>
    <row r="840" spans="1:3" x14ac:dyDescent="0.2">
      <c r="A840" s="2">
        <v>11092</v>
      </c>
      <c r="B840" s="4">
        <v>40882</v>
      </c>
      <c r="C840" s="5">
        <v>54</v>
      </c>
    </row>
    <row r="841" spans="1:3" x14ac:dyDescent="0.2">
      <c r="A841" s="2">
        <v>11093</v>
      </c>
      <c r="B841" s="4">
        <v>40883</v>
      </c>
      <c r="C841" s="5">
        <v>1050</v>
      </c>
    </row>
    <row r="842" spans="1:3" x14ac:dyDescent="0.2">
      <c r="A842" s="2">
        <v>11094</v>
      </c>
      <c r="B842" s="4">
        <v>40884</v>
      </c>
      <c r="C842" s="5">
        <v>2403</v>
      </c>
    </row>
    <row r="843" spans="1:3" x14ac:dyDescent="0.2">
      <c r="A843" s="2">
        <v>11095</v>
      </c>
      <c r="B843" s="4">
        <v>40884</v>
      </c>
      <c r="C843" s="5">
        <v>330</v>
      </c>
    </row>
    <row r="844" spans="1:3" x14ac:dyDescent="0.2">
      <c r="A844" s="2">
        <v>11096</v>
      </c>
      <c r="B844" s="4">
        <v>40885</v>
      </c>
      <c r="C844" s="5">
        <v>1694</v>
      </c>
    </row>
    <row r="845" spans="1:3" x14ac:dyDescent="0.2">
      <c r="A845" s="2">
        <v>11097</v>
      </c>
      <c r="B845" s="4">
        <v>40886</v>
      </c>
      <c r="C845" s="5">
        <v>1421</v>
      </c>
    </row>
    <row r="846" spans="1:3" x14ac:dyDescent="0.2">
      <c r="A846" s="2">
        <v>11098</v>
      </c>
      <c r="B846" s="4">
        <v>40886</v>
      </c>
      <c r="C846" s="5">
        <v>636</v>
      </c>
    </row>
    <row r="847" spans="1:3" x14ac:dyDescent="0.2">
      <c r="A847" s="2">
        <v>11099</v>
      </c>
      <c r="B847" s="4">
        <v>40889</v>
      </c>
      <c r="C847" s="5">
        <v>1980</v>
      </c>
    </row>
    <row r="848" spans="1:3" x14ac:dyDescent="0.2">
      <c r="A848" s="2">
        <v>11100</v>
      </c>
      <c r="B848" s="4">
        <v>40890</v>
      </c>
      <c r="C848" s="5">
        <v>1258</v>
      </c>
    </row>
    <row r="849" spans="1:3" x14ac:dyDescent="0.2">
      <c r="A849" s="2">
        <v>11101</v>
      </c>
      <c r="B849" s="4">
        <v>40891</v>
      </c>
      <c r="C849" s="5">
        <v>2285</v>
      </c>
    </row>
    <row r="850" spans="1:3" x14ac:dyDescent="0.2">
      <c r="A850" s="2">
        <v>11102</v>
      </c>
      <c r="B850" s="4">
        <v>40891</v>
      </c>
      <c r="C850" s="5">
        <v>2900</v>
      </c>
    </row>
    <row r="851" spans="1:3" x14ac:dyDescent="0.2">
      <c r="A851" s="2">
        <v>11103</v>
      </c>
      <c r="B851" s="4">
        <v>40892</v>
      </c>
      <c r="C851" s="5">
        <v>1990</v>
      </c>
    </row>
    <row r="852" spans="1:3" x14ac:dyDescent="0.2">
      <c r="A852" s="2">
        <v>11104</v>
      </c>
      <c r="B852" s="4">
        <v>40893</v>
      </c>
      <c r="C852" s="5">
        <v>700</v>
      </c>
    </row>
    <row r="853" spans="1:3" x14ac:dyDescent="0.2">
      <c r="A853" s="2">
        <v>11105</v>
      </c>
      <c r="B853" s="4">
        <v>40893</v>
      </c>
      <c r="C853" s="5">
        <v>1220</v>
      </c>
    </row>
    <row r="854" spans="1:3" x14ac:dyDescent="0.2">
      <c r="A854" s="2">
        <v>11106</v>
      </c>
      <c r="B854" s="4">
        <v>40896</v>
      </c>
      <c r="C854" s="5">
        <v>300</v>
      </c>
    </row>
    <row r="855" spans="1:3" x14ac:dyDescent="0.2">
      <c r="A855" s="2">
        <v>11107</v>
      </c>
      <c r="B855" s="4">
        <v>40897</v>
      </c>
      <c r="C855" s="5">
        <v>1491</v>
      </c>
    </row>
    <row r="856" spans="1:3" x14ac:dyDescent="0.2">
      <c r="A856" s="2">
        <v>11108</v>
      </c>
      <c r="B856" s="4">
        <v>40897</v>
      </c>
      <c r="C856" s="5">
        <v>870</v>
      </c>
    </row>
    <row r="857" spans="1:3" x14ac:dyDescent="0.2">
      <c r="A857" s="2">
        <v>11109</v>
      </c>
      <c r="B857" s="4">
        <v>40898</v>
      </c>
      <c r="C857" s="5">
        <v>1224</v>
      </c>
    </row>
    <row r="858" spans="1:3" x14ac:dyDescent="0.2">
      <c r="A858" s="2">
        <v>11110</v>
      </c>
      <c r="B858" s="4">
        <v>40899</v>
      </c>
      <c r="C858" s="5">
        <v>240</v>
      </c>
    </row>
    <row r="859" spans="1:3" x14ac:dyDescent="0.2">
      <c r="A859" s="2">
        <v>11111</v>
      </c>
      <c r="B859" s="4">
        <v>40900</v>
      </c>
      <c r="C859" s="5">
        <v>577</v>
      </c>
    </row>
    <row r="860" spans="1:3" x14ac:dyDescent="0.2">
      <c r="A860" s="2">
        <v>11112</v>
      </c>
      <c r="B860" s="4">
        <v>40900</v>
      </c>
      <c r="C860" s="5">
        <v>862</v>
      </c>
    </row>
    <row r="861" spans="1:3" x14ac:dyDescent="0.2">
      <c r="A861" s="2">
        <v>11113</v>
      </c>
      <c r="B861" s="4">
        <v>40903</v>
      </c>
      <c r="C861" s="5">
        <v>280</v>
      </c>
    </row>
    <row r="862" spans="1:3" x14ac:dyDescent="0.2">
      <c r="A862" s="2">
        <v>11114</v>
      </c>
      <c r="B862" s="4">
        <v>40904</v>
      </c>
      <c r="C862" s="5">
        <v>1154</v>
      </c>
    </row>
    <row r="863" spans="1:3" x14ac:dyDescent="0.2">
      <c r="A863" s="2">
        <v>11115</v>
      </c>
      <c r="B863" s="4">
        <v>40904</v>
      </c>
      <c r="C863" s="5">
        <v>1340</v>
      </c>
    </row>
    <row r="864" spans="1:3" x14ac:dyDescent="0.2">
      <c r="A864" s="2">
        <v>11116</v>
      </c>
      <c r="B864" s="4">
        <v>40905</v>
      </c>
      <c r="C864" s="5">
        <v>2729</v>
      </c>
    </row>
    <row r="865" spans="1:3" x14ac:dyDescent="0.2">
      <c r="A865" s="2">
        <v>11117</v>
      </c>
      <c r="B865" s="4">
        <v>40906</v>
      </c>
      <c r="C865" s="5">
        <v>624</v>
      </c>
    </row>
    <row r="866" spans="1:3" x14ac:dyDescent="0.2">
      <c r="A866" s="2">
        <v>11118</v>
      </c>
      <c r="B866" s="4">
        <v>40906</v>
      </c>
      <c r="C866" s="5">
        <v>850</v>
      </c>
    </row>
    <row r="867" spans="1:3" x14ac:dyDescent="0.2">
      <c r="A867" s="2">
        <v>11119</v>
      </c>
      <c r="B867" s="4">
        <v>40907</v>
      </c>
      <c r="C867" s="5">
        <v>1608</v>
      </c>
    </row>
    <row r="868" spans="1:3" x14ac:dyDescent="0.2">
      <c r="A868" s="2">
        <v>11120</v>
      </c>
      <c r="B868" s="4">
        <v>40910</v>
      </c>
      <c r="C868" s="5">
        <v>408</v>
      </c>
    </row>
    <row r="869" spans="1:3" x14ac:dyDescent="0.2">
      <c r="A869" s="2">
        <v>11121</v>
      </c>
      <c r="B869" s="4">
        <v>40911</v>
      </c>
      <c r="C869" s="5">
        <v>935</v>
      </c>
    </row>
    <row r="870" spans="1:3" x14ac:dyDescent="0.2">
      <c r="A870" s="2">
        <v>11122</v>
      </c>
      <c r="B870" s="4">
        <v>40911</v>
      </c>
      <c r="C870" s="5">
        <v>2140</v>
      </c>
    </row>
    <row r="871" spans="1:3" x14ac:dyDescent="0.2">
      <c r="A871" s="2">
        <v>11123</v>
      </c>
      <c r="B871" s="4">
        <v>40912</v>
      </c>
      <c r="C871" s="5">
        <v>390</v>
      </c>
    </row>
    <row r="872" spans="1:3" x14ac:dyDescent="0.2">
      <c r="A872" s="2">
        <v>11124</v>
      </c>
      <c r="B872" s="4">
        <v>40913</v>
      </c>
      <c r="C872" s="5">
        <v>700</v>
      </c>
    </row>
    <row r="873" spans="1:3" x14ac:dyDescent="0.2">
      <c r="A873" s="2">
        <v>11125</v>
      </c>
      <c r="B873" s="4">
        <v>40913</v>
      </c>
      <c r="C873" s="5">
        <v>968</v>
      </c>
    </row>
    <row r="874" spans="1:3" x14ac:dyDescent="0.2">
      <c r="A874" s="2">
        <v>11126</v>
      </c>
      <c r="B874" s="4">
        <v>40914</v>
      </c>
      <c r="C874" s="5">
        <v>525</v>
      </c>
    </row>
    <row r="875" spans="1:3" x14ac:dyDescent="0.2">
      <c r="A875" s="2">
        <v>11127</v>
      </c>
      <c r="B875" s="4">
        <v>40917</v>
      </c>
      <c r="C875" s="5">
        <v>1536</v>
      </c>
    </row>
    <row r="876" spans="1:3" x14ac:dyDescent="0.2">
      <c r="A876" s="2">
        <v>11128</v>
      </c>
      <c r="B876" s="4">
        <v>40917</v>
      </c>
      <c r="C876" s="5">
        <v>2300</v>
      </c>
    </row>
    <row r="877" spans="1:3" x14ac:dyDescent="0.2">
      <c r="A877" s="2">
        <v>11129</v>
      </c>
      <c r="B877" s="4">
        <v>40918</v>
      </c>
      <c r="C877" s="5">
        <v>115</v>
      </c>
    </row>
    <row r="878" spans="1:3" x14ac:dyDescent="0.2">
      <c r="A878" s="2">
        <v>11130</v>
      </c>
      <c r="B878" s="4">
        <v>40919</v>
      </c>
      <c r="C878" s="5">
        <v>705</v>
      </c>
    </row>
    <row r="879" spans="1:3" x14ac:dyDescent="0.2">
      <c r="A879" s="2">
        <v>11131</v>
      </c>
      <c r="B879" s="4">
        <v>40920</v>
      </c>
      <c r="C879" s="5">
        <v>4335</v>
      </c>
    </row>
    <row r="880" spans="1:3" x14ac:dyDescent="0.2">
      <c r="A880" s="2">
        <v>11132</v>
      </c>
      <c r="B880" s="4">
        <v>40920</v>
      </c>
      <c r="C880" s="5">
        <v>1850</v>
      </c>
    </row>
    <row r="881" spans="1:3" x14ac:dyDescent="0.2">
      <c r="A881" s="2">
        <v>11133</v>
      </c>
      <c r="B881" s="4">
        <v>40921</v>
      </c>
      <c r="C881" s="5">
        <v>340</v>
      </c>
    </row>
    <row r="882" spans="1:3" x14ac:dyDescent="0.2">
      <c r="A882" s="2">
        <v>11134</v>
      </c>
      <c r="B882" s="4">
        <v>40924</v>
      </c>
      <c r="C882" s="5">
        <v>644</v>
      </c>
    </row>
    <row r="883" spans="1:3" x14ac:dyDescent="0.2">
      <c r="A883" s="2">
        <v>11135</v>
      </c>
      <c r="B883" s="4">
        <v>40924</v>
      </c>
      <c r="C883" s="5">
        <v>252</v>
      </c>
    </row>
    <row r="884" spans="1:3" x14ac:dyDescent="0.2">
      <c r="A884" s="2">
        <v>11136</v>
      </c>
      <c r="B884" s="4">
        <v>40925</v>
      </c>
      <c r="C884" s="5">
        <v>464</v>
      </c>
    </row>
    <row r="885" spans="1:3" x14ac:dyDescent="0.2">
      <c r="A885" s="2">
        <v>11137</v>
      </c>
      <c r="B885" s="4">
        <v>40926</v>
      </c>
      <c r="C885" s="5">
        <v>1651</v>
      </c>
    </row>
    <row r="886" spans="1:3" x14ac:dyDescent="0.2">
      <c r="A886" s="2">
        <v>11138</v>
      </c>
      <c r="B886" s="4">
        <v>40926</v>
      </c>
      <c r="C886" s="5">
        <v>285</v>
      </c>
    </row>
    <row r="887" spans="1:3" x14ac:dyDescent="0.2">
      <c r="A887" s="2">
        <v>11139</v>
      </c>
      <c r="B887" s="4">
        <v>40927</v>
      </c>
      <c r="C887" s="5">
        <v>400</v>
      </c>
    </row>
    <row r="888" spans="1:3" x14ac:dyDescent="0.2">
      <c r="A888" s="2">
        <v>11140</v>
      </c>
      <c r="B888" s="4">
        <v>40928</v>
      </c>
      <c r="C888" s="5">
        <v>805</v>
      </c>
    </row>
    <row r="889" spans="1:3" x14ac:dyDescent="0.2">
      <c r="A889" s="2">
        <v>11141</v>
      </c>
      <c r="B889" s="4">
        <v>40931</v>
      </c>
      <c r="C889" s="5">
        <v>4315</v>
      </c>
    </row>
    <row r="890" spans="1:3" x14ac:dyDescent="0.2">
      <c r="A890" s="2">
        <v>11142</v>
      </c>
      <c r="B890" s="4">
        <v>40931</v>
      </c>
      <c r="C890" s="5">
        <v>1300</v>
      </c>
    </row>
    <row r="891" spans="1:3" x14ac:dyDescent="0.2">
      <c r="A891" s="2">
        <v>11143</v>
      </c>
      <c r="B891" s="4">
        <v>40932</v>
      </c>
      <c r="C891" s="5">
        <v>1280</v>
      </c>
    </row>
    <row r="892" spans="1:3" x14ac:dyDescent="0.2">
      <c r="A892" s="2">
        <v>11144</v>
      </c>
      <c r="B892" s="4">
        <v>40933</v>
      </c>
      <c r="C892" s="5">
        <v>396</v>
      </c>
    </row>
    <row r="893" spans="1:3" x14ac:dyDescent="0.2">
      <c r="A893" s="2">
        <v>11145</v>
      </c>
      <c r="B893" s="4">
        <v>40933</v>
      </c>
      <c r="C893" s="5">
        <v>730</v>
      </c>
    </row>
    <row r="894" spans="1:3" x14ac:dyDescent="0.2">
      <c r="A894" s="2">
        <v>11146</v>
      </c>
      <c r="B894" s="4">
        <v>40934</v>
      </c>
      <c r="C894" s="5">
        <v>120</v>
      </c>
    </row>
    <row r="895" spans="1:3" x14ac:dyDescent="0.2">
      <c r="A895" s="2">
        <v>11147</v>
      </c>
      <c r="B895" s="4">
        <v>40935</v>
      </c>
      <c r="C895" s="5">
        <v>181</v>
      </c>
    </row>
    <row r="896" spans="1:3" x14ac:dyDescent="0.2">
      <c r="A896" s="2">
        <v>11148</v>
      </c>
      <c r="B896" s="4">
        <v>40935</v>
      </c>
      <c r="C896" s="5">
        <v>646</v>
      </c>
    </row>
    <row r="897" spans="1:3" x14ac:dyDescent="0.2">
      <c r="A897" s="2">
        <v>11149</v>
      </c>
      <c r="B897" s="4">
        <v>40938</v>
      </c>
      <c r="C897" s="5">
        <v>328</v>
      </c>
    </row>
    <row r="898" spans="1:3" x14ac:dyDescent="0.2">
      <c r="A898" s="2">
        <v>11150</v>
      </c>
      <c r="B898" s="4">
        <v>41239</v>
      </c>
      <c r="C898" s="5">
        <v>1382</v>
      </c>
    </row>
    <row r="899" spans="1:3" x14ac:dyDescent="0.2">
      <c r="A899" s="2">
        <v>11151</v>
      </c>
      <c r="B899" s="4">
        <v>41240</v>
      </c>
      <c r="C899" s="5">
        <v>384</v>
      </c>
    </row>
    <row r="900" spans="1:3" x14ac:dyDescent="0.2">
      <c r="A900" s="2">
        <v>11152</v>
      </c>
      <c r="B900" s="4">
        <v>41240</v>
      </c>
      <c r="C900" s="5">
        <v>3101</v>
      </c>
    </row>
    <row r="901" spans="1:3" x14ac:dyDescent="0.2">
      <c r="A901" s="2">
        <v>11153</v>
      </c>
      <c r="B901" s="4">
        <v>41241</v>
      </c>
      <c r="C901" s="5">
        <v>1505</v>
      </c>
    </row>
    <row r="902" spans="1:3" x14ac:dyDescent="0.2">
      <c r="A902" s="2">
        <v>11154</v>
      </c>
      <c r="B902" s="4">
        <v>41242</v>
      </c>
      <c r="C902" s="5">
        <v>330</v>
      </c>
    </row>
    <row r="903" spans="1:3" x14ac:dyDescent="0.2">
      <c r="A903" s="2">
        <v>11155</v>
      </c>
      <c r="B903" s="4">
        <v>41242</v>
      </c>
      <c r="C903" s="5">
        <v>290</v>
      </c>
    </row>
    <row r="904" spans="1:3" x14ac:dyDescent="0.2">
      <c r="A904" s="2">
        <v>11156</v>
      </c>
      <c r="B904" s="4">
        <v>41245</v>
      </c>
      <c r="C904" s="5">
        <v>1965</v>
      </c>
    </row>
    <row r="905" spans="1:3" x14ac:dyDescent="0.2">
      <c r="A905" s="2">
        <v>11157</v>
      </c>
      <c r="B905" s="4">
        <v>41246</v>
      </c>
      <c r="C905" s="5">
        <v>492</v>
      </c>
    </row>
    <row r="906" spans="1:3" x14ac:dyDescent="0.2">
      <c r="A906" s="2">
        <v>11158</v>
      </c>
      <c r="B906" s="4">
        <v>41246</v>
      </c>
      <c r="C906" s="5">
        <v>1188</v>
      </c>
    </row>
    <row r="907" spans="1:3" x14ac:dyDescent="0.2">
      <c r="A907" s="2">
        <v>11159</v>
      </c>
      <c r="B907" s="4">
        <v>41247</v>
      </c>
      <c r="C907" s="5">
        <v>2905</v>
      </c>
    </row>
    <row r="908" spans="1:3" x14ac:dyDescent="0.2">
      <c r="A908" s="2">
        <v>11160</v>
      </c>
      <c r="B908" s="4">
        <v>41248</v>
      </c>
      <c r="C908" s="5">
        <v>1154</v>
      </c>
    </row>
    <row r="909" spans="1:3" x14ac:dyDescent="0.2">
      <c r="A909" s="2">
        <v>11161</v>
      </c>
      <c r="B909" s="4">
        <v>41249</v>
      </c>
      <c r="C909" s="5">
        <v>1340</v>
      </c>
    </row>
    <row r="910" spans="1:3" x14ac:dyDescent="0.2">
      <c r="A910" s="2">
        <v>11162</v>
      </c>
      <c r="B910" s="4">
        <v>41249</v>
      </c>
      <c r="C910" s="5">
        <v>2729</v>
      </c>
    </row>
    <row r="911" spans="1:3" x14ac:dyDescent="0.2">
      <c r="A911" s="2">
        <v>11163</v>
      </c>
      <c r="B911" s="4">
        <v>41252</v>
      </c>
      <c r="C911" s="5">
        <v>624</v>
      </c>
    </row>
    <row r="912" spans="1:3" x14ac:dyDescent="0.2">
      <c r="A912" s="2">
        <v>11164</v>
      </c>
      <c r="B912" s="4">
        <v>41253</v>
      </c>
      <c r="C912" s="5">
        <v>850</v>
      </c>
    </row>
    <row r="913" spans="1:3" x14ac:dyDescent="0.2">
      <c r="A913" s="2">
        <v>11165</v>
      </c>
      <c r="B913" s="4">
        <v>41253</v>
      </c>
      <c r="C913" s="5">
        <v>1608</v>
      </c>
    </row>
    <row r="914" spans="1:3" x14ac:dyDescent="0.2">
      <c r="A914" s="2">
        <v>11166</v>
      </c>
      <c r="B914" s="4">
        <v>41254</v>
      </c>
      <c r="C914" s="5">
        <v>408</v>
      </c>
    </row>
    <row r="915" spans="1:3" x14ac:dyDescent="0.2">
      <c r="A915" s="2">
        <v>11167</v>
      </c>
      <c r="B915" s="4">
        <v>41255</v>
      </c>
      <c r="C915" s="5">
        <v>935</v>
      </c>
    </row>
    <row r="916" spans="1:3" x14ac:dyDescent="0.2">
      <c r="A916" s="2">
        <v>11168</v>
      </c>
      <c r="B916" s="4">
        <v>41255</v>
      </c>
      <c r="C916" s="5">
        <v>2140</v>
      </c>
    </row>
    <row r="917" spans="1:3" x14ac:dyDescent="0.2">
      <c r="A917" s="2">
        <v>11169</v>
      </c>
      <c r="B917" s="4">
        <v>41256</v>
      </c>
      <c r="C917" s="5">
        <v>390</v>
      </c>
    </row>
    <row r="918" spans="1:3" x14ac:dyDescent="0.2">
      <c r="A918" s="2">
        <v>11170</v>
      </c>
      <c r="B918" s="4">
        <v>41259</v>
      </c>
      <c r="C918" s="5">
        <v>700</v>
      </c>
    </row>
    <row r="919" spans="1:3" x14ac:dyDescent="0.2">
      <c r="A919" s="2">
        <v>11171</v>
      </c>
      <c r="B919" s="4">
        <v>41260</v>
      </c>
      <c r="C919" s="5">
        <v>968</v>
      </c>
    </row>
    <row r="920" spans="1:3" x14ac:dyDescent="0.2">
      <c r="A920" s="2">
        <v>11172</v>
      </c>
      <c r="B920" s="4">
        <v>41260</v>
      </c>
      <c r="C920" s="5">
        <v>525</v>
      </c>
    </row>
    <row r="921" spans="1:3" x14ac:dyDescent="0.2">
      <c r="A921" s="2">
        <v>11173</v>
      </c>
      <c r="B921" s="4">
        <v>41261</v>
      </c>
      <c r="C921" s="5">
        <v>1536</v>
      </c>
    </row>
    <row r="922" spans="1:3" x14ac:dyDescent="0.2">
      <c r="A922" s="2">
        <v>11174</v>
      </c>
      <c r="B922" s="4">
        <v>41262</v>
      </c>
      <c r="C922" s="5">
        <v>2300</v>
      </c>
    </row>
    <row r="923" spans="1:3" x14ac:dyDescent="0.2">
      <c r="A923" s="2">
        <v>11175</v>
      </c>
      <c r="B923" s="4">
        <v>41262</v>
      </c>
      <c r="C923" s="5">
        <v>115</v>
      </c>
    </row>
    <row r="924" spans="1:3" x14ac:dyDescent="0.2">
      <c r="A924" s="2">
        <v>11176</v>
      </c>
      <c r="B924" s="4">
        <v>41263</v>
      </c>
      <c r="C924" s="5">
        <v>705</v>
      </c>
    </row>
    <row r="925" spans="1:3" x14ac:dyDescent="0.2">
      <c r="A925" s="2">
        <v>11177</v>
      </c>
      <c r="B925" s="4">
        <v>41266</v>
      </c>
      <c r="C925" s="5">
        <v>136</v>
      </c>
    </row>
    <row r="926" spans="1:3" x14ac:dyDescent="0.2">
      <c r="A926" s="2">
        <v>11178</v>
      </c>
      <c r="B926" s="4">
        <v>41266</v>
      </c>
      <c r="C926" s="5">
        <v>476</v>
      </c>
    </row>
    <row r="927" spans="1:3" x14ac:dyDescent="0.2">
      <c r="A927" s="2">
        <v>11179</v>
      </c>
      <c r="B927" s="4">
        <v>41267</v>
      </c>
      <c r="C927" s="5">
        <v>360</v>
      </c>
    </row>
    <row r="928" spans="1:3" x14ac:dyDescent="0.2">
      <c r="A928" s="2">
        <v>11180</v>
      </c>
      <c r="B928" s="4">
        <v>41268</v>
      </c>
      <c r="C928" s="5">
        <v>7912</v>
      </c>
    </row>
    <row r="929" spans="1:3" x14ac:dyDescent="0.2">
      <c r="A929" s="2">
        <v>11181</v>
      </c>
      <c r="B929" s="4">
        <v>41269</v>
      </c>
      <c r="C929" s="5">
        <v>546</v>
      </c>
    </row>
    <row r="930" spans="1:3" x14ac:dyDescent="0.2">
      <c r="A930" s="2">
        <v>11182</v>
      </c>
      <c r="B930" s="4">
        <v>41269</v>
      </c>
      <c r="C930" s="5">
        <v>1088</v>
      </c>
    </row>
    <row r="931" spans="1:3" x14ac:dyDescent="0.2">
      <c r="A931" s="2">
        <v>11183</v>
      </c>
      <c r="B931" s="4">
        <v>41270</v>
      </c>
      <c r="C931" s="5">
        <v>110</v>
      </c>
    </row>
    <row r="932" spans="1:3" x14ac:dyDescent="0.2">
      <c r="A932" s="2">
        <v>11184</v>
      </c>
      <c r="B932" s="4">
        <v>41273</v>
      </c>
      <c r="C932" s="5">
        <v>490</v>
      </c>
    </row>
    <row r="933" spans="1:3" x14ac:dyDescent="0.2">
      <c r="A933" s="2">
        <v>11185</v>
      </c>
      <c r="B933" s="4">
        <v>41273</v>
      </c>
      <c r="C933" s="5">
        <v>290</v>
      </c>
    </row>
    <row r="934" spans="1:3" x14ac:dyDescent="0.2">
      <c r="A934" s="2">
        <v>11186</v>
      </c>
      <c r="B934" s="4">
        <v>41274</v>
      </c>
      <c r="C934" s="5">
        <v>1300</v>
      </c>
    </row>
    <row r="935" spans="1:3" x14ac:dyDescent="0.2">
      <c r="A935" s="2">
        <v>11187</v>
      </c>
      <c r="B935" s="4">
        <v>41275</v>
      </c>
      <c r="C935" s="5">
        <v>956</v>
      </c>
    </row>
    <row r="936" spans="1:3" x14ac:dyDescent="0.2">
      <c r="A936" s="2">
        <v>11188</v>
      </c>
      <c r="B936" s="4">
        <v>41275</v>
      </c>
      <c r="C936" s="5">
        <v>661</v>
      </c>
    </row>
    <row r="937" spans="1:3" x14ac:dyDescent="0.2">
      <c r="A937" s="2">
        <v>11189</v>
      </c>
      <c r="B937" s="4">
        <v>41276</v>
      </c>
      <c r="C937" s="5">
        <v>1170</v>
      </c>
    </row>
    <row r="938" spans="1:3" x14ac:dyDescent="0.2">
      <c r="A938" s="2">
        <v>11190</v>
      </c>
      <c r="B938" s="4">
        <v>41277</v>
      </c>
      <c r="C938" s="5">
        <v>360</v>
      </c>
    </row>
    <row r="939" spans="1:3" x14ac:dyDescent="0.2">
      <c r="A939" s="2">
        <v>11191</v>
      </c>
      <c r="B939" s="4">
        <v>41280</v>
      </c>
      <c r="C939" s="5">
        <v>2334</v>
      </c>
    </row>
    <row r="940" spans="1:3" x14ac:dyDescent="0.2">
      <c r="A940" s="2">
        <v>11192</v>
      </c>
      <c r="B940" s="4">
        <v>41280</v>
      </c>
      <c r="C940" s="5">
        <v>214</v>
      </c>
    </row>
    <row r="941" spans="1:3" x14ac:dyDescent="0.2">
      <c r="A941" s="2">
        <v>11193</v>
      </c>
      <c r="B941" s="4">
        <v>41281</v>
      </c>
      <c r="C941" s="5">
        <v>640</v>
      </c>
    </row>
    <row r="942" spans="1:3" x14ac:dyDescent="0.2">
      <c r="A942" s="2">
        <v>11194</v>
      </c>
      <c r="B942" s="4">
        <v>41282</v>
      </c>
      <c r="C942" s="5">
        <v>490</v>
      </c>
    </row>
    <row r="943" spans="1:3" x14ac:dyDescent="0.2">
      <c r="A943" s="2">
        <v>11195</v>
      </c>
      <c r="B943" s="4">
        <v>41282</v>
      </c>
      <c r="C943" s="5">
        <v>690</v>
      </c>
    </row>
    <row r="944" spans="1:3" x14ac:dyDescent="0.2">
      <c r="A944" s="2">
        <v>11196</v>
      </c>
      <c r="B944" s="4">
        <v>41283</v>
      </c>
      <c r="C944" s="5">
        <v>185</v>
      </c>
    </row>
    <row r="945" spans="1:3" x14ac:dyDescent="0.2">
      <c r="A945" s="2">
        <v>11197</v>
      </c>
      <c r="B945" s="4">
        <v>41284</v>
      </c>
      <c r="C945" s="5">
        <v>140</v>
      </c>
    </row>
    <row r="946" spans="1:3" x14ac:dyDescent="0.2">
      <c r="A946" s="2">
        <v>11198</v>
      </c>
      <c r="B946" s="4">
        <v>41284</v>
      </c>
      <c r="C946" s="5">
        <v>1022</v>
      </c>
    </row>
    <row r="947" spans="1:3" x14ac:dyDescent="0.2">
      <c r="A947" s="2">
        <v>11199</v>
      </c>
      <c r="B947" s="4">
        <v>41287</v>
      </c>
      <c r="C947" s="5">
        <v>412</v>
      </c>
    </row>
    <row r="948" spans="1:3" x14ac:dyDescent="0.2">
      <c r="A948" s="2">
        <v>11200</v>
      </c>
      <c r="B948" s="4">
        <v>41288</v>
      </c>
      <c r="C948" s="5">
        <v>1055</v>
      </c>
    </row>
    <row r="949" spans="1:3" x14ac:dyDescent="0.2">
      <c r="A949" s="2">
        <v>11201</v>
      </c>
      <c r="B949" s="4">
        <v>41289</v>
      </c>
      <c r="C949" s="5">
        <v>404</v>
      </c>
    </row>
    <row r="950" spans="1:3" x14ac:dyDescent="0.2">
      <c r="A950" s="2">
        <v>11202</v>
      </c>
      <c r="B950" s="4">
        <v>41289</v>
      </c>
      <c r="C950" s="5">
        <v>100</v>
      </c>
    </row>
    <row r="951" spans="1:3" x14ac:dyDescent="0.2">
      <c r="A951" s="2">
        <v>11203</v>
      </c>
      <c r="B951" s="4">
        <v>41290</v>
      </c>
      <c r="C951" s="5">
        <v>597</v>
      </c>
    </row>
    <row r="952" spans="1:3" x14ac:dyDescent="0.2">
      <c r="A952" s="2">
        <v>11204</v>
      </c>
      <c r="B952" s="4">
        <v>41291</v>
      </c>
      <c r="C952" s="5">
        <v>1510</v>
      </c>
    </row>
    <row r="953" spans="1:3" x14ac:dyDescent="0.2">
      <c r="A953" s="2">
        <v>11205</v>
      </c>
      <c r="B953" s="4">
        <v>41291</v>
      </c>
      <c r="C953" s="5">
        <v>1027</v>
      </c>
    </row>
    <row r="954" spans="1:3" x14ac:dyDescent="0.2">
      <c r="A954" s="2">
        <v>11206</v>
      </c>
      <c r="B954" s="4">
        <v>41294</v>
      </c>
      <c r="C954" s="5">
        <v>1154</v>
      </c>
    </row>
    <row r="955" spans="1:3" x14ac:dyDescent="0.2">
      <c r="A955" s="2">
        <v>11207</v>
      </c>
      <c r="B955" s="4">
        <v>41295</v>
      </c>
      <c r="C955" s="5">
        <v>1340</v>
      </c>
    </row>
    <row r="956" spans="1:3" x14ac:dyDescent="0.2">
      <c r="A956" s="2">
        <v>11208</v>
      </c>
      <c r="B956" s="4">
        <v>41295</v>
      </c>
      <c r="C956" s="5">
        <v>2729</v>
      </c>
    </row>
    <row r="957" spans="1:3" x14ac:dyDescent="0.2">
      <c r="A957" s="2">
        <v>11209</v>
      </c>
      <c r="B957" s="4">
        <v>41296</v>
      </c>
      <c r="C957" s="5">
        <v>624</v>
      </c>
    </row>
    <row r="958" spans="1:3" x14ac:dyDescent="0.2">
      <c r="A958" s="2">
        <v>11210</v>
      </c>
      <c r="B958" s="4">
        <v>41297</v>
      </c>
      <c r="C958" s="5">
        <v>850</v>
      </c>
    </row>
    <row r="959" spans="1:3" x14ac:dyDescent="0.2">
      <c r="A959" s="2">
        <v>11211</v>
      </c>
      <c r="B959" s="4">
        <v>41298</v>
      </c>
      <c r="C959" s="5">
        <v>1608</v>
      </c>
    </row>
    <row r="960" spans="1:3" x14ac:dyDescent="0.2">
      <c r="A960" s="2">
        <v>11212</v>
      </c>
      <c r="B960" s="4">
        <v>41298</v>
      </c>
      <c r="C960" s="5">
        <v>408</v>
      </c>
    </row>
    <row r="961" spans="1:3" x14ac:dyDescent="0.2">
      <c r="A961" s="2">
        <v>11213</v>
      </c>
      <c r="B961" s="4">
        <v>41301</v>
      </c>
      <c r="C961" s="5">
        <v>935</v>
      </c>
    </row>
    <row r="962" spans="1:3" x14ac:dyDescent="0.2">
      <c r="A962" s="2">
        <v>11214</v>
      </c>
      <c r="B962" s="4">
        <v>41302</v>
      </c>
      <c r="C962" s="5">
        <v>2140</v>
      </c>
    </row>
    <row r="963" spans="1:3" x14ac:dyDescent="0.2">
      <c r="A963" s="2">
        <v>11215</v>
      </c>
      <c r="B963" s="4">
        <v>41302</v>
      </c>
      <c r="C963" s="5">
        <v>390</v>
      </c>
    </row>
    <row r="964" spans="1:3" x14ac:dyDescent="0.2">
      <c r="A964" s="2">
        <v>11216</v>
      </c>
      <c r="B964" s="4">
        <v>41303</v>
      </c>
      <c r="C964" s="5">
        <v>700</v>
      </c>
    </row>
    <row r="965" spans="1:3" x14ac:dyDescent="0.2">
      <c r="A965" s="2">
        <v>11217</v>
      </c>
      <c r="B965" s="4">
        <v>41304</v>
      </c>
      <c r="C965" s="5">
        <v>968</v>
      </c>
    </row>
    <row r="966" spans="1:3" x14ac:dyDescent="0.2">
      <c r="A966" s="2">
        <v>11218</v>
      </c>
      <c r="B966" s="4">
        <v>41304</v>
      </c>
      <c r="C966" s="5">
        <v>525</v>
      </c>
    </row>
    <row r="967" spans="1:3" x14ac:dyDescent="0.2">
      <c r="A967" s="2">
        <v>11219</v>
      </c>
      <c r="B967" s="4">
        <v>41305</v>
      </c>
      <c r="C967" s="5">
        <v>1536</v>
      </c>
    </row>
    <row r="968" spans="1:3" x14ac:dyDescent="0.2">
      <c r="A968" s="2">
        <v>11220</v>
      </c>
      <c r="B968" s="4">
        <v>41308</v>
      </c>
      <c r="C968" s="5">
        <v>2300</v>
      </c>
    </row>
    <row r="969" spans="1:3" x14ac:dyDescent="0.2">
      <c r="A969" s="2">
        <v>11221</v>
      </c>
      <c r="B969" s="4">
        <v>41309</v>
      </c>
      <c r="C969" s="5">
        <v>115</v>
      </c>
    </row>
    <row r="970" spans="1:3" x14ac:dyDescent="0.2">
      <c r="A970" s="2">
        <v>11222</v>
      </c>
      <c r="B970" s="4">
        <v>41309</v>
      </c>
      <c r="C970" s="5">
        <v>705</v>
      </c>
    </row>
    <row r="971" spans="1:3" x14ac:dyDescent="0.2">
      <c r="A971" s="2">
        <v>11223</v>
      </c>
      <c r="B971" s="4">
        <v>41310</v>
      </c>
      <c r="C971" s="5">
        <v>1970</v>
      </c>
    </row>
    <row r="972" spans="1:3" x14ac:dyDescent="0.2">
      <c r="A972" s="2">
        <v>11224</v>
      </c>
      <c r="B972" s="4">
        <v>41311</v>
      </c>
      <c r="C972" s="5">
        <v>2024</v>
      </c>
    </row>
    <row r="973" spans="1:3" x14ac:dyDescent="0.2">
      <c r="A973" s="2">
        <v>11225</v>
      </c>
      <c r="B973" s="4">
        <v>41311</v>
      </c>
      <c r="C973" s="5">
        <v>2411</v>
      </c>
    </row>
    <row r="974" spans="1:3" x14ac:dyDescent="0.2">
      <c r="A974" s="2">
        <v>11226</v>
      </c>
      <c r="B974" s="4">
        <v>41312</v>
      </c>
      <c r="C974" s="5">
        <v>630</v>
      </c>
    </row>
    <row r="975" spans="1:3" x14ac:dyDescent="0.2">
      <c r="A975" s="2">
        <v>11227</v>
      </c>
      <c r="B975" s="4">
        <v>41315</v>
      </c>
      <c r="C975" s="5">
        <v>984</v>
      </c>
    </row>
    <row r="976" spans="1:3" x14ac:dyDescent="0.2">
      <c r="A976" s="2">
        <v>11228</v>
      </c>
      <c r="B976" s="4">
        <v>41315</v>
      </c>
      <c r="C976" s="5">
        <v>1220</v>
      </c>
    </row>
    <row r="977" spans="1:3" x14ac:dyDescent="0.2">
      <c r="A977" s="2">
        <v>11229</v>
      </c>
      <c r="B977" s="4">
        <v>41316</v>
      </c>
      <c r="C977" s="5">
        <v>290</v>
      </c>
    </row>
    <row r="978" spans="1:3" x14ac:dyDescent="0.2">
      <c r="A978" s="2">
        <v>11230</v>
      </c>
      <c r="B978" s="4">
        <v>41317</v>
      </c>
      <c r="C978" s="5">
        <v>702</v>
      </c>
    </row>
    <row r="979" spans="1:3" x14ac:dyDescent="0.2">
      <c r="A979" s="2">
        <v>11231</v>
      </c>
      <c r="B979" s="4">
        <v>41318</v>
      </c>
      <c r="C979" s="5">
        <v>3105</v>
      </c>
    </row>
    <row r="980" spans="1:3" x14ac:dyDescent="0.2">
      <c r="A980" s="2">
        <v>11232</v>
      </c>
      <c r="B980" s="4">
        <v>41318</v>
      </c>
      <c r="C980" s="5">
        <v>82</v>
      </c>
    </row>
    <row r="981" spans="1:3" x14ac:dyDescent="0.2">
      <c r="A981" s="2">
        <v>11233</v>
      </c>
      <c r="B981" s="4">
        <v>41319</v>
      </c>
      <c r="C981" s="5">
        <v>573</v>
      </c>
    </row>
    <row r="982" spans="1:3" x14ac:dyDescent="0.2">
      <c r="A982" s="2">
        <v>11234</v>
      </c>
      <c r="B982" s="4">
        <v>41322</v>
      </c>
      <c r="C982" s="5">
        <v>1688</v>
      </c>
    </row>
    <row r="983" spans="1:3" x14ac:dyDescent="0.2">
      <c r="A983" s="2">
        <v>11235</v>
      </c>
      <c r="B983" s="4">
        <v>41322</v>
      </c>
      <c r="C983" s="5">
        <v>380</v>
      </c>
    </row>
    <row r="984" spans="1:3" x14ac:dyDescent="0.2">
      <c r="A984" s="2">
        <v>11236</v>
      </c>
      <c r="B984" s="4">
        <v>41323</v>
      </c>
      <c r="C984" s="5">
        <v>1625</v>
      </c>
    </row>
    <row r="985" spans="1:3" x14ac:dyDescent="0.2">
      <c r="A985" s="2">
        <v>11237</v>
      </c>
      <c r="B985" s="4">
        <v>41324</v>
      </c>
      <c r="C985" s="5">
        <v>1505</v>
      </c>
    </row>
    <row r="986" spans="1:3" x14ac:dyDescent="0.2">
      <c r="A986" s="2">
        <v>11238</v>
      </c>
      <c r="B986" s="4">
        <v>41324</v>
      </c>
      <c r="C986" s="5">
        <v>1355</v>
      </c>
    </row>
    <row r="987" spans="1:3" x14ac:dyDescent="0.2">
      <c r="A987" s="2">
        <v>11239</v>
      </c>
      <c r="B987" s="4">
        <v>41325</v>
      </c>
      <c r="C987" s="5">
        <v>103</v>
      </c>
    </row>
    <row r="988" spans="1:3" x14ac:dyDescent="0.2">
      <c r="A988" s="2">
        <v>11240</v>
      </c>
      <c r="B988" s="4">
        <v>41326</v>
      </c>
      <c r="C988" s="5">
        <v>242</v>
      </c>
    </row>
    <row r="989" spans="1:3" x14ac:dyDescent="0.2">
      <c r="A989" s="2">
        <v>11241</v>
      </c>
      <c r="B989" s="4">
        <v>41329</v>
      </c>
      <c r="C989" s="5">
        <v>7655</v>
      </c>
    </row>
    <row r="990" spans="1:3" x14ac:dyDescent="0.2">
      <c r="A990" s="2">
        <v>11242</v>
      </c>
      <c r="B990" s="4">
        <v>41329</v>
      </c>
      <c r="C990" s="5">
        <v>1625</v>
      </c>
    </row>
    <row r="991" spans="1:3" x14ac:dyDescent="0.2">
      <c r="A991" s="2">
        <v>11243</v>
      </c>
      <c r="B991" s="4">
        <v>41330</v>
      </c>
      <c r="C991" s="5">
        <v>360</v>
      </c>
    </row>
    <row r="992" spans="1:3" x14ac:dyDescent="0.2">
      <c r="A992" s="2">
        <v>11244</v>
      </c>
      <c r="B992" s="4">
        <v>41331</v>
      </c>
      <c r="C992" s="5">
        <v>1260</v>
      </c>
    </row>
    <row r="993" spans="1:3" x14ac:dyDescent="0.2">
      <c r="A993" s="2">
        <v>11245</v>
      </c>
      <c r="B993" s="4">
        <v>41331</v>
      </c>
      <c r="C993" s="5">
        <v>308</v>
      </c>
    </row>
    <row r="994" spans="1:3" x14ac:dyDescent="0.2">
      <c r="A994" s="2">
        <v>11246</v>
      </c>
      <c r="B994" s="4">
        <v>41332</v>
      </c>
      <c r="C994" s="5">
        <v>160</v>
      </c>
    </row>
    <row r="995" spans="1:3" x14ac:dyDescent="0.2">
      <c r="A995" s="2">
        <v>11247</v>
      </c>
      <c r="B995" s="4">
        <v>41333</v>
      </c>
      <c r="C995" s="5">
        <v>2090</v>
      </c>
    </row>
    <row r="996" spans="1:3" x14ac:dyDescent="0.2">
      <c r="A996" s="2">
        <v>11248</v>
      </c>
      <c r="B996" s="4">
        <v>41333</v>
      </c>
      <c r="C996" s="5">
        <v>1416</v>
      </c>
    </row>
    <row r="997" spans="1:3" x14ac:dyDescent="0.2">
      <c r="A997" s="2">
        <v>11249</v>
      </c>
      <c r="B997" s="4">
        <v>41336</v>
      </c>
      <c r="C997" s="5">
        <v>198</v>
      </c>
    </row>
    <row r="998" spans="1:3" x14ac:dyDescent="0.2">
      <c r="A998" s="2">
        <v>11250</v>
      </c>
      <c r="B998" s="4">
        <v>41337</v>
      </c>
      <c r="C998" s="5">
        <v>3115</v>
      </c>
    </row>
    <row r="999" spans="1:3" x14ac:dyDescent="0.2">
      <c r="A999" s="2">
        <v>11251</v>
      </c>
      <c r="B999" s="4">
        <v>41338</v>
      </c>
      <c r="C999" s="5">
        <v>554</v>
      </c>
    </row>
    <row r="1000" spans="1:3" x14ac:dyDescent="0.2">
      <c r="A1000" s="2">
        <v>11252</v>
      </c>
      <c r="B1000" s="4">
        <v>41338</v>
      </c>
      <c r="C1000" s="5">
        <v>1340</v>
      </c>
    </row>
    <row r="1001" spans="1:3" x14ac:dyDescent="0.2">
      <c r="A1001" s="2">
        <v>11253</v>
      </c>
      <c r="B1001" s="4">
        <v>41339</v>
      </c>
      <c r="C1001" s="5">
        <v>636</v>
      </c>
    </row>
    <row r="1002" spans="1:3" x14ac:dyDescent="0.2">
      <c r="A1002" s="2">
        <v>11254</v>
      </c>
      <c r="B1002" s="4">
        <v>41340</v>
      </c>
      <c r="C1002" s="5">
        <v>1154</v>
      </c>
    </row>
    <row r="1003" spans="1:3" x14ac:dyDescent="0.2">
      <c r="A1003" s="2">
        <v>11255</v>
      </c>
      <c r="B1003" s="4">
        <v>41340</v>
      </c>
      <c r="C1003" s="5">
        <v>1340</v>
      </c>
    </row>
    <row r="1004" spans="1:3" x14ac:dyDescent="0.2">
      <c r="A1004" s="2">
        <v>11256</v>
      </c>
      <c r="B1004" s="4">
        <v>41343</v>
      </c>
      <c r="C1004" s="5">
        <v>2729</v>
      </c>
    </row>
    <row r="1005" spans="1:3" x14ac:dyDescent="0.2">
      <c r="A1005" s="2">
        <v>11257</v>
      </c>
      <c r="B1005" s="4">
        <v>41344</v>
      </c>
      <c r="C1005" s="5">
        <v>624</v>
      </c>
    </row>
    <row r="1006" spans="1:3" x14ac:dyDescent="0.2">
      <c r="A1006" s="2">
        <v>11258</v>
      </c>
      <c r="B1006" s="4">
        <v>41344</v>
      </c>
      <c r="C1006" s="5">
        <v>850</v>
      </c>
    </row>
    <row r="1007" spans="1:3" x14ac:dyDescent="0.2">
      <c r="A1007" s="2">
        <v>11259</v>
      </c>
      <c r="B1007" s="4">
        <v>41345</v>
      </c>
      <c r="C1007" s="5">
        <v>1608</v>
      </c>
    </row>
    <row r="1008" spans="1:3" x14ac:dyDescent="0.2">
      <c r="A1008" s="2">
        <v>11260</v>
      </c>
      <c r="B1008" s="4">
        <v>41346</v>
      </c>
      <c r="C1008" s="5">
        <v>408</v>
      </c>
    </row>
    <row r="1009" spans="1:3" x14ac:dyDescent="0.2">
      <c r="A1009" s="2">
        <v>11261</v>
      </c>
      <c r="B1009" s="4">
        <v>41347</v>
      </c>
      <c r="C1009" s="5">
        <v>935</v>
      </c>
    </row>
    <row r="1010" spans="1:3" x14ac:dyDescent="0.2">
      <c r="A1010" s="2">
        <v>11262</v>
      </c>
      <c r="B1010" s="4">
        <v>41347</v>
      </c>
      <c r="C1010" s="5">
        <v>2140</v>
      </c>
    </row>
    <row r="1011" spans="1:3" x14ac:dyDescent="0.2">
      <c r="A1011" s="2">
        <v>11263</v>
      </c>
      <c r="B1011" s="4">
        <v>41350</v>
      </c>
      <c r="C1011" s="5">
        <v>390</v>
      </c>
    </row>
    <row r="1012" spans="1:3" x14ac:dyDescent="0.2">
      <c r="A1012" s="2">
        <v>11264</v>
      </c>
      <c r="B1012" s="4">
        <v>41351</v>
      </c>
      <c r="C1012" s="5">
        <v>700</v>
      </c>
    </row>
    <row r="1013" spans="1:3" x14ac:dyDescent="0.2">
      <c r="A1013" s="2">
        <v>11265</v>
      </c>
      <c r="B1013" s="4">
        <v>41351</v>
      </c>
      <c r="C1013" s="5">
        <v>968</v>
      </c>
    </row>
    <row r="1014" spans="1:3" x14ac:dyDescent="0.2">
      <c r="A1014" s="2">
        <v>11266</v>
      </c>
      <c r="B1014" s="4">
        <v>41352</v>
      </c>
      <c r="C1014" s="5">
        <v>525</v>
      </c>
    </row>
    <row r="1015" spans="1:3" x14ac:dyDescent="0.2">
      <c r="A1015" s="2">
        <v>11267</v>
      </c>
      <c r="B1015" s="4">
        <v>41353</v>
      </c>
      <c r="C1015" s="5">
        <v>1536</v>
      </c>
    </row>
    <row r="1016" spans="1:3" x14ac:dyDescent="0.2">
      <c r="A1016" s="2">
        <v>11268</v>
      </c>
      <c r="B1016" s="4">
        <v>41353</v>
      </c>
      <c r="C1016" s="5">
        <v>2300</v>
      </c>
    </row>
    <row r="1017" spans="1:3" x14ac:dyDescent="0.2">
      <c r="A1017" s="2">
        <v>11269</v>
      </c>
      <c r="B1017" s="4">
        <v>41354</v>
      </c>
      <c r="C1017" s="5">
        <v>115</v>
      </c>
    </row>
    <row r="1018" spans="1:3" x14ac:dyDescent="0.2">
      <c r="A1018" s="2">
        <v>11270</v>
      </c>
      <c r="B1018" s="4">
        <v>41357</v>
      </c>
      <c r="C1018" s="5">
        <v>705</v>
      </c>
    </row>
    <row r="1019" spans="1:3" x14ac:dyDescent="0.2">
      <c r="A1019" s="2">
        <v>11271</v>
      </c>
      <c r="B1019" s="4">
        <v>41358</v>
      </c>
      <c r="C1019" s="5">
        <v>1920</v>
      </c>
    </row>
    <row r="1020" spans="1:3" x14ac:dyDescent="0.2">
      <c r="A1020" s="2">
        <v>11272</v>
      </c>
      <c r="B1020" s="4">
        <v>41358</v>
      </c>
      <c r="C1020" s="5">
        <v>467</v>
      </c>
    </row>
    <row r="1021" spans="1:3" x14ac:dyDescent="0.2">
      <c r="A1021" s="2">
        <v>11273</v>
      </c>
      <c r="B1021" s="4">
        <v>41359</v>
      </c>
      <c r="C1021" s="5">
        <v>1171</v>
      </c>
    </row>
    <row r="1022" spans="1:3" x14ac:dyDescent="0.2">
      <c r="A1022" s="2">
        <v>11274</v>
      </c>
      <c r="B1022" s="4">
        <v>41360</v>
      </c>
      <c r="C1022" s="5">
        <v>1547</v>
      </c>
    </row>
    <row r="1023" spans="1:3" x14ac:dyDescent="0.2">
      <c r="A1023" s="2">
        <v>11275</v>
      </c>
      <c r="B1023" s="4">
        <v>41360</v>
      </c>
      <c r="C1023" s="5">
        <v>1154</v>
      </c>
    </row>
    <row r="1024" spans="1:3" x14ac:dyDescent="0.2">
      <c r="A1024" s="2">
        <v>11276</v>
      </c>
      <c r="B1024" s="4">
        <v>41361</v>
      </c>
      <c r="C1024" s="5">
        <v>1340</v>
      </c>
    </row>
    <row r="1025" spans="1:3" x14ac:dyDescent="0.2">
      <c r="A1025" s="2">
        <v>11277</v>
      </c>
      <c r="B1025" s="4">
        <v>41364</v>
      </c>
      <c r="C1025" s="5">
        <v>2729</v>
      </c>
    </row>
    <row r="1026" spans="1:3" x14ac:dyDescent="0.2">
      <c r="A1026" s="2">
        <v>11278</v>
      </c>
      <c r="B1026" s="4">
        <v>41364</v>
      </c>
      <c r="C1026" s="5">
        <v>624</v>
      </c>
    </row>
    <row r="1027" spans="1:3" x14ac:dyDescent="0.2">
      <c r="A1027" s="2">
        <v>11279</v>
      </c>
      <c r="B1027" s="4">
        <v>41365</v>
      </c>
      <c r="C1027" s="5">
        <v>850</v>
      </c>
    </row>
    <row r="1028" spans="1:3" x14ac:dyDescent="0.2">
      <c r="A1028" s="2">
        <v>11280</v>
      </c>
      <c r="B1028" s="4">
        <v>41366</v>
      </c>
      <c r="C1028" s="5">
        <v>1608</v>
      </c>
    </row>
    <row r="1029" spans="1:3" x14ac:dyDescent="0.2">
      <c r="A1029" s="2">
        <v>11281</v>
      </c>
      <c r="B1029" s="4">
        <v>41367</v>
      </c>
      <c r="C1029" s="5">
        <v>408</v>
      </c>
    </row>
    <row r="1030" spans="1:3" x14ac:dyDescent="0.2">
      <c r="A1030" s="2">
        <v>11282</v>
      </c>
      <c r="B1030" s="4">
        <v>41367</v>
      </c>
      <c r="C1030" s="5">
        <v>935</v>
      </c>
    </row>
    <row r="1031" spans="1:3" x14ac:dyDescent="0.2">
      <c r="A1031" s="2">
        <v>11283</v>
      </c>
      <c r="B1031" s="4">
        <v>41368</v>
      </c>
      <c r="C1031" s="5">
        <v>2140</v>
      </c>
    </row>
    <row r="1032" spans="1:3" x14ac:dyDescent="0.2">
      <c r="A1032" s="2">
        <v>11284</v>
      </c>
      <c r="B1032" s="4">
        <v>41371</v>
      </c>
      <c r="C1032" s="5">
        <v>390</v>
      </c>
    </row>
    <row r="1033" spans="1:3" x14ac:dyDescent="0.2">
      <c r="A1033" s="2">
        <v>11285</v>
      </c>
      <c r="B1033" s="4">
        <v>41371</v>
      </c>
      <c r="C1033" s="5">
        <v>700</v>
      </c>
    </row>
    <row r="1034" spans="1:3" x14ac:dyDescent="0.2">
      <c r="A1034" s="2">
        <v>11286</v>
      </c>
      <c r="B1034" s="4">
        <v>41372</v>
      </c>
      <c r="C1034" s="5">
        <v>968</v>
      </c>
    </row>
    <row r="1035" spans="1:3" x14ac:dyDescent="0.2">
      <c r="A1035" s="2">
        <v>11287</v>
      </c>
      <c r="B1035" s="4">
        <v>41373</v>
      </c>
      <c r="C1035" s="5">
        <v>525</v>
      </c>
    </row>
    <row r="1036" spans="1:3" x14ac:dyDescent="0.2">
      <c r="A1036" s="2">
        <v>11288</v>
      </c>
      <c r="B1036" s="4">
        <v>41373</v>
      </c>
      <c r="C1036" s="5">
        <v>1536</v>
      </c>
    </row>
    <row r="1037" spans="1:3" x14ac:dyDescent="0.2">
      <c r="A1037" s="2">
        <v>11289</v>
      </c>
      <c r="B1037" s="4">
        <v>41374</v>
      </c>
      <c r="C1037" s="5">
        <v>2300</v>
      </c>
    </row>
    <row r="1038" spans="1:3" x14ac:dyDescent="0.2">
      <c r="A1038" s="2">
        <v>11290</v>
      </c>
      <c r="B1038" s="4">
        <v>41375</v>
      </c>
      <c r="C1038" s="5">
        <v>115</v>
      </c>
    </row>
    <row r="1039" spans="1:3" x14ac:dyDescent="0.2">
      <c r="A1039" s="2">
        <v>11291</v>
      </c>
      <c r="B1039" s="4">
        <v>41378</v>
      </c>
      <c r="C1039" s="5">
        <v>705</v>
      </c>
    </row>
    <row r="1040" spans="1:3" x14ac:dyDescent="0.2">
      <c r="A1040" s="2">
        <v>11292</v>
      </c>
      <c r="B1040" s="4">
        <v>41378</v>
      </c>
      <c r="C1040" s="5">
        <v>568</v>
      </c>
    </row>
    <row r="1041" spans="1:3" x14ac:dyDescent="0.2">
      <c r="A1041" s="2">
        <v>11293</v>
      </c>
      <c r="B1041" s="4">
        <v>41379</v>
      </c>
      <c r="C1041" s="5">
        <v>390</v>
      </c>
    </row>
    <row r="1042" spans="1:3" x14ac:dyDescent="0.2">
      <c r="A1042" s="2">
        <v>11294</v>
      </c>
      <c r="B1042" s="4">
        <v>41380</v>
      </c>
      <c r="C1042" s="5">
        <v>1873</v>
      </c>
    </row>
    <row r="1043" spans="1:3" x14ac:dyDescent="0.2">
      <c r="A1043" s="2">
        <v>11295</v>
      </c>
      <c r="B1043" s="4">
        <v>41380</v>
      </c>
      <c r="C1043" s="5">
        <v>420</v>
      </c>
    </row>
    <row r="1044" spans="1:3" x14ac:dyDescent="0.2">
      <c r="A1044" s="2">
        <v>11296</v>
      </c>
      <c r="B1044" s="4">
        <v>41381</v>
      </c>
      <c r="C1044" s="5">
        <v>4665</v>
      </c>
    </row>
    <row r="1045" spans="1:3" x14ac:dyDescent="0.2">
      <c r="A1045" s="2">
        <v>11297</v>
      </c>
      <c r="B1045" s="4">
        <v>41382</v>
      </c>
      <c r="C1045" s="5">
        <v>1082</v>
      </c>
    </row>
    <row r="1046" spans="1:3" x14ac:dyDescent="0.2">
      <c r="A1046" s="2">
        <v>11298</v>
      </c>
      <c r="B1046" s="4">
        <v>41382</v>
      </c>
      <c r="C1046" s="5">
        <v>577</v>
      </c>
    </row>
    <row r="1047" spans="1:3" x14ac:dyDescent="0.2">
      <c r="A1047" s="2">
        <v>11299</v>
      </c>
      <c r="B1047" s="4">
        <v>41385</v>
      </c>
      <c r="C1047" s="5">
        <v>1794</v>
      </c>
    </row>
    <row r="1048" spans="1:3" x14ac:dyDescent="0.2">
      <c r="A1048" s="2">
        <v>11300</v>
      </c>
      <c r="B1048" s="4">
        <v>41386</v>
      </c>
      <c r="C1048" s="5">
        <v>370</v>
      </c>
    </row>
    <row r="1049" spans="1:3" x14ac:dyDescent="0.2">
      <c r="A1049" s="2">
        <v>11301</v>
      </c>
      <c r="B1049" s="4">
        <v>41387</v>
      </c>
      <c r="C1049" s="5">
        <v>350</v>
      </c>
    </row>
    <row r="1050" spans="1:3" x14ac:dyDescent="0.2">
      <c r="A1050" s="2">
        <v>11302</v>
      </c>
      <c r="B1050" s="4">
        <v>41387</v>
      </c>
      <c r="C1050" s="5">
        <v>1675</v>
      </c>
    </row>
    <row r="1051" spans="1:3" x14ac:dyDescent="0.2">
      <c r="A1051" s="2">
        <v>11303</v>
      </c>
      <c r="B1051" s="4">
        <v>41388</v>
      </c>
      <c r="C1051" s="5">
        <v>45</v>
      </c>
    </row>
    <row r="1052" spans="1:3" x14ac:dyDescent="0.2">
      <c r="A1052" s="2">
        <v>11304</v>
      </c>
      <c r="B1052" s="4">
        <v>41389</v>
      </c>
      <c r="C1052" s="5">
        <v>1143</v>
      </c>
    </row>
    <row r="1053" spans="1:3" x14ac:dyDescent="0.2">
      <c r="A1053" s="2">
        <v>11305</v>
      </c>
      <c r="B1053" s="4">
        <v>41389</v>
      </c>
      <c r="C1053" s="5">
        <v>184</v>
      </c>
    </row>
    <row r="1054" spans="1:3" x14ac:dyDescent="0.2">
      <c r="A1054" s="2">
        <v>11306</v>
      </c>
      <c r="B1054" s="4">
        <v>41392</v>
      </c>
      <c r="C1054" s="5">
        <v>3200</v>
      </c>
    </row>
    <row r="1055" spans="1:3" x14ac:dyDescent="0.2">
      <c r="A1055" s="2">
        <v>11307</v>
      </c>
      <c r="B1055" s="4">
        <v>41393</v>
      </c>
      <c r="C1055" s="5">
        <v>1050</v>
      </c>
    </row>
    <row r="1056" spans="1:3" x14ac:dyDescent="0.2">
      <c r="A1056" s="2">
        <v>11308</v>
      </c>
      <c r="B1056" s="4">
        <v>41393</v>
      </c>
      <c r="C1056" s="5">
        <v>4804</v>
      </c>
    </row>
    <row r="1057" spans="1:3" x14ac:dyDescent="0.2">
      <c r="A1057" s="2">
        <v>11309</v>
      </c>
      <c r="B1057" s="4">
        <v>41394</v>
      </c>
      <c r="C1057" s="5">
        <v>784</v>
      </c>
    </row>
    <row r="1058" spans="1:3" x14ac:dyDescent="0.2">
      <c r="A1058" s="2">
        <v>11310</v>
      </c>
      <c r="B1058" s="4">
        <v>41395</v>
      </c>
      <c r="C1058" s="5">
        <v>311</v>
      </c>
    </row>
    <row r="1059" spans="1:3" x14ac:dyDescent="0.2">
      <c r="A1059" s="2">
        <v>11311</v>
      </c>
      <c r="B1059" s="4">
        <v>41396</v>
      </c>
      <c r="C1059" s="5">
        <v>294</v>
      </c>
    </row>
    <row r="1060" spans="1:3" x14ac:dyDescent="0.2">
      <c r="A1060" s="2">
        <v>11312</v>
      </c>
      <c r="B1060" s="4">
        <v>41396</v>
      </c>
      <c r="C1060" s="5">
        <v>593</v>
      </c>
    </row>
    <row r="1061" spans="1:3" x14ac:dyDescent="0.2">
      <c r="A1061" s="2">
        <v>11313</v>
      </c>
      <c r="B1061" s="4">
        <v>41399</v>
      </c>
      <c r="C1061" s="5">
        <v>4690</v>
      </c>
    </row>
    <row r="1062" spans="1:3" x14ac:dyDescent="0.2">
      <c r="A1062" s="2">
        <v>11314</v>
      </c>
      <c r="B1062" s="4">
        <v>41400</v>
      </c>
      <c r="C1062" s="5">
        <v>232</v>
      </c>
    </row>
    <row r="1063" spans="1:3" x14ac:dyDescent="0.2">
      <c r="A1063" s="2">
        <v>11315</v>
      </c>
      <c r="B1063" s="4">
        <v>41400</v>
      </c>
      <c r="C1063" s="5">
        <v>345</v>
      </c>
    </row>
    <row r="1064" spans="1:3" x14ac:dyDescent="0.2">
      <c r="A1064" s="2">
        <v>11316</v>
      </c>
      <c r="B1064" s="4">
        <v>41401</v>
      </c>
      <c r="C1064" s="5">
        <v>90</v>
      </c>
    </row>
    <row r="1065" spans="1:3" x14ac:dyDescent="0.2">
      <c r="A1065" s="2">
        <v>11317</v>
      </c>
      <c r="B1065" s="4">
        <v>41402</v>
      </c>
      <c r="C1065" s="5">
        <v>3797</v>
      </c>
    </row>
    <row r="1066" spans="1:3" x14ac:dyDescent="0.2">
      <c r="A1066" s="2">
        <v>11318</v>
      </c>
      <c r="B1066" s="4">
        <v>41402</v>
      </c>
      <c r="C1066" s="5">
        <v>1230</v>
      </c>
    </row>
    <row r="1067" spans="1:3" x14ac:dyDescent="0.2">
      <c r="A1067" s="2">
        <v>11319</v>
      </c>
      <c r="B1067" s="4">
        <v>41403</v>
      </c>
      <c r="C1067" s="5">
        <v>2025</v>
      </c>
    </row>
    <row r="1068" spans="1:3" x14ac:dyDescent="0.2">
      <c r="A1068" s="2">
        <v>11320</v>
      </c>
      <c r="B1068" s="4">
        <v>41406</v>
      </c>
      <c r="C1068" s="5">
        <v>1154</v>
      </c>
    </row>
    <row r="1069" spans="1:3" x14ac:dyDescent="0.2">
      <c r="A1069" s="2">
        <v>11321</v>
      </c>
      <c r="B1069" s="4">
        <v>41407</v>
      </c>
      <c r="C1069" s="5">
        <v>1340</v>
      </c>
    </row>
    <row r="1070" spans="1:3" x14ac:dyDescent="0.2">
      <c r="A1070" s="2">
        <v>11322</v>
      </c>
      <c r="B1070" s="4">
        <v>41407</v>
      </c>
      <c r="C1070" s="5">
        <v>2729</v>
      </c>
    </row>
    <row r="1071" spans="1:3" x14ac:dyDescent="0.2">
      <c r="A1071" s="2">
        <v>11323</v>
      </c>
      <c r="B1071" s="4">
        <v>41408</v>
      </c>
      <c r="C1071" s="5">
        <v>624</v>
      </c>
    </row>
    <row r="1072" spans="1:3" x14ac:dyDescent="0.2">
      <c r="A1072" s="2">
        <v>11324</v>
      </c>
      <c r="B1072" s="4">
        <v>41409</v>
      </c>
      <c r="C1072" s="5">
        <v>850</v>
      </c>
    </row>
    <row r="1073" spans="1:3" x14ac:dyDescent="0.2">
      <c r="A1073" s="2">
        <v>11325</v>
      </c>
      <c r="B1073" s="4">
        <v>41409</v>
      </c>
      <c r="C1073" s="5">
        <v>1608</v>
      </c>
    </row>
    <row r="1074" spans="1:3" x14ac:dyDescent="0.2">
      <c r="A1074" s="2">
        <v>11326</v>
      </c>
      <c r="B1074" s="4">
        <v>41410</v>
      </c>
      <c r="C1074" s="5">
        <v>408</v>
      </c>
    </row>
    <row r="1075" spans="1:3" x14ac:dyDescent="0.2">
      <c r="A1075" s="2">
        <v>11327</v>
      </c>
      <c r="B1075" s="4">
        <v>41413</v>
      </c>
      <c r="C1075" s="5">
        <v>935</v>
      </c>
    </row>
    <row r="1076" spans="1:3" x14ac:dyDescent="0.2">
      <c r="A1076" s="2">
        <v>11328</v>
      </c>
      <c r="B1076" s="4">
        <v>41413</v>
      </c>
      <c r="C1076" s="5">
        <v>2140</v>
      </c>
    </row>
    <row r="1077" spans="1:3" x14ac:dyDescent="0.2">
      <c r="A1077" s="2">
        <v>11329</v>
      </c>
      <c r="B1077" s="4">
        <v>41414</v>
      </c>
      <c r="C1077" s="5">
        <v>390</v>
      </c>
    </row>
    <row r="1078" spans="1:3" x14ac:dyDescent="0.2">
      <c r="A1078" s="2">
        <v>11330</v>
      </c>
      <c r="B1078" s="4">
        <v>41414</v>
      </c>
      <c r="C1078" s="5">
        <v>700</v>
      </c>
    </row>
    <row r="1079" spans="1:3" x14ac:dyDescent="0.2">
      <c r="A1079" s="2">
        <v>11331</v>
      </c>
      <c r="B1079" s="4">
        <v>41415</v>
      </c>
      <c r="C1079" s="5">
        <v>968</v>
      </c>
    </row>
    <row r="1080" spans="1:3" x14ac:dyDescent="0.2">
      <c r="A1080" s="2">
        <v>11332</v>
      </c>
      <c r="B1080" s="4">
        <v>41416</v>
      </c>
      <c r="C1080" s="5">
        <v>525</v>
      </c>
    </row>
    <row r="1081" spans="1:3" x14ac:dyDescent="0.2">
      <c r="A1081" s="2">
        <v>11333</v>
      </c>
      <c r="B1081" s="4">
        <v>41416</v>
      </c>
      <c r="C1081" s="5">
        <v>1536</v>
      </c>
    </row>
    <row r="1082" spans="1:3" x14ac:dyDescent="0.2">
      <c r="A1082" s="2">
        <v>11334</v>
      </c>
      <c r="B1082" s="4">
        <v>41417</v>
      </c>
      <c r="C1082" s="5">
        <v>2300</v>
      </c>
    </row>
    <row r="1083" spans="1:3" x14ac:dyDescent="0.2">
      <c r="A1083" s="2">
        <v>11335</v>
      </c>
      <c r="B1083" s="4">
        <v>41417</v>
      </c>
      <c r="C1083" s="5">
        <v>115</v>
      </c>
    </row>
    <row r="1084" spans="1:3" x14ac:dyDescent="0.2">
      <c r="A1084" s="2">
        <v>11336</v>
      </c>
      <c r="B1084" s="4">
        <v>41420</v>
      </c>
      <c r="C1084" s="5">
        <v>705</v>
      </c>
    </row>
    <row r="1085" spans="1:3" x14ac:dyDescent="0.2">
      <c r="A1085" s="2">
        <v>11337</v>
      </c>
      <c r="B1085" s="4">
        <v>41421</v>
      </c>
      <c r="C1085" s="5">
        <v>460</v>
      </c>
    </row>
    <row r="1086" spans="1:3" x14ac:dyDescent="0.2">
      <c r="A1086" s="2">
        <v>11338</v>
      </c>
      <c r="B1086" s="4">
        <v>41421</v>
      </c>
      <c r="C1086" s="5">
        <v>2140</v>
      </c>
    </row>
    <row r="1087" spans="1:3" x14ac:dyDescent="0.2">
      <c r="A1087" s="2">
        <v>11339</v>
      </c>
      <c r="B1087" s="4">
        <v>41422</v>
      </c>
      <c r="C1087" s="5">
        <v>2036</v>
      </c>
    </row>
    <row r="1088" spans="1:3" x14ac:dyDescent="0.2">
      <c r="A1088" s="2">
        <v>11340</v>
      </c>
      <c r="B1088" s="4">
        <v>41422</v>
      </c>
      <c r="C1088" s="5">
        <v>376</v>
      </c>
    </row>
    <row r="1089" spans="1:3" x14ac:dyDescent="0.2">
      <c r="A1089" s="2">
        <v>11341</v>
      </c>
      <c r="B1089" s="4">
        <v>41423</v>
      </c>
      <c r="C1089" s="5">
        <v>705</v>
      </c>
    </row>
    <row r="1090" spans="1:3" x14ac:dyDescent="0.2">
      <c r="A1090" s="2">
        <v>11342</v>
      </c>
      <c r="B1090" s="4">
        <v>41424</v>
      </c>
      <c r="C1090" s="5">
        <v>1540</v>
      </c>
    </row>
    <row r="1091" spans="1:3" x14ac:dyDescent="0.2">
      <c r="A1091" s="2">
        <v>11343</v>
      </c>
      <c r="B1091" s="4">
        <v>41424</v>
      </c>
      <c r="C1091" s="5">
        <v>630</v>
      </c>
    </row>
    <row r="1092" spans="1:3" x14ac:dyDescent="0.2">
      <c r="A1092" s="2">
        <v>11344</v>
      </c>
      <c r="B1092" s="4">
        <v>41427</v>
      </c>
      <c r="C1092" s="5">
        <v>801</v>
      </c>
    </row>
    <row r="1093" spans="1:3" x14ac:dyDescent="0.2">
      <c r="A1093" s="2">
        <v>11345</v>
      </c>
      <c r="B1093" s="4">
        <v>41427</v>
      </c>
      <c r="C1093" s="5">
        <v>1077</v>
      </c>
    </row>
    <row r="1094" spans="1:3" x14ac:dyDescent="0.2">
      <c r="A1094" s="2">
        <v>11346</v>
      </c>
      <c r="B1094" s="4">
        <v>41428</v>
      </c>
      <c r="C1094" s="5">
        <v>1150</v>
      </c>
    </row>
    <row r="1095" spans="1:3" x14ac:dyDescent="0.2">
      <c r="A1095" s="2">
        <v>11347</v>
      </c>
      <c r="B1095" s="4">
        <v>41429</v>
      </c>
      <c r="C1095" s="5">
        <v>1404</v>
      </c>
    </row>
    <row r="1096" spans="1:3" x14ac:dyDescent="0.2">
      <c r="A1096" s="2">
        <v>11348</v>
      </c>
      <c r="B1096" s="4">
        <v>41429</v>
      </c>
      <c r="C1096" s="5">
        <v>470</v>
      </c>
    </row>
    <row r="1097" spans="1:3" x14ac:dyDescent="0.2">
      <c r="A1097" s="2">
        <v>11349</v>
      </c>
      <c r="B1097" s="4">
        <v>41430</v>
      </c>
      <c r="C1097" s="5">
        <v>285</v>
      </c>
    </row>
    <row r="1098" spans="1:3" x14ac:dyDescent="0.2">
      <c r="A1098" s="2">
        <v>11350</v>
      </c>
      <c r="B1098" s="4">
        <v>41730</v>
      </c>
      <c r="C1098" s="5">
        <v>1070</v>
      </c>
    </row>
    <row r="1099" spans="1:3" x14ac:dyDescent="0.2">
      <c r="A1099" s="2">
        <v>11351</v>
      </c>
      <c r="B1099" s="4">
        <v>41731</v>
      </c>
      <c r="C1099" s="5">
        <v>1345</v>
      </c>
    </row>
    <row r="1100" spans="1:3" x14ac:dyDescent="0.2">
      <c r="A1100" s="2">
        <v>11352</v>
      </c>
      <c r="B1100" s="4">
        <v>41734</v>
      </c>
      <c r="C1100" s="5">
        <v>404</v>
      </c>
    </row>
    <row r="1101" spans="1:3" x14ac:dyDescent="0.2">
      <c r="A1101" s="2">
        <v>11353</v>
      </c>
      <c r="B1101" s="4">
        <v>41734</v>
      </c>
      <c r="C1101" s="5">
        <v>238</v>
      </c>
    </row>
    <row r="1102" spans="1:3" x14ac:dyDescent="0.2">
      <c r="A1102" s="2">
        <v>11354</v>
      </c>
      <c r="B1102" s="4">
        <v>41735</v>
      </c>
      <c r="C1102" s="5">
        <v>890</v>
      </c>
    </row>
    <row r="1103" spans="1:3" x14ac:dyDescent="0.2">
      <c r="A1103" s="2">
        <v>11355</v>
      </c>
      <c r="B1103" s="4">
        <v>41735</v>
      </c>
      <c r="C1103" s="5">
        <v>482</v>
      </c>
    </row>
    <row r="1104" spans="1:3" x14ac:dyDescent="0.2">
      <c r="A1104" s="2">
        <v>11356</v>
      </c>
      <c r="B1104" s="4">
        <v>41736</v>
      </c>
      <c r="C1104" s="5">
        <v>140</v>
      </c>
    </row>
    <row r="1105" spans="1:3" x14ac:dyDescent="0.2">
      <c r="A1105" s="2">
        <v>11357</v>
      </c>
      <c r="B1105" s="4">
        <v>41737</v>
      </c>
      <c r="C1105" s="5">
        <v>485</v>
      </c>
    </row>
    <row r="1106" spans="1:3" x14ac:dyDescent="0.2">
      <c r="A1106" s="2">
        <v>11358</v>
      </c>
      <c r="B1106" s="4">
        <v>41737</v>
      </c>
      <c r="C1106" s="5">
        <v>3203</v>
      </c>
    </row>
    <row r="1107" spans="1:3" x14ac:dyDescent="0.2">
      <c r="A1107" s="2">
        <v>11359</v>
      </c>
      <c r="B1107" s="4">
        <v>41738</v>
      </c>
      <c r="C1107" s="5">
        <v>3405</v>
      </c>
    </row>
    <row r="1108" spans="1:3" x14ac:dyDescent="0.2">
      <c r="A1108" s="2">
        <v>11360</v>
      </c>
      <c r="B1108" s="4">
        <v>41738</v>
      </c>
      <c r="C1108" s="5">
        <v>956</v>
      </c>
    </row>
    <row r="1109" spans="1:3" x14ac:dyDescent="0.2">
      <c r="A1109" s="2">
        <v>11361</v>
      </c>
      <c r="B1109" s="4">
        <v>41741</v>
      </c>
      <c r="C1109" s="5">
        <v>1281</v>
      </c>
    </row>
    <row r="1110" spans="1:3" x14ac:dyDescent="0.2">
      <c r="A1110" s="2">
        <v>11362</v>
      </c>
      <c r="B1110" s="4">
        <v>41742</v>
      </c>
      <c r="C1110" s="5">
        <v>529</v>
      </c>
    </row>
    <row r="1111" spans="1:3" x14ac:dyDescent="0.2">
      <c r="A1111" s="2">
        <v>11363</v>
      </c>
      <c r="B1111" s="4">
        <v>41742</v>
      </c>
      <c r="C1111" s="5">
        <v>90</v>
      </c>
    </row>
    <row r="1112" spans="1:3" x14ac:dyDescent="0.2">
      <c r="A1112" s="2">
        <v>11364</v>
      </c>
      <c r="B1112" s="4">
        <v>41743</v>
      </c>
      <c r="C1112" s="5">
        <v>1520</v>
      </c>
    </row>
    <row r="1113" spans="1:3" x14ac:dyDescent="0.2">
      <c r="A1113" s="2">
        <v>11365</v>
      </c>
      <c r="B1113" s="4">
        <v>41743</v>
      </c>
      <c r="C1113" s="5">
        <v>1128</v>
      </c>
    </row>
    <row r="1114" spans="1:3" x14ac:dyDescent="0.2">
      <c r="A1114" s="2">
        <v>11366</v>
      </c>
      <c r="B1114" s="4">
        <v>41744</v>
      </c>
      <c r="C1114" s="5">
        <v>971</v>
      </c>
    </row>
    <row r="1115" spans="1:3" x14ac:dyDescent="0.2">
      <c r="A1115" s="2">
        <v>11367</v>
      </c>
      <c r="B1115" s="4">
        <v>41745</v>
      </c>
      <c r="C1115" s="5">
        <v>3544</v>
      </c>
    </row>
    <row r="1116" spans="1:3" x14ac:dyDescent="0.2">
      <c r="A1116" s="2">
        <v>11368</v>
      </c>
      <c r="B1116" s="4">
        <v>41745</v>
      </c>
      <c r="C1116" s="5">
        <v>1439</v>
      </c>
    </row>
    <row r="1117" spans="1:3" x14ac:dyDescent="0.2">
      <c r="A1117" s="2">
        <v>11369</v>
      </c>
      <c r="B1117" s="4">
        <v>41748</v>
      </c>
      <c r="C1117" s="5">
        <v>519</v>
      </c>
    </row>
    <row r="1118" spans="1:3" x14ac:dyDescent="0.2">
      <c r="A1118" s="2">
        <v>11370</v>
      </c>
      <c r="B1118" s="4">
        <v>41748</v>
      </c>
      <c r="C1118" s="5">
        <v>420</v>
      </c>
    </row>
    <row r="1119" spans="1:3" x14ac:dyDescent="0.2">
      <c r="A1119" s="2">
        <v>11371</v>
      </c>
      <c r="B1119" s="4">
        <v>41749</v>
      </c>
      <c r="C1119" s="5">
        <v>1657</v>
      </c>
    </row>
    <row r="1120" spans="1:3" x14ac:dyDescent="0.2">
      <c r="A1120" s="2">
        <v>11372</v>
      </c>
      <c r="B1120" s="4">
        <v>41750</v>
      </c>
      <c r="C1120" s="5">
        <v>692</v>
      </c>
    </row>
    <row r="1121" spans="1:3" x14ac:dyDescent="0.2">
      <c r="A1121" s="2">
        <v>11373</v>
      </c>
      <c r="B1121" s="4">
        <v>41750</v>
      </c>
      <c r="C1121" s="5">
        <v>3192</v>
      </c>
    </row>
    <row r="1122" spans="1:3" x14ac:dyDescent="0.2">
      <c r="A1122" s="2">
        <v>11374</v>
      </c>
      <c r="B1122" s="4">
        <v>41751</v>
      </c>
      <c r="C1122" s="5">
        <v>309</v>
      </c>
    </row>
    <row r="1123" spans="1:3" x14ac:dyDescent="0.2">
      <c r="A1123" s="2">
        <v>11375</v>
      </c>
      <c r="B1123" s="4">
        <v>41751</v>
      </c>
      <c r="C1123" s="5">
        <v>30</v>
      </c>
    </row>
    <row r="1124" spans="1:3" x14ac:dyDescent="0.2">
      <c r="A1124" s="2">
        <v>11376</v>
      </c>
      <c r="B1124" s="4">
        <v>41752</v>
      </c>
      <c r="C1124" s="5">
        <v>1060</v>
      </c>
    </row>
    <row r="1125" spans="1:3" x14ac:dyDescent="0.2">
      <c r="A1125" s="2">
        <v>11377</v>
      </c>
      <c r="B1125" s="4">
        <v>41755</v>
      </c>
      <c r="C1125" s="5">
        <v>389</v>
      </c>
    </row>
    <row r="1126" spans="1:3" x14ac:dyDescent="0.2">
      <c r="A1126" s="2">
        <v>11378</v>
      </c>
      <c r="B1126" s="4">
        <v>41755</v>
      </c>
      <c r="C1126" s="5">
        <v>698</v>
      </c>
    </row>
    <row r="1127" spans="1:3" x14ac:dyDescent="0.2">
      <c r="A1127" s="2">
        <v>11379</v>
      </c>
      <c r="B1127" s="4">
        <v>41756</v>
      </c>
      <c r="C1127" s="5">
        <v>3820</v>
      </c>
    </row>
    <row r="1128" spans="1:3" x14ac:dyDescent="0.2">
      <c r="A1128" s="2">
        <v>11380</v>
      </c>
      <c r="B1128" s="4">
        <v>41756</v>
      </c>
      <c r="C1128" s="5">
        <v>492</v>
      </c>
    </row>
    <row r="1129" spans="1:3" x14ac:dyDescent="0.2">
      <c r="A1129" s="2">
        <v>11381</v>
      </c>
      <c r="B1129" s="4">
        <v>41757</v>
      </c>
      <c r="C1129" s="5">
        <v>1230</v>
      </c>
    </row>
    <row r="1130" spans="1:3" x14ac:dyDescent="0.2">
      <c r="A1130" s="2">
        <v>11382</v>
      </c>
      <c r="B1130" s="4">
        <v>41758</v>
      </c>
      <c r="C1130" s="5">
        <v>994</v>
      </c>
    </row>
    <row r="1131" spans="1:3" x14ac:dyDescent="0.2">
      <c r="A1131" s="2">
        <v>11383</v>
      </c>
      <c r="B1131" s="4">
        <v>41758</v>
      </c>
      <c r="C1131" s="5">
        <v>228</v>
      </c>
    </row>
    <row r="1132" spans="1:3" x14ac:dyDescent="0.2">
      <c r="A1132" s="2">
        <v>11384</v>
      </c>
      <c r="B1132" s="4">
        <v>41759</v>
      </c>
      <c r="C1132" s="5">
        <v>45</v>
      </c>
    </row>
    <row r="1133" spans="1:3" x14ac:dyDescent="0.2">
      <c r="A1133" s="2">
        <v>11385</v>
      </c>
      <c r="B1133" s="4">
        <v>41759</v>
      </c>
      <c r="C1133" s="5">
        <v>1310</v>
      </c>
    </row>
    <row r="1134" spans="1:3" x14ac:dyDescent="0.2">
      <c r="A1134" s="2">
        <v>11386</v>
      </c>
      <c r="B1134" s="4">
        <v>41762</v>
      </c>
      <c r="C1134" s="5">
        <v>593</v>
      </c>
    </row>
    <row r="1135" spans="1:3" x14ac:dyDescent="0.2">
      <c r="A1135" s="2">
        <v>11387</v>
      </c>
      <c r="B1135" s="4">
        <v>41763</v>
      </c>
      <c r="C1135" s="5">
        <v>1215</v>
      </c>
    </row>
    <row r="1136" spans="1:3" x14ac:dyDescent="0.2">
      <c r="A1136" s="2">
        <v>11388</v>
      </c>
      <c r="B1136" s="4">
        <v>41763</v>
      </c>
      <c r="C1136" s="5">
        <v>4674</v>
      </c>
    </row>
    <row r="1137" spans="1:3" x14ac:dyDescent="0.2">
      <c r="A1137" s="2">
        <v>11389</v>
      </c>
      <c r="B1137" s="4">
        <v>41764</v>
      </c>
      <c r="C1137" s="5">
        <v>2594</v>
      </c>
    </row>
    <row r="1138" spans="1:3" x14ac:dyDescent="0.2">
      <c r="A1138" s="2">
        <v>11390</v>
      </c>
      <c r="B1138" s="4">
        <v>41764</v>
      </c>
      <c r="C1138" s="5">
        <v>455</v>
      </c>
    </row>
    <row r="1139" spans="1:3" x14ac:dyDescent="0.2">
      <c r="A1139" s="2">
        <v>11391</v>
      </c>
      <c r="B1139" s="4">
        <v>41765</v>
      </c>
      <c r="C1139" s="5">
        <v>830</v>
      </c>
    </row>
    <row r="1140" spans="1:3" x14ac:dyDescent="0.2">
      <c r="A1140" s="2">
        <v>11392</v>
      </c>
      <c r="B1140" s="4">
        <v>41766</v>
      </c>
      <c r="C1140" s="5">
        <v>7662</v>
      </c>
    </row>
    <row r="1141" spans="1:3" x14ac:dyDescent="0.2">
      <c r="A1141" s="2">
        <v>11393</v>
      </c>
      <c r="B1141" s="4">
        <v>41766</v>
      </c>
      <c r="C1141" s="5">
        <v>660</v>
      </c>
    </row>
    <row r="1142" spans="1:3" x14ac:dyDescent="0.2">
      <c r="A1142" s="2">
        <v>11394</v>
      </c>
      <c r="B1142" s="4">
        <v>41769</v>
      </c>
      <c r="C1142" s="5">
        <v>1713</v>
      </c>
    </row>
    <row r="1143" spans="1:3" x14ac:dyDescent="0.2">
      <c r="A1143" s="2">
        <v>11395</v>
      </c>
      <c r="B1143" s="4">
        <v>41769</v>
      </c>
      <c r="C1143" s="5">
        <v>3555</v>
      </c>
    </row>
    <row r="1144" spans="1:3" x14ac:dyDescent="0.2">
      <c r="A1144" s="2">
        <v>11396</v>
      </c>
      <c r="B1144" s="4">
        <v>41770</v>
      </c>
      <c r="C1144" s="5">
        <v>472</v>
      </c>
    </row>
    <row r="1145" spans="1:3" x14ac:dyDescent="0.2">
      <c r="A1145" s="2">
        <v>11397</v>
      </c>
      <c r="B1145" s="4">
        <v>41771</v>
      </c>
      <c r="C1145" s="5">
        <v>742</v>
      </c>
    </row>
    <row r="1146" spans="1:3" x14ac:dyDescent="0.2">
      <c r="A1146" s="2">
        <v>11398</v>
      </c>
      <c r="B1146" s="4">
        <v>41771</v>
      </c>
      <c r="C1146" s="5">
        <v>796</v>
      </c>
    </row>
    <row r="1147" spans="1:3" x14ac:dyDescent="0.2">
      <c r="A1147" s="2">
        <v>11399</v>
      </c>
      <c r="B1147" s="4">
        <v>41772</v>
      </c>
      <c r="C1147" s="5">
        <v>2728</v>
      </c>
    </row>
    <row r="1148" spans="1:3" x14ac:dyDescent="0.2">
      <c r="A1148" s="2">
        <v>11400</v>
      </c>
      <c r="B1148" s="4">
        <v>41772</v>
      </c>
      <c r="C1148" s="5">
        <v>84</v>
      </c>
    </row>
    <row r="1149" spans="1:3" x14ac:dyDescent="0.2">
      <c r="A1149" s="2">
        <v>11401</v>
      </c>
      <c r="B1149" s="4">
        <v>41773</v>
      </c>
      <c r="C1149" s="5">
        <v>1505</v>
      </c>
    </row>
    <row r="1150" spans="1:3" x14ac:dyDescent="0.2">
      <c r="A1150" s="2">
        <v>11402</v>
      </c>
      <c r="B1150" s="4">
        <v>41776</v>
      </c>
      <c r="C1150" s="5">
        <v>2497</v>
      </c>
    </row>
    <row r="1151" spans="1:3" x14ac:dyDescent="0.2">
      <c r="A1151" s="2">
        <v>11403</v>
      </c>
      <c r="B1151" s="4">
        <v>41776</v>
      </c>
      <c r="C1151" s="5">
        <v>237</v>
      </c>
    </row>
    <row r="1152" spans="1:3" x14ac:dyDescent="0.2">
      <c r="A1152" s="2">
        <v>11404</v>
      </c>
      <c r="B1152" s="4">
        <v>41777</v>
      </c>
      <c r="C1152" s="5">
        <v>1890</v>
      </c>
    </row>
    <row r="1153" spans="1:3" x14ac:dyDescent="0.2">
      <c r="A1153" s="2">
        <v>11405</v>
      </c>
      <c r="B1153" s="4">
        <v>41777</v>
      </c>
      <c r="C1153" s="5">
        <v>417</v>
      </c>
    </row>
    <row r="1154" spans="1:3" x14ac:dyDescent="0.2">
      <c r="A1154" s="2">
        <v>11406</v>
      </c>
      <c r="B1154" s="4">
        <v>41778</v>
      </c>
      <c r="C1154" s="5">
        <v>276</v>
      </c>
    </row>
    <row r="1155" spans="1:3" x14ac:dyDescent="0.2">
      <c r="A1155" s="2">
        <v>11407</v>
      </c>
      <c r="B1155" s="4">
        <v>41779</v>
      </c>
      <c r="C1155" s="5">
        <v>1428</v>
      </c>
    </row>
    <row r="1156" spans="1:3" x14ac:dyDescent="0.2">
      <c r="A1156" s="2">
        <v>11408</v>
      </c>
      <c r="B1156" s="4">
        <v>41779</v>
      </c>
      <c r="C1156" s="5">
        <v>1246</v>
      </c>
    </row>
    <row r="1157" spans="1:3" x14ac:dyDescent="0.2">
      <c r="A1157" s="2">
        <v>11409</v>
      </c>
      <c r="B1157" s="4">
        <v>41780</v>
      </c>
      <c r="C1157" s="5">
        <v>134</v>
      </c>
    </row>
    <row r="1158" spans="1:3" x14ac:dyDescent="0.2">
      <c r="A1158" s="2">
        <v>11410</v>
      </c>
      <c r="B1158" s="4">
        <v>41780</v>
      </c>
      <c r="C1158" s="5">
        <v>2570</v>
      </c>
    </row>
    <row r="1159" spans="1:3" x14ac:dyDescent="0.2">
      <c r="A1159" s="2">
        <v>11411</v>
      </c>
      <c r="B1159" s="4">
        <v>41783</v>
      </c>
      <c r="C1159" s="5">
        <v>70</v>
      </c>
    </row>
    <row r="1160" spans="1:3" x14ac:dyDescent="0.2">
      <c r="A1160" s="2">
        <v>11412</v>
      </c>
      <c r="B1160" s="4">
        <v>41784</v>
      </c>
      <c r="C1160" s="5">
        <v>3378</v>
      </c>
    </row>
    <row r="1161" spans="1:3" x14ac:dyDescent="0.2">
      <c r="A1161" s="2">
        <v>11413</v>
      </c>
      <c r="B1161" s="4">
        <v>41784</v>
      </c>
      <c r="C1161" s="5">
        <v>915</v>
      </c>
    </row>
    <row r="1162" spans="1:3" x14ac:dyDescent="0.2">
      <c r="A1162" s="2">
        <v>11414</v>
      </c>
      <c r="B1162" s="4">
        <v>41785</v>
      </c>
      <c r="C1162" s="5">
        <v>2090</v>
      </c>
    </row>
    <row r="1163" spans="1:3" x14ac:dyDescent="0.2">
      <c r="A1163" s="2">
        <v>11415</v>
      </c>
      <c r="B1163" s="4">
        <v>41785</v>
      </c>
      <c r="C1163" s="5">
        <v>2177</v>
      </c>
    </row>
    <row r="1164" spans="1:3" x14ac:dyDescent="0.2">
      <c r="A1164" s="2">
        <v>11416</v>
      </c>
      <c r="B1164" s="4">
        <v>41786</v>
      </c>
      <c r="C1164" s="5">
        <v>963</v>
      </c>
    </row>
    <row r="1165" spans="1:3" x14ac:dyDescent="0.2">
      <c r="A1165" s="2">
        <v>11417</v>
      </c>
      <c r="B1165" s="4">
        <v>41787</v>
      </c>
      <c r="C1165" s="5">
        <v>525</v>
      </c>
    </row>
    <row r="1166" spans="1:3" x14ac:dyDescent="0.2">
      <c r="A1166" s="2">
        <v>11418</v>
      </c>
      <c r="B1166" s="4">
        <v>41787</v>
      </c>
      <c r="C1166" s="5">
        <v>974</v>
      </c>
    </row>
    <row r="1167" spans="1:3" x14ac:dyDescent="0.2">
      <c r="A1167" s="2">
        <v>11419</v>
      </c>
      <c r="B1167" s="4">
        <v>41790</v>
      </c>
      <c r="C1167" s="5">
        <v>2568</v>
      </c>
    </row>
    <row r="1168" spans="1:3" x14ac:dyDescent="0.2">
      <c r="A1168" s="2">
        <v>11420</v>
      </c>
      <c r="B1168" s="4">
        <v>41790</v>
      </c>
      <c r="C1168" s="5">
        <v>821</v>
      </c>
    </row>
    <row r="1169" spans="1:3" x14ac:dyDescent="0.2">
      <c r="A1169" s="2">
        <v>11421</v>
      </c>
      <c r="B1169" s="4">
        <v>41791</v>
      </c>
      <c r="C1169" s="5">
        <v>401</v>
      </c>
    </row>
    <row r="1170" spans="1:3" x14ac:dyDescent="0.2">
      <c r="A1170" s="2">
        <v>11422</v>
      </c>
      <c r="B1170" s="4">
        <v>41792</v>
      </c>
      <c r="C1170" s="5">
        <v>700</v>
      </c>
    </row>
    <row r="1171" spans="1:3" x14ac:dyDescent="0.2">
      <c r="A1171" s="2">
        <v>11423</v>
      </c>
      <c r="B1171" s="4">
        <v>41792</v>
      </c>
      <c r="C1171" s="5">
        <v>1107</v>
      </c>
    </row>
    <row r="1172" spans="1:3" x14ac:dyDescent="0.2">
      <c r="A1172" s="2">
        <v>11424</v>
      </c>
      <c r="B1172" s="4">
        <v>41793</v>
      </c>
      <c r="C1172" s="5">
        <v>345</v>
      </c>
    </row>
    <row r="1173" spans="1:3" x14ac:dyDescent="0.2">
      <c r="A1173" s="2">
        <v>11425</v>
      </c>
      <c r="B1173" s="4">
        <v>41793</v>
      </c>
      <c r="C1173" s="5">
        <v>473</v>
      </c>
    </row>
    <row r="1174" spans="1:3" x14ac:dyDescent="0.2">
      <c r="A1174" s="2">
        <v>11426</v>
      </c>
      <c r="B1174" s="4">
        <v>41794</v>
      </c>
      <c r="C1174" s="5">
        <v>212</v>
      </c>
    </row>
    <row r="1175" spans="1:3" x14ac:dyDescent="0.2">
      <c r="A1175" s="2">
        <v>11427</v>
      </c>
      <c r="B1175" s="4">
        <v>41797</v>
      </c>
      <c r="C1175" s="5">
        <v>480</v>
      </c>
    </row>
    <row r="1176" spans="1:3" x14ac:dyDescent="0.2">
      <c r="A1176" s="2">
        <v>11428</v>
      </c>
      <c r="B1176" s="4">
        <v>41797</v>
      </c>
      <c r="C1176" s="5">
        <v>1270</v>
      </c>
    </row>
    <row r="1177" spans="1:3" x14ac:dyDescent="0.2">
      <c r="A1177" s="2">
        <v>11429</v>
      </c>
      <c r="B1177" s="4">
        <v>41798</v>
      </c>
      <c r="C1177" s="5">
        <v>960</v>
      </c>
    </row>
    <row r="1178" spans="1:3" x14ac:dyDescent="0.2">
      <c r="A1178" s="2">
        <v>11430</v>
      </c>
      <c r="B1178" s="4">
        <v>41798</v>
      </c>
      <c r="C1178" s="5">
        <v>1340</v>
      </c>
    </row>
    <row r="1179" spans="1:3" x14ac:dyDescent="0.2">
      <c r="A1179" s="2">
        <v>11431</v>
      </c>
      <c r="B1179" s="4">
        <v>41799</v>
      </c>
      <c r="C1179" s="5">
        <v>382</v>
      </c>
    </row>
    <row r="1180" spans="1:3" x14ac:dyDescent="0.2">
      <c r="A1180" s="2">
        <v>11432</v>
      </c>
      <c r="B1180" s="4">
        <v>41800</v>
      </c>
      <c r="C1180" s="5">
        <v>1480</v>
      </c>
    </row>
    <row r="1181" spans="1:3" x14ac:dyDescent="0.2">
      <c r="A1181" s="2">
        <v>11433</v>
      </c>
      <c r="B1181" s="4">
        <v>41800</v>
      </c>
      <c r="C1181" s="5">
        <v>260</v>
      </c>
    </row>
    <row r="1182" spans="1:3" x14ac:dyDescent="0.2">
      <c r="A1182" s="2">
        <v>11434</v>
      </c>
      <c r="B1182" s="4">
        <v>41801</v>
      </c>
      <c r="C1182" s="5">
        <v>1077</v>
      </c>
    </row>
    <row r="1183" spans="1:3" x14ac:dyDescent="0.2">
      <c r="A1183" s="2">
        <v>11435</v>
      </c>
      <c r="B1183" s="4">
        <v>41801</v>
      </c>
      <c r="C1183" s="5">
        <v>1115</v>
      </c>
    </row>
    <row r="1184" spans="1:3" x14ac:dyDescent="0.2">
      <c r="A1184" s="2">
        <v>11436</v>
      </c>
      <c r="B1184" s="4">
        <v>41804</v>
      </c>
      <c r="C1184" s="5">
        <v>438</v>
      </c>
    </row>
    <row r="1185" spans="1:3" x14ac:dyDescent="0.2">
      <c r="A1185" s="2">
        <v>11437</v>
      </c>
      <c r="B1185" s="4">
        <v>41805</v>
      </c>
      <c r="C1185" s="5">
        <v>740</v>
      </c>
    </row>
    <row r="1186" spans="1:3" x14ac:dyDescent="0.2">
      <c r="A1186" s="2">
        <v>11438</v>
      </c>
      <c r="B1186" s="4">
        <v>41805</v>
      </c>
      <c r="C1186" s="5">
        <v>100</v>
      </c>
    </row>
    <row r="1187" spans="1:3" x14ac:dyDescent="0.2">
      <c r="A1187" s="2">
        <v>11439</v>
      </c>
      <c r="B1187" s="4">
        <v>41806</v>
      </c>
      <c r="C1187" s="5">
        <v>39</v>
      </c>
    </row>
    <row r="1188" spans="1:3" x14ac:dyDescent="0.2">
      <c r="A1188" s="2">
        <v>11440</v>
      </c>
      <c r="B1188" s="4">
        <v>41806</v>
      </c>
      <c r="C1188" s="5">
        <v>174</v>
      </c>
    </row>
    <row r="1189" spans="1:3" x14ac:dyDescent="0.2">
      <c r="A1189" s="2">
        <v>11441</v>
      </c>
      <c r="B1189" s="4">
        <v>41807</v>
      </c>
      <c r="C1189" s="5">
        <v>1297</v>
      </c>
    </row>
    <row r="1190" spans="1:3" x14ac:dyDescent="0.2">
      <c r="A1190" s="2">
        <v>11442</v>
      </c>
      <c r="B1190" s="4">
        <v>41808</v>
      </c>
      <c r="C1190" s="5">
        <v>210</v>
      </c>
    </row>
    <row r="1191" spans="1:3" x14ac:dyDescent="0.2">
      <c r="A1191" s="2">
        <v>11443</v>
      </c>
      <c r="B1191" s="4">
        <v>41808</v>
      </c>
      <c r="C1191" s="5">
        <v>2300</v>
      </c>
    </row>
    <row r="1192" spans="1:3" x14ac:dyDescent="0.2">
      <c r="A1192" s="2">
        <v>11444</v>
      </c>
      <c r="B1192" s="4">
        <v>41811</v>
      </c>
      <c r="C1192" s="5">
        <v>252</v>
      </c>
    </row>
    <row r="1193" spans="1:3" x14ac:dyDescent="0.2">
      <c r="A1193" s="2">
        <v>11445</v>
      </c>
      <c r="B1193" s="4">
        <v>41811</v>
      </c>
      <c r="C1193" s="5">
        <v>700</v>
      </c>
    </row>
    <row r="1194" spans="1:3" x14ac:dyDescent="0.2">
      <c r="A1194" s="2">
        <v>11446</v>
      </c>
      <c r="B1194" s="4">
        <v>41812</v>
      </c>
      <c r="C1194" s="5">
        <v>3379</v>
      </c>
    </row>
    <row r="1195" spans="1:3" x14ac:dyDescent="0.2">
      <c r="A1195" s="2">
        <v>11447</v>
      </c>
      <c r="B1195" s="4">
        <v>41813</v>
      </c>
      <c r="C1195" s="5">
        <v>1717</v>
      </c>
    </row>
    <row r="1196" spans="1:3" x14ac:dyDescent="0.2">
      <c r="A1196" s="2">
        <v>11448</v>
      </c>
      <c r="B1196" s="4">
        <v>41813</v>
      </c>
      <c r="C1196" s="5">
        <v>1424</v>
      </c>
    </row>
    <row r="1197" spans="1:3" x14ac:dyDescent="0.2">
      <c r="A1197" s="2">
        <v>11449</v>
      </c>
      <c r="B1197" s="4">
        <v>41814</v>
      </c>
      <c r="C1197" s="5">
        <v>1608</v>
      </c>
    </row>
    <row r="1198" spans="1:3" x14ac:dyDescent="0.2">
      <c r="A1198" s="2">
        <v>11450</v>
      </c>
      <c r="B1198" s="4">
        <v>41814</v>
      </c>
      <c r="C1198" s="5">
        <v>796</v>
      </c>
    </row>
    <row r="1199" spans="1:3" x14ac:dyDescent="0.2">
      <c r="A1199" s="2">
        <v>11451</v>
      </c>
      <c r="B1199" s="4">
        <v>41815</v>
      </c>
      <c r="C1199" s="5">
        <v>1390</v>
      </c>
    </row>
    <row r="1200" spans="1:3" x14ac:dyDescent="0.2">
      <c r="A1200" s="2">
        <v>11452</v>
      </c>
      <c r="B1200" s="4">
        <v>41818</v>
      </c>
      <c r="C1200" s="5">
        <v>1251</v>
      </c>
    </row>
    <row r="1201" spans="1:3" x14ac:dyDescent="0.2">
      <c r="A1201" s="2">
        <v>11453</v>
      </c>
      <c r="B1201" s="4">
        <v>41818</v>
      </c>
      <c r="C1201" s="5">
        <v>185</v>
      </c>
    </row>
    <row r="1202" spans="1:3" x14ac:dyDescent="0.2">
      <c r="A1202" s="2">
        <v>11454</v>
      </c>
      <c r="B1202" s="4">
        <v>41819</v>
      </c>
      <c r="C1202" s="5">
        <v>63</v>
      </c>
    </row>
    <row r="1203" spans="1:3" x14ac:dyDescent="0.2">
      <c r="A1203" s="2">
        <v>11455</v>
      </c>
      <c r="B1203" s="4">
        <v>41819</v>
      </c>
      <c r="C1203" s="5">
        <v>42</v>
      </c>
    </row>
    <row r="1204" spans="1:3" x14ac:dyDescent="0.2">
      <c r="A1204" s="2">
        <v>11456</v>
      </c>
      <c r="B1204" s="4">
        <v>41820</v>
      </c>
      <c r="C1204" s="5">
        <v>1921</v>
      </c>
    </row>
    <row r="1205" spans="1:3" x14ac:dyDescent="0.2">
      <c r="A1205" s="2">
        <v>11457</v>
      </c>
      <c r="B1205" s="4">
        <v>41821</v>
      </c>
      <c r="C1205" s="5">
        <v>1861</v>
      </c>
    </row>
    <row r="1206" spans="1:3" x14ac:dyDescent="0.2">
      <c r="A1206" s="2">
        <v>11458</v>
      </c>
      <c r="B1206" s="4">
        <v>41821</v>
      </c>
      <c r="C1206" s="5">
        <v>2297</v>
      </c>
    </row>
    <row r="1207" spans="1:3" x14ac:dyDescent="0.2">
      <c r="A1207" s="2">
        <v>11459</v>
      </c>
      <c r="B1207" s="4">
        <v>41822</v>
      </c>
      <c r="C1207" s="5">
        <v>1200</v>
      </c>
    </row>
    <row r="1208" spans="1:3" x14ac:dyDescent="0.2">
      <c r="A1208" s="2">
        <v>11460</v>
      </c>
      <c r="B1208" s="4">
        <v>41822</v>
      </c>
      <c r="C1208" s="5">
        <v>240</v>
      </c>
    </row>
    <row r="1209" spans="1:3" x14ac:dyDescent="0.2">
      <c r="A1209" s="2">
        <v>11461</v>
      </c>
      <c r="B1209" s="4">
        <v>41825</v>
      </c>
      <c r="C1209" s="5">
        <v>2490</v>
      </c>
    </row>
    <row r="1210" spans="1:3" x14ac:dyDescent="0.2">
      <c r="A1210" s="2">
        <v>11462</v>
      </c>
      <c r="B1210" s="4">
        <v>41826</v>
      </c>
      <c r="C1210" s="5">
        <v>440</v>
      </c>
    </row>
    <row r="1211" spans="1:3" x14ac:dyDescent="0.2">
      <c r="A1211" s="2">
        <v>11463</v>
      </c>
      <c r="B1211" s="4">
        <v>41826</v>
      </c>
      <c r="C1211" s="5">
        <v>3218</v>
      </c>
    </row>
    <row r="1212" spans="1:3" x14ac:dyDescent="0.2">
      <c r="A1212" s="2">
        <v>11464</v>
      </c>
      <c r="B1212" s="4">
        <v>41827</v>
      </c>
      <c r="C1212" s="5">
        <v>436</v>
      </c>
    </row>
    <row r="1213" spans="1:3" x14ac:dyDescent="0.2">
      <c r="A1213" s="2">
        <v>11465</v>
      </c>
      <c r="B1213" s="4">
        <v>41827</v>
      </c>
      <c r="C1213" s="5">
        <v>1830</v>
      </c>
    </row>
    <row r="1214" spans="1:3" x14ac:dyDescent="0.2">
      <c r="A1214" s="2">
        <v>11466</v>
      </c>
      <c r="B1214" s="4">
        <v>41828</v>
      </c>
      <c r="C1214" s="5">
        <v>1280</v>
      </c>
    </row>
    <row r="1215" spans="1:3" x14ac:dyDescent="0.2">
      <c r="A1215" s="2">
        <v>11467</v>
      </c>
      <c r="B1215" s="4">
        <v>41829</v>
      </c>
      <c r="C1215" s="5">
        <v>1690</v>
      </c>
    </row>
    <row r="1216" spans="1:3" x14ac:dyDescent="0.2">
      <c r="A1216" s="2">
        <v>11468</v>
      </c>
      <c r="B1216" s="4">
        <v>41829</v>
      </c>
      <c r="C1216" s="5">
        <v>20</v>
      </c>
    </row>
    <row r="1217" spans="1:3" x14ac:dyDescent="0.2">
      <c r="A1217" s="2">
        <v>11469</v>
      </c>
      <c r="B1217" s="4">
        <v>41832</v>
      </c>
      <c r="C1217" s="5">
        <v>1081</v>
      </c>
    </row>
    <row r="1218" spans="1:3" x14ac:dyDescent="0.2">
      <c r="A1218" s="2">
        <v>11470</v>
      </c>
      <c r="B1218" s="4">
        <v>41832</v>
      </c>
      <c r="C1218" s="5">
        <v>1260</v>
      </c>
    </row>
    <row r="1219" spans="1:3" x14ac:dyDescent="0.2">
      <c r="A1219" s="2">
        <v>11471</v>
      </c>
      <c r="B1219" s="4">
        <v>41833</v>
      </c>
      <c r="C1219" s="5">
        <v>240</v>
      </c>
    </row>
    <row r="1220" spans="1:3" x14ac:dyDescent="0.2">
      <c r="A1220" s="2">
        <v>11472</v>
      </c>
      <c r="B1220" s="4">
        <v>41834</v>
      </c>
      <c r="C1220" s="5">
        <v>256</v>
      </c>
    </row>
    <row r="1221" spans="1:3" x14ac:dyDescent="0.2">
      <c r="A1221" s="2">
        <v>11473</v>
      </c>
      <c r="B1221" s="4">
        <v>41834</v>
      </c>
      <c r="C1221" s="5">
        <v>2717</v>
      </c>
    </row>
    <row r="1222" spans="1:3" x14ac:dyDescent="0.2">
      <c r="A1222" s="2">
        <v>11474</v>
      </c>
      <c r="B1222" s="4">
        <v>41835</v>
      </c>
      <c r="C1222" s="5">
        <v>1622</v>
      </c>
    </row>
    <row r="1223" spans="1:3" x14ac:dyDescent="0.2">
      <c r="A1223" s="2">
        <v>11475</v>
      </c>
      <c r="B1223" s="4">
        <v>41835</v>
      </c>
      <c r="C1223" s="5">
        <v>618</v>
      </c>
    </row>
    <row r="1224" spans="1:3" x14ac:dyDescent="0.2">
      <c r="A1224" s="2">
        <v>11476</v>
      </c>
      <c r="B1224" s="4">
        <v>41836</v>
      </c>
      <c r="C1224" s="5">
        <v>168</v>
      </c>
    </row>
    <row r="1225" spans="1:3" x14ac:dyDescent="0.2">
      <c r="A1225" s="2">
        <v>11477</v>
      </c>
      <c r="B1225" s="4">
        <v>41839</v>
      </c>
      <c r="C1225" s="5">
        <v>5253</v>
      </c>
    </row>
    <row r="1226" spans="1:3" x14ac:dyDescent="0.2">
      <c r="A1226" s="2">
        <v>11478</v>
      </c>
      <c r="B1226" s="4">
        <v>41839</v>
      </c>
      <c r="C1226" s="5">
        <v>200</v>
      </c>
    </row>
    <row r="1227" spans="1:3" x14ac:dyDescent="0.2">
      <c r="A1227" s="2">
        <v>11479</v>
      </c>
      <c r="B1227" s="4">
        <v>41840</v>
      </c>
      <c r="C1227" s="5">
        <v>70</v>
      </c>
    </row>
    <row r="1228" spans="1:3" x14ac:dyDescent="0.2">
      <c r="A1228" s="2">
        <v>11480</v>
      </c>
      <c r="B1228" s="4">
        <v>41840</v>
      </c>
      <c r="C1228" s="5">
        <v>1000</v>
      </c>
    </row>
    <row r="1229" spans="1:3" x14ac:dyDescent="0.2">
      <c r="A1229" s="2">
        <v>11481</v>
      </c>
      <c r="B1229" s="4">
        <v>41840</v>
      </c>
      <c r="C1229" s="5">
        <v>520</v>
      </c>
    </row>
    <row r="1230" spans="1:3" x14ac:dyDescent="0.2">
      <c r="A1230" s="2">
        <v>11482</v>
      </c>
      <c r="B1230" s="4">
        <v>41841</v>
      </c>
      <c r="C1230" s="5">
        <v>820</v>
      </c>
    </row>
    <row r="1231" spans="1:3" x14ac:dyDescent="0.2">
      <c r="A1231" s="2">
        <v>11483</v>
      </c>
      <c r="B1231" s="4">
        <v>41841</v>
      </c>
      <c r="C1231" s="5">
        <v>9</v>
      </c>
    </row>
    <row r="1232" spans="1:3" x14ac:dyDescent="0.2">
      <c r="A1232" s="2">
        <v>11484</v>
      </c>
      <c r="B1232" s="4">
        <v>41842</v>
      </c>
      <c r="C1232" s="5">
        <v>1090</v>
      </c>
    </row>
    <row r="1233" spans="1:3" x14ac:dyDescent="0.2">
      <c r="A1233" s="2">
        <v>11485</v>
      </c>
      <c r="B1233" s="4">
        <v>41842</v>
      </c>
      <c r="C1233" s="5">
        <v>1226</v>
      </c>
    </row>
    <row r="1234" spans="1:3" x14ac:dyDescent="0.2">
      <c r="A1234" s="2">
        <v>11486</v>
      </c>
      <c r="B1234" s="4">
        <v>41842</v>
      </c>
      <c r="C1234" s="5">
        <v>280</v>
      </c>
    </row>
    <row r="1235" spans="1:3" x14ac:dyDescent="0.2">
      <c r="A1235" s="2">
        <v>11487</v>
      </c>
      <c r="B1235" s="4">
        <v>41843</v>
      </c>
      <c r="C1235" s="5">
        <v>1395</v>
      </c>
    </row>
    <row r="1236" spans="1:3" x14ac:dyDescent="0.2">
      <c r="A1236" s="2">
        <v>11488</v>
      </c>
      <c r="B1236" s="4">
        <v>41843</v>
      </c>
      <c r="C1236" s="5">
        <v>2090</v>
      </c>
    </row>
    <row r="1237" spans="1:3" x14ac:dyDescent="0.2">
      <c r="A1237" s="2">
        <v>11489</v>
      </c>
      <c r="B1237" s="4">
        <v>41846</v>
      </c>
      <c r="C1237" s="5">
        <v>550</v>
      </c>
    </row>
    <row r="1238" spans="1:3" x14ac:dyDescent="0.2">
      <c r="A1238" s="2">
        <v>11490</v>
      </c>
      <c r="B1238" s="4">
        <v>41846</v>
      </c>
      <c r="C1238" s="5">
        <v>2757</v>
      </c>
    </row>
    <row r="1239" spans="1:3" x14ac:dyDescent="0.2">
      <c r="A1239" s="2">
        <v>11491</v>
      </c>
      <c r="B1239" s="4">
        <v>41846</v>
      </c>
      <c r="C1239" s="5">
        <v>626</v>
      </c>
    </row>
    <row r="1240" spans="1:3" x14ac:dyDescent="0.2">
      <c r="A1240" s="2">
        <v>11492</v>
      </c>
      <c r="B1240" s="4">
        <v>41847</v>
      </c>
      <c r="C1240" s="5">
        <v>1456</v>
      </c>
    </row>
    <row r="1241" spans="1:3" x14ac:dyDescent="0.2">
      <c r="A1241" s="2">
        <v>11493</v>
      </c>
      <c r="B1241" s="4">
        <v>41847</v>
      </c>
      <c r="C1241" s="5">
        <v>290</v>
      </c>
    </row>
    <row r="1242" spans="1:3" x14ac:dyDescent="0.2">
      <c r="A1242" s="2">
        <v>11494</v>
      </c>
      <c r="B1242" s="4">
        <v>41848</v>
      </c>
      <c r="C1242" s="5">
        <v>138</v>
      </c>
    </row>
    <row r="1243" spans="1:3" x14ac:dyDescent="0.2">
      <c r="A1243" s="2">
        <v>11495</v>
      </c>
      <c r="B1243" s="4">
        <v>41848</v>
      </c>
      <c r="C1243" s="5">
        <v>285</v>
      </c>
    </row>
    <row r="1244" spans="1:3" x14ac:dyDescent="0.2">
      <c r="A1244" s="2">
        <v>11496</v>
      </c>
      <c r="B1244" s="4">
        <v>41848</v>
      </c>
      <c r="C1244" s="5">
        <v>1860</v>
      </c>
    </row>
    <row r="1245" spans="1:3" x14ac:dyDescent="0.2">
      <c r="A1245" s="2">
        <v>11497</v>
      </c>
      <c r="B1245" s="4">
        <v>41849</v>
      </c>
      <c r="C1245" s="5">
        <v>2146</v>
      </c>
    </row>
    <row r="1246" spans="1:3" x14ac:dyDescent="0.2">
      <c r="A1246" s="2">
        <v>11498</v>
      </c>
      <c r="B1246" s="4">
        <v>41849</v>
      </c>
      <c r="C1246" s="5">
        <v>320</v>
      </c>
    </row>
    <row r="1247" spans="1:3" x14ac:dyDescent="0.2">
      <c r="A1247" s="2">
        <v>11499</v>
      </c>
      <c r="B1247" s="4">
        <v>41850</v>
      </c>
      <c r="C1247" s="5">
        <v>334</v>
      </c>
    </row>
    <row r="1248" spans="1:3" x14ac:dyDescent="0.2">
      <c r="A1248" s="2">
        <v>11500</v>
      </c>
      <c r="B1248" s="4">
        <v>41850</v>
      </c>
      <c r="C1248" s="5">
        <v>1165</v>
      </c>
    </row>
    <row r="1249" spans="1:3" x14ac:dyDescent="0.2">
      <c r="A1249" s="2">
        <v>11501</v>
      </c>
      <c r="B1249" s="4">
        <v>41850</v>
      </c>
      <c r="C1249" s="5">
        <v>1235</v>
      </c>
    </row>
    <row r="1250" spans="1:3" x14ac:dyDescent="0.2">
      <c r="A1250" s="2">
        <v>11502</v>
      </c>
      <c r="B1250" s="4">
        <v>41853</v>
      </c>
      <c r="C1250" s="5">
        <v>3040</v>
      </c>
    </row>
    <row r="1251" spans="1:3" x14ac:dyDescent="0.2">
      <c r="A1251" s="2">
        <v>11503</v>
      </c>
      <c r="B1251" s="4">
        <v>41853</v>
      </c>
      <c r="C1251" s="5">
        <v>2940</v>
      </c>
    </row>
    <row r="1252" spans="1:3" x14ac:dyDescent="0.2">
      <c r="A1252" s="2">
        <v>11504</v>
      </c>
      <c r="B1252" s="4">
        <v>41854</v>
      </c>
      <c r="C1252" s="5">
        <v>933</v>
      </c>
    </row>
    <row r="1253" spans="1:3" x14ac:dyDescent="0.2">
      <c r="A1253" s="2">
        <v>11505</v>
      </c>
      <c r="B1253" s="4">
        <v>41854</v>
      </c>
      <c r="C1253" s="5">
        <v>1704</v>
      </c>
    </row>
    <row r="1254" spans="1:3" x14ac:dyDescent="0.2">
      <c r="A1254" s="2">
        <v>11506</v>
      </c>
      <c r="B1254" s="4">
        <v>41854</v>
      </c>
      <c r="C1254" s="5">
        <v>2100</v>
      </c>
    </row>
    <row r="1255" spans="1:3" x14ac:dyDescent="0.2">
      <c r="A1255" s="2">
        <v>11507</v>
      </c>
      <c r="B1255" s="4">
        <v>41855</v>
      </c>
      <c r="C1255" s="5">
        <v>417</v>
      </c>
    </row>
    <row r="1256" spans="1:3" x14ac:dyDescent="0.2">
      <c r="A1256" s="2">
        <v>11508</v>
      </c>
      <c r="B1256" s="4">
        <v>41855</v>
      </c>
      <c r="C1256" s="5">
        <v>14</v>
      </c>
    </row>
    <row r="1257" spans="1:3" x14ac:dyDescent="0.2">
      <c r="A1257" s="2">
        <v>11509</v>
      </c>
      <c r="B1257" s="4">
        <v>41856</v>
      </c>
      <c r="C1257" s="5">
        <v>1210</v>
      </c>
    </row>
    <row r="1258" spans="1:3" x14ac:dyDescent="0.2">
      <c r="A1258" s="2">
        <v>11510</v>
      </c>
      <c r="B1258" s="4">
        <v>41856</v>
      </c>
      <c r="C1258" s="5">
        <v>100</v>
      </c>
    </row>
    <row r="1259" spans="1:3" x14ac:dyDescent="0.2">
      <c r="A1259" s="2">
        <v>11511</v>
      </c>
      <c r="B1259" s="4">
        <v>41856</v>
      </c>
      <c r="C1259" s="5">
        <v>133</v>
      </c>
    </row>
    <row r="1260" spans="1:3" x14ac:dyDescent="0.2">
      <c r="A1260" s="2">
        <v>11512</v>
      </c>
      <c r="B1260" s="4">
        <v>41857</v>
      </c>
      <c r="C1260" s="5">
        <v>633</v>
      </c>
    </row>
    <row r="1261" spans="1:3" x14ac:dyDescent="0.2">
      <c r="A1261" s="2">
        <v>11513</v>
      </c>
      <c r="B1261" s="4">
        <v>41857</v>
      </c>
      <c r="C1261" s="5">
        <v>1364</v>
      </c>
    </row>
    <row r="1262" spans="1:3" x14ac:dyDescent="0.2">
      <c r="A1262" s="2">
        <v>11514</v>
      </c>
      <c r="B1262" s="4">
        <v>41860</v>
      </c>
      <c r="C1262" s="5">
        <v>483</v>
      </c>
    </row>
    <row r="1263" spans="1:3" x14ac:dyDescent="0.2">
      <c r="A1263" s="2">
        <v>11515</v>
      </c>
      <c r="B1263" s="4">
        <v>41860</v>
      </c>
      <c r="C1263" s="5">
        <v>1542</v>
      </c>
    </row>
    <row r="1264" spans="1:3" x14ac:dyDescent="0.2">
      <c r="A1264" s="2">
        <v>11516</v>
      </c>
      <c r="B1264" s="4">
        <v>41860</v>
      </c>
      <c r="C1264" s="5">
        <v>16</v>
      </c>
    </row>
    <row r="1265" spans="1:3" x14ac:dyDescent="0.2">
      <c r="A1265" s="2">
        <v>11517</v>
      </c>
      <c r="B1265" s="4">
        <v>41861</v>
      </c>
      <c r="C1265" s="5">
        <v>6740</v>
      </c>
    </row>
    <row r="1266" spans="1:3" x14ac:dyDescent="0.2">
      <c r="A1266" s="2">
        <v>11518</v>
      </c>
      <c r="B1266" s="4">
        <v>41861</v>
      </c>
      <c r="C1266" s="5">
        <v>8685</v>
      </c>
    </row>
    <row r="1267" spans="1:3" x14ac:dyDescent="0.2">
      <c r="A1267" s="2">
        <v>11519</v>
      </c>
      <c r="B1267" s="4">
        <v>41862</v>
      </c>
      <c r="C1267" s="5">
        <v>620</v>
      </c>
    </row>
    <row r="1268" spans="1:3" x14ac:dyDescent="0.2">
      <c r="A1268" s="2">
        <v>11520</v>
      </c>
      <c r="B1268" s="4">
        <v>41862</v>
      </c>
      <c r="C1268" s="5">
        <v>345</v>
      </c>
    </row>
    <row r="1269" spans="1:3" x14ac:dyDescent="0.2">
      <c r="A1269" s="2">
        <v>11521</v>
      </c>
      <c r="B1269" s="4">
        <v>41862</v>
      </c>
      <c r="C1269" s="5">
        <v>840</v>
      </c>
    </row>
    <row r="1270" spans="1:3" x14ac:dyDescent="0.2">
      <c r="A1270" s="2">
        <v>11522</v>
      </c>
      <c r="B1270" s="4">
        <v>41863</v>
      </c>
      <c r="C1270" s="5">
        <v>500</v>
      </c>
    </row>
    <row r="1271" spans="1:3" x14ac:dyDescent="0.2">
      <c r="A1271" s="2">
        <v>11523</v>
      </c>
      <c r="B1271" s="4">
        <v>41863</v>
      </c>
      <c r="C1271" s="5">
        <v>177</v>
      </c>
    </row>
    <row r="1272" spans="1:3" x14ac:dyDescent="0.2">
      <c r="A1272" s="2">
        <v>11524</v>
      </c>
      <c r="B1272" s="4">
        <v>41864</v>
      </c>
      <c r="C1272" s="5">
        <v>2305</v>
      </c>
    </row>
    <row r="1273" spans="1:3" x14ac:dyDescent="0.2">
      <c r="A1273" s="2">
        <v>11525</v>
      </c>
      <c r="B1273" s="4">
        <v>41864</v>
      </c>
      <c r="C1273" s="5">
        <v>183</v>
      </c>
    </row>
    <row r="1274" spans="1:3" x14ac:dyDescent="0.2">
      <c r="A1274" s="2">
        <v>11526</v>
      </c>
      <c r="B1274" s="4">
        <v>41864</v>
      </c>
      <c r="C1274" s="5">
        <v>776</v>
      </c>
    </row>
    <row r="1275" spans="1:3" x14ac:dyDescent="0.2">
      <c r="A1275" s="2">
        <v>11527</v>
      </c>
      <c r="B1275" s="4">
        <v>41867</v>
      </c>
      <c r="C1275" s="5">
        <v>525</v>
      </c>
    </row>
    <row r="1276" spans="1:3" x14ac:dyDescent="0.2">
      <c r="A1276" s="2">
        <v>11528</v>
      </c>
      <c r="B1276" s="4">
        <v>41867</v>
      </c>
      <c r="C1276" s="5">
        <v>618</v>
      </c>
    </row>
    <row r="1277" spans="1:3" x14ac:dyDescent="0.2">
      <c r="A1277" s="2">
        <v>11529</v>
      </c>
      <c r="B1277" s="4">
        <v>41868</v>
      </c>
      <c r="C1277" s="5">
        <v>705</v>
      </c>
    </row>
    <row r="1278" spans="1:3" x14ac:dyDescent="0.2">
      <c r="A1278" s="2">
        <v>11530</v>
      </c>
      <c r="B1278" s="4">
        <v>41868</v>
      </c>
      <c r="C1278" s="5">
        <v>1305</v>
      </c>
    </row>
    <row r="1279" spans="1:3" x14ac:dyDescent="0.2">
      <c r="A1279" s="2">
        <v>11531</v>
      </c>
      <c r="B1279" s="4">
        <v>41868</v>
      </c>
      <c r="C1279" s="5">
        <v>1444</v>
      </c>
    </row>
    <row r="1280" spans="1:3" x14ac:dyDescent="0.2">
      <c r="A1280" s="2">
        <v>11532</v>
      </c>
      <c r="B1280" s="4">
        <v>41869</v>
      </c>
      <c r="C1280" s="5">
        <v>2033</v>
      </c>
    </row>
    <row r="1281" spans="1:3" x14ac:dyDescent="0.2">
      <c r="A1281" s="2">
        <v>11533</v>
      </c>
      <c r="B1281" s="4">
        <v>41869</v>
      </c>
      <c r="C1281" s="5">
        <v>411</v>
      </c>
    </row>
    <row r="1282" spans="1:3" x14ac:dyDescent="0.2">
      <c r="A1282" s="2">
        <v>11534</v>
      </c>
      <c r="B1282" s="4">
        <v>41870</v>
      </c>
      <c r="C1282" s="5">
        <v>746</v>
      </c>
    </row>
    <row r="1283" spans="1:3" x14ac:dyDescent="0.2">
      <c r="A1283" s="2">
        <v>11535</v>
      </c>
      <c r="B1283" s="4">
        <v>41870</v>
      </c>
      <c r="C1283" s="5">
        <v>1132</v>
      </c>
    </row>
    <row r="1284" spans="1:3" x14ac:dyDescent="0.2">
      <c r="A1284" s="2">
        <v>11536</v>
      </c>
      <c r="B1284" s="4">
        <v>41870</v>
      </c>
      <c r="C1284" s="5">
        <v>633</v>
      </c>
    </row>
    <row r="1285" spans="1:3" x14ac:dyDescent="0.2">
      <c r="A1285" s="2">
        <v>11537</v>
      </c>
      <c r="B1285" s="4">
        <v>41871</v>
      </c>
      <c r="C1285" s="5">
        <v>3496</v>
      </c>
    </row>
    <row r="1286" spans="1:3" x14ac:dyDescent="0.2">
      <c r="A1286" s="2">
        <v>11538</v>
      </c>
      <c r="B1286" s="4">
        <v>41871</v>
      </c>
      <c r="C1286" s="5">
        <v>927</v>
      </c>
    </row>
    <row r="1287" spans="1:3" x14ac:dyDescent="0.2">
      <c r="A1287" s="2">
        <v>11539</v>
      </c>
      <c r="B1287" s="4">
        <v>41874</v>
      </c>
      <c r="C1287" s="5">
        <v>1927</v>
      </c>
    </row>
    <row r="1288" spans="1:3" x14ac:dyDescent="0.2">
      <c r="A1288" s="2">
        <v>11540</v>
      </c>
      <c r="B1288" s="4">
        <v>41874</v>
      </c>
      <c r="C1288" s="5">
        <v>690</v>
      </c>
    </row>
    <row r="1289" spans="1:3" x14ac:dyDescent="0.2">
      <c r="A1289" s="2">
        <v>11541</v>
      </c>
      <c r="B1289" s="4">
        <v>41874</v>
      </c>
      <c r="C1289" s="5">
        <v>190</v>
      </c>
    </row>
    <row r="1290" spans="1:3" x14ac:dyDescent="0.2">
      <c r="A1290" s="2">
        <v>11542</v>
      </c>
      <c r="B1290" s="4">
        <v>41875</v>
      </c>
      <c r="C1290" s="5">
        <v>3393</v>
      </c>
    </row>
    <row r="1291" spans="1:3" x14ac:dyDescent="0.2">
      <c r="A1291" s="2">
        <v>11543</v>
      </c>
      <c r="B1291" s="4">
        <v>41875</v>
      </c>
      <c r="C1291" s="5">
        <v>727</v>
      </c>
    </row>
    <row r="1292" spans="1:3" x14ac:dyDescent="0.2">
      <c r="A1292" s="2">
        <v>11544</v>
      </c>
      <c r="B1292" s="4">
        <v>41876</v>
      </c>
      <c r="C1292" s="5">
        <v>160</v>
      </c>
    </row>
    <row r="1293" spans="1:3" x14ac:dyDescent="0.2">
      <c r="A1293" s="2">
        <v>11545</v>
      </c>
      <c r="B1293" s="4">
        <v>41876</v>
      </c>
      <c r="C1293" s="5">
        <v>560</v>
      </c>
    </row>
    <row r="1294" spans="1:3" x14ac:dyDescent="0.2">
      <c r="A1294" s="2">
        <v>11546</v>
      </c>
      <c r="B1294" s="4">
        <v>41876</v>
      </c>
      <c r="C1294" s="5">
        <v>2965</v>
      </c>
    </row>
    <row r="1295" spans="1:3" x14ac:dyDescent="0.2">
      <c r="A1295" s="2">
        <v>11547</v>
      </c>
      <c r="B1295" s="4">
        <v>41877</v>
      </c>
      <c r="C1295" s="5">
        <v>806</v>
      </c>
    </row>
    <row r="1296" spans="1:3" x14ac:dyDescent="0.2">
      <c r="A1296" s="2">
        <v>11548</v>
      </c>
      <c r="B1296" s="4">
        <v>41877</v>
      </c>
      <c r="C1296" s="5">
        <v>4521</v>
      </c>
    </row>
    <row r="1297" spans="1:3" x14ac:dyDescent="0.2">
      <c r="A1297" s="2">
        <v>11549</v>
      </c>
      <c r="B1297" s="4">
        <v>41878</v>
      </c>
      <c r="C1297" s="5">
        <v>699</v>
      </c>
    </row>
    <row r="1298" spans="1:3" x14ac:dyDescent="0.2">
      <c r="A1298" s="2">
        <v>11550</v>
      </c>
      <c r="B1298" s="4">
        <v>42178</v>
      </c>
      <c r="C1298" s="5">
        <v>757</v>
      </c>
    </row>
    <row r="1299" spans="1:3" x14ac:dyDescent="0.2">
      <c r="A1299" s="2">
        <v>11551</v>
      </c>
      <c r="B1299" s="4">
        <v>42178</v>
      </c>
      <c r="C1299" s="5">
        <v>534</v>
      </c>
    </row>
    <row r="1300" spans="1:3" x14ac:dyDescent="0.2">
      <c r="A1300" s="2">
        <v>11552</v>
      </c>
      <c r="B1300" s="4">
        <v>42181</v>
      </c>
      <c r="C1300" s="5">
        <v>2032</v>
      </c>
    </row>
    <row r="1301" spans="1:3" x14ac:dyDescent="0.2">
      <c r="A1301" s="2">
        <v>11553</v>
      </c>
      <c r="B1301" s="4">
        <v>42181</v>
      </c>
      <c r="C1301" s="5">
        <v>2234</v>
      </c>
    </row>
    <row r="1302" spans="1:3" x14ac:dyDescent="0.2">
      <c r="A1302" s="2">
        <v>11554</v>
      </c>
      <c r="B1302" s="4">
        <v>42182</v>
      </c>
      <c r="C1302" s="5">
        <v>470</v>
      </c>
    </row>
    <row r="1303" spans="1:3" x14ac:dyDescent="0.2">
      <c r="A1303" s="2">
        <v>11555</v>
      </c>
      <c r="B1303" s="4">
        <v>42182</v>
      </c>
      <c r="C1303" s="5">
        <v>2560</v>
      </c>
    </row>
    <row r="1304" spans="1:3" x14ac:dyDescent="0.2">
      <c r="A1304" s="2">
        <v>11556</v>
      </c>
      <c r="B1304" s="4">
        <v>42182</v>
      </c>
      <c r="C1304" s="5">
        <v>1688</v>
      </c>
    </row>
    <row r="1305" spans="1:3" x14ac:dyDescent="0.2">
      <c r="A1305" s="2">
        <v>11557</v>
      </c>
      <c r="B1305" s="4">
        <v>42183</v>
      </c>
      <c r="C1305" s="5">
        <v>480</v>
      </c>
    </row>
    <row r="1306" spans="1:3" x14ac:dyDescent="0.2">
      <c r="A1306" s="2">
        <v>11558</v>
      </c>
      <c r="B1306" s="4">
        <v>42183</v>
      </c>
      <c r="C1306" s="5">
        <v>1955</v>
      </c>
    </row>
    <row r="1307" spans="1:3" x14ac:dyDescent="0.2">
      <c r="A1307" s="2">
        <v>11559</v>
      </c>
      <c r="B1307" s="4">
        <v>42184</v>
      </c>
      <c r="C1307" s="5">
        <v>484</v>
      </c>
    </row>
    <row r="1308" spans="1:3" x14ac:dyDescent="0.2">
      <c r="A1308" s="2">
        <v>11560</v>
      </c>
      <c r="B1308" s="4">
        <v>42184</v>
      </c>
      <c r="C1308" s="5">
        <v>1045</v>
      </c>
    </row>
    <row r="1309" spans="1:3" x14ac:dyDescent="0.2">
      <c r="A1309" s="2">
        <v>11561</v>
      </c>
      <c r="B1309" s="4">
        <v>42184</v>
      </c>
      <c r="C1309" s="5">
        <v>380</v>
      </c>
    </row>
    <row r="1310" spans="1:3" x14ac:dyDescent="0.2">
      <c r="A1310" s="2">
        <v>11562</v>
      </c>
      <c r="B1310" s="4">
        <v>42185</v>
      </c>
      <c r="C1310" s="5">
        <v>2584</v>
      </c>
    </row>
    <row r="1311" spans="1:3" x14ac:dyDescent="0.2">
      <c r="A1311" s="2">
        <v>11563</v>
      </c>
      <c r="B1311" s="4">
        <v>42185</v>
      </c>
      <c r="C1311" s="5">
        <v>440</v>
      </c>
    </row>
    <row r="1312" spans="1:3" x14ac:dyDescent="0.2">
      <c r="A1312" s="2">
        <v>11564</v>
      </c>
      <c r="B1312" s="4">
        <v>42188</v>
      </c>
      <c r="C1312" s="5">
        <v>380</v>
      </c>
    </row>
    <row r="1313" spans="1:3" x14ac:dyDescent="0.2">
      <c r="A1313" s="2">
        <v>11565</v>
      </c>
      <c r="B1313" s="4">
        <v>42188</v>
      </c>
      <c r="C1313" s="5">
        <v>202</v>
      </c>
    </row>
    <row r="1314" spans="1:3" x14ac:dyDescent="0.2">
      <c r="A1314" s="2">
        <v>11566</v>
      </c>
      <c r="B1314" s="4">
        <v>42188</v>
      </c>
      <c r="C1314" s="5">
        <v>13040</v>
      </c>
    </row>
    <row r="1315" spans="1:3" x14ac:dyDescent="0.2">
      <c r="A1315" s="2">
        <v>11567</v>
      </c>
      <c r="B1315" s="4">
        <v>42189</v>
      </c>
      <c r="C1315" s="5">
        <v>1072</v>
      </c>
    </row>
    <row r="1316" spans="1:3" x14ac:dyDescent="0.2">
      <c r="A1316" s="2">
        <v>11568</v>
      </c>
      <c r="B1316" s="4">
        <v>42189</v>
      </c>
      <c r="C1316" s="5">
        <v>75</v>
      </c>
    </row>
    <row r="1317" spans="1:3" x14ac:dyDescent="0.2">
      <c r="A1317" s="2">
        <v>11569</v>
      </c>
      <c r="B1317" s="4">
        <v>42190</v>
      </c>
      <c r="C1317" s="5">
        <v>1480</v>
      </c>
    </row>
    <row r="1318" spans="1:3" x14ac:dyDescent="0.2">
      <c r="A1318" s="2">
        <v>11570</v>
      </c>
      <c r="B1318" s="4">
        <v>42190</v>
      </c>
      <c r="C1318" s="5">
        <v>1160</v>
      </c>
    </row>
    <row r="1319" spans="1:3" x14ac:dyDescent="0.2">
      <c r="A1319" s="2">
        <v>11571</v>
      </c>
      <c r="B1319" s="4">
        <v>42190</v>
      </c>
      <c r="C1319" s="5">
        <v>119</v>
      </c>
    </row>
    <row r="1320" spans="1:3" x14ac:dyDescent="0.2">
      <c r="A1320" s="2">
        <v>11572</v>
      </c>
      <c r="B1320" s="4">
        <v>42191</v>
      </c>
      <c r="C1320" s="5">
        <v>1570</v>
      </c>
    </row>
    <row r="1321" spans="1:3" x14ac:dyDescent="0.2">
      <c r="A1321" s="2">
        <v>11573</v>
      </c>
      <c r="B1321" s="4">
        <v>42191</v>
      </c>
      <c r="C1321" s="5">
        <v>1631</v>
      </c>
    </row>
    <row r="1322" spans="1:3" x14ac:dyDescent="0.2">
      <c r="A1322" s="2">
        <v>11574</v>
      </c>
      <c r="B1322" s="4">
        <v>42192</v>
      </c>
      <c r="C1322" s="5">
        <v>242</v>
      </c>
    </row>
    <row r="1323" spans="1:3" x14ac:dyDescent="0.2">
      <c r="A1323" s="2">
        <v>11575</v>
      </c>
      <c r="B1323" s="4">
        <v>42192</v>
      </c>
      <c r="C1323" s="5">
        <v>230</v>
      </c>
    </row>
    <row r="1324" spans="1:3" x14ac:dyDescent="0.2">
      <c r="A1324" s="2">
        <v>11576</v>
      </c>
      <c r="B1324" s="4">
        <v>42192</v>
      </c>
      <c r="C1324" s="5">
        <v>547</v>
      </c>
    </row>
    <row r="1325" spans="1:3" x14ac:dyDescent="0.2">
      <c r="A1325" s="2">
        <v>11577</v>
      </c>
      <c r="B1325" s="4">
        <v>42195</v>
      </c>
      <c r="C1325" s="5">
        <v>689</v>
      </c>
    </row>
    <row r="1326" spans="1:3" x14ac:dyDescent="0.2">
      <c r="A1326" s="2">
        <v>11578</v>
      </c>
      <c r="B1326" s="4">
        <v>42195</v>
      </c>
      <c r="C1326" s="5">
        <v>1565</v>
      </c>
    </row>
    <row r="1327" spans="1:3" x14ac:dyDescent="0.2">
      <c r="A1327" s="2">
        <v>11579</v>
      </c>
      <c r="B1327" s="4">
        <v>42196</v>
      </c>
      <c r="C1327" s="5">
        <v>1220</v>
      </c>
    </row>
    <row r="1328" spans="1:3" x14ac:dyDescent="0.2">
      <c r="A1328" s="2">
        <v>11580</v>
      </c>
      <c r="B1328" s="4">
        <v>42196</v>
      </c>
      <c r="C1328" s="5">
        <v>458</v>
      </c>
    </row>
    <row r="1329" spans="1:3" x14ac:dyDescent="0.2">
      <c r="A1329" s="2">
        <v>11581</v>
      </c>
      <c r="B1329" s="4">
        <v>42196</v>
      </c>
      <c r="C1329" s="5">
        <v>1360</v>
      </c>
    </row>
    <row r="1330" spans="1:3" x14ac:dyDescent="0.2">
      <c r="A1330" s="2">
        <v>11582</v>
      </c>
      <c r="B1330" s="4">
        <v>42197</v>
      </c>
      <c r="C1330" s="5">
        <v>110</v>
      </c>
    </row>
    <row r="1331" spans="1:3" x14ac:dyDescent="0.2">
      <c r="A1331" s="2">
        <v>11583</v>
      </c>
      <c r="B1331" s="4">
        <v>42197</v>
      </c>
      <c r="C1331" s="5">
        <v>710</v>
      </c>
    </row>
    <row r="1332" spans="1:3" x14ac:dyDescent="0.2">
      <c r="A1332" s="2">
        <v>11584</v>
      </c>
      <c r="B1332" s="4">
        <v>42198</v>
      </c>
      <c r="C1332" s="5">
        <v>24</v>
      </c>
    </row>
    <row r="1333" spans="1:3" x14ac:dyDescent="0.2">
      <c r="A1333" s="2">
        <v>11585</v>
      </c>
      <c r="B1333" s="4">
        <v>42198</v>
      </c>
      <c r="C1333" s="5">
        <v>1060</v>
      </c>
    </row>
    <row r="1334" spans="1:3" x14ac:dyDescent="0.2">
      <c r="A1334" s="2">
        <v>11586</v>
      </c>
      <c r="B1334" s="4">
        <v>42198</v>
      </c>
      <c r="C1334" s="5">
        <v>871</v>
      </c>
    </row>
    <row r="1335" spans="1:3" x14ac:dyDescent="0.2">
      <c r="A1335" s="2">
        <v>11587</v>
      </c>
      <c r="B1335" s="4">
        <v>42199</v>
      </c>
      <c r="C1335" s="5">
        <v>2285</v>
      </c>
    </row>
    <row r="1336" spans="1:3" x14ac:dyDescent="0.2">
      <c r="A1336" s="2">
        <v>11588</v>
      </c>
      <c r="B1336" s="4">
        <v>42199</v>
      </c>
      <c r="C1336" s="5">
        <v>50</v>
      </c>
    </row>
    <row r="1337" spans="1:3" x14ac:dyDescent="0.2">
      <c r="A1337" s="2">
        <v>11589</v>
      </c>
      <c r="B1337" s="4">
        <v>42202</v>
      </c>
      <c r="C1337" s="5">
        <v>442</v>
      </c>
    </row>
    <row r="1338" spans="1:3" x14ac:dyDescent="0.2">
      <c r="A1338" s="2">
        <v>11590</v>
      </c>
      <c r="B1338" s="4">
        <v>42202</v>
      </c>
      <c r="C1338" s="5">
        <v>8640</v>
      </c>
    </row>
    <row r="1339" spans="1:3" x14ac:dyDescent="0.2">
      <c r="A1339" s="2">
        <v>11591</v>
      </c>
      <c r="B1339" s="4">
        <v>42202</v>
      </c>
      <c r="C1339" s="5">
        <v>633</v>
      </c>
    </row>
    <row r="1340" spans="1:3" x14ac:dyDescent="0.2">
      <c r="A1340" s="2">
        <v>11592</v>
      </c>
      <c r="B1340" s="4">
        <v>42203</v>
      </c>
      <c r="C1340" s="5">
        <v>285</v>
      </c>
    </row>
    <row r="1341" spans="1:3" x14ac:dyDescent="0.2">
      <c r="A1341" s="2">
        <v>11593</v>
      </c>
      <c r="B1341" s="4">
        <v>42203</v>
      </c>
      <c r="C1341" s="5">
        <v>1640</v>
      </c>
    </row>
    <row r="1342" spans="1:3" x14ac:dyDescent="0.2">
      <c r="A1342" s="2">
        <v>11594</v>
      </c>
      <c r="B1342" s="4">
        <v>42204</v>
      </c>
      <c r="C1342" s="5">
        <v>4131</v>
      </c>
    </row>
    <row r="1343" spans="1:3" x14ac:dyDescent="0.2">
      <c r="A1343" s="2">
        <v>11595</v>
      </c>
      <c r="B1343" s="4">
        <v>42204</v>
      </c>
      <c r="C1343" s="5">
        <v>2062</v>
      </c>
    </row>
    <row r="1344" spans="1:3" x14ac:dyDescent="0.2">
      <c r="A1344" s="2">
        <v>11596</v>
      </c>
      <c r="B1344" s="4">
        <v>42204</v>
      </c>
      <c r="C1344" s="5">
        <v>4689</v>
      </c>
    </row>
    <row r="1345" spans="1:3" x14ac:dyDescent="0.2">
      <c r="A1345" s="2">
        <v>11597</v>
      </c>
      <c r="B1345" s="4">
        <v>42205</v>
      </c>
      <c r="C1345" s="5">
        <v>553</v>
      </c>
    </row>
    <row r="1346" spans="1:3" x14ac:dyDescent="0.2">
      <c r="A1346" s="2">
        <v>11598</v>
      </c>
      <c r="B1346" s="4">
        <v>42205</v>
      </c>
      <c r="C1346" s="5">
        <v>8204</v>
      </c>
    </row>
    <row r="1347" spans="1:3" x14ac:dyDescent="0.2">
      <c r="A1347" s="2">
        <v>11599</v>
      </c>
      <c r="B1347" s="4">
        <v>42206</v>
      </c>
      <c r="C1347" s="5">
        <v>20</v>
      </c>
    </row>
    <row r="1348" spans="1:3" x14ac:dyDescent="0.2">
      <c r="A1348" s="2">
        <v>11600</v>
      </c>
      <c r="B1348" s="4">
        <v>42206</v>
      </c>
      <c r="C1348" s="5">
        <v>104</v>
      </c>
    </row>
    <row r="1349" spans="1:3" x14ac:dyDescent="0.2">
      <c r="A1349" s="2">
        <v>11601</v>
      </c>
      <c r="B1349" s="4">
        <v>42206</v>
      </c>
      <c r="C1349" s="5">
        <v>33</v>
      </c>
    </row>
    <row r="1350" spans="1:3" x14ac:dyDescent="0.2">
      <c r="A1350" s="2">
        <v>11602</v>
      </c>
      <c r="B1350" s="4">
        <v>42209</v>
      </c>
      <c r="C1350" s="5">
        <v>690</v>
      </c>
    </row>
    <row r="1351" spans="1:3" x14ac:dyDescent="0.2">
      <c r="A1351" s="2">
        <v>11603</v>
      </c>
      <c r="B1351" s="4">
        <v>42209</v>
      </c>
      <c r="C1351" s="5">
        <v>762</v>
      </c>
    </row>
    <row r="1352" spans="1:3" x14ac:dyDescent="0.2">
      <c r="A1352" s="2">
        <v>11604</v>
      </c>
      <c r="B1352" s="4">
        <v>42210</v>
      </c>
      <c r="C1352" s="5">
        <v>676</v>
      </c>
    </row>
    <row r="1353" spans="1:3" x14ac:dyDescent="0.2">
      <c r="A1353" s="2">
        <v>11605</v>
      </c>
      <c r="B1353" s="4">
        <v>42210</v>
      </c>
      <c r="C1353" s="5">
        <v>1445</v>
      </c>
    </row>
    <row r="1354" spans="1:3" x14ac:dyDescent="0.2">
      <c r="A1354" s="2">
        <v>11606</v>
      </c>
      <c r="B1354" s="4">
        <v>42210</v>
      </c>
      <c r="C1354" s="5">
        <v>260</v>
      </c>
    </row>
    <row r="1355" spans="1:3" x14ac:dyDescent="0.2">
      <c r="A1355" s="2">
        <v>11607</v>
      </c>
      <c r="B1355" s="4">
        <v>42211</v>
      </c>
      <c r="C1355" s="5">
        <v>315</v>
      </c>
    </row>
    <row r="1356" spans="1:3" x14ac:dyDescent="0.2">
      <c r="A1356" s="2">
        <v>11608</v>
      </c>
      <c r="B1356" s="4">
        <v>42211</v>
      </c>
      <c r="C1356" s="5">
        <v>70</v>
      </c>
    </row>
    <row r="1357" spans="1:3" x14ac:dyDescent="0.2">
      <c r="A1357" s="2">
        <v>11609</v>
      </c>
      <c r="B1357" s="4">
        <v>42212</v>
      </c>
      <c r="C1357" s="5">
        <v>510</v>
      </c>
    </row>
    <row r="1358" spans="1:3" x14ac:dyDescent="0.2">
      <c r="A1358" s="2">
        <v>11610</v>
      </c>
      <c r="B1358" s="4">
        <v>42212</v>
      </c>
      <c r="C1358" s="5">
        <v>494</v>
      </c>
    </row>
    <row r="1359" spans="1:3" x14ac:dyDescent="0.2">
      <c r="A1359" s="2">
        <v>11611</v>
      </c>
      <c r="B1359" s="4">
        <v>42212</v>
      </c>
      <c r="C1359" s="5">
        <v>339</v>
      </c>
    </row>
    <row r="1360" spans="1:3" x14ac:dyDescent="0.2">
      <c r="A1360" s="2">
        <v>11612</v>
      </c>
      <c r="B1360" s="4">
        <v>42212</v>
      </c>
      <c r="C1360" s="5">
        <v>628</v>
      </c>
    </row>
    <row r="1361" spans="1:3" x14ac:dyDescent="0.2">
      <c r="A1361" s="2">
        <v>11613</v>
      </c>
      <c r="B1361" s="4">
        <v>42212</v>
      </c>
      <c r="C1361" s="5">
        <v>6280</v>
      </c>
    </row>
    <row r="1362" spans="1:3" x14ac:dyDescent="0.2">
      <c r="A1362" s="2">
        <v>11614</v>
      </c>
      <c r="B1362" s="4">
        <v>42212</v>
      </c>
      <c r="C1362" s="5">
        <v>670</v>
      </c>
    </row>
    <row r="1363" spans="1:3" x14ac:dyDescent="0.2">
      <c r="A1363" s="2">
        <v>11615</v>
      </c>
      <c r="B1363" s="4">
        <v>42213</v>
      </c>
      <c r="C1363" s="5">
        <v>400</v>
      </c>
    </row>
    <row r="1364" spans="1:3" x14ac:dyDescent="0.2">
      <c r="A1364" s="2">
        <v>11616</v>
      </c>
      <c r="B1364" s="4">
        <v>42213</v>
      </c>
      <c r="C1364" s="5">
        <v>370</v>
      </c>
    </row>
    <row r="1365" spans="1:3" x14ac:dyDescent="0.2">
      <c r="A1365" s="2">
        <v>11617</v>
      </c>
      <c r="B1365" s="4">
        <v>42213</v>
      </c>
      <c r="C1365" s="5">
        <v>502</v>
      </c>
    </row>
    <row r="1366" spans="1:3" x14ac:dyDescent="0.2">
      <c r="A1366" s="2">
        <v>11618</v>
      </c>
      <c r="B1366" s="4">
        <v>42216</v>
      </c>
      <c r="C1366" s="5">
        <v>269</v>
      </c>
    </row>
    <row r="1367" spans="1:3" x14ac:dyDescent="0.2">
      <c r="A1367" s="2">
        <v>11619</v>
      </c>
      <c r="B1367" s="4">
        <v>42216</v>
      </c>
      <c r="C1367" s="5">
        <v>1405</v>
      </c>
    </row>
    <row r="1368" spans="1:3" x14ac:dyDescent="0.2">
      <c r="A1368" s="2">
        <v>11620</v>
      </c>
      <c r="B1368" s="4">
        <v>42216</v>
      </c>
      <c r="C1368" s="5">
        <v>832</v>
      </c>
    </row>
    <row r="1369" spans="1:3" x14ac:dyDescent="0.2">
      <c r="A1369" s="2">
        <v>11621</v>
      </c>
      <c r="B1369" s="4">
        <v>42217</v>
      </c>
      <c r="C1369" s="5">
        <v>288</v>
      </c>
    </row>
    <row r="1370" spans="1:3" x14ac:dyDescent="0.2">
      <c r="A1370" s="2">
        <v>11622</v>
      </c>
      <c r="B1370" s="4">
        <v>42217</v>
      </c>
      <c r="C1370" s="5">
        <v>1450</v>
      </c>
    </row>
    <row r="1371" spans="1:3" x14ac:dyDescent="0.2">
      <c r="A1371" s="2">
        <v>11623</v>
      </c>
      <c r="B1371" s="4">
        <v>42217</v>
      </c>
      <c r="C1371" s="5">
        <v>540</v>
      </c>
    </row>
    <row r="1372" spans="1:3" x14ac:dyDescent="0.2">
      <c r="A1372" s="2">
        <v>11624</v>
      </c>
      <c r="B1372" s="4">
        <v>42217</v>
      </c>
      <c r="C1372" s="5">
        <v>690</v>
      </c>
    </row>
    <row r="1373" spans="1:3" x14ac:dyDescent="0.2">
      <c r="A1373" s="2">
        <v>11625</v>
      </c>
      <c r="B1373" s="4">
        <v>42218</v>
      </c>
      <c r="C1373" s="5">
        <v>1510</v>
      </c>
    </row>
    <row r="1374" spans="1:3" x14ac:dyDescent="0.2">
      <c r="A1374" s="2">
        <v>11626</v>
      </c>
      <c r="B1374" s="4">
        <v>42218</v>
      </c>
      <c r="C1374" s="5">
        <v>410</v>
      </c>
    </row>
    <row r="1375" spans="1:3" x14ac:dyDescent="0.2">
      <c r="A1375" s="2">
        <v>11627</v>
      </c>
      <c r="B1375" s="4">
        <v>42218</v>
      </c>
      <c r="C1375" s="5">
        <v>381</v>
      </c>
    </row>
    <row r="1376" spans="1:3" x14ac:dyDescent="0.2">
      <c r="A1376" s="2">
        <v>11628</v>
      </c>
      <c r="B1376" s="4">
        <v>42219</v>
      </c>
      <c r="C1376" s="5">
        <v>590</v>
      </c>
    </row>
    <row r="1377" spans="1:3" x14ac:dyDescent="0.2">
      <c r="A1377" s="2">
        <v>11629</v>
      </c>
      <c r="B1377" s="4">
        <v>42219</v>
      </c>
      <c r="C1377" s="5">
        <v>100</v>
      </c>
    </row>
    <row r="1378" spans="1:3" x14ac:dyDescent="0.2">
      <c r="A1378" s="2">
        <v>11630</v>
      </c>
      <c r="B1378" s="4">
        <v>42219</v>
      </c>
      <c r="C1378" s="5">
        <v>800</v>
      </c>
    </row>
    <row r="1379" spans="1:3" x14ac:dyDescent="0.2">
      <c r="A1379" s="2">
        <v>11631</v>
      </c>
      <c r="B1379" s="4">
        <v>42220</v>
      </c>
      <c r="C1379" s="5">
        <v>1827</v>
      </c>
    </row>
    <row r="1380" spans="1:3" x14ac:dyDescent="0.2">
      <c r="A1380" s="2">
        <v>11632</v>
      </c>
      <c r="B1380" s="4">
        <v>42220</v>
      </c>
      <c r="C1380" s="5">
        <v>588</v>
      </c>
    </row>
    <row r="1381" spans="1:3" x14ac:dyDescent="0.2">
      <c r="A1381" s="2">
        <v>11633</v>
      </c>
      <c r="B1381" s="4">
        <v>42220</v>
      </c>
      <c r="C1381" s="5">
        <v>1424</v>
      </c>
    </row>
    <row r="1382" spans="1:3" x14ac:dyDescent="0.2">
      <c r="A1382" s="2">
        <v>11634</v>
      </c>
      <c r="B1382" s="4">
        <v>42220</v>
      </c>
      <c r="C1382" s="5">
        <v>680</v>
      </c>
    </row>
    <row r="1383" spans="1:3" x14ac:dyDescent="0.2">
      <c r="A1383" s="2">
        <v>11635</v>
      </c>
      <c r="B1383" s="4">
        <v>42223</v>
      </c>
      <c r="C1383" s="5">
        <v>380</v>
      </c>
    </row>
    <row r="1384" spans="1:3" x14ac:dyDescent="0.2">
      <c r="A1384" s="2">
        <v>11636</v>
      </c>
      <c r="B1384" s="4">
        <v>42223</v>
      </c>
      <c r="C1384" s="5">
        <v>509</v>
      </c>
    </row>
    <row r="1385" spans="1:3" x14ac:dyDescent="0.2">
      <c r="A1385" s="2">
        <v>11637</v>
      </c>
      <c r="B1385" s="4">
        <v>42223</v>
      </c>
      <c r="C1385" s="5">
        <v>420</v>
      </c>
    </row>
    <row r="1386" spans="1:3" x14ac:dyDescent="0.2">
      <c r="A1386" s="2">
        <v>11638</v>
      </c>
      <c r="B1386" s="4">
        <v>42224</v>
      </c>
      <c r="C1386" s="5">
        <v>472</v>
      </c>
    </row>
    <row r="1387" spans="1:3" x14ac:dyDescent="0.2">
      <c r="A1387" s="2">
        <v>11639</v>
      </c>
      <c r="B1387" s="4">
        <v>42224</v>
      </c>
      <c r="C1387" s="5">
        <v>2705</v>
      </c>
    </row>
    <row r="1388" spans="1:3" x14ac:dyDescent="0.2">
      <c r="A1388" s="2">
        <v>11640</v>
      </c>
      <c r="B1388" s="4">
        <v>42224</v>
      </c>
      <c r="C1388" s="5">
        <v>540</v>
      </c>
    </row>
    <row r="1389" spans="1:3" x14ac:dyDescent="0.2">
      <c r="A1389" s="2">
        <v>11641</v>
      </c>
      <c r="B1389" s="4">
        <v>42225</v>
      </c>
      <c r="C1389" s="5">
        <v>256</v>
      </c>
    </row>
    <row r="1390" spans="1:3" x14ac:dyDescent="0.2">
      <c r="A1390" s="2">
        <v>11642</v>
      </c>
      <c r="B1390" s="4">
        <v>42225</v>
      </c>
      <c r="C1390" s="5">
        <v>3526</v>
      </c>
    </row>
    <row r="1391" spans="1:3" x14ac:dyDescent="0.2">
      <c r="A1391" s="2">
        <v>11643</v>
      </c>
      <c r="B1391" s="4">
        <v>42225</v>
      </c>
      <c r="C1391" s="5">
        <v>420</v>
      </c>
    </row>
    <row r="1392" spans="1:3" x14ac:dyDescent="0.2">
      <c r="A1392" s="2">
        <v>11644</v>
      </c>
      <c r="B1392" s="4">
        <v>42225</v>
      </c>
      <c r="C1392" s="5">
        <v>531</v>
      </c>
    </row>
    <row r="1393" spans="1:3" x14ac:dyDescent="0.2">
      <c r="A1393" s="2">
        <v>11645</v>
      </c>
      <c r="B1393" s="4">
        <v>42226</v>
      </c>
      <c r="C1393" s="5">
        <v>836</v>
      </c>
    </row>
    <row r="1394" spans="1:3" x14ac:dyDescent="0.2">
      <c r="A1394" s="2">
        <v>11646</v>
      </c>
      <c r="B1394" s="4">
        <v>42226</v>
      </c>
      <c r="C1394" s="5">
        <v>170</v>
      </c>
    </row>
    <row r="1395" spans="1:3" x14ac:dyDescent="0.2">
      <c r="A1395" s="2">
        <v>11647</v>
      </c>
      <c r="B1395" s="4">
        <v>42226</v>
      </c>
      <c r="C1395" s="5">
        <v>1010</v>
      </c>
    </row>
    <row r="1396" spans="1:3" x14ac:dyDescent="0.2">
      <c r="A1396" s="2">
        <v>11648</v>
      </c>
      <c r="B1396" s="4">
        <v>42227</v>
      </c>
      <c r="C1396" s="5">
        <v>164</v>
      </c>
    </row>
    <row r="1397" spans="1:3" x14ac:dyDescent="0.2">
      <c r="A1397" s="2">
        <v>11649</v>
      </c>
      <c r="B1397" s="4">
        <v>42227</v>
      </c>
      <c r="C1397" s="5">
        <v>1780</v>
      </c>
    </row>
    <row r="1398" spans="1:3" x14ac:dyDescent="0.2">
      <c r="A1398" s="2">
        <v>11650</v>
      </c>
      <c r="B1398" s="4">
        <v>42227</v>
      </c>
      <c r="C1398" s="5">
        <v>3312</v>
      </c>
    </row>
    <row r="1399" spans="1:3" x14ac:dyDescent="0.2">
      <c r="A1399" s="2">
        <v>11651</v>
      </c>
      <c r="B1399" s="4">
        <v>42230</v>
      </c>
      <c r="C1399" s="5">
        <v>80</v>
      </c>
    </row>
    <row r="1400" spans="1:3" x14ac:dyDescent="0.2">
      <c r="A1400" s="2">
        <v>11652</v>
      </c>
      <c r="B1400" s="4">
        <v>42230</v>
      </c>
      <c r="C1400" s="5">
        <v>307</v>
      </c>
    </row>
    <row r="1401" spans="1:3" x14ac:dyDescent="0.2">
      <c r="A1401" s="2">
        <v>11653</v>
      </c>
      <c r="B1401" s="4">
        <v>42230</v>
      </c>
      <c r="C1401" s="5">
        <v>372</v>
      </c>
    </row>
    <row r="1402" spans="1:3" x14ac:dyDescent="0.2">
      <c r="A1402" s="2">
        <v>11654</v>
      </c>
      <c r="B1402" s="4">
        <v>42230</v>
      </c>
      <c r="C1402" s="5">
        <v>3500</v>
      </c>
    </row>
    <row r="1403" spans="1:3" x14ac:dyDescent="0.2">
      <c r="A1403" s="2">
        <v>11655</v>
      </c>
      <c r="B1403" s="4">
        <v>42231</v>
      </c>
      <c r="C1403" s="5">
        <v>1399</v>
      </c>
    </row>
    <row r="1404" spans="1:3" x14ac:dyDescent="0.2">
      <c r="A1404" s="2">
        <v>11656</v>
      </c>
      <c r="B1404" s="4">
        <v>42231</v>
      </c>
      <c r="C1404" s="5">
        <v>60</v>
      </c>
    </row>
    <row r="1405" spans="1:3" x14ac:dyDescent="0.2">
      <c r="A1405" s="2">
        <v>11657</v>
      </c>
      <c r="B1405" s="4">
        <v>42231</v>
      </c>
      <c r="C1405" s="5">
        <v>502</v>
      </c>
    </row>
    <row r="1406" spans="1:3" x14ac:dyDescent="0.2">
      <c r="A1406" s="2">
        <v>11658</v>
      </c>
      <c r="B1406" s="4">
        <v>42232</v>
      </c>
      <c r="C1406" s="5">
        <v>1290</v>
      </c>
    </row>
    <row r="1407" spans="1:3" x14ac:dyDescent="0.2">
      <c r="A1407" s="2">
        <v>11659</v>
      </c>
      <c r="B1407" s="4">
        <v>42232</v>
      </c>
      <c r="C1407" s="5">
        <v>582</v>
      </c>
    </row>
    <row r="1408" spans="1:3" x14ac:dyDescent="0.2">
      <c r="A1408" s="2">
        <v>11660</v>
      </c>
      <c r="B1408" s="4">
        <v>42232</v>
      </c>
      <c r="C1408" s="5">
        <v>100</v>
      </c>
    </row>
    <row r="1409" spans="1:3" x14ac:dyDescent="0.2">
      <c r="A1409" s="2">
        <v>11661</v>
      </c>
      <c r="B1409" s="4">
        <v>42233</v>
      </c>
      <c r="C1409" s="5">
        <v>198</v>
      </c>
    </row>
    <row r="1410" spans="1:3" x14ac:dyDescent="0.2">
      <c r="A1410" s="2">
        <v>11662</v>
      </c>
      <c r="B1410" s="4">
        <v>42233</v>
      </c>
      <c r="C1410" s="5">
        <v>810</v>
      </c>
    </row>
    <row r="1411" spans="1:3" x14ac:dyDescent="0.2">
      <c r="A1411" s="2">
        <v>11663</v>
      </c>
      <c r="B1411" s="4">
        <v>42233</v>
      </c>
      <c r="C1411" s="5">
        <v>2613</v>
      </c>
    </row>
    <row r="1412" spans="1:3" x14ac:dyDescent="0.2">
      <c r="A1412" s="2">
        <v>11664</v>
      </c>
      <c r="B1412" s="4">
        <v>42233</v>
      </c>
      <c r="C1412" s="5">
        <v>50</v>
      </c>
    </row>
    <row r="1413" spans="1:3" x14ac:dyDescent="0.2">
      <c r="A1413" s="2">
        <v>11665</v>
      </c>
      <c r="B1413" s="4">
        <v>42234</v>
      </c>
      <c r="C1413" s="5">
        <v>1552</v>
      </c>
    </row>
    <row r="1414" spans="1:3" x14ac:dyDescent="0.2">
      <c r="A1414" s="2">
        <v>11666</v>
      </c>
      <c r="B1414" s="4">
        <v>42234</v>
      </c>
      <c r="C1414" s="5">
        <v>640</v>
      </c>
    </row>
    <row r="1415" spans="1:3" x14ac:dyDescent="0.2">
      <c r="A1415" s="2">
        <v>11667</v>
      </c>
      <c r="B1415" s="4">
        <v>42234</v>
      </c>
      <c r="C1415" s="5">
        <v>932</v>
      </c>
    </row>
    <row r="1416" spans="1:3" x14ac:dyDescent="0.2">
      <c r="A1416" s="2">
        <v>11668</v>
      </c>
      <c r="B1416" s="4">
        <v>42237</v>
      </c>
      <c r="C1416" s="5">
        <v>684</v>
      </c>
    </row>
    <row r="1417" spans="1:3" x14ac:dyDescent="0.2">
      <c r="A1417" s="2">
        <v>11669</v>
      </c>
      <c r="B1417" s="4">
        <v>42237</v>
      </c>
      <c r="C1417" s="5">
        <v>1030</v>
      </c>
    </row>
    <row r="1418" spans="1:3" x14ac:dyDescent="0.2">
      <c r="A1418" s="2">
        <v>11670</v>
      </c>
      <c r="B1418" s="4">
        <v>42237</v>
      </c>
      <c r="C1418" s="5">
        <v>81</v>
      </c>
    </row>
    <row r="1419" spans="1:3" x14ac:dyDescent="0.2">
      <c r="A1419" s="2">
        <v>11671</v>
      </c>
      <c r="B1419" s="4">
        <v>42238</v>
      </c>
      <c r="C1419" s="5">
        <v>200</v>
      </c>
    </row>
    <row r="1420" spans="1:3" x14ac:dyDescent="0.2">
      <c r="A1420" s="2">
        <v>11672</v>
      </c>
      <c r="B1420" s="4">
        <v>42238</v>
      </c>
      <c r="C1420" s="5">
        <v>1316</v>
      </c>
    </row>
    <row r="1421" spans="1:3" x14ac:dyDescent="0.2">
      <c r="A1421" s="2">
        <v>11673</v>
      </c>
      <c r="B1421" s="4">
        <v>42238</v>
      </c>
      <c r="C1421" s="5">
        <v>181</v>
      </c>
    </row>
    <row r="1422" spans="1:3" x14ac:dyDescent="0.2">
      <c r="A1422" s="2">
        <v>11674</v>
      </c>
      <c r="B1422" s="4">
        <v>42238</v>
      </c>
      <c r="C1422" s="5">
        <v>207</v>
      </c>
    </row>
    <row r="1423" spans="1:3" x14ac:dyDescent="0.2">
      <c r="A1423" s="2">
        <v>11675</v>
      </c>
      <c r="B1423" s="4">
        <v>42239</v>
      </c>
      <c r="C1423" s="5">
        <v>330</v>
      </c>
    </row>
    <row r="1424" spans="1:3" x14ac:dyDescent="0.2">
      <c r="A1424" s="2">
        <v>11676</v>
      </c>
      <c r="B1424" s="4">
        <v>42239</v>
      </c>
      <c r="C1424" s="5">
        <v>530</v>
      </c>
    </row>
    <row r="1425" spans="1:3" x14ac:dyDescent="0.2">
      <c r="A1425" s="2">
        <v>11677</v>
      </c>
      <c r="B1425" s="4">
        <v>42239</v>
      </c>
      <c r="C1425" s="5">
        <v>680</v>
      </c>
    </row>
    <row r="1426" spans="1:3" x14ac:dyDescent="0.2">
      <c r="A1426" s="2">
        <v>11678</v>
      </c>
      <c r="B1426" s="4">
        <v>42240</v>
      </c>
      <c r="C1426" s="5">
        <v>1660</v>
      </c>
    </row>
    <row r="1427" spans="1:3" x14ac:dyDescent="0.2">
      <c r="A1427" s="2">
        <v>11679</v>
      </c>
      <c r="B1427" s="4">
        <v>42240</v>
      </c>
      <c r="C1427" s="5">
        <v>1104</v>
      </c>
    </row>
    <row r="1428" spans="1:3" x14ac:dyDescent="0.2">
      <c r="A1428" s="2">
        <v>11680</v>
      </c>
      <c r="B1428" s="4">
        <v>42240</v>
      </c>
      <c r="C1428" s="5">
        <v>3557</v>
      </c>
    </row>
    <row r="1429" spans="1:3" x14ac:dyDescent="0.2">
      <c r="A1429" s="2">
        <v>11681</v>
      </c>
      <c r="B1429" s="4">
        <v>42241</v>
      </c>
      <c r="C1429" s="5">
        <v>200</v>
      </c>
    </row>
    <row r="1430" spans="1:3" x14ac:dyDescent="0.2">
      <c r="A1430" s="2">
        <v>11682</v>
      </c>
      <c r="B1430" s="4">
        <v>42241</v>
      </c>
      <c r="C1430" s="5">
        <v>12000</v>
      </c>
    </row>
    <row r="1431" spans="1:3" x14ac:dyDescent="0.2">
      <c r="A1431" s="2">
        <v>11683</v>
      </c>
      <c r="B1431" s="4">
        <v>42241</v>
      </c>
      <c r="C1431" s="5">
        <v>755</v>
      </c>
    </row>
    <row r="1432" spans="1:3" x14ac:dyDescent="0.2">
      <c r="A1432" s="2">
        <v>11684</v>
      </c>
      <c r="B1432" s="4">
        <v>42241</v>
      </c>
      <c r="C1432" s="5">
        <v>546</v>
      </c>
    </row>
    <row r="1433" spans="1:3" x14ac:dyDescent="0.2">
      <c r="A1433" s="2">
        <v>11685</v>
      </c>
      <c r="B1433" s="4">
        <v>42244</v>
      </c>
      <c r="C1433" s="5">
        <v>1335</v>
      </c>
    </row>
    <row r="1434" spans="1:3" x14ac:dyDescent="0.2">
      <c r="A1434" s="2">
        <v>11686</v>
      </c>
      <c r="B1434" s="4">
        <v>42244</v>
      </c>
      <c r="C1434" s="5">
        <v>1684</v>
      </c>
    </row>
    <row r="1435" spans="1:3" x14ac:dyDescent="0.2">
      <c r="A1435" s="2">
        <v>11687</v>
      </c>
      <c r="B1435" s="4">
        <v>42244</v>
      </c>
      <c r="C1435" s="5">
        <v>1660</v>
      </c>
    </row>
    <row r="1436" spans="1:3" x14ac:dyDescent="0.2">
      <c r="A1436" s="2">
        <v>11688</v>
      </c>
      <c r="B1436" s="4">
        <v>42245</v>
      </c>
      <c r="C1436" s="5">
        <v>2050</v>
      </c>
    </row>
    <row r="1437" spans="1:3" x14ac:dyDescent="0.2">
      <c r="A1437" s="2">
        <v>11689</v>
      </c>
      <c r="B1437" s="4">
        <v>42245</v>
      </c>
      <c r="C1437" s="5">
        <v>2800</v>
      </c>
    </row>
    <row r="1438" spans="1:3" x14ac:dyDescent="0.2">
      <c r="A1438" s="2">
        <v>11690</v>
      </c>
      <c r="B1438" s="4">
        <v>42245</v>
      </c>
      <c r="C1438" s="5">
        <v>1028</v>
      </c>
    </row>
    <row r="1439" spans="1:3" x14ac:dyDescent="0.2">
      <c r="A1439" s="2">
        <v>11691</v>
      </c>
      <c r="B1439" s="4">
        <v>42246</v>
      </c>
      <c r="C1439" s="5">
        <v>3611</v>
      </c>
    </row>
    <row r="1440" spans="1:3" x14ac:dyDescent="0.2">
      <c r="A1440" s="2">
        <v>11692</v>
      </c>
      <c r="B1440" s="4">
        <v>42246</v>
      </c>
      <c r="C1440" s="5">
        <v>2090</v>
      </c>
    </row>
    <row r="1441" spans="1:3" x14ac:dyDescent="0.2">
      <c r="A1441" s="2">
        <v>11693</v>
      </c>
      <c r="B1441" s="4">
        <v>42246</v>
      </c>
      <c r="C1441" s="5">
        <v>52</v>
      </c>
    </row>
    <row r="1442" spans="1:3" x14ac:dyDescent="0.2">
      <c r="A1442" s="2">
        <v>11694</v>
      </c>
      <c r="B1442" s="4">
        <v>42246</v>
      </c>
      <c r="C1442" s="5">
        <v>4945</v>
      </c>
    </row>
    <row r="1443" spans="1:3" x14ac:dyDescent="0.2">
      <c r="A1443" s="2">
        <v>11695</v>
      </c>
      <c r="B1443" s="4">
        <v>42247</v>
      </c>
      <c r="C1443" s="5">
        <v>738</v>
      </c>
    </row>
    <row r="1444" spans="1:3" x14ac:dyDescent="0.2">
      <c r="A1444" s="2">
        <v>11696</v>
      </c>
      <c r="B1444" s="4">
        <v>42247</v>
      </c>
      <c r="C1444" s="5">
        <v>900</v>
      </c>
    </row>
    <row r="1445" spans="1:3" x14ac:dyDescent="0.2">
      <c r="A1445" s="2">
        <v>11697</v>
      </c>
      <c r="B1445" s="4">
        <v>42247</v>
      </c>
      <c r="C1445" s="5">
        <v>400</v>
      </c>
    </row>
    <row r="1446" spans="1:3" x14ac:dyDescent="0.2">
      <c r="A1446" s="2">
        <v>11698</v>
      </c>
      <c r="B1446" s="4">
        <v>42248</v>
      </c>
      <c r="C1446" s="5">
        <v>1480</v>
      </c>
    </row>
    <row r="1447" spans="1:3" x14ac:dyDescent="0.2">
      <c r="A1447" s="2">
        <v>11699</v>
      </c>
      <c r="B1447" s="4">
        <v>42248</v>
      </c>
      <c r="C1447" s="5">
        <v>473</v>
      </c>
    </row>
    <row r="1448" spans="1:3" x14ac:dyDescent="0.2">
      <c r="A1448" s="2">
        <v>11700</v>
      </c>
      <c r="B1448" s="4">
        <v>42248</v>
      </c>
      <c r="C1448" s="5">
        <v>929</v>
      </c>
    </row>
    <row r="1449" spans="1:3" x14ac:dyDescent="0.2">
      <c r="A1449" s="2">
        <v>11701</v>
      </c>
      <c r="B1449" s="4">
        <v>42251</v>
      </c>
      <c r="C1449" s="5">
        <v>760</v>
      </c>
    </row>
    <row r="1450" spans="1:3" x14ac:dyDescent="0.2">
      <c r="A1450" s="2">
        <v>11702</v>
      </c>
      <c r="B1450" s="4">
        <v>42251</v>
      </c>
      <c r="C1450" s="5">
        <v>2053</v>
      </c>
    </row>
    <row r="1451" spans="1:3" x14ac:dyDescent="0.2">
      <c r="A1451" s="2">
        <v>11703</v>
      </c>
      <c r="B1451" s="4">
        <v>42251</v>
      </c>
      <c r="C1451" s="5">
        <v>1379</v>
      </c>
    </row>
    <row r="1452" spans="1:3" x14ac:dyDescent="0.2">
      <c r="A1452" s="2">
        <v>11704</v>
      </c>
      <c r="B1452" s="4">
        <v>42251</v>
      </c>
      <c r="C1452" s="5">
        <v>242</v>
      </c>
    </row>
    <row r="1453" spans="1:3" x14ac:dyDescent="0.2">
      <c r="A1453" s="2">
        <v>11705</v>
      </c>
      <c r="B1453" s="4">
        <v>42252</v>
      </c>
      <c r="C1453" s="5">
        <v>216</v>
      </c>
    </row>
    <row r="1454" spans="1:3" x14ac:dyDescent="0.2">
      <c r="A1454" s="2">
        <v>11706</v>
      </c>
      <c r="B1454" s="4">
        <v>42252</v>
      </c>
      <c r="C1454" s="5">
        <v>436</v>
      </c>
    </row>
    <row r="1455" spans="1:3" x14ac:dyDescent="0.2">
      <c r="A1455" s="2">
        <v>11707</v>
      </c>
      <c r="B1455" s="4">
        <v>42252</v>
      </c>
      <c r="C1455" s="5">
        <v>292</v>
      </c>
    </row>
    <row r="1456" spans="1:3" x14ac:dyDescent="0.2">
      <c r="A1456" s="2">
        <v>11708</v>
      </c>
      <c r="B1456" s="4">
        <v>42253</v>
      </c>
      <c r="C1456" s="5">
        <v>1980</v>
      </c>
    </row>
    <row r="1457" spans="1:3" x14ac:dyDescent="0.2">
      <c r="A1457" s="2">
        <v>11709</v>
      </c>
      <c r="B1457" s="4">
        <v>42253</v>
      </c>
      <c r="C1457" s="5">
        <v>3616</v>
      </c>
    </row>
    <row r="1458" spans="1:3" x14ac:dyDescent="0.2">
      <c r="A1458" s="2">
        <v>11710</v>
      </c>
      <c r="B1458" s="4">
        <v>42253</v>
      </c>
      <c r="C1458" s="5">
        <v>513</v>
      </c>
    </row>
    <row r="1459" spans="1:3" x14ac:dyDescent="0.2">
      <c r="A1459" s="2">
        <v>11711</v>
      </c>
      <c r="B1459" s="4">
        <v>42254</v>
      </c>
      <c r="C1459" s="5">
        <v>470</v>
      </c>
    </row>
    <row r="1460" spans="1:3" x14ac:dyDescent="0.2">
      <c r="A1460" s="2">
        <v>11712</v>
      </c>
      <c r="B1460" s="4">
        <v>42254</v>
      </c>
      <c r="C1460" s="5">
        <v>720</v>
      </c>
    </row>
    <row r="1461" spans="1:3" x14ac:dyDescent="0.2">
      <c r="A1461" s="2">
        <v>11713</v>
      </c>
      <c r="B1461" s="4">
        <v>42254</v>
      </c>
      <c r="C1461" s="5">
        <v>2210</v>
      </c>
    </row>
    <row r="1462" spans="1:3" x14ac:dyDescent="0.2">
      <c r="A1462" s="2">
        <v>11714</v>
      </c>
      <c r="B1462" s="4">
        <v>42254</v>
      </c>
      <c r="C1462" s="5">
        <v>258</v>
      </c>
    </row>
    <row r="1463" spans="1:3" x14ac:dyDescent="0.2">
      <c r="A1463" s="2">
        <v>11715</v>
      </c>
      <c r="B1463" s="4">
        <v>42255</v>
      </c>
      <c r="C1463" s="5">
        <v>196</v>
      </c>
    </row>
    <row r="1464" spans="1:3" x14ac:dyDescent="0.2">
      <c r="A1464" s="2">
        <v>11716</v>
      </c>
      <c r="B1464" s="4">
        <v>42255</v>
      </c>
      <c r="C1464" s="5">
        <v>447</v>
      </c>
    </row>
    <row r="1465" spans="1:3" x14ac:dyDescent="0.2">
      <c r="A1465" s="2">
        <v>11717</v>
      </c>
      <c r="B1465" s="4">
        <v>42255</v>
      </c>
      <c r="C1465" s="5">
        <v>359</v>
      </c>
    </row>
    <row r="1466" spans="1:3" x14ac:dyDescent="0.2">
      <c r="A1466" s="2">
        <v>11718</v>
      </c>
      <c r="B1466" s="4">
        <v>42258</v>
      </c>
      <c r="C1466" s="5">
        <v>5015</v>
      </c>
    </row>
    <row r="1467" spans="1:3" x14ac:dyDescent="0.2">
      <c r="A1467" s="2">
        <v>11719</v>
      </c>
      <c r="B1467" s="4">
        <v>42258</v>
      </c>
      <c r="C1467" s="5">
        <v>1170</v>
      </c>
    </row>
    <row r="1468" spans="1:3" x14ac:dyDescent="0.2">
      <c r="A1468" s="2">
        <v>11720</v>
      </c>
      <c r="B1468" s="4">
        <v>42258</v>
      </c>
      <c r="C1468" s="5">
        <v>57</v>
      </c>
    </row>
    <row r="1469" spans="1:3" x14ac:dyDescent="0.2">
      <c r="A1469" s="2">
        <v>11721</v>
      </c>
      <c r="B1469" s="4">
        <v>42259</v>
      </c>
      <c r="C1469" s="5">
        <v>552</v>
      </c>
    </row>
    <row r="1470" spans="1:3" x14ac:dyDescent="0.2">
      <c r="A1470" s="2">
        <v>11722</v>
      </c>
      <c r="B1470" s="4">
        <v>42259</v>
      </c>
      <c r="C1470" s="5">
        <v>5188</v>
      </c>
    </row>
    <row r="1471" spans="1:3" x14ac:dyDescent="0.2">
      <c r="A1471" s="2">
        <v>11723</v>
      </c>
      <c r="B1471" s="4">
        <v>42259</v>
      </c>
      <c r="C1471" s="5">
        <v>1055</v>
      </c>
    </row>
    <row r="1472" spans="1:3" x14ac:dyDescent="0.2">
      <c r="A1472" s="2">
        <v>11724</v>
      </c>
      <c r="B1472" s="4">
        <v>42259</v>
      </c>
      <c r="C1472" s="5">
        <v>1138</v>
      </c>
    </row>
    <row r="1473" spans="1:3" x14ac:dyDescent="0.2">
      <c r="A1473" s="2">
        <v>11725</v>
      </c>
      <c r="B1473" s="4">
        <v>42260</v>
      </c>
      <c r="C1473" s="5">
        <v>1442</v>
      </c>
    </row>
    <row r="1474" spans="1:3" x14ac:dyDescent="0.2">
      <c r="A1474" s="2">
        <v>11726</v>
      </c>
      <c r="B1474" s="4">
        <v>42260</v>
      </c>
      <c r="C1474" s="5">
        <v>210</v>
      </c>
    </row>
    <row r="1475" spans="1:3" x14ac:dyDescent="0.2">
      <c r="A1475" s="2">
        <v>11727</v>
      </c>
      <c r="B1475" s="4">
        <v>42260</v>
      </c>
      <c r="C1475" s="5">
        <v>776</v>
      </c>
    </row>
    <row r="1476" spans="1:3" x14ac:dyDescent="0.2">
      <c r="A1476" s="2">
        <v>11728</v>
      </c>
      <c r="B1476" s="4">
        <v>42261</v>
      </c>
      <c r="C1476" s="5">
        <v>867</v>
      </c>
    </row>
    <row r="1477" spans="1:3" x14ac:dyDescent="0.2">
      <c r="A1477" s="2">
        <v>11729</v>
      </c>
      <c r="B1477" s="4">
        <v>42261</v>
      </c>
      <c r="C1477" s="5">
        <v>1614</v>
      </c>
    </row>
    <row r="1478" spans="1:3" x14ac:dyDescent="0.2">
      <c r="A1478" s="2">
        <v>11730</v>
      </c>
      <c r="B1478" s="4">
        <v>42261</v>
      </c>
      <c r="C1478" s="5">
        <v>956</v>
      </c>
    </row>
    <row r="1479" spans="1:3" x14ac:dyDescent="0.2">
      <c r="A1479" s="2">
        <v>11731</v>
      </c>
      <c r="B1479" s="4">
        <v>42262</v>
      </c>
      <c r="C1479" s="5">
        <v>12260</v>
      </c>
    </row>
    <row r="1480" spans="1:3" x14ac:dyDescent="0.2">
      <c r="A1480" s="2">
        <v>11732</v>
      </c>
      <c r="B1480" s="4">
        <v>42262</v>
      </c>
      <c r="C1480" s="5">
        <v>1724</v>
      </c>
    </row>
    <row r="1481" spans="1:3" x14ac:dyDescent="0.2">
      <c r="A1481" s="2">
        <v>11733</v>
      </c>
      <c r="B1481" s="4">
        <v>42262</v>
      </c>
      <c r="C1481" s="5">
        <v>6720</v>
      </c>
    </row>
    <row r="1482" spans="1:3" x14ac:dyDescent="0.2">
      <c r="A1482" s="2">
        <v>11734</v>
      </c>
      <c r="B1482" s="4">
        <v>42262</v>
      </c>
      <c r="C1482" s="5">
        <v>2722</v>
      </c>
    </row>
    <row r="1483" spans="1:3" x14ac:dyDescent="0.2">
      <c r="A1483" s="2">
        <v>11735</v>
      </c>
      <c r="B1483" s="4">
        <v>42265</v>
      </c>
      <c r="C1483" s="5">
        <v>399</v>
      </c>
    </row>
    <row r="1484" spans="1:3" x14ac:dyDescent="0.2">
      <c r="A1484" s="2">
        <v>11736</v>
      </c>
      <c r="B1484" s="4">
        <v>42265</v>
      </c>
      <c r="C1484" s="5">
        <v>1260</v>
      </c>
    </row>
    <row r="1485" spans="1:3" x14ac:dyDescent="0.2">
      <c r="A1485" s="2">
        <v>11737</v>
      </c>
      <c r="B1485" s="4">
        <v>42265</v>
      </c>
      <c r="C1485" s="5">
        <v>1258</v>
      </c>
    </row>
    <row r="1486" spans="1:3" x14ac:dyDescent="0.2">
      <c r="A1486" s="2">
        <v>11738</v>
      </c>
      <c r="B1486" s="4">
        <v>42266</v>
      </c>
      <c r="C1486" s="5">
        <v>44</v>
      </c>
    </row>
    <row r="1487" spans="1:3" x14ac:dyDescent="0.2">
      <c r="A1487" s="2">
        <v>11739</v>
      </c>
      <c r="B1487" s="4">
        <v>42266</v>
      </c>
      <c r="C1487" s="5">
        <v>560</v>
      </c>
    </row>
    <row r="1488" spans="1:3" x14ac:dyDescent="0.2">
      <c r="A1488" s="2">
        <v>11740</v>
      </c>
      <c r="B1488" s="4">
        <v>42266</v>
      </c>
      <c r="C1488" s="5">
        <v>2284</v>
      </c>
    </row>
    <row r="1489" spans="1:3" x14ac:dyDescent="0.2">
      <c r="A1489" s="2">
        <v>11741</v>
      </c>
      <c r="B1489" s="4">
        <v>42267</v>
      </c>
      <c r="C1489" s="5">
        <v>140</v>
      </c>
    </row>
    <row r="1490" spans="1:3" x14ac:dyDescent="0.2">
      <c r="A1490" s="2">
        <v>11742</v>
      </c>
      <c r="B1490" s="4">
        <v>42267</v>
      </c>
      <c r="C1490" s="5">
        <v>1410</v>
      </c>
    </row>
    <row r="1491" spans="1:3" x14ac:dyDescent="0.2">
      <c r="A1491" s="2">
        <v>11743</v>
      </c>
      <c r="B1491" s="4">
        <v>42267</v>
      </c>
      <c r="C1491" s="5">
        <v>294</v>
      </c>
    </row>
    <row r="1492" spans="1:3" x14ac:dyDescent="0.2">
      <c r="A1492" s="2">
        <v>11744</v>
      </c>
      <c r="B1492" s="4">
        <v>42267</v>
      </c>
      <c r="C1492" s="5">
        <v>160</v>
      </c>
    </row>
    <row r="1493" spans="1:3" x14ac:dyDescent="0.2">
      <c r="A1493" s="2">
        <v>11745</v>
      </c>
      <c r="B1493" s="4">
        <v>42268</v>
      </c>
      <c r="C1493" s="5">
        <v>444</v>
      </c>
    </row>
    <row r="1494" spans="1:3" x14ac:dyDescent="0.2">
      <c r="A1494" s="2">
        <v>11746</v>
      </c>
      <c r="B1494" s="4">
        <v>42268</v>
      </c>
      <c r="C1494" s="5">
        <v>975</v>
      </c>
    </row>
    <row r="1495" spans="1:3" x14ac:dyDescent="0.2">
      <c r="A1495" s="2">
        <v>11747</v>
      </c>
      <c r="B1495" s="4">
        <v>42268</v>
      </c>
      <c r="C1495" s="5">
        <v>1154</v>
      </c>
    </row>
    <row r="1496" spans="1:3" x14ac:dyDescent="0.2">
      <c r="A1496" s="2">
        <v>11748</v>
      </c>
      <c r="B1496" s="4">
        <v>42269</v>
      </c>
      <c r="C1496" s="5">
        <v>805</v>
      </c>
    </row>
    <row r="1497" spans="1:3" x14ac:dyDescent="0.2">
      <c r="A1497" s="12">
        <v>11749</v>
      </c>
      <c r="B1497" s="13">
        <v>42269</v>
      </c>
      <c r="C1497" s="14">
        <v>378</v>
      </c>
    </row>
    <row r="1498" spans="1:3" x14ac:dyDescent="0.2">
      <c r="A1498" s="15">
        <v>11750</v>
      </c>
      <c r="B1498" s="16">
        <v>42711</v>
      </c>
      <c r="C1498" s="17">
        <v>300</v>
      </c>
    </row>
  </sheetData>
  <sortState ref="A2:C1497">
    <sortCondition ref="A8"/>
  </sortState>
  <phoneticPr fontId="2" type="noConversion"/>
  <pageMargins left="0.78740157499999996" right="0.78740157499999996" top="0.984251969" bottom="0.984251969" header="0.4921259845" footer="0.492125984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factures</vt:lpstr>
      <vt:lpstr>Paiements</vt:lpstr>
      <vt:lpstr>Paiments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FctPaiements</dc:title>
  <dc:creator>Daniel Aucher</dc:creator>
  <cp:keywords>RechercheV; Si; EstNA</cp:keywords>
  <cp:lastModifiedBy>Dolfi</cp:lastModifiedBy>
  <dcterms:created xsi:type="dcterms:W3CDTF">2007-12-19T19:32:56Z</dcterms:created>
  <dcterms:modified xsi:type="dcterms:W3CDTF">2016-12-07T14:57:49Z</dcterms:modified>
</cp:coreProperties>
</file>