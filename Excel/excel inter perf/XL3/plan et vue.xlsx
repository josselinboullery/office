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90" windowWidth="18915" windowHeight="7740"/>
  </bookViews>
  <sheets>
    <sheet name="Plan et vue" sheetId="1" r:id="rId1"/>
  </sheets>
  <externalReferences>
    <externalReference r:id="rId2"/>
  </externalReferences>
  <definedNames>
    <definedName name="CNE">'[1]ID ETUDIANT (2)'!$A$1:$E$5</definedName>
    <definedName name="cursource" hidden="1">#N/A</definedName>
    <definedName name="DATA">[1]BDLIRE!$A$3:$C$8</definedName>
    <definedName name="int_ext_sel" hidden="1">1</definedName>
    <definedName name="NOTE">'[1]NOTES (2)'!$A$1:$H$5</definedName>
  </definedNames>
  <calcPr calcId="145621"/>
</workbook>
</file>

<file path=xl/calcChain.xml><?xml version="1.0" encoding="utf-8"?>
<calcChain xmlns="http://schemas.openxmlformats.org/spreadsheetml/2006/main">
  <c r="F2" i="1" l="1"/>
  <c r="K2" i="1"/>
  <c r="P2" i="1"/>
  <c r="Q2" i="1"/>
  <c r="F3" i="1"/>
  <c r="K3" i="1"/>
  <c r="P3" i="1"/>
  <c r="Q3" i="1"/>
  <c r="F4" i="1"/>
  <c r="K4" i="1"/>
  <c r="P4" i="1"/>
  <c r="Q4" i="1"/>
  <c r="F5" i="1"/>
  <c r="K5" i="1"/>
  <c r="P5" i="1"/>
  <c r="Q5" i="1"/>
  <c r="B6" i="1"/>
  <c r="C6" i="1"/>
  <c r="D6" i="1"/>
  <c r="E6" i="1"/>
  <c r="G6" i="1"/>
  <c r="H6" i="1"/>
  <c r="I6" i="1"/>
  <c r="J6" i="1"/>
  <c r="L6" i="1"/>
  <c r="M6" i="1"/>
  <c r="N6" i="1"/>
  <c r="O6" i="1"/>
  <c r="F7" i="1"/>
  <c r="K7" i="1"/>
  <c r="P7" i="1"/>
  <c r="F8" i="1"/>
  <c r="K8" i="1"/>
  <c r="P8" i="1"/>
  <c r="B9" i="1"/>
  <c r="C9" i="1"/>
  <c r="D9" i="1"/>
  <c r="E9" i="1"/>
  <c r="G9" i="1"/>
  <c r="H9" i="1"/>
  <c r="H10" i="1" s="1"/>
  <c r="I9" i="1"/>
  <c r="J9" i="1"/>
  <c r="J10" i="1" s="1"/>
  <c r="L9" i="1"/>
  <c r="M9" i="1"/>
  <c r="N9" i="1"/>
  <c r="O9" i="1"/>
  <c r="B10" i="1"/>
  <c r="C10" i="1"/>
  <c r="F10" i="1" s="1"/>
  <c r="D10" i="1"/>
  <c r="E10" i="1"/>
  <c r="G10" i="1"/>
  <c r="I10" i="1"/>
  <c r="L10" i="1"/>
  <c r="M10" i="1"/>
  <c r="N10" i="1"/>
  <c r="O10" i="1"/>
  <c r="P10" i="1" l="1"/>
  <c r="F9" i="1"/>
  <c r="P9" i="1"/>
  <c r="Q7" i="1"/>
  <c r="K10" i="1"/>
  <c r="P6" i="1"/>
  <c r="Q8" i="1"/>
  <c r="K9" i="1"/>
  <c r="K6" i="1"/>
  <c r="F6" i="1"/>
  <c r="Q6" i="1" s="1"/>
  <c r="Q10" i="1"/>
  <c r="Q9" i="1"/>
</calcChain>
</file>

<file path=xl/comments1.xml><?xml version="1.0" encoding="utf-8"?>
<comments xmlns="http://schemas.openxmlformats.org/spreadsheetml/2006/main">
  <authors>
    <author>SANDRINE</author>
  </authors>
  <commentList>
    <comment ref="B1" authorId="0">
      <text>
        <r>
          <rPr>
            <b/>
            <sz val="9"/>
            <color indexed="81"/>
            <rFont val="Tahoma"/>
            <family val="2"/>
          </rPr>
          <t>SANDRINE:</t>
        </r>
        <r>
          <rPr>
            <sz val="9"/>
            <color indexed="81"/>
            <rFont val="Tahoma"/>
            <family val="2"/>
          </rPr>
          <t xml:space="preserve">
ESSAI</t>
        </r>
      </text>
    </comment>
  </commentList>
</comments>
</file>

<file path=xl/sharedStrings.xml><?xml version="1.0" encoding="utf-8"?>
<sst xmlns="http://schemas.openxmlformats.org/spreadsheetml/2006/main" count="25" uniqueCount="25">
  <si>
    <t>Total Charges</t>
  </si>
  <si>
    <t>Total Charges Fixes</t>
  </si>
  <si>
    <t>Assurance</t>
  </si>
  <si>
    <t>Loyer</t>
  </si>
  <si>
    <t>Total Charges Variables</t>
  </si>
  <si>
    <t>Orange</t>
  </si>
  <si>
    <t>EDF</t>
  </si>
  <si>
    <t>Ménage</t>
  </si>
  <si>
    <t>Salaires</t>
  </si>
  <si>
    <t>Total Trim1</t>
  </si>
  <si>
    <t>Total 03</t>
  </si>
  <si>
    <t>SEM12</t>
  </si>
  <si>
    <t>SEM11</t>
  </si>
  <si>
    <t>SEM10</t>
  </si>
  <si>
    <t>SEM9</t>
  </si>
  <si>
    <t>Total 02</t>
  </si>
  <si>
    <t>SEM8</t>
  </si>
  <si>
    <t>SEM7</t>
  </si>
  <si>
    <t>SEM6</t>
  </si>
  <si>
    <t>SEM5</t>
  </si>
  <si>
    <t>Total 01</t>
  </si>
  <si>
    <t>SEM4</t>
  </si>
  <si>
    <t>SEM3</t>
  </si>
  <si>
    <t>SEM2</t>
  </si>
  <si>
    <t>SEM1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</si>
</sst>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1" formatCode="_-* #,##0\ _€_-;\-* #,##0\ _€_-;_-* &quot;-&quot;\ _€_-;_-@_-"/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-* #,##0.00\ [$€]_-;\-* #,##0.00\ [$€]_-;_-* &quot;-&quot;??\ [$€]_-;_-@_-"/>
    <numFmt numFmtId="165" formatCode="_-* #,##0.00\ _F_-;\-* #,##0.00\ _F_-;_-* &quot;-&quot;??\ _F_-;_-@_-"/>
    <numFmt numFmtId="166" formatCode="_-* #,##0.00\ &quot;F&quot;_-;\-* #,##0.00\ &quot;F&quot;_-;_-* &quot;-&quot;??\ &quot;F&quot;_-;_-@_-"/>
    <numFmt numFmtId="167" formatCode="_ * #,##0.00_)\ &quot;$&quot;_ ;_ * \(#,##0.00\)\ &quot;$&quot;_ ;_ * &quot;-&quot;??_)\ &quot;$&quot;_ ;_ @_ "/>
    <numFmt numFmtId="168" formatCode="0.0%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0"/>
      <color indexed="18"/>
      <name val="Arial"/>
      <family val="2"/>
    </font>
    <font>
      <b/>
      <sz val="10"/>
      <color indexed="18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Arial"/>
      <family val="2"/>
    </font>
    <font>
      <sz val="11"/>
      <name val="Arial"/>
      <family val="2"/>
    </font>
    <font>
      <sz val="10"/>
      <name val="Arial"/>
    </font>
    <font>
      <sz val="11"/>
      <color indexed="8"/>
      <name val="Calibri"/>
      <family val="2"/>
    </font>
    <font>
      <b/>
      <sz val="11"/>
      <color indexed="18"/>
      <name val="Vagabond"/>
    </font>
    <font>
      <sz val="11"/>
      <color rgb="FF006100"/>
      <name val="Arial"/>
      <family val="2"/>
    </font>
    <font>
      <b/>
      <i/>
      <sz val="9"/>
      <color indexed="9"/>
      <name val="Courier"/>
      <family val="3"/>
    </font>
    <font>
      <b/>
      <sz val="14"/>
      <name val="Arial"/>
      <family val="2"/>
    </font>
    <font>
      <b/>
      <sz val="8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</patternFill>
    </fill>
    <fill>
      <patternFill patternType="solid">
        <fgColor indexed="18"/>
      </patternFill>
    </fill>
  </fills>
  <borders count="9">
    <border>
      <left/>
      <right/>
      <top/>
      <bottom/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 style="thick">
        <color indexed="16"/>
      </left>
      <right style="medium">
        <color indexed="64"/>
      </right>
      <top/>
      <bottom style="medium">
        <color indexed="64"/>
      </bottom>
      <diagonal/>
    </border>
    <border>
      <left style="double">
        <color theme="4"/>
      </left>
      <right style="double">
        <color theme="4"/>
      </right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ck">
        <color indexed="16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0">
    <xf numFmtId="0" fontId="0" fillId="0" borderId="0"/>
    <xf numFmtId="43" fontId="1" fillId="0" borderId="0" applyFont="0" applyFill="0" applyBorder="0" applyAlignment="0" applyProtection="0"/>
    <xf numFmtId="0" fontId="1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8" fillId="0" borderId="0" applyFont="0" applyFill="0" applyBorder="0" applyAlignment="0" applyProtection="0"/>
    <xf numFmtId="40" fontId="8" fillId="0" borderId="0" applyFont="0" applyFill="0" applyBorder="0" applyAlignment="0" applyProtection="0"/>
    <xf numFmtId="44" fontId="9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1" fillId="0" borderId="0"/>
    <xf numFmtId="0" fontId="12" fillId="9" borderId="3"/>
    <xf numFmtId="41" fontId="1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8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3" fillId="2" borderId="0" applyNumberFormat="0" applyBorder="0" applyAlignment="0" applyProtection="0"/>
    <xf numFmtId="0" fontId="8" fillId="0" borderId="0"/>
    <xf numFmtId="0" fontId="2" fillId="0" borderId="4"/>
    <xf numFmtId="0" fontId="8" fillId="0" borderId="5"/>
    <xf numFmtId="168" fontId="12" fillId="9" borderId="6">
      <alignment horizontal="center"/>
    </xf>
    <xf numFmtId="0" fontId="14" fillId="10" borderId="7">
      <alignment horizontal="center"/>
    </xf>
    <xf numFmtId="0" fontId="15" fillId="8" borderId="0"/>
    <xf numFmtId="0" fontId="16" fillId="0" borderId="0">
      <alignment horizontal="center"/>
    </xf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8"/>
  </cellStyleXfs>
  <cellXfs count="9">
    <xf numFmtId="0" fontId="0" fillId="0" borderId="0" xfId="0"/>
    <xf numFmtId="43" fontId="0" fillId="0" borderId="0" xfId="1" applyFont="1"/>
    <xf numFmtId="43" fontId="0" fillId="7" borderId="1" xfId="1" applyFont="1" applyFill="1" applyBorder="1" applyAlignment="1"/>
    <xf numFmtId="43" fontId="4" fillId="7" borderId="1" xfId="1" applyFont="1" applyFill="1" applyBorder="1" applyAlignment="1">
      <alignment horizontal="left"/>
    </xf>
    <xf numFmtId="43" fontId="0" fillId="8" borderId="1" xfId="1" applyFont="1" applyFill="1" applyBorder="1" applyAlignment="1"/>
    <xf numFmtId="43" fontId="4" fillId="8" borderId="1" xfId="1" applyFont="1" applyFill="1" applyBorder="1" applyAlignment="1">
      <alignment horizontal="left"/>
    </xf>
    <xf numFmtId="43" fontId="0" fillId="0" borderId="2" xfId="1" applyFont="1" applyFill="1" applyBorder="1" applyAlignment="1"/>
    <xf numFmtId="43" fontId="5" fillId="0" borderId="1" xfId="1" applyFont="1" applyFill="1" applyBorder="1" applyAlignment="1">
      <alignment horizontal="center"/>
    </xf>
    <xf numFmtId="43" fontId="0" fillId="0" borderId="1" xfId="1" applyFont="1" applyFill="1" applyBorder="1" applyAlignment="1"/>
  </cellXfs>
  <cellStyles count="40">
    <cellStyle name="20 % - Accent1 2" xfId="2"/>
    <cellStyle name="Accent1 2" xfId="3"/>
    <cellStyle name="Accent2 2" xfId="4"/>
    <cellStyle name="Accent3 2" xfId="5"/>
    <cellStyle name="Dezimal [0]" xfId="6"/>
    <cellStyle name="Dezimal_Tabelle1" xfId="7"/>
    <cellStyle name="Euro" xfId="8"/>
    <cellStyle name="Euro 2" xfId="9"/>
    <cellStyle name="Euro 3" xfId="10"/>
    <cellStyle name="Excel Built-in Normal" xfId="11"/>
    <cellStyle name="ligne" xfId="12"/>
    <cellStyle name="Milliers [0] 2" xfId="13"/>
    <cellStyle name="Milliers 2" xfId="14"/>
    <cellStyle name="Milliers 3" xfId="15"/>
    <cellStyle name="Milliers 4" xfId="1"/>
    <cellStyle name="Monétaire 2" xfId="16"/>
    <cellStyle name="Monétaire 2 2" xfId="17"/>
    <cellStyle name="Monétaire 3" xfId="18"/>
    <cellStyle name="Monétaire 4" xfId="19"/>
    <cellStyle name="Normal" xfId="0" builtinId="0"/>
    <cellStyle name="Normal 2" xfId="20"/>
    <cellStyle name="Normal 3" xfId="21"/>
    <cellStyle name="Normal 4" xfId="22"/>
    <cellStyle name="Normal 5" xfId="23"/>
    <cellStyle name="Normal 6" xfId="24"/>
    <cellStyle name="Normal 7" xfId="25"/>
    <cellStyle name="Pourcentage 2" xfId="26"/>
    <cellStyle name="Pourcentage 3" xfId="27"/>
    <cellStyle name="Pourcentage 4" xfId="28"/>
    <cellStyle name="Satisfaisant 2" xfId="29"/>
    <cellStyle name="Standard_Tabelle1" xfId="30"/>
    <cellStyle name="Style 1" xfId="31"/>
    <cellStyle name="Summen" xfId="32"/>
    <cellStyle name="table" xfId="33"/>
    <cellStyle name="TITCOL" xfId="34"/>
    <cellStyle name="Titel" xfId="35"/>
    <cellStyle name="Untertitel" xfId="36"/>
    <cellStyle name="Währung [0]" xfId="37"/>
    <cellStyle name="Währung_Tabelle1" xfId="38"/>
    <cellStyle name="Zwischensummen" xfId="3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XO%20DOLFI%20AVANC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YENNE MAX MIN RANG"/>
      <sheetName val="Liste Adhérents"/>
      <sheetName val="SOUS TOTAUX"/>
      <sheetName val="SI ET OU"/>
      <sheetName val="si - nb - nb val"/>
      <sheetName val="DOUBLONS"/>
      <sheetName val="CALCUL AVEC DATE"/>
      <sheetName val="consolider"/>
      <sheetName val="tcd"/>
      <sheetName val="tcd1"/>
      <sheetName val="TCD2"/>
      <sheetName val="tcd logiciels"/>
      <sheetName val="SI NBVAL"/>
      <sheetName val="nbvide"/>
      <sheetName val="SOMME SI"/>
      <sheetName val="FRAIS SOMME SI"/>
      <sheetName val="NBSI"/>
      <sheetName val="NB SI ENS ET SOMME SI ENS"/>
      <sheetName val="CONCATENER"/>
      <sheetName val="CONCATENER STXT"/>
      <sheetName val="GAUCHE ET NOM PROPRE"/>
      <sheetName val="liste déroulante"/>
      <sheetName val="recherche v"/>
      <sheetName val="RECHERCHEV OU H (2)"/>
      <sheetName val="FORMULAIRE (2)"/>
      <sheetName val="ID ETUDIANT (2)"/>
      <sheetName val="NOTES (2)"/>
      <sheetName val="les plans"/>
      <sheetName val="V CIBLE PRIX VENTE"/>
      <sheetName val="valeur cible SALAIRE"/>
      <sheetName val="POURCENTAGE JOURS PLUIE"/>
      <sheetName val="BDLIRE"/>
      <sheetName val="MAILLOTS DOLLAR"/>
      <sheetName val="dispach de montant"/>
      <sheetName val="planning vacances"/>
      <sheetName val="Fonction Date"/>
      <sheetName val="EST"/>
      <sheetName val="NORD"/>
      <sheetName val="SUD"/>
      <sheetName val="CENT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1">
          <cell r="A1" t="str">
            <v>CNE</v>
          </cell>
          <cell r="B1" t="str">
            <v>N°</v>
          </cell>
          <cell r="C1" t="str">
            <v>NOM/PRENOM</v>
          </cell>
          <cell r="D1" t="str">
            <v>DATE NAISSANCE</v>
          </cell>
          <cell r="E1" t="str">
            <v>VILLE</v>
          </cell>
        </row>
        <row r="2">
          <cell r="A2">
            <v>421001</v>
          </cell>
          <cell r="B2">
            <v>1</v>
          </cell>
          <cell r="C2" t="str">
            <v>SARKOSY Nicolas</v>
          </cell>
          <cell r="D2">
            <v>35348</v>
          </cell>
          <cell r="E2" t="str">
            <v>PARIS</v>
          </cell>
        </row>
        <row r="3">
          <cell r="A3">
            <v>421102</v>
          </cell>
          <cell r="B3">
            <v>2</v>
          </cell>
          <cell r="C3" t="str">
            <v>POTTER Harry</v>
          </cell>
          <cell r="D3">
            <v>35232</v>
          </cell>
          <cell r="E3" t="str">
            <v>LONDRES</v>
          </cell>
        </row>
        <row r="4">
          <cell r="A4">
            <v>421503</v>
          </cell>
          <cell r="B4">
            <v>3</v>
          </cell>
          <cell r="C4" t="str">
            <v>JACKSON Michael</v>
          </cell>
          <cell r="D4">
            <v>34897</v>
          </cell>
          <cell r="E4" t="str">
            <v>NEW YORK</v>
          </cell>
        </row>
        <row r="5">
          <cell r="A5">
            <v>421507</v>
          </cell>
          <cell r="B5">
            <v>4</v>
          </cell>
          <cell r="C5" t="str">
            <v>SUMMER Donna</v>
          </cell>
          <cell r="D5">
            <v>34843</v>
          </cell>
          <cell r="E5" t="str">
            <v>LOS ANGELES</v>
          </cell>
        </row>
      </sheetData>
      <sheetData sheetId="26">
        <row r="1">
          <cell r="A1" t="str">
            <v>CNE</v>
          </cell>
          <cell r="B1" t="str">
            <v>NOM/PRENOM</v>
          </cell>
          <cell r="C1" t="str">
            <v>MATH</v>
          </cell>
          <cell r="D1" t="str">
            <v>Français</v>
          </cell>
          <cell r="E1" t="str">
            <v>GEO</v>
          </cell>
          <cell r="F1" t="str">
            <v>ANGLAIS</v>
          </cell>
          <cell r="G1" t="str">
            <v>EPS</v>
          </cell>
          <cell r="H1" t="str">
            <v>BONUS</v>
          </cell>
        </row>
        <row r="2">
          <cell r="A2">
            <v>421001</v>
          </cell>
          <cell r="B2" t="str">
            <v>SARKOSY Nicolas</v>
          </cell>
          <cell r="C2">
            <v>20</v>
          </cell>
          <cell r="D2">
            <v>2</v>
          </cell>
          <cell r="E2">
            <v>14</v>
          </cell>
          <cell r="F2">
            <v>10</v>
          </cell>
          <cell r="G2">
            <v>12</v>
          </cell>
          <cell r="H2">
            <v>2</v>
          </cell>
        </row>
        <row r="3">
          <cell r="A3">
            <v>421102</v>
          </cell>
          <cell r="B3" t="str">
            <v>POTTER Harry</v>
          </cell>
          <cell r="C3">
            <v>10</v>
          </cell>
          <cell r="D3">
            <v>9</v>
          </cell>
          <cell r="E3">
            <v>5</v>
          </cell>
          <cell r="F3">
            <v>8</v>
          </cell>
          <cell r="G3">
            <v>14</v>
          </cell>
          <cell r="H3">
            <v>3</v>
          </cell>
        </row>
        <row r="4">
          <cell r="A4">
            <v>421503</v>
          </cell>
          <cell r="B4" t="str">
            <v>JACKSON Michael</v>
          </cell>
          <cell r="C4">
            <v>5</v>
          </cell>
          <cell r="D4">
            <v>10</v>
          </cell>
          <cell r="E4">
            <v>11</v>
          </cell>
          <cell r="F4">
            <v>12</v>
          </cell>
          <cell r="G4">
            <v>13</v>
          </cell>
          <cell r="H4">
            <v>2</v>
          </cell>
        </row>
        <row r="5">
          <cell r="A5">
            <v>421507</v>
          </cell>
          <cell r="B5" t="str">
            <v>SUMMER Donna</v>
          </cell>
          <cell r="C5">
            <v>11</v>
          </cell>
          <cell r="D5">
            <v>9</v>
          </cell>
          <cell r="E5">
            <v>8</v>
          </cell>
          <cell r="F5">
            <v>14</v>
          </cell>
          <cell r="G5">
            <v>15</v>
          </cell>
          <cell r="H5">
            <v>3</v>
          </cell>
        </row>
      </sheetData>
      <sheetData sheetId="27"/>
      <sheetData sheetId="28"/>
      <sheetData sheetId="29"/>
      <sheetData sheetId="30"/>
      <sheetData sheetId="31">
        <row r="3">
          <cell r="A3" t="str">
            <v>NOM</v>
          </cell>
          <cell r="B3" t="str">
            <v>PRENOM</v>
          </cell>
          <cell r="C3" t="str">
            <v>VILLE</v>
          </cell>
        </row>
        <row r="4">
          <cell r="A4" t="str">
            <v>JACKSON</v>
          </cell>
          <cell r="B4" t="str">
            <v>MICHAEL</v>
          </cell>
          <cell r="C4" t="str">
            <v>NEW YORK</v>
          </cell>
        </row>
        <row r="5">
          <cell r="A5" t="str">
            <v>SARKOSI</v>
          </cell>
          <cell r="B5" t="str">
            <v>NICOLAS</v>
          </cell>
          <cell r="C5" t="str">
            <v>PARIS</v>
          </cell>
        </row>
        <row r="6">
          <cell r="A6" t="str">
            <v>DUPONT</v>
          </cell>
          <cell r="B6" t="str">
            <v>JEAN</v>
          </cell>
          <cell r="C6" t="str">
            <v>LYON</v>
          </cell>
        </row>
        <row r="7">
          <cell r="A7" t="str">
            <v>HILTON</v>
          </cell>
          <cell r="B7" t="str">
            <v>PARIS</v>
          </cell>
          <cell r="C7" t="str">
            <v>MEXICO</v>
          </cell>
        </row>
        <row r="8">
          <cell r="A8" t="str">
            <v>BARBE</v>
          </cell>
          <cell r="B8" t="str">
            <v>GISELE</v>
          </cell>
          <cell r="C8" t="str">
            <v>PARIS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10"/>
  <sheetViews>
    <sheetView tabSelected="1" zoomScale="85" zoomScaleNormal="85" workbookViewId="0">
      <selection activeCell="A13" sqref="A13:XFD13"/>
    </sheetView>
  </sheetViews>
  <sheetFormatPr baseColWidth="10" defaultColWidth="11.42578125" defaultRowHeight="28.5" customHeight="1"/>
  <cols>
    <col min="1" max="1" width="23" style="1" bestFit="1" customWidth="1"/>
    <col min="2" max="4" width="10.85546875" style="1" customWidth="1"/>
    <col min="5" max="5" width="11.85546875" style="1" customWidth="1"/>
    <col min="6" max="6" width="12.85546875" style="1" customWidth="1"/>
    <col min="7" max="9" width="10.85546875" style="1" customWidth="1"/>
    <col min="10" max="10" width="11.85546875" style="1" customWidth="1"/>
    <col min="11" max="11" width="12.85546875" style="1" customWidth="1"/>
    <col min="12" max="14" width="10.85546875" style="1" customWidth="1"/>
    <col min="15" max="16" width="12.85546875" style="1" customWidth="1"/>
    <col min="17" max="17" width="12.85546875" style="1" bestFit="1" customWidth="1"/>
    <col min="18" max="256" width="11.42578125" style="1"/>
    <col min="257" max="257" width="23" style="1" bestFit="1" customWidth="1"/>
    <col min="258" max="260" width="10.85546875" style="1" customWidth="1"/>
    <col min="261" max="261" width="11.85546875" style="1" customWidth="1"/>
    <col min="262" max="262" width="12.85546875" style="1" customWidth="1"/>
    <col min="263" max="265" width="10.85546875" style="1" customWidth="1"/>
    <col min="266" max="266" width="11.85546875" style="1" customWidth="1"/>
    <col min="267" max="267" width="12.85546875" style="1" customWidth="1"/>
    <col min="268" max="270" width="10.85546875" style="1" customWidth="1"/>
    <col min="271" max="272" width="12.85546875" style="1" customWidth="1"/>
    <col min="273" max="273" width="12.85546875" style="1" bestFit="1" customWidth="1"/>
    <col min="274" max="512" width="11.42578125" style="1"/>
    <col min="513" max="513" width="23" style="1" bestFit="1" customWidth="1"/>
    <col min="514" max="516" width="10.85546875" style="1" customWidth="1"/>
    <col min="517" max="517" width="11.85546875" style="1" customWidth="1"/>
    <col min="518" max="518" width="12.85546875" style="1" customWidth="1"/>
    <col min="519" max="521" width="10.85546875" style="1" customWidth="1"/>
    <col min="522" max="522" width="11.85546875" style="1" customWidth="1"/>
    <col min="523" max="523" width="12.85546875" style="1" customWidth="1"/>
    <col min="524" max="526" width="10.85546875" style="1" customWidth="1"/>
    <col min="527" max="528" width="12.85546875" style="1" customWidth="1"/>
    <col min="529" max="529" width="12.85546875" style="1" bestFit="1" customWidth="1"/>
    <col min="530" max="768" width="11.42578125" style="1"/>
    <col min="769" max="769" width="23" style="1" bestFit="1" customWidth="1"/>
    <col min="770" max="772" width="10.85546875" style="1" customWidth="1"/>
    <col min="773" max="773" width="11.85546875" style="1" customWidth="1"/>
    <col min="774" max="774" width="12.85546875" style="1" customWidth="1"/>
    <col min="775" max="777" width="10.85546875" style="1" customWidth="1"/>
    <col min="778" max="778" width="11.85546875" style="1" customWidth="1"/>
    <col min="779" max="779" width="12.85546875" style="1" customWidth="1"/>
    <col min="780" max="782" width="10.85546875" style="1" customWidth="1"/>
    <col min="783" max="784" width="12.85546875" style="1" customWidth="1"/>
    <col min="785" max="785" width="12.85546875" style="1" bestFit="1" customWidth="1"/>
    <col min="786" max="1024" width="11.42578125" style="1"/>
    <col min="1025" max="1025" width="23" style="1" bestFit="1" customWidth="1"/>
    <col min="1026" max="1028" width="10.85546875" style="1" customWidth="1"/>
    <col min="1029" max="1029" width="11.85546875" style="1" customWidth="1"/>
    <col min="1030" max="1030" width="12.85546875" style="1" customWidth="1"/>
    <col min="1031" max="1033" width="10.85546875" style="1" customWidth="1"/>
    <col min="1034" max="1034" width="11.85546875" style="1" customWidth="1"/>
    <col min="1035" max="1035" width="12.85546875" style="1" customWidth="1"/>
    <col min="1036" max="1038" width="10.85546875" style="1" customWidth="1"/>
    <col min="1039" max="1040" width="12.85546875" style="1" customWidth="1"/>
    <col min="1041" max="1041" width="12.85546875" style="1" bestFit="1" customWidth="1"/>
    <col min="1042" max="1280" width="11.42578125" style="1"/>
    <col min="1281" max="1281" width="23" style="1" bestFit="1" customWidth="1"/>
    <col min="1282" max="1284" width="10.85546875" style="1" customWidth="1"/>
    <col min="1285" max="1285" width="11.85546875" style="1" customWidth="1"/>
    <col min="1286" max="1286" width="12.85546875" style="1" customWidth="1"/>
    <col min="1287" max="1289" width="10.85546875" style="1" customWidth="1"/>
    <col min="1290" max="1290" width="11.85546875" style="1" customWidth="1"/>
    <col min="1291" max="1291" width="12.85546875" style="1" customWidth="1"/>
    <col min="1292" max="1294" width="10.85546875" style="1" customWidth="1"/>
    <col min="1295" max="1296" width="12.85546875" style="1" customWidth="1"/>
    <col min="1297" max="1297" width="12.85546875" style="1" bestFit="1" customWidth="1"/>
    <col min="1298" max="1536" width="11.42578125" style="1"/>
    <col min="1537" max="1537" width="23" style="1" bestFit="1" customWidth="1"/>
    <col min="1538" max="1540" width="10.85546875" style="1" customWidth="1"/>
    <col min="1541" max="1541" width="11.85546875" style="1" customWidth="1"/>
    <col min="1542" max="1542" width="12.85546875" style="1" customWidth="1"/>
    <col min="1543" max="1545" width="10.85546875" style="1" customWidth="1"/>
    <col min="1546" max="1546" width="11.85546875" style="1" customWidth="1"/>
    <col min="1547" max="1547" width="12.85546875" style="1" customWidth="1"/>
    <col min="1548" max="1550" width="10.85546875" style="1" customWidth="1"/>
    <col min="1551" max="1552" width="12.85546875" style="1" customWidth="1"/>
    <col min="1553" max="1553" width="12.85546875" style="1" bestFit="1" customWidth="1"/>
    <col min="1554" max="1792" width="11.42578125" style="1"/>
    <col min="1793" max="1793" width="23" style="1" bestFit="1" customWidth="1"/>
    <col min="1794" max="1796" width="10.85546875" style="1" customWidth="1"/>
    <col min="1797" max="1797" width="11.85546875" style="1" customWidth="1"/>
    <col min="1798" max="1798" width="12.85546875" style="1" customWidth="1"/>
    <col min="1799" max="1801" width="10.85546875" style="1" customWidth="1"/>
    <col min="1802" max="1802" width="11.85546875" style="1" customWidth="1"/>
    <col min="1803" max="1803" width="12.85546875" style="1" customWidth="1"/>
    <col min="1804" max="1806" width="10.85546875" style="1" customWidth="1"/>
    <col min="1807" max="1808" width="12.85546875" style="1" customWidth="1"/>
    <col min="1809" max="1809" width="12.85546875" style="1" bestFit="1" customWidth="1"/>
    <col min="1810" max="2048" width="11.42578125" style="1"/>
    <col min="2049" max="2049" width="23" style="1" bestFit="1" customWidth="1"/>
    <col min="2050" max="2052" width="10.85546875" style="1" customWidth="1"/>
    <col min="2053" max="2053" width="11.85546875" style="1" customWidth="1"/>
    <col min="2054" max="2054" width="12.85546875" style="1" customWidth="1"/>
    <col min="2055" max="2057" width="10.85546875" style="1" customWidth="1"/>
    <col min="2058" max="2058" width="11.85546875" style="1" customWidth="1"/>
    <col min="2059" max="2059" width="12.85546875" style="1" customWidth="1"/>
    <col min="2060" max="2062" width="10.85546875" style="1" customWidth="1"/>
    <col min="2063" max="2064" width="12.85546875" style="1" customWidth="1"/>
    <col min="2065" max="2065" width="12.85546875" style="1" bestFit="1" customWidth="1"/>
    <col min="2066" max="2304" width="11.42578125" style="1"/>
    <col min="2305" max="2305" width="23" style="1" bestFit="1" customWidth="1"/>
    <col min="2306" max="2308" width="10.85546875" style="1" customWidth="1"/>
    <col min="2309" max="2309" width="11.85546875" style="1" customWidth="1"/>
    <col min="2310" max="2310" width="12.85546875" style="1" customWidth="1"/>
    <col min="2311" max="2313" width="10.85546875" style="1" customWidth="1"/>
    <col min="2314" max="2314" width="11.85546875" style="1" customWidth="1"/>
    <col min="2315" max="2315" width="12.85546875" style="1" customWidth="1"/>
    <col min="2316" max="2318" width="10.85546875" style="1" customWidth="1"/>
    <col min="2319" max="2320" width="12.85546875" style="1" customWidth="1"/>
    <col min="2321" max="2321" width="12.85546875" style="1" bestFit="1" customWidth="1"/>
    <col min="2322" max="2560" width="11.42578125" style="1"/>
    <col min="2561" max="2561" width="23" style="1" bestFit="1" customWidth="1"/>
    <col min="2562" max="2564" width="10.85546875" style="1" customWidth="1"/>
    <col min="2565" max="2565" width="11.85546875" style="1" customWidth="1"/>
    <col min="2566" max="2566" width="12.85546875" style="1" customWidth="1"/>
    <col min="2567" max="2569" width="10.85546875" style="1" customWidth="1"/>
    <col min="2570" max="2570" width="11.85546875" style="1" customWidth="1"/>
    <col min="2571" max="2571" width="12.85546875" style="1" customWidth="1"/>
    <col min="2572" max="2574" width="10.85546875" style="1" customWidth="1"/>
    <col min="2575" max="2576" width="12.85546875" style="1" customWidth="1"/>
    <col min="2577" max="2577" width="12.85546875" style="1" bestFit="1" customWidth="1"/>
    <col min="2578" max="2816" width="11.42578125" style="1"/>
    <col min="2817" max="2817" width="23" style="1" bestFit="1" customWidth="1"/>
    <col min="2818" max="2820" width="10.85546875" style="1" customWidth="1"/>
    <col min="2821" max="2821" width="11.85546875" style="1" customWidth="1"/>
    <col min="2822" max="2822" width="12.85546875" style="1" customWidth="1"/>
    <col min="2823" max="2825" width="10.85546875" style="1" customWidth="1"/>
    <col min="2826" max="2826" width="11.85546875" style="1" customWidth="1"/>
    <col min="2827" max="2827" width="12.85546875" style="1" customWidth="1"/>
    <col min="2828" max="2830" width="10.85546875" style="1" customWidth="1"/>
    <col min="2831" max="2832" width="12.85546875" style="1" customWidth="1"/>
    <col min="2833" max="2833" width="12.85546875" style="1" bestFit="1" customWidth="1"/>
    <col min="2834" max="3072" width="11.42578125" style="1"/>
    <col min="3073" max="3073" width="23" style="1" bestFit="1" customWidth="1"/>
    <col min="3074" max="3076" width="10.85546875" style="1" customWidth="1"/>
    <col min="3077" max="3077" width="11.85546875" style="1" customWidth="1"/>
    <col min="3078" max="3078" width="12.85546875" style="1" customWidth="1"/>
    <col min="3079" max="3081" width="10.85546875" style="1" customWidth="1"/>
    <col min="3082" max="3082" width="11.85546875" style="1" customWidth="1"/>
    <col min="3083" max="3083" width="12.85546875" style="1" customWidth="1"/>
    <col min="3084" max="3086" width="10.85546875" style="1" customWidth="1"/>
    <col min="3087" max="3088" width="12.85546875" style="1" customWidth="1"/>
    <col min="3089" max="3089" width="12.85546875" style="1" bestFit="1" customWidth="1"/>
    <col min="3090" max="3328" width="11.42578125" style="1"/>
    <col min="3329" max="3329" width="23" style="1" bestFit="1" customWidth="1"/>
    <col min="3330" max="3332" width="10.85546875" style="1" customWidth="1"/>
    <col min="3333" max="3333" width="11.85546875" style="1" customWidth="1"/>
    <col min="3334" max="3334" width="12.85546875" style="1" customWidth="1"/>
    <col min="3335" max="3337" width="10.85546875" style="1" customWidth="1"/>
    <col min="3338" max="3338" width="11.85546875" style="1" customWidth="1"/>
    <col min="3339" max="3339" width="12.85546875" style="1" customWidth="1"/>
    <col min="3340" max="3342" width="10.85546875" style="1" customWidth="1"/>
    <col min="3343" max="3344" width="12.85546875" style="1" customWidth="1"/>
    <col min="3345" max="3345" width="12.85546875" style="1" bestFit="1" customWidth="1"/>
    <col min="3346" max="3584" width="11.42578125" style="1"/>
    <col min="3585" max="3585" width="23" style="1" bestFit="1" customWidth="1"/>
    <col min="3586" max="3588" width="10.85546875" style="1" customWidth="1"/>
    <col min="3589" max="3589" width="11.85546875" style="1" customWidth="1"/>
    <col min="3590" max="3590" width="12.85546875" style="1" customWidth="1"/>
    <col min="3591" max="3593" width="10.85546875" style="1" customWidth="1"/>
    <col min="3594" max="3594" width="11.85546875" style="1" customWidth="1"/>
    <col min="3595" max="3595" width="12.85546875" style="1" customWidth="1"/>
    <col min="3596" max="3598" width="10.85546875" style="1" customWidth="1"/>
    <col min="3599" max="3600" width="12.85546875" style="1" customWidth="1"/>
    <col min="3601" max="3601" width="12.85546875" style="1" bestFit="1" customWidth="1"/>
    <col min="3602" max="3840" width="11.42578125" style="1"/>
    <col min="3841" max="3841" width="23" style="1" bestFit="1" customWidth="1"/>
    <col min="3842" max="3844" width="10.85546875" style="1" customWidth="1"/>
    <col min="3845" max="3845" width="11.85546875" style="1" customWidth="1"/>
    <col min="3846" max="3846" width="12.85546875" style="1" customWidth="1"/>
    <col min="3847" max="3849" width="10.85546875" style="1" customWidth="1"/>
    <col min="3850" max="3850" width="11.85546875" style="1" customWidth="1"/>
    <col min="3851" max="3851" width="12.85546875" style="1" customWidth="1"/>
    <col min="3852" max="3854" width="10.85546875" style="1" customWidth="1"/>
    <col min="3855" max="3856" width="12.85546875" style="1" customWidth="1"/>
    <col min="3857" max="3857" width="12.85546875" style="1" bestFit="1" customWidth="1"/>
    <col min="3858" max="4096" width="11.42578125" style="1"/>
    <col min="4097" max="4097" width="23" style="1" bestFit="1" customWidth="1"/>
    <col min="4098" max="4100" width="10.85546875" style="1" customWidth="1"/>
    <col min="4101" max="4101" width="11.85546875" style="1" customWidth="1"/>
    <col min="4102" max="4102" width="12.85546875" style="1" customWidth="1"/>
    <col min="4103" max="4105" width="10.85546875" style="1" customWidth="1"/>
    <col min="4106" max="4106" width="11.85546875" style="1" customWidth="1"/>
    <col min="4107" max="4107" width="12.85546875" style="1" customWidth="1"/>
    <col min="4108" max="4110" width="10.85546875" style="1" customWidth="1"/>
    <col min="4111" max="4112" width="12.85546875" style="1" customWidth="1"/>
    <col min="4113" max="4113" width="12.85546875" style="1" bestFit="1" customWidth="1"/>
    <col min="4114" max="4352" width="11.42578125" style="1"/>
    <col min="4353" max="4353" width="23" style="1" bestFit="1" customWidth="1"/>
    <col min="4354" max="4356" width="10.85546875" style="1" customWidth="1"/>
    <col min="4357" max="4357" width="11.85546875" style="1" customWidth="1"/>
    <col min="4358" max="4358" width="12.85546875" style="1" customWidth="1"/>
    <col min="4359" max="4361" width="10.85546875" style="1" customWidth="1"/>
    <col min="4362" max="4362" width="11.85546875" style="1" customWidth="1"/>
    <col min="4363" max="4363" width="12.85546875" style="1" customWidth="1"/>
    <col min="4364" max="4366" width="10.85546875" style="1" customWidth="1"/>
    <col min="4367" max="4368" width="12.85546875" style="1" customWidth="1"/>
    <col min="4369" max="4369" width="12.85546875" style="1" bestFit="1" customWidth="1"/>
    <col min="4370" max="4608" width="11.42578125" style="1"/>
    <col min="4609" max="4609" width="23" style="1" bestFit="1" customWidth="1"/>
    <col min="4610" max="4612" width="10.85546875" style="1" customWidth="1"/>
    <col min="4613" max="4613" width="11.85546875" style="1" customWidth="1"/>
    <col min="4614" max="4614" width="12.85546875" style="1" customWidth="1"/>
    <col min="4615" max="4617" width="10.85546875" style="1" customWidth="1"/>
    <col min="4618" max="4618" width="11.85546875" style="1" customWidth="1"/>
    <col min="4619" max="4619" width="12.85546875" style="1" customWidth="1"/>
    <col min="4620" max="4622" width="10.85546875" style="1" customWidth="1"/>
    <col min="4623" max="4624" width="12.85546875" style="1" customWidth="1"/>
    <col min="4625" max="4625" width="12.85546875" style="1" bestFit="1" customWidth="1"/>
    <col min="4626" max="4864" width="11.42578125" style="1"/>
    <col min="4865" max="4865" width="23" style="1" bestFit="1" customWidth="1"/>
    <col min="4866" max="4868" width="10.85546875" style="1" customWidth="1"/>
    <col min="4869" max="4869" width="11.85546875" style="1" customWidth="1"/>
    <col min="4870" max="4870" width="12.85546875" style="1" customWidth="1"/>
    <col min="4871" max="4873" width="10.85546875" style="1" customWidth="1"/>
    <col min="4874" max="4874" width="11.85546875" style="1" customWidth="1"/>
    <col min="4875" max="4875" width="12.85546875" style="1" customWidth="1"/>
    <col min="4876" max="4878" width="10.85546875" style="1" customWidth="1"/>
    <col min="4879" max="4880" width="12.85546875" style="1" customWidth="1"/>
    <col min="4881" max="4881" width="12.85546875" style="1" bestFit="1" customWidth="1"/>
    <col min="4882" max="5120" width="11.42578125" style="1"/>
    <col min="5121" max="5121" width="23" style="1" bestFit="1" customWidth="1"/>
    <col min="5122" max="5124" width="10.85546875" style="1" customWidth="1"/>
    <col min="5125" max="5125" width="11.85546875" style="1" customWidth="1"/>
    <col min="5126" max="5126" width="12.85546875" style="1" customWidth="1"/>
    <col min="5127" max="5129" width="10.85546875" style="1" customWidth="1"/>
    <col min="5130" max="5130" width="11.85546875" style="1" customWidth="1"/>
    <col min="5131" max="5131" width="12.85546875" style="1" customWidth="1"/>
    <col min="5132" max="5134" width="10.85546875" style="1" customWidth="1"/>
    <col min="5135" max="5136" width="12.85546875" style="1" customWidth="1"/>
    <col min="5137" max="5137" width="12.85546875" style="1" bestFit="1" customWidth="1"/>
    <col min="5138" max="5376" width="11.42578125" style="1"/>
    <col min="5377" max="5377" width="23" style="1" bestFit="1" customWidth="1"/>
    <col min="5378" max="5380" width="10.85546875" style="1" customWidth="1"/>
    <col min="5381" max="5381" width="11.85546875" style="1" customWidth="1"/>
    <col min="5382" max="5382" width="12.85546875" style="1" customWidth="1"/>
    <col min="5383" max="5385" width="10.85546875" style="1" customWidth="1"/>
    <col min="5386" max="5386" width="11.85546875" style="1" customWidth="1"/>
    <col min="5387" max="5387" width="12.85546875" style="1" customWidth="1"/>
    <col min="5388" max="5390" width="10.85546875" style="1" customWidth="1"/>
    <col min="5391" max="5392" width="12.85546875" style="1" customWidth="1"/>
    <col min="5393" max="5393" width="12.85546875" style="1" bestFit="1" customWidth="1"/>
    <col min="5394" max="5632" width="11.42578125" style="1"/>
    <col min="5633" max="5633" width="23" style="1" bestFit="1" customWidth="1"/>
    <col min="5634" max="5636" width="10.85546875" style="1" customWidth="1"/>
    <col min="5637" max="5637" width="11.85546875" style="1" customWidth="1"/>
    <col min="5638" max="5638" width="12.85546875" style="1" customWidth="1"/>
    <col min="5639" max="5641" width="10.85546875" style="1" customWidth="1"/>
    <col min="5642" max="5642" width="11.85546875" style="1" customWidth="1"/>
    <col min="5643" max="5643" width="12.85546875" style="1" customWidth="1"/>
    <col min="5644" max="5646" width="10.85546875" style="1" customWidth="1"/>
    <col min="5647" max="5648" width="12.85546875" style="1" customWidth="1"/>
    <col min="5649" max="5649" width="12.85546875" style="1" bestFit="1" customWidth="1"/>
    <col min="5650" max="5888" width="11.42578125" style="1"/>
    <col min="5889" max="5889" width="23" style="1" bestFit="1" customWidth="1"/>
    <col min="5890" max="5892" width="10.85546875" style="1" customWidth="1"/>
    <col min="5893" max="5893" width="11.85546875" style="1" customWidth="1"/>
    <col min="5894" max="5894" width="12.85546875" style="1" customWidth="1"/>
    <col min="5895" max="5897" width="10.85546875" style="1" customWidth="1"/>
    <col min="5898" max="5898" width="11.85546875" style="1" customWidth="1"/>
    <col min="5899" max="5899" width="12.85546875" style="1" customWidth="1"/>
    <col min="5900" max="5902" width="10.85546875" style="1" customWidth="1"/>
    <col min="5903" max="5904" width="12.85546875" style="1" customWidth="1"/>
    <col min="5905" max="5905" width="12.85546875" style="1" bestFit="1" customWidth="1"/>
    <col min="5906" max="6144" width="11.42578125" style="1"/>
    <col min="6145" max="6145" width="23" style="1" bestFit="1" customWidth="1"/>
    <col min="6146" max="6148" width="10.85546875" style="1" customWidth="1"/>
    <col min="6149" max="6149" width="11.85546875" style="1" customWidth="1"/>
    <col min="6150" max="6150" width="12.85546875" style="1" customWidth="1"/>
    <col min="6151" max="6153" width="10.85546875" style="1" customWidth="1"/>
    <col min="6154" max="6154" width="11.85546875" style="1" customWidth="1"/>
    <col min="6155" max="6155" width="12.85546875" style="1" customWidth="1"/>
    <col min="6156" max="6158" width="10.85546875" style="1" customWidth="1"/>
    <col min="6159" max="6160" width="12.85546875" style="1" customWidth="1"/>
    <col min="6161" max="6161" width="12.85546875" style="1" bestFit="1" customWidth="1"/>
    <col min="6162" max="6400" width="11.42578125" style="1"/>
    <col min="6401" max="6401" width="23" style="1" bestFit="1" customWidth="1"/>
    <col min="6402" max="6404" width="10.85546875" style="1" customWidth="1"/>
    <col min="6405" max="6405" width="11.85546875" style="1" customWidth="1"/>
    <col min="6406" max="6406" width="12.85546875" style="1" customWidth="1"/>
    <col min="6407" max="6409" width="10.85546875" style="1" customWidth="1"/>
    <col min="6410" max="6410" width="11.85546875" style="1" customWidth="1"/>
    <col min="6411" max="6411" width="12.85546875" style="1" customWidth="1"/>
    <col min="6412" max="6414" width="10.85546875" style="1" customWidth="1"/>
    <col min="6415" max="6416" width="12.85546875" style="1" customWidth="1"/>
    <col min="6417" max="6417" width="12.85546875" style="1" bestFit="1" customWidth="1"/>
    <col min="6418" max="6656" width="11.42578125" style="1"/>
    <col min="6657" max="6657" width="23" style="1" bestFit="1" customWidth="1"/>
    <col min="6658" max="6660" width="10.85546875" style="1" customWidth="1"/>
    <col min="6661" max="6661" width="11.85546875" style="1" customWidth="1"/>
    <col min="6662" max="6662" width="12.85546875" style="1" customWidth="1"/>
    <col min="6663" max="6665" width="10.85546875" style="1" customWidth="1"/>
    <col min="6666" max="6666" width="11.85546875" style="1" customWidth="1"/>
    <col min="6667" max="6667" width="12.85546875" style="1" customWidth="1"/>
    <col min="6668" max="6670" width="10.85546875" style="1" customWidth="1"/>
    <col min="6671" max="6672" width="12.85546875" style="1" customWidth="1"/>
    <col min="6673" max="6673" width="12.85546875" style="1" bestFit="1" customWidth="1"/>
    <col min="6674" max="6912" width="11.42578125" style="1"/>
    <col min="6913" max="6913" width="23" style="1" bestFit="1" customWidth="1"/>
    <col min="6914" max="6916" width="10.85546875" style="1" customWidth="1"/>
    <col min="6917" max="6917" width="11.85546875" style="1" customWidth="1"/>
    <col min="6918" max="6918" width="12.85546875" style="1" customWidth="1"/>
    <col min="6919" max="6921" width="10.85546875" style="1" customWidth="1"/>
    <col min="6922" max="6922" width="11.85546875" style="1" customWidth="1"/>
    <col min="6923" max="6923" width="12.85546875" style="1" customWidth="1"/>
    <col min="6924" max="6926" width="10.85546875" style="1" customWidth="1"/>
    <col min="6927" max="6928" width="12.85546875" style="1" customWidth="1"/>
    <col min="6929" max="6929" width="12.85546875" style="1" bestFit="1" customWidth="1"/>
    <col min="6930" max="7168" width="11.42578125" style="1"/>
    <col min="7169" max="7169" width="23" style="1" bestFit="1" customWidth="1"/>
    <col min="7170" max="7172" width="10.85546875" style="1" customWidth="1"/>
    <col min="7173" max="7173" width="11.85546875" style="1" customWidth="1"/>
    <col min="7174" max="7174" width="12.85546875" style="1" customWidth="1"/>
    <col min="7175" max="7177" width="10.85546875" style="1" customWidth="1"/>
    <col min="7178" max="7178" width="11.85546875" style="1" customWidth="1"/>
    <col min="7179" max="7179" width="12.85546875" style="1" customWidth="1"/>
    <col min="7180" max="7182" width="10.85546875" style="1" customWidth="1"/>
    <col min="7183" max="7184" width="12.85546875" style="1" customWidth="1"/>
    <col min="7185" max="7185" width="12.85546875" style="1" bestFit="1" customWidth="1"/>
    <col min="7186" max="7424" width="11.42578125" style="1"/>
    <col min="7425" max="7425" width="23" style="1" bestFit="1" customWidth="1"/>
    <col min="7426" max="7428" width="10.85546875" style="1" customWidth="1"/>
    <col min="7429" max="7429" width="11.85546875" style="1" customWidth="1"/>
    <col min="7430" max="7430" width="12.85546875" style="1" customWidth="1"/>
    <col min="7431" max="7433" width="10.85546875" style="1" customWidth="1"/>
    <col min="7434" max="7434" width="11.85546875" style="1" customWidth="1"/>
    <col min="7435" max="7435" width="12.85546875" style="1" customWidth="1"/>
    <col min="7436" max="7438" width="10.85546875" style="1" customWidth="1"/>
    <col min="7439" max="7440" width="12.85546875" style="1" customWidth="1"/>
    <col min="7441" max="7441" width="12.85546875" style="1" bestFit="1" customWidth="1"/>
    <col min="7442" max="7680" width="11.42578125" style="1"/>
    <col min="7681" max="7681" width="23" style="1" bestFit="1" customWidth="1"/>
    <col min="7682" max="7684" width="10.85546875" style="1" customWidth="1"/>
    <col min="7685" max="7685" width="11.85546875" style="1" customWidth="1"/>
    <col min="7686" max="7686" width="12.85546875" style="1" customWidth="1"/>
    <col min="7687" max="7689" width="10.85546875" style="1" customWidth="1"/>
    <col min="7690" max="7690" width="11.85546875" style="1" customWidth="1"/>
    <col min="7691" max="7691" width="12.85546875" style="1" customWidth="1"/>
    <col min="7692" max="7694" width="10.85546875" style="1" customWidth="1"/>
    <col min="7695" max="7696" width="12.85546875" style="1" customWidth="1"/>
    <col min="7697" max="7697" width="12.85546875" style="1" bestFit="1" customWidth="1"/>
    <col min="7698" max="7936" width="11.42578125" style="1"/>
    <col min="7937" max="7937" width="23" style="1" bestFit="1" customWidth="1"/>
    <col min="7938" max="7940" width="10.85546875" style="1" customWidth="1"/>
    <col min="7941" max="7941" width="11.85546875" style="1" customWidth="1"/>
    <col min="7942" max="7942" width="12.85546875" style="1" customWidth="1"/>
    <col min="7943" max="7945" width="10.85546875" style="1" customWidth="1"/>
    <col min="7946" max="7946" width="11.85546875" style="1" customWidth="1"/>
    <col min="7947" max="7947" width="12.85546875" style="1" customWidth="1"/>
    <col min="7948" max="7950" width="10.85546875" style="1" customWidth="1"/>
    <col min="7951" max="7952" width="12.85546875" style="1" customWidth="1"/>
    <col min="7953" max="7953" width="12.85546875" style="1" bestFit="1" customWidth="1"/>
    <col min="7954" max="8192" width="11.42578125" style="1"/>
    <col min="8193" max="8193" width="23" style="1" bestFit="1" customWidth="1"/>
    <col min="8194" max="8196" width="10.85546875" style="1" customWidth="1"/>
    <col min="8197" max="8197" width="11.85546875" style="1" customWidth="1"/>
    <col min="8198" max="8198" width="12.85546875" style="1" customWidth="1"/>
    <col min="8199" max="8201" width="10.85546875" style="1" customWidth="1"/>
    <col min="8202" max="8202" width="11.85546875" style="1" customWidth="1"/>
    <col min="8203" max="8203" width="12.85546875" style="1" customWidth="1"/>
    <col min="8204" max="8206" width="10.85546875" style="1" customWidth="1"/>
    <col min="8207" max="8208" width="12.85546875" style="1" customWidth="1"/>
    <col min="8209" max="8209" width="12.85546875" style="1" bestFit="1" customWidth="1"/>
    <col min="8210" max="8448" width="11.42578125" style="1"/>
    <col min="8449" max="8449" width="23" style="1" bestFit="1" customWidth="1"/>
    <col min="8450" max="8452" width="10.85546875" style="1" customWidth="1"/>
    <col min="8453" max="8453" width="11.85546875" style="1" customWidth="1"/>
    <col min="8454" max="8454" width="12.85546875" style="1" customWidth="1"/>
    <col min="8455" max="8457" width="10.85546875" style="1" customWidth="1"/>
    <col min="8458" max="8458" width="11.85546875" style="1" customWidth="1"/>
    <col min="8459" max="8459" width="12.85546875" style="1" customWidth="1"/>
    <col min="8460" max="8462" width="10.85546875" style="1" customWidth="1"/>
    <col min="8463" max="8464" width="12.85546875" style="1" customWidth="1"/>
    <col min="8465" max="8465" width="12.85546875" style="1" bestFit="1" customWidth="1"/>
    <col min="8466" max="8704" width="11.42578125" style="1"/>
    <col min="8705" max="8705" width="23" style="1" bestFit="1" customWidth="1"/>
    <col min="8706" max="8708" width="10.85546875" style="1" customWidth="1"/>
    <col min="8709" max="8709" width="11.85546875" style="1" customWidth="1"/>
    <col min="8710" max="8710" width="12.85546875" style="1" customWidth="1"/>
    <col min="8711" max="8713" width="10.85546875" style="1" customWidth="1"/>
    <col min="8714" max="8714" width="11.85546875" style="1" customWidth="1"/>
    <col min="8715" max="8715" width="12.85546875" style="1" customWidth="1"/>
    <col min="8716" max="8718" width="10.85546875" style="1" customWidth="1"/>
    <col min="8719" max="8720" width="12.85546875" style="1" customWidth="1"/>
    <col min="8721" max="8721" width="12.85546875" style="1" bestFit="1" customWidth="1"/>
    <col min="8722" max="8960" width="11.42578125" style="1"/>
    <col min="8961" max="8961" width="23" style="1" bestFit="1" customWidth="1"/>
    <col min="8962" max="8964" width="10.85546875" style="1" customWidth="1"/>
    <col min="8965" max="8965" width="11.85546875" style="1" customWidth="1"/>
    <col min="8966" max="8966" width="12.85546875" style="1" customWidth="1"/>
    <col min="8967" max="8969" width="10.85546875" style="1" customWidth="1"/>
    <col min="8970" max="8970" width="11.85546875" style="1" customWidth="1"/>
    <col min="8971" max="8971" width="12.85546875" style="1" customWidth="1"/>
    <col min="8972" max="8974" width="10.85546875" style="1" customWidth="1"/>
    <col min="8975" max="8976" width="12.85546875" style="1" customWidth="1"/>
    <col min="8977" max="8977" width="12.85546875" style="1" bestFit="1" customWidth="1"/>
    <col min="8978" max="9216" width="11.42578125" style="1"/>
    <col min="9217" max="9217" width="23" style="1" bestFit="1" customWidth="1"/>
    <col min="9218" max="9220" width="10.85546875" style="1" customWidth="1"/>
    <col min="9221" max="9221" width="11.85546875" style="1" customWidth="1"/>
    <col min="9222" max="9222" width="12.85546875" style="1" customWidth="1"/>
    <col min="9223" max="9225" width="10.85546875" style="1" customWidth="1"/>
    <col min="9226" max="9226" width="11.85546875" style="1" customWidth="1"/>
    <col min="9227" max="9227" width="12.85546875" style="1" customWidth="1"/>
    <col min="9228" max="9230" width="10.85546875" style="1" customWidth="1"/>
    <col min="9231" max="9232" width="12.85546875" style="1" customWidth="1"/>
    <col min="9233" max="9233" width="12.85546875" style="1" bestFit="1" customWidth="1"/>
    <col min="9234" max="9472" width="11.42578125" style="1"/>
    <col min="9473" max="9473" width="23" style="1" bestFit="1" customWidth="1"/>
    <col min="9474" max="9476" width="10.85546875" style="1" customWidth="1"/>
    <col min="9477" max="9477" width="11.85546875" style="1" customWidth="1"/>
    <col min="9478" max="9478" width="12.85546875" style="1" customWidth="1"/>
    <col min="9479" max="9481" width="10.85546875" style="1" customWidth="1"/>
    <col min="9482" max="9482" width="11.85546875" style="1" customWidth="1"/>
    <col min="9483" max="9483" width="12.85546875" style="1" customWidth="1"/>
    <col min="9484" max="9486" width="10.85546875" style="1" customWidth="1"/>
    <col min="9487" max="9488" width="12.85546875" style="1" customWidth="1"/>
    <col min="9489" max="9489" width="12.85546875" style="1" bestFit="1" customWidth="1"/>
    <col min="9490" max="9728" width="11.42578125" style="1"/>
    <col min="9729" max="9729" width="23" style="1" bestFit="1" customWidth="1"/>
    <col min="9730" max="9732" width="10.85546875" style="1" customWidth="1"/>
    <col min="9733" max="9733" width="11.85546875" style="1" customWidth="1"/>
    <col min="9734" max="9734" width="12.85546875" style="1" customWidth="1"/>
    <col min="9735" max="9737" width="10.85546875" style="1" customWidth="1"/>
    <col min="9738" max="9738" width="11.85546875" style="1" customWidth="1"/>
    <col min="9739" max="9739" width="12.85546875" style="1" customWidth="1"/>
    <col min="9740" max="9742" width="10.85546875" style="1" customWidth="1"/>
    <col min="9743" max="9744" width="12.85546875" style="1" customWidth="1"/>
    <col min="9745" max="9745" width="12.85546875" style="1" bestFit="1" customWidth="1"/>
    <col min="9746" max="9984" width="11.42578125" style="1"/>
    <col min="9985" max="9985" width="23" style="1" bestFit="1" customWidth="1"/>
    <col min="9986" max="9988" width="10.85546875" style="1" customWidth="1"/>
    <col min="9989" max="9989" width="11.85546875" style="1" customWidth="1"/>
    <col min="9990" max="9990" width="12.85546875" style="1" customWidth="1"/>
    <col min="9991" max="9993" width="10.85546875" style="1" customWidth="1"/>
    <col min="9994" max="9994" width="11.85546875" style="1" customWidth="1"/>
    <col min="9995" max="9995" width="12.85546875" style="1" customWidth="1"/>
    <col min="9996" max="9998" width="10.85546875" style="1" customWidth="1"/>
    <col min="9999" max="10000" width="12.85546875" style="1" customWidth="1"/>
    <col min="10001" max="10001" width="12.85546875" style="1" bestFit="1" customWidth="1"/>
    <col min="10002" max="10240" width="11.42578125" style="1"/>
    <col min="10241" max="10241" width="23" style="1" bestFit="1" customWidth="1"/>
    <col min="10242" max="10244" width="10.85546875" style="1" customWidth="1"/>
    <col min="10245" max="10245" width="11.85546875" style="1" customWidth="1"/>
    <col min="10246" max="10246" width="12.85546875" style="1" customWidth="1"/>
    <col min="10247" max="10249" width="10.85546875" style="1" customWidth="1"/>
    <col min="10250" max="10250" width="11.85546875" style="1" customWidth="1"/>
    <col min="10251" max="10251" width="12.85546875" style="1" customWidth="1"/>
    <col min="10252" max="10254" width="10.85546875" style="1" customWidth="1"/>
    <col min="10255" max="10256" width="12.85546875" style="1" customWidth="1"/>
    <col min="10257" max="10257" width="12.85546875" style="1" bestFit="1" customWidth="1"/>
    <col min="10258" max="10496" width="11.42578125" style="1"/>
    <col min="10497" max="10497" width="23" style="1" bestFit="1" customWidth="1"/>
    <col min="10498" max="10500" width="10.85546875" style="1" customWidth="1"/>
    <col min="10501" max="10501" width="11.85546875" style="1" customWidth="1"/>
    <col min="10502" max="10502" width="12.85546875" style="1" customWidth="1"/>
    <col min="10503" max="10505" width="10.85546875" style="1" customWidth="1"/>
    <col min="10506" max="10506" width="11.85546875" style="1" customWidth="1"/>
    <col min="10507" max="10507" width="12.85546875" style="1" customWidth="1"/>
    <col min="10508" max="10510" width="10.85546875" style="1" customWidth="1"/>
    <col min="10511" max="10512" width="12.85546875" style="1" customWidth="1"/>
    <col min="10513" max="10513" width="12.85546875" style="1" bestFit="1" customWidth="1"/>
    <col min="10514" max="10752" width="11.42578125" style="1"/>
    <col min="10753" max="10753" width="23" style="1" bestFit="1" customWidth="1"/>
    <col min="10754" max="10756" width="10.85546875" style="1" customWidth="1"/>
    <col min="10757" max="10757" width="11.85546875" style="1" customWidth="1"/>
    <col min="10758" max="10758" width="12.85546875" style="1" customWidth="1"/>
    <col min="10759" max="10761" width="10.85546875" style="1" customWidth="1"/>
    <col min="10762" max="10762" width="11.85546875" style="1" customWidth="1"/>
    <col min="10763" max="10763" width="12.85546875" style="1" customWidth="1"/>
    <col min="10764" max="10766" width="10.85546875" style="1" customWidth="1"/>
    <col min="10767" max="10768" width="12.85546875" style="1" customWidth="1"/>
    <col min="10769" max="10769" width="12.85546875" style="1" bestFit="1" customWidth="1"/>
    <col min="10770" max="11008" width="11.42578125" style="1"/>
    <col min="11009" max="11009" width="23" style="1" bestFit="1" customWidth="1"/>
    <col min="11010" max="11012" width="10.85546875" style="1" customWidth="1"/>
    <col min="11013" max="11013" width="11.85546875" style="1" customWidth="1"/>
    <col min="11014" max="11014" width="12.85546875" style="1" customWidth="1"/>
    <col min="11015" max="11017" width="10.85546875" style="1" customWidth="1"/>
    <col min="11018" max="11018" width="11.85546875" style="1" customWidth="1"/>
    <col min="11019" max="11019" width="12.85546875" style="1" customWidth="1"/>
    <col min="11020" max="11022" width="10.85546875" style="1" customWidth="1"/>
    <col min="11023" max="11024" width="12.85546875" style="1" customWidth="1"/>
    <col min="11025" max="11025" width="12.85546875" style="1" bestFit="1" customWidth="1"/>
    <col min="11026" max="11264" width="11.42578125" style="1"/>
    <col min="11265" max="11265" width="23" style="1" bestFit="1" customWidth="1"/>
    <col min="11266" max="11268" width="10.85546875" style="1" customWidth="1"/>
    <col min="11269" max="11269" width="11.85546875" style="1" customWidth="1"/>
    <col min="11270" max="11270" width="12.85546875" style="1" customWidth="1"/>
    <col min="11271" max="11273" width="10.85546875" style="1" customWidth="1"/>
    <col min="11274" max="11274" width="11.85546875" style="1" customWidth="1"/>
    <col min="11275" max="11275" width="12.85546875" style="1" customWidth="1"/>
    <col min="11276" max="11278" width="10.85546875" style="1" customWidth="1"/>
    <col min="11279" max="11280" width="12.85546875" style="1" customWidth="1"/>
    <col min="11281" max="11281" width="12.85546875" style="1" bestFit="1" customWidth="1"/>
    <col min="11282" max="11520" width="11.42578125" style="1"/>
    <col min="11521" max="11521" width="23" style="1" bestFit="1" customWidth="1"/>
    <col min="11522" max="11524" width="10.85546875" style="1" customWidth="1"/>
    <col min="11525" max="11525" width="11.85546875" style="1" customWidth="1"/>
    <col min="11526" max="11526" width="12.85546875" style="1" customWidth="1"/>
    <col min="11527" max="11529" width="10.85546875" style="1" customWidth="1"/>
    <col min="11530" max="11530" width="11.85546875" style="1" customWidth="1"/>
    <col min="11531" max="11531" width="12.85546875" style="1" customWidth="1"/>
    <col min="11532" max="11534" width="10.85546875" style="1" customWidth="1"/>
    <col min="11535" max="11536" width="12.85546875" style="1" customWidth="1"/>
    <col min="11537" max="11537" width="12.85546875" style="1" bestFit="1" customWidth="1"/>
    <col min="11538" max="11776" width="11.42578125" style="1"/>
    <col min="11777" max="11777" width="23" style="1" bestFit="1" customWidth="1"/>
    <col min="11778" max="11780" width="10.85546875" style="1" customWidth="1"/>
    <col min="11781" max="11781" width="11.85546875" style="1" customWidth="1"/>
    <col min="11782" max="11782" width="12.85546875" style="1" customWidth="1"/>
    <col min="11783" max="11785" width="10.85546875" style="1" customWidth="1"/>
    <col min="11786" max="11786" width="11.85546875" style="1" customWidth="1"/>
    <col min="11787" max="11787" width="12.85546875" style="1" customWidth="1"/>
    <col min="11788" max="11790" width="10.85546875" style="1" customWidth="1"/>
    <col min="11791" max="11792" width="12.85546875" style="1" customWidth="1"/>
    <col min="11793" max="11793" width="12.85546875" style="1" bestFit="1" customWidth="1"/>
    <col min="11794" max="12032" width="11.42578125" style="1"/>
    <col min="12033" max="12033" width="23" style="1" bestFit="1" customWidth="1"/>
    <col min="12034" max="12036" width="10.85546875" style="1" customWidth="1"/>
    <col min="12037" max="12037" width="11.85546875" style="1" customWidth="1"/>
    <col min="12038" max="12038" width="12.85546875" style="1" customWidth="1"/>
    <col min="12039" max="12041" width="10.85546875" style="1" customWidth="1"/>
    <col min="12042" max="12042" width="11.85546875" style="1" customWidth="1"/>
    <col min="12043" max="12043" width="12.85546875" style="1" customWidth="1"/>
    <col min="12044" max="12046" width="10.85546875" style="1" customWidth="1"/>
    <col min="12047" max="12048" width="12.85546875" style="1" customWidth="1"/>
    <col min="12049" max="12049" width="12.85546875" style="1" bestFit="1" customWidth="1"/>
    <col min="12050" max="12288" width="11.42578125" style="1"/>
    <col min="12289" max="12289" width="23" style="1" bestFit="1" customWidth="1"/>
    <col min="12290" max="12292" width="10.85546875" style="1" customWidth="1"/>
    <col min="12293" max="12293" width="11.85546875" style="1" customWidth="1"/>
    <col min="12294" max="12294" width="12.85546875" style="1" customWidth="1"/>
    <col min="12295" max="12297" width="10.85546875" style="1" customWidth="1"/>
    <col min="12298" max="12298" width="11.85546875" style="1" customWidth="1"/>
    <col min="12299" max="12299" width="12.85546875" style="1" customWidth="1"/>
    <col min="12300" max="12302" width="10.85546875" style="1" customWidth="1"/>
    <col min="12303" max="12304" width="12.85546875" style="1" customWidth="1"/>
    <col min="12305" max="12305" width="12.85546875" style="1" bestFit="1" customWidth="1"/>
    <col min="12306" max="12544" width="11.42578125" style="1"/>
    <col min="12545" max="12545" width="23" style="1" bestFit="1" customWidth="1"/>
    <col min="12546" max="12548" width="10.85546875" style="1" customWidth="1"/>
    <col min="12549" max="12549" width="11.85546875" style="1" customWidth="1"/>
    <col min="12550" max="12550" width="12.85546875" style="1" customWidth="1"/>
    <col min="12551" max="12553" width="10.85546875" style="1" customWidth="1"/>
    <col min="12554" max="12554" width="11.85546875" style="1" customWidth="1"/>
    <col min="12555" max="12555" width="12.85546875" style="1" customWidth="1"/>
    <col min="12556" max="12558" width="10.85546875" style="1" customWidth="1"/>
    <col min="12559" max="12560" width="12.85546875" style="1" customWidth="1"/>
    <col min="12561" max="12561" width="12.85546875" style="1" bestFit="1" customWidth="1"/>
    <col min="12562" max="12800" width="11.42578125" style="1"/>
    <col min="12801" max="12801" width="23" style="1" bestFit="1" customWidth="1"/>
    <col min="12802" max="12804" width="10.85546875" style="1" customWidth="1"/>
    <col min="12805" max="12805" width="11.85546875" style="1" customWidth="1"/>
    <col min="12806" max="12806" width="12.85546875" style="1" customWidth="1"/>
    <col min="12807" max="12809" width="10.85546875" style="1" customWidth="1"/>
    <col min="12810" max="12810" width="11.85546875" style="1" customWidth="1"/>
    <col min="12811" max="12811" width="12.85546875" style="1" customWidth="1"/>
    <col min="12812" max="12814" width="10.85546875" style="1" customWidth="1"/>
    <col min="12815" max="12816" width="12.85546875" style="1" customWidth="1"/>
    <col min="12817" max="12817" width="12.85546875" style="1" bestFit="1" customWidth="1"/>
    <col min="12818" max="13056" width="11.42578125" style="1"/>
    <col min="13057" max="13057" width="23" style="1" bestFit="1" customWidth="1"/>
    <col min="13058" max="13060" width="10.85546875" style="1" customWidth="1"/>
    <col min="13061" max="13061" width="11.85546875" style="1" customWidth="1"/>
    <col min="13062" max="13062" width="12.85546875" style="1" customWidth="1"/>
    <col min="13063" max="13065" width="10.85546875" style="1" customWidth="1"/>
    <col min="13066" max="13066" width="11.85546875" style="1" customWidth="1"/>
    <col min="13067" max="13067" width="12.85546875" style="1" customWidth="1"/>
    <col min="13068" max="13070" width="10.85546875" style="1" customWidth="1"/>
    <col min="13071" max="13072" width="12.85546875" style="1" customWidth="1"/>
    <col min="13073" max="13073" width="12.85546875" style="1" bestFit="1" customWidth="1"/>
    <col min="13074" max="13312" width="11.42578125" style="1"/>
    <col min="13313" max="13313" width="23" style="1" bestFit="1" customWidth="1"/>
    <col min="13314" max="13316" width="10.85546875" style="1" customWidth="1"/>
    <col min="13317" max="13317" width="11.85546875" style="1" customWidth="1"/>
    <col min="13318" max="13318" width="12.85546875" style="1" customWidth="1"/>
    <col min="13319" max="13321" width="10.85546875" style="1" customWidth="1"/>
    <col min="13322" max="13322" width="11.85546875" style="1" customWidth="1"/>
    <col min="13323" max="13323" width="12.85546875" style="1" customWidth="1"/>
    <col min="13324" max="13326" width="10.85546875" style="1" customWidth="1"/>
    <col min="13327" max="13328" width="12.85546875" style="1" customWidth="1"/>
    <col min="13329" max="13329" width="12.85546875" style="1" bestFit="1" customWidth="1"/>
    <col min="13330" max="13568" width="11.42578125" style="1"/>
    <col min="13569" max="13569" width="23" style="1" bestFit="1" customWidth="1"/>
    <col min="13570" max="13572" width="10.85546875" style="1" customWidth="1"/>
    <col min="13573" max="13573" width="11.85546875" style="1" customWidth="1"/>
    <col min="13574" max="13574" width="12.85546875" style="1" customWidth="1"/>
    <col min="13575" max="13577" width="10.85546875" style="1" customWidth="1"/>
    <col min="13578" max="13578" width="11.85546875" style="1" customWidth="1"/>
    <col min="13579" max="13579" width="12.85546875" style="1" customWidth="1"/>
    <col min="13580" max="13582" width="10.85546875" style="1" customWidth="1"/>
    <col min="13583" max="13584" width="12.85546875" style="1" customWidth="1"/>
    <col min="13585" max="13585" width="12.85546875" style="1" bestFit="1" customWidth="1"/>
    <col min="13586" max="13824" width="11.42578125" style="1"/>
    <col min="13825" max="13825" width="23" style="1" bestFit="1" customWidth="1"/>
    <col min="13826" max="13828" width="10.85546875" style="1" customWidth="1"/>
    <col min="13829" max="13829" width="11.85546875" style="1" customWidth="1"/>
    <col min="13830" max="13830" width="12.85546875" style="1" customWidth="1"/>
    <col min="13831" max="13833" width="10.85546875" style="1" customWidth="1"/>
    <col min="13834" max="13834" width="11.85546875" style="1" customWidth="1"/>
    <col min="13835" max="13835" width="12.85546875" style="1" customWidth="1"/>
    <col min="13836" max="13838" width="10.85546875" style="1" customWidth="1"/>
    <col min="13839" max="13840" width="12.85546875" style="1" customWidth="1"/>
    <col min="13841" max="13841" width="12.85546875" style="1" bestFit="1" customWidth="1"/>
    <col min="13842" max="14080" width="11.42578125" style="1"/>
    <col min="14081" max="14081" width="23" style="1" bestFit="1" customWidth="1"/>
    <col min="14082" max="14084" width="10.85546875" style="1" customWidth="1"/>
    <col min="14085" max="14085" width="11.85546875" style="1" customWidth="1"/>
    <col min="14086" max="14086" width="12.85546875" style="1" customWidth="1"/>
    <col min="14087" max="14089" width="10.85546875" style="1" customWidth="1"/>
    <col min="14090" max="14090" width="11.85546875" style="1" customWidth="1"/>
    <col min="14091" max="14091" width="12.85546875" style="1" customWidth="1"/>
    <col min="14092" max="14094" width="10.85546875" style="1" customWidth="1"/>
    <col min="14095" max="14096" width="12.85546875" style="1" customWidth="1"/>
    <col min="14097" max="14097" width="12.85546875" style="1" bestFit="1" customWidth="1"/>
    <col min="14098" max="14336" width="11.42578125" style="1"/>
    <col min="14337" max="14337" width="23" style="1" bestFit="1" customWidth="1"/>
    <col min="14338" max="14340" width="10.85546875" style="1" customWidth="1"/>
    <col min="14341" max="14341" width="11.85546875" style="1" customWidth="1"/>
    <col min="14342" max="14342" width="12.85546875" style="1" customWidth="1"/>
    <col min="14343" max="14345" width="10.85546875" style="1" customWidth="1"/>
    <col min="14346" max="14346" width="11.85546875" style="1" customWidth="1"/>
    <col min="14347" max="14347" width="12.85546875" style="1" customWidth="1"/>
    <col min="14348" max="14350" width="10.85546875" style="1" customWidth="1"/>
    <col min="14351" max="14352" width="12.85546875" style="1" customWidth="1"/>
    <col min="14353" max="14353" width="12.85546875" style="1" bestFit="1" customWidth="1"/>
    <col min="14354" max="14592" width="11.42578125" style="1"/>
    <col min="14593" max="14593" width="23" style="1" bestFit="1" customWidth="1"/>
    <col min="14594" max="14596" width="10.85546875" style="1" customWidth="1"/>
    <col min="14597" max="14597" width="11.85546875" style="1" customWidth="1"/>
    <col min="14598" max="14598" width="12.85546875" style="1" customWidth="1"/>
    <col min="14599" max="14601" width="10.85546875" style="1" customWidth="1"/>
    <col min="14602" max="14602" width="11.85546875" style="1" customWidth="1"/>
    <col min="14603" max="14603" width="12.85546875" style="1" customWidth="1"/>
    <col min="14604" max="14606" width="10.85546875" style="1" customWidth="1"/>
    <col min="14607" max="14608" width="12.85546875" style="1" customWidth="1"/>
    <col min="14609" max="14609" width="12.85546875" style="1" bestFit="1" customWidth="1"/>
    <col min="14610" max="14848" width="11.42578125" style="1"/>
    <col min="14849" max="14849" width="23" style="1" bestFit="1" customWidth="1"/>
    <col min="14850" max="14852" width="10.85546875" style="1" customWidth="1"/>
    <col min="14853" max="14853" width="11.85546875" style="1" customWidth="1"/>
    <col min="14854" max="14854" width="12.85546875" style="1" customWidth="1"/>
    <col min="14855" max="14857" width="10.85546875" style="1" customWidth="1"/>
    <col min="14858" max="14858" width="11.85546875" style="1" customWidth="1"/>
    <col min="14859" max="14859" width="12.85546875" style="1" customWidth="1"/>
    <col min="14860" max="14862" width="10.85546875" style="1" customWidth="1"/>
    <col min="14863" max="14864" width="12.85546875" style="1" customWidth="1"/>
    <col min="14865" max="14865" width="12.85546875" style="1" bestFit="1" customWidth="1"/>
    <col min="14866" max="15104" width="11.42578125" style="1"/>
    <col min="15105" max="15105" width="23" style="1" bestFit="1" customWidth="1"/>
    <col min="15106" max="15108" width="10.85546875" style="1" customWidth="1"/>
    <col min="15109" max="15109" width="11.85546875" style="1" customWidth="1"/>
    <col min="15110" max="15110" width="12.85546875" style="1" customWidth="1"/>
    <col min="15111" max="15113" width="10.85546875" style="1" customWidth="1"/>
    <col min="15114" max="15114" width="11.85546875" style="1" customWidth="1"/>
    <col min="15115" max="15115" width="12.85546875" style="1" customWidth="1"/>
    <col min="15116" max="15118" width="10.85546875" style="1" customWidth="1"/>
    <col min="15119" max="15120" width="12.85546875" style="1" customWidth="1"/>
    <col min="15121" max="15121" width="12.85546875" style="1" bestFit="1" customWidth="1"/>
    <col min="15122" max="15360" width="11.42578125" style="1"/>
    <col min="15361" max="15361" width="23" style="1" bestFit="1" customWidth="1"/>
    <col min="15362" max="15364" width="10.85546875" style="1" customWidth="1"/>
    <col min="15365" max="15365" width="11.85546875" style="1" customWidth="1"/>
    <col min="15366" max="15366" width="12.85546875" style="1" customWidth="1"/>
    <col min="15367" max="15369" width="10.85546875" style="1" customWidth="1"/>
    <col min="15370" max="15370" width="11.85546875" style="1" customWidth="1"/>
    <col min="15371" max="15371" width="12.85546875" style="1" customWidth="1"/>
    <col min="15372" max="15374" width="10.85546875" style="1" customWidth="1"/>
    <col min="15375" max="15376" width="12.85546875" style="1" customWidth="1"/>
    <col min="15377" max="15377" width="12.85546875" style="1" bestFit="1" customWidth="1"/>
    <col min="15378" max="15616" width="11.42578125" style="1"/>
    <col min="15617" max="15617" width="23" style="1" bestFit="1" customWidth="1"/>
    <col min="15618" max="15620" width="10.85546875" style="1" customWidth="1"/>
    <col min="15621" max="15621" width="11.85546875" style="1" customWidth="1"/>
    <col min="15622" max="15622" width="12.85546875" style="1" customWidth="1"/>
    <col min="15623" max="15625" width="10.85546875" style="1" customWidth="1"/>
    <col min="15626" max="15626" width="11.85546875" style="1" customWidth="1"/>
    <col min="15627" max="15627" width="12.85546875" style="1" customWidth="1"/>
    <col min="15628" max="15630" width="10.85546875" style="1" customWidth="1"/>
    <col min="15631" max="15632" width="12.85546875" style="1" customWidth="1"/>
    <col min="15633" max="15633" width="12.85546875" style="1" bestFit="1" customWidth="1"/>
    <col min="15634" max="15872" width="11.42578125" style="1"/>
    <col min="15873" max="15873" width="23" style="1" bestFit="1" customWidth="1"/>
    <col min="15874" max="15876" width="10.85546875" style="1" customWidth="1"/>
    <col min="15877" max="15877" width="11.85546875" style="1" customWidth="1"/>
    <col min="15878" max="15878" width="12.85546875" style="1" customWidth="1"/>
    <col min="15879" max="15881" width="10.85546875" style="1" customWidth="1"/>
    <col min="15882" max="15882" width="11.85546875" style="1" customWidth="1"/>
    <col min="15883" max="15883" width="12.85546875" style="1" customWidth="1"/>
    <col min="15884" max="15886" width="10.85546875" style="1" customWidth="1"/>
    <col min="15887" max="15888" width="12.85546875" style="1" customWidth="1"/>
    <col min="15889" max="15889" width="12.85546875" style="1" bestFit="1" customWidth="1"/>
    <col min="15890" max="16128" width="11.42578125" style="1"/>
    <col min="16129" max="16129" width="23" style="1" bestFit="1" customWidth="1"/>
    <col min="16130" max="16132" width="10.85546875" style="1" customWidth="1"/>
    <col min="16133" max="16133" width="11.85546875" style="1" customWidth="1"/>
    <col min="16134" max="16134" width="12.85546875" style="1" customWidth="1"/>
    <col min="16135" max="16137" width="10.85546875" style="1" customWidth="1"/>
    <col min="16138" max="16138" width="11.85546875" style="1" customWidth="1"/>
    <col min="16139" max="16139" width="12.85546875" style="1" customWidth="1"/>
    <col min="16140" max="16142" width="10.85546875" style="1" customWidth="1"/>
    <col min="16143" max="16144" width="12.85546875" style="1" customWidth="1"/>
    <col min="16145" max="16145" width="12.85546875" style="1" bestFit="1" customWidth="1"/>
    <col min="16146" max="16384" width="11.42578125" style="1"/>
  </cols>
  <sheetData>
    <row r="1" spans="1:17" ht="28.5" customHeight="1" thickBot="1">
      <c r="A1" s="8"/>
      <c r="B1" s="7" t="s">
        <v>24</v>
      </c>
      <c r="C1" s="7" t="s">
        <v>23</v>
      </c>
      <c r="D1" s="7" t="s">
        <v>22</v>
      </c>
      <c r="E1" s="7" t="s">
        <v>21</v>
      </c>
      <c r="F1" s="7" t="s">
        <v>20</v>
      </c>
      <c r="G1" s="7" t="s">
        <v>19</v>
      </c>
      <c r="H1" s="7" t="s">
        <v>18</v>
      </c>
      <c r="I1" s="7" t="s">
        <v>17</v>
      </c>
      <c r="J1" s="7" t="s">
        <v>16</v>
      </c>
      <c r="K1" s="7" t="s">
        <v>15</v>
      </c>
      <c r="L1" s="7" t="s">
        <v>14</v>
      </c>
      <c r="M1" s="7" t="s">
        <v>13</v>
      </c>
      <c r="N1" s="7" t="s">
        <v>12</v>
      </c>
      <c r="O1" s="7" t="s">
        <v>11</v>
      </c>
      <c r="P1" s="7" t="s">
        <v>10</v>
      </c>
      <c r="Q1" s="7" t="s">
        <v>9</v>
      </c>
    </row>
    <row r="2" spans="1:17" ht="28.5" customHeight="1">
      <c r="A2" s="6" t="s">
        <v>8</v>
      </c>
      <c r="B2" s="6"/>
      <c r="C2" s="6"/>
      <c r="D2" s="6"/>
      <c r="E2" s="6">
        <v>16000</v>
      </c>
      <c r="F2" s="6">
        <f t="shared" ref="F2:F10" si="0">SUM(B2:E2)</f>
        <v>16000</v>
      </c>
      <c r="G2" s="6"/>
      <c r="H2" s="6"/>
      <c r="I2" s="6"/>
      <c r="J2" s="6">
        <v>81000</v>
      </c>
      <c r="K2" s="6">
        <f t="shared" ref="K2:K10" si="1">SUM(G2:J2)</f>
        <v>81000</v>
      </c>
      <c r="L2" s="6"/>
      <c r="M2" s="6"/>
      <c r="N2" s="6"/>
      <c r="O2" s="6">
        <v>89000</v>
      </c>
      <c r="P2" s="6">
        <f t="shared" ref="P2:P10" si="2">SUM(L2:O2)</f>
        <v>89000</v>
      </c>
      <c r="Q2" s="6">
        <f t="shared" ref="Q2:Q10" si="3">SUM(P2,K2,F2)</f>
        <v>186000</v>
      </c>
    </row>
    <row r="3" spans="1:17" ht="28.5" customHeight="1">
      <c r="A3" s="6" t="s">
        <v>7</v>
      </c>
      <c r="B3" s="6">
        <v>2500</v>
      </c>
      <c r="C3" s="6">
        <v>2500</v>
      </c>
      <c r="D3" s="6">
        <v>2500</v>
      </c>
      <c r="E3" s="6">
        <v>2500</v>
      </c>
      <c r="F3" s="6">
        <f t="shared" si="0"/>
        <v>10000</v>
      </c>
      <c r="G3" s="6">
        <v>2500</v>
      </c>
      <c r="H3" s="6">
        <v>2500</v>
      </c>
      <c r="I3" s="6">
        <v>2500</v>
      </c>
      <c r="J3" s="6">
        <v>2500</v>
      </c>
      <c r="K3" s="6">
        <f t="shared" si="1"/>
        <v>10000</v>
      </c>
      <c r="L3" s="6">
        <v>2500</v>
      </c>
      <c r="M3" s="6">
        <v>2500</v>
      </c>
      <c r="N3" s="6">
        <v>2500</v>
      </c>
      <c r="O3" s="6">
        <v>2500</v>
      </c>
      <c r="P3" s="6">
        <f t="shared" si="2"/>
        <v>10000</v>
      </c>
      <c r="Q3" s="6">
        <f t="shared" si="3"/>
        <v>30000</v>
      </c>
    </row>
    <row r="4" spans="1:17" ht="28.5" customHeight="1">
      <c r="A4" s="6" t="s">
        <v>6</v>
      </c>
      <c r="B4" s="6"/>
      <c r="C4" s="6"/>
      <c r="D4" s="6"/>
      <c r="E4" s="6"/>
      <c r="F4" s="6">
        <f t="shared" si="0"/>
        <v>0</v>
      </c>
      <c r="G4" s="6"/>
      <c r="H4" s="6"/>
      <c r="I4" s="6"/>
      <c r="J4" s="6"/>
      <c r="K4" s="6">
        <f t="shared" si="1"/>
        <v>0</v>
      </c>
      <c r="L4" s="6"/>
      <c r="M4" s="6"/>
      <c r="N4" s="6"/>
      <c r="O4" s="6">
        <v>7000</v>
      </c>
      <c r="P4" s="6">
        <f t="shared" si="2"/>
        <v>7000</v>
      </c>
      <c r="Q4" s="6">
        <f t="shared" si="3"/>
        <v>7000</v>
      </c>
    </row>
    <row r="5" spans="1:17" ht="28.5" customHeight="1" thickBot="1">
      <c r="A5" s="6" t="s">
        <v>5</v>
      </c>
      <c r="B5" s="6"/>
      <c r="C5" s="6"/>
      <c r="D5" s="6"/>
      <c r="E5" s="6">
        <v>5000</v>
      </c>
      <c r="F5" s="6">
        <f t="shared" si="0"/>
        <v>5000</v>
      </c>
      <c r="G5" s="6"/>
      <c r="H5" s="6"/>
      <c r="I5" s="6"/>
      <c r="J5" s="6"/>
      <c r="K5" s="6">
        <f t="shared" si="1"/>
        <v>0</v>
      </c>
      <c r="L5" s="6"/>
      <c r="M5" s="6"/>
      <c r="N5" s="6"/>
      <c r="O5" s="6">
        <v>4800</v>
      </c>
      <c r="P5" s="6">
        <f t="shared" si="2"/>
        <v>4800</v>
      </c>
      <c r="Q5" s="6">
        <f t="shared" si="3"/>
        <v>9800</v>
      </c>
    </row>
    <row r="6" spans="1:17" ht="28.5" customHeight="1" thickBot="1">
      <c r="A6" s="5" t="s">
        <v>4</v>
      </c>
      <c r="B6" s="4">
        <f>SUM(B2:B5)</f>
        <v>2500</v>
      </c>
      <c r="C6" s="4">
        <f>SUM(C2:C5)</f>
        <v>2500</v>
      </c>
      <c r="D6" s="4">
        <f>SUM(D2:D5)</f>
        <v>2500</v>
      </c>
      <c r="E6" s="4">
        <f>SUM(E2:E5)</f>
        <v>23500</v>
      </c>
      <c r="F6" s="4">
        <f t="shared" si="0"/>
        <v>31000</v>
      </c>
      <c r="G6" s="4">
        <f>SUM(G2:G5)</f>
        <v>2500</v>
      </c>
      <c r="H6" s="4">
        <f>SUM(H2:H5)</f>
        <v>2500</v>
      </c>
      <c r="I6" s="4">
        <f>SUM(I2:I5)</f>
        <v>2500</v>
      </c>
      <c r="J6" s="4">
        <f>SUM(J2:J5)</f>
        <v>83500</v>
      </c>
      <c r="K6" s="4">
        <f t="shared" si="1"/>
        <v>91000</v>
      </c>
      <c r="L6" s="4">
        <f>SUM(L2:L5)</f>
        <v>2500</v>
      </c>
      <c r="M6" s="4">
        <f>SUM(M2:M5)</f>
        <v>2500</v>
      </c>
      <c r="N6" s="4">
        <f>SUM(N2:N5)</f>
        <v>2500</v>
      </c>
      <c r="O6" s="4">
        <f>SUM(O2:O5)</f>
        <v>103300</v>
      </c>
      <c r="P6" s="4">
        <f t="shared" si="2"/>
        <v>110800</v>
      </c>
      <c r="Q6" s="4">
        <f t="shared" si="3"/>
        <v>232800</v>
      </c>
    </row>
    <row r="7" spans="1:17" ht="28.5" customHeight="1">
      <c r="A7" s="6" t="s">
        <v>3</v>
      </c>
      <c r="B7" s="6"/>
      <c r="C7" s="6"/>
      <c r="D7" s="6"/>
      <c r="E7" s="6">
        <v>12000</v>
      </c>
      <c r="F7" s="6">
        <f t="shared" si="0"/>
        <v>12000</v>
      </c>
      <c r="G7" s="6"/>
      <c r="H7" s="6"/>
      <c r="I7" s="6"/>
      <c r="J7" s="6">
        <v>12000</v>
      </c>
      <c r="K7" s="6">
        <f t="shared" si="1"/>
        <v>12000</v>
      </c>
      <c r="L7" s="6"/>
      <c r="M7" s="6"/>
      <c r="N7" s="6"/>
      <c r="O7" s="6">
        <v>12000</v>
      </c>
      <c r="P7" s="6">
        <f t="shared" si="2"/>
        <v>12000</v>
      </c>
      <c r="Q7" s="6">
        <f t="shared" si="3"/>
        <v>36000</v>
      </c>
    </row>
    <row r="8" spans="1:17" ht="28.5" customHeight="1" thickBot="1">
      <c r="A8" s="6" t="s">
        <v>2</v>
      </c>
      <c r="B8" s="6"/>
      <c r="C8" s="6"/>
      <c r="D8" s="6"/>
      <c r="E8" s="6">
        <v>350</v>
      </c>
      <c r="F8" s="6">
        <f t="shared" si="0"/>
        <v>350</v>
      </c>
      <c r="G8" s="6"/>
      <c r="H8" s="6"/>
      <c r="I8" s="6"/>
      <c r="J8" s="6">
        <v>350</v>
      </c>
      <c r="K8" s="6">
        <f t="shared" si="1"/>
        <v>350</v>
      </c>
      <c r="L8" s="6"/>
      <c r="M8" s="6"/>
      <c r="N8" s="6"/>
      <c r="O8" s="6">
        <v>350</v>
      </c>
      <c r="P8" s="6">
        <f t="shared" si="2"/>
        <v>350</v>
      </c>
      <c r="Q8" s="6">
        <f t="shared" si="3"/>
        <v>1050</v>
      </c>
    </row>
    <row r="9" spans="1:17" ht="28.5" customHeight="1" thickBot="1">
      <c r="A9" s="5" t="s">
        <v>1</v>
      </c>
      <c r="B9" s="4">
        <f>SUM(B7:B8)</f>
        <v>0</v>
      </c>
      <c r="C9" s="4">
        <f>SUM(C7:C8)</f>
        <v>0</v>
      </c>
      <c r="D9" s="4">
        <f>SUM(D7:D8)</f>
        <v>0</v>
      </c>
      <c r="E9" s="4">
        <f>SUM(E7:E8)</f>
        <v>12350</v>
      </c>
      <c r="F9" s="4">
        <f t="shared" si="0"/>
        <v>12350</v>
      </c>
      <c r="G9" s="4">
        <f>SUM(G7:G8)</f>
        <v>0</v>
      </c>
      <c r="H9" s="4">
        <f>SUM(H7:H8)</f>
        <v>0</v>
      </c>
      <c r="I9" s="4">
        <f>SUM(I7:I8)</f>
        <v>0</v>
      </c>
      <c r="J9" s="4">
        <f>SUM(J7:J8)</f>
        <v>12350</v>
      </c>
      <c r="K9" s="4">
        <f t="shared" si="1"/>
        <v>12350</v>
      </c>
      <c r="L9" s="4">
        <f>SUM(L7:L8)</f>
        <v>0</v>
      </c>
      <c r="M9" s="4">
        <f>SUM(M7:M8)</f>
        <v>0</v>
      </c>
      <c r="N9" s="4">
        <f>SUM(N7:N8)</f>
        <v>0</v>
      </c>
      <c r="O9" s="4">
        <f>SUM(O7:O8)</f>
        <v>12350</v>
      </c>
      <c r="P9" s="4">
        <f t="shared" si="2"/>
        <v>12350</v>
      </c>
      <c r="Q9" s="4">
        <f t="shared" si="3"/>
        <v>37050</v>
      </c>
    </row>
    <row r="10" spans="1:17" ht="28.5" customHeight="1" thickBot="1">
      <c r="A10" s="3" t="s">
        <v>0</v>
      </c>
      <c r="B10" s="2">
        <f>SUM(B9,B6)</f>
        <v>2500</v>
      </c>
      <c r="C10" s="2">
        <f>SUM(C9,C6)</f>
        <v>2500</v>
      </c>
      <c r="D10" s="2">
        <f>SUM(D9,D6)</f>
        <v>2500</v>
      </c>
      <c r="E10" s="2">
        <f>SUM(E9,E6)</f>
        <v>35850</v>
      </c>
      <c r="F10" s="2">
        <f t="shared" si="0"/>
        <v>43350</v>
      </c>
      <c r="G10" s="2">
        <f>SUM(G9,G6)</f>
        <v>2500</v>
      </c>
      <c r="H10" s="2">
        <f>SUM(H9,H6)</f>
        <v>2500</v>
      </c>
      <c r="I10" s="2">
        <f>SUM(I9,I6)</f>
        <v>2500</v>
      </c>
      <c r="J10" s="2">
        <f>SUM(J9,J6)</f>
        <v>95850</v>
      </c>
      <c r="K10" s="2">
        <f t="shared" si="1"/>
        <v>103350</v>
      </c>
      <c r="L10" s="2">
        <f>SUM(L9,L6)</f>
        <v>2500</v>
      </c>
      <c r="M10" s="2">
        <f>SUM(M9,M6)</f>
        <v>2500</v>
      </c>
      <c r="N10" s="2">
        <f>SUM(N9,N6)</f>
        <v>2500</v>
      </c>
      <c r="O10" s="2">
        <f>SUM(O9,O6)</f>
        <v>115650</v>
      </c>
      <c r="P10" s="2">
        <f t="shared" si="2"/>
        <v>123150</v>
      </c>
      <c r="Q10" s="2">
        <f t="shared" si="3"/>
        <v>269850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Plan et vue</vt:lpstr>
    </vt:vector>
  </TitlesOfParts>
  <Company>AMJ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Sandrine</dc:creator>
  <cp:lastModifiedBy>Sandrine</cp:lastModifiedBy>
  <dcterms:created xsi:type="dcterms:W3CDTF">2013-10-06T16:52:48Z</dcterms:created>
  <dcterms:modified xsi:type="dcterms:W3CDTF">2014-10-01T14:31:25Z</dcterms:modified>
</cp:coreProperties>
</file>