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lfi\Documents\"/>
    </mc:Choice>
  </mc:AlternateContent>
  <bookViews>
    <workbookView xWindow="120" yWindow="105" windowWidth="15480" windowHeight="9285" tabRatio="438" activeTab="1"/>
  </bookViews>
  <sheets>
    <sheet name="SOMMAIRE" sheetId="6" r:id="rId1"/>
    <sheet name="Exo 1" sheetId="7" r:id="rId2"/>
    <sheet name=" exo 2 " sheetId="12" r:id="rId3"/>
    <sheet name="Exo 3" sheetId="14" r:id="rId4"/>
    <sheet name="Exo 4" sheetId="15" r:id="rId5"/>
  </sheets>
  <definedNames>
    <definedName name="clients">#REF!</definedName>
    <definedName name="MONTANT_DE_L_ADHESION">#REF!</definedName>
    <definedName name="OUI">#REF!</definedName>
    <definedName name="_xlnm.Print_Area" localSheetId="4">'Exo 4'!$A$15:$E$15</definedName>
  </definedNames>
  <calcPr calcId="152511"/>
</workbook>
</file>

<file path=xl/calcChain.xml><?xml version="1.0" encoding="utf-8"?>
<calcChain xmlns="http://schemas.openxmlformats.org/spreadsheetml/2006/main">
  <c r="B27" i="12" l="1"/>
  <c r="C22" i="12" s="1"/>
  <c r="C21" i="12" l="1"/>
  <c r="C23" i="12"/>
  <c r="C25" i="12"/>
  <c r="C24" i="12"/>
  <c r="C26" i="12"/>
</calcChain>
</file>

<file path=xl/sharedStrings.xml><?xml version="1.0" encoding="utf-8"?>
<sst xmlns="http://schemas.openxmlformats.org/spreadsheetml/2006/main" count="78" uniqueCount="65">
  <si>
    <t>Total</t>
  </si>
  <si>
    <t>TVA comprise</t>
  </si>
  <si>
    <t>TVA</t>
  </si>
  <si>
    <t>Exercice 1</t>
  </si>
  <si>
    <t>Fournisseur 1</t>
  </si>
  <si>
    <t>Fournisseur 2</t>
  </si>
  <si>
    <t>Fournisseur 3</t>
  </si>
  <si>
    <t xml:space="preserve">Ecran </t>
  </si>
  <si>
    <t xml:space="preserve">Portables </t>
  </si>
  <si>
    <t>Ordinateurs</t>
  </si>
  <si>
    <t>Utilisez le taux de TVA pour calculer le Total "TVA comprise".</t>
  </si>
  <si>
    <t>Total HT</t>
  </si>
  <si>
    <t>Total par fournisseurs</t>
  </si>
  <si>
    <t>Calculer le coût total par fournisseurs</t>
  </si>
  <si>
    <t>SOMMAIRE</t>
  </si>
  <si>
    <t>Etablir le pourcentage de chaque commercial en fonction du CA global du département :</t>
  </si>
  <si>
    <t>Commerciaux</t>
  </si>
  <si>
    <t>CA</t>
  </si>
  <si>
    <t>Pourcentage</t>
  </si>
  <si>
    <t>Julie</t>
  </si>
  <si>
    <t>Franck</t>
  </si>
  <si>
    <t>José</t>
  </si>
  <si>
    <t>Julia</t>
  </si>
  <si>
    <t>Stéphanie</t>
  </si>
  <si>
    <t>Sophie</t>
  </si>
  <si>
    <t>CA GLOBAL</t>
  </si>
  <si>
    <t>Exercice 2</t>
  </si>
  <si>
    <t>Exercice en live</t>
  </si>
  <si>
    <t>Vous avez créé votre tableau, et il y a plusieurs constantes plusieurs fois utilisées (TVA, Taux horaire, etc..).</t>
  </si>
  <si>
    <t>REFERENCES RELATIVES ET ABSOLUES - VARIABLES ET CONSTANTES</t>
  </si>
  <si>
    <t xml:space="preserve">Relevé de comptes </t>
  </si>
  <si>
    <t>Report solde précédent</t>
  </si>
  <si>
    <t>Recettes</t>
  </si>
  <si>
    <t>Salaire 1</t>
  </si>
  <si>
    <t>Salaire 2</t>
  </si>
  <si>
    <t>Allocations</t>
  </si>
  <si>
    <t>Dépôts chèques</t>
  </si>
  <si>
    <t>Sous-total</t>
  </si>
  <si>
    <t>Dépenses</t>
  </si>
  <si>
    <t>% des dépenses</t>
  </si>
  <si>
    <t>Loyer</t>
  </si>
  <si>
    <t>EDF-GDF</t>
  </si>
  <si>
    <t>Eau</t>
  </si>
  <si>
    <t>Nourriture</t>
  </si>
  <si>
    <t>Habillement</t>
  </si>
  <si>
    <t>Fournitures</t>
  </si>
  <si>
    <t>Ass. Auto</t>
  </si>
  <si>
    <t>Ass. Habitation</t>
  </si>
  <si>
    <t>Essence</t>
  </si>
  <si>
    <t>Enfants</t>
  </si>
  <si>
    <t>Divers</t>
  </si>
  <si>
    <t>Solde fin de mois</t>
  </si>
  <si>
    <t>Exercice 3</t>
  </si>
  <si>
    <t>ETAT DES COMMISSIONS DE JANVIER</t>
  </si>
  <si>
    <t>REPRESENTANT</t>
  </si>
  <si>
    <t>VENTE</t>
  </si>
  <si>
    <t>COUT</t>
  </si>
  <si>
    <t>MARGE</t>
  </si>
  <si>
    <t>% DE LA MARGE</t>
  </si>
  <si>
    <t>ANNIE</t>
  </si>
  <si>
    <t>GERARD</t>
  </si>
  <si>
    <t>PIERRE</t>
  </si>
  <si>
    <t>LOUIS</t>
  </si>
  <si>
    <t>LAURENCE</t>
  </si>
  <si>
    <t>Exercice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</si>
</sst>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&quot;€&quot;"/>
    <numFmt numFmtId="165" formatCode="#,##0.###############"/>
    <numFmt numFmtId="166" formatCode="mmmm\ yyyy"/>
    <numFmt numFmtId="167" formatCode="_-* #,##0.00\ _F_-;\-* #,##0.00\ _F_-;_-* &quot;-&quot;??\ _F_-;_-@_-"/>
  </numFmts>
  <fonts count="2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name val="Lucida Grande"/>
    </font>
    <font>
      <b/>
      <sz val="12"/>
      <name val="Lucida Grande"/>
    </font>
    <font>
      <i/>
      <sz val="12"/>
      <color indexed="8"/>
      <name val="Lucida Grande"/>
    </font>
    <font>
      <sz val="12"/>
      <color indexed="8"/>
      <name val="Lucida Grande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Franklin Gothic Book"/>
      <family val="2"/>
    </font>
    <font>
      <sz val="12"/>
      <color indexed="8"/>
      <name val="Franklin Gothic Book"/>
      <family val="2"/>
    </font>
    <font>
      <u/>
      <sz val="10"/>
      <color theme="10"/>
      <name val="Arial"/>
      <family val="2"/>
    </font>
    <font>
      <b/>
      <sz val="16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9" tint="0.59999389629810485"/>
        <bgColor indexed="22"/>
      </patternFill>
    </fill>
    <fill>
      <patternFill patternType="solid">
        <fgColor theme="9" tint="0.79998168889431442"/>
        <bgColor indexed="22"/>
      </patternFill>
    </fill>
    <fill>
      <patternFill patternType="solid">
        <fgColor theme="5" tint="0.59999389629810485"/>
        <bgColor indexed="22"/>
      </patternFill>
    </fill>
    <fill>
      <patternFill patternType="solid">
        <fgColor theme="3" tint="0.59999389629810485"/>
        <bgColor indexed="22"/>
      </patternFill>
    </fill>
    <fill>
      <patternFill patternType="solid">
        <fgColor theme="3" tint="0.79998168889431442"/>
        <bgColor indexed="22"/>
      </patternFill>
    </fill>
    <fill>
      <patternFill patternType="solid">
        <fgColor theme="6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/>
  </cellStyleXfs>
  <cellXfs count="78">
    <xf numFmtId="0" fontId="0" fillId="0" borderId="0" xfId="0"/>
    <xf numFmtId="0" fontId="7" fillId="0" borderId="0" xfId="0" applyFont="1"/>
    <xf numFmtId="0" fontId="8" fillId="3" borderId="0" xfId="0" applyFont="1" applyFill="1" applyAlignment="1">
      <alignment vertical="center"/>
    </xf>
    <xf numFmtId="165" fontId="9" fillId="4" borderId="3" xfId="0" applyNumberFormat="1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center" wrapText="1"/>
    </xf>
    <xf numFmtId="9" fontId="8" fillId="8" borderId="1" xfId="0" applyNumberFormat="1" applyFont="1" applyFill="1" applyBorder="1" applyAlignment="1">
      <alignment horizontal="center" vertical="center"/>
    </xf>
    <xf numFmtId="0" fontId="12" fillId="0" borderId="0" xfId="0" applyFont="1"/>
    <xf numFmtId="164" fontId="11" fillId="2" borderId="1" xfId="0" applyNumberFormat="1" applyFont="1" applyFill="1" applyBorder="1" applyAlignment="1">
      <alignment horizontal="center" vertical="center"/>
    </xf>
    <xf numFmtId="0" fontId="14" fillId="0" borderId="3" xfId="2" applyFont="1" applyBorder="1"/>
    <xf numFmtId="0" fontId="14" fillId="0" borderId="1" xfId="2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4" fillId="0" borderId="1" xfId="2" applyFont="1" applyBorder="1"/>
    <xf numFmtId="44" fontId="15" fillId="0" borderId="1" xfId="1" applyFont="1" applyBorder="1"/>
    <xf numFmtId="9" fontId="7" fillId="2" borderId="1" xfId="6" applyFont="1" applyFill="1" applyBorder="1"/>
    <xf numFmtId="44" fontId="15" fillId="2" borderId="1" xfId="1" applyFont="1" applyFill="1" applyBorder="1"/>
    <xf numFmtId="0" fontId="14" fillId="0" borderId="0" xfId="2" applyFont="1"/>
    <xf numFmtId="43" fontId="16" fillId="0" borderId="1" xfId="5" applyFont="1" applyBorder="1"/>
    <xf numFmtId="9" fontId="7" fillId="2" borderId="1" xfId="6" applyNumberFormat="1" applyFont="1" applyFill="1" applyBorder="1"/>
    <xf numFmtId="0" fontId="14" fillId="0" borderId="0" xfId="2" applyFont="1" applyAlignment="1">
      <alignment wrapText="1"/>
    </xf>
    <xf numFmtId="0" fontId="17" fillId="0" borderId="0" xfId="7"/>
    <xf numFmtId="0" fontId="18" fillId="0" borderId="0" xfId="0" applyFont="1"/>
    <xf numFmtId="165" fontId="10" fillId="6" borderId="1" xfId="0" applyNumberFormat="1" applyFont="1" applyFill="1" applyBorder="1" applyAlignment="1">
      <alignment horizontal="left" vertical="center"/>
    </xf>
    <xf numFmtId="166" fontId="3" fillId="0" borderId="0" xfId="8" applyNumberFormat="1" applyFont="1" applyFill="1" applyAlignment="1">
      <alignment vertical="center"/>
    </xf>
    <xf numFmtId="0" fontId="3" fillId="0" borderId="0" xfId="8" applyAlignment="1">
      <alignment vertical="center"/>
    </xf>
    <xf numFmtId="166" fontId="19" fillId="0" borderId="0" xfId="8" applyNumberFormat="1" applyFont="1" applyFill="1" applyAlignment="1">
      <alignment horizontal="center" vertical="center"/>
    </xf>
    <xf numFmtId="0" fontId="3" fillId="0" borderId="0" xfId="8"/>
    <xf numFmtId="0" fontId="20" fillId="0" borderId="6" xfId="8" applyFont="1" applyBorder="1" applyAlignment="1">
      <alignment vertical="center"/>
    </xf>
    <xf numFmtId="44" fontId="3" fillId="0" borderId="6" xfId="9" applyBorder="1" applyAlignment="1">
      <alignment vertical="center"/>
    </xf>
    <xf numFmtId="0" fontId="20" fillId="0" borderId="0" xfId="8" applyFont="1" applyAlignment="1">
      <alignment vertical="center"/>
    </xf>
    <xf numFmtId="0" fontId="20" fillId="11" borderId="1" xfId="8" applyFont="1" applyFill="1" applyBorder="1" applyAlignment="1">
      <alignment horizontal="center" vertical="center"/>
    </xf>
    <xf numFmtId="0" fontId="21" fillId="0" borderId="3" xfId="8" applyFont="1" applyBorder="1" applyAlignment="1">
      <alignment horizontal="left" vertical="center" indent="1"/>
    </xf>
    <xf numFmtId="44" fontId="3" fillId="0" borderId="3" xfId="9" applyBorder="1" applyAlignment="1">
      <alignment vertical="center"/>
    </xf>
    <xf numFmtId="0" fontId="21" fillId="0" borderId="7" xfId="8" applyFont="1" applyBorder="1" applyAlignment="1">
      <alignment horizontal="left" vertical="center" indent="1"/>
    </xf>
    <xf numFmtId="44" fontId="3" fillId="0" borderId="7" xfId="9" applyBorder="1" applyAlignment="1">
      <alignment vertical="center"/>
    </xf>
    <xf numFmtId="0" fontId="21" fillId="0" borderId="8" xfId="8" applyFont="1" applyBorder="1" applyAlignment="1">
      <alignment horizontal="left" vertical="center" indent="1"/>
    </xf>
    <xf numFmtId="0" fontId="20" fillId="12" borderId="2" xfId="8" applyFont="1" applyFill="1" applyBorder="1" applyAlignment="1">
      <alignment horizontal="center" vertical="center"/>
    </xf>
    <xf numFmtId="44" fontId="20" fillId="12" borderId="1" xfId="9" applyFont="1" applyFill="1" applyBorder="1" applyAlignment="1">
      <alignment vertical="center"/>
    </xf>
    <xf numFmtId="0" fontId="20" fillId="0" borderId="0" xfId="8" applyFont="1" applyFill="1" applyBorder="1" applyAlignment="1">
      <alignment horizontal="center" vertical="center"/>
    </xf>
    <xf numFmtId="44" fontId="20" fillId="0" borderId="0" xfId="9" applyFont="1" applyFill="1" applyBorder="1" applyAlignment="1">
      <alignment vertical="center"/>
    </xf>
    <xf numFmtId="0" fontId="3" fillId="0" borderId="0" xfId="8" applyFill="1"/>
    <xf numFmtId="0" fontId="3" fillId="0" borderId="0" xfId="8" applyFill="1" applyAlignment="1">
      <alignment vertical="center"/>
    </xf>
    <xf numFmtId="0" fontId="3" fillId="0" borderId="0" xfId="8" applyBorder="1" applyAlignment="1">
      <alignment vertical="center"/>
    </xf>
    <xf numFmtId="43" fontId="3" fillId="0" borderId="6" xfId="10" applyBorder="1" applyAlignment="1">
      <alignment vertical="center"/>
    </xf>
    <xf numFmtId="0" fontId="3" fillId="0" borderId="6" xfId="8" applyBorder="1" applyAlignment="1">
      <alignment vertical="center"/>
    </xf>
    <xf numFmtId="0" fontId="3" fillId="0" borderId="9" xfId="8" applyBorder="1" applyAlignment="1">
      <alignment vertical="center"/>
    </xf>
    <xf numFmtId="0" fontId="20" fillId="11" borderId="10" xfId="8" applyFont="1" applyFill="1" applyBorder="1" applyAlignment="1">
      <alignment horizontal="center" vertical="center"/>
    </xf>
    <xf numFmtId="0" fontId="20" fillId="11" borderId="8" xfId="8" applyFont="1" applyFill="1" applyBorder="1" applyAlignment="1">
      <alignment horizontal="center" vertical="center"/>
    </xf>
    <xf numFmtId="44" fontId="3" fillId="0" borderId="9" xfId="9" applyBorder="1" applyAlignment="1">
      <alignment vertical="center"/>
    </xf>
    <xf numFmtId="0" fontId="0" fillId="0" borderId="7" xfId="11" applyNumberFormat="1" applyFont="1" applyBorder="1" applyAlignment="1">
      <alignment vertical="center"/>
    </xf>
    <xf numFmtId="43" fontId="3" fillId="0" borderId="9" xfId="10" applyBorder="1" applyAlignment="1">
      <alignment vertical="center"/>
    </xf>
    <xf numFmtId="0" fontId="0" fillId="0" borderId="8" xfId="11" applyNumberFormat="1" applyFont="1" applyBorder="1" applyAlignment="1">
      <alignment vertical="center"/>
    </xf>
    <xf numFmtId="0" fontId="0" fillId="12" borderId="1" xfId="11" applyNumberFormat="1" applyFont="1" applyFill="1" applyBorder="1" applyAlignment="1">
      <alignment vertical="center"/>
    </xf>
    <xf numFmtId="0" fontId="0" fillId="0" borderId="0" xfId="11" applyNumberFormat="1" applyFont="1" applyFill="1" applyBorder="1" applyAlignment="1">
      <alignment vertical="center"/>
    </xf>
    <xf numFmtId="43" fontId="3" fillId="0" borderId="0" xfId="10" applyBorder="1" applyAlignment="1">
      <alignment vertical="center"/>
    </xf>
    <xf numFmtId="0" fontId="20" fillId="0" borderId="2" xfId="8" applyFont="1" applyBorder="1" applyAlignment="1">
      <alignment horizontal="left" indent="1"/>
    </xf>
    <xf numFmtId="0" fontId="7" fillId="0" borderId="0" xfId="16" applyAlignment="1">
      <alignment vertical="center"/>
    </xf>
    <xf numFmtId="0" fontId="3" fillId="0" borderId="0" xfId="16" applyFont="1" applyAlignment="1">
      <alignment vertical="center"/>
    </xf>
    <xf numFmtId="0" fontId="20" fillId="11" borderId="11" xfId="16" applyFont="1" applyFill="1" applyBorder="1" applyAlignment="1">
      <alignment horizontal="center" vertical="center"/>
    </xf>
    <xf numFmtId="0" fontId="20" fillId="11" borderId="12" xfId="16" applyFont="1" applyFill="1" applyBorder="1" applyAlignment="1">
      <alignment horizontal="center" vertical="center"/>
    </xf>
    <xf numFmtId="0" fontId="20" fillId="11" borderId="13" xfId="16" applyFont="1" applyFill="1" applyBorder="1" applyAlignment="1">
      <alignment horizontal="center" vertical="center"/>
    </xf>
    <xf numFmtId="0" fontId="3" fillId="0" borderId="14" xfId="16" applyFont="1" applyBorder="1" applyAlignment="1">
      <alignment vertical="center"/>
    </xf>
    <xf numFmtId="3" fontId="3" fillId="0" borderId="9" xfId="16" applyNumberFormat="1" applyFont="1" applyBorder="1" applyAlignment="1">
      <alignment horizontal="center" vertical="center"/>
    </xf>
    <xf numFmtId="9" fontId="3" fillId="0" borderId="3" xfId="11" applyFont="1" applyBorder="1" applyAlignment="1">
      <alignment vertical="center"/>
    </xf>
    <xf numFmtId="9" fontId="3" fillId="0" borderId="7" xfId="11" applyFont="1" applyBorder="1" applyAlignment="1">
      <alignment vertical="center"/>
    </xf>
    <xf numFmtId="0" fontId="3" fillId="0" borderId="15" xfId="16" applyFont="1" applyBorder="1" applyAlignment="1">
      <alignment vertical="center"/>
    </xf>
    <xf numFmtId="3" fontId="3" fillId="0" borderId="16" xfId="16" applyNumberFormat="1" applyFont="1" applyBorder="1" applyAlignment="1">
      <alignment horizontal="center" vertical="center"/>
    </xf>
    <xf numFmtId="9" fontId="3" fillId="0" borderId="8" xfId="11" applyFont="1" applyBorder="1" applyAlignment="1">
      <alignment vertical="center"/>
    </xf>
    <xf numFmtId="0" fontId="7" fillId="0" borderId="0" xfId="16"/>
    <xf numFmtId="43" fontId="7" fillId="2" borderId="1" xfId="0" applyNumberFormat="1" applyFont="1" applyFill="1" applyBorder="1"/>
    <xf numFmtId="0" fontId="3" fillId="0" borderId="1" xfId="8" applyBorder="1"/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13" fillId="0" borderId="0" xfId="2" applyFont="1" applyAlignment="1">
      <alignment wrapText="1"/>
    </xf>
    <xf numFmtId="166" fontId="19" fillId="10" borderId="0" xfId="8" applyNumberFormat="1" applyFont="1" applyFill="1" applyAlignment="1">
      <alignment horizontal="center" vertical="center"/>
    </xf>
    <xf numFmtId="0" fontId="22" fillId="0" borderId="0" xfId="16" applyFont="1" applyBorder="1" applyAlignment="1">
      <alignment horizontal="center" vertical="center"/>
    </xf>
  </cellXfs>
  <cellStyles count="17">
    <cellStyle name="Euro" xfId="12"/>
    <cellStyle name="Lien hypertexte" xfId="7" builtinId="8"/>
    <cellStyle name="Milliers" xfId="5" builtinId="3"/>
    <cellStyle name="Milliers 2" xfId="13"/>
    <cellStyle name="Milliers 2 2" xfId="14"/>
    <cellStyle name="Milliers 3" xfId="10"/>
    <cellStyle name="Milliers 4" xfId="15"/>
    <cellStyle name="Monétaire" xfId="1" builtinId="4"/>
    <cellStyle name="Monétaire 2" xfId="9"/>
    <cellStyle name="Normal" xfId="0" builtinId="0"/>
    <cellStyle name="Normal 2" xfId="2"/>
    <cellStyle name="Normal 3" xfId="3"/>
    <cellStyle name="Normal 3 2" xfId="8"/>
    <cellStyle name="Normal_NIVEAU1" xfId="16"/>
    <cellStyle name="Pourcentage" xfId="6" builtinId="5"/>
    <cellStyle name="Pourcentage 2" xfId="4"/>
    <cellStyle name="Pourcentage 3" xfId="11"/>
  </cellStyles>
  <dxfs count="0"/>
  <tableStyles count="0" defaultTableStyle="TableStyleMedium2" defaultPivotStyle="PivotStyleLight16"/>
  <colors>
    <mruColors>
      <color rgb="FF2E8A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SOMMAIRE!A1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SOMMAIRE!A1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142875</xdr:rowOff>
    </xdr:to>
    <xdr:sp macro="" textlink="">
      <xdr:nvSpPr>
        <xdr:cNvPr id="5121" name="AutoShape 1" descr="data:image/jpeg;base64,/9j/4AAQSkZJRgABAQAAAQABAAD/2wCEAAkGBhQSEBUUExQWFBUUFBcWFxcXGBkXGBgZFR0VGBgWFxUXHCYeGhwjHBkXHy8gJCcpLCwtFx4xNTAqNSYrLikBCQoKDgwOGg8PGiklHyQsLSwsLCwsMiwsKSwtNS0tLC8sLCwtKiosLCwvLywtLCwsLCwpLy0qLCwsLCwsKSwpKf/AABEIALMBGgMBIgACEQEDEQH/xAAbAAABBQEBAAAAAAAAAAAAAAAAAgMEBQYBB//EAFEQAAIBAgMEBQcGCAwFBAMAAAECAwARBBIhBRMiMQYUQVFSIzJhkZLR0kJTcYGh0xYkM1Ryc5OxBxU0VWJjdIKUsrPhF0OitMElo8LwNWSD/8QAGwEAAQUBAQAAAAAAAAAAAAAAAAECAwQFBgf/xAA7EQABAwEEBAwFAwUBAQAAAAABAAIRAwQSITEFFEFRExUiMlJTYXGBkaHRBpKxwfBCQ3IWMzSi4SMk/9oADAMBAAIRAxEAPwD1yiq3Z2FZ4UdppbsisbMtrkA6DJS8XgisbsJprqrEcSdgJ8FQQnqs6R4zFoz9XVmUxxhcqBsrkylm80kjKqgixsSlhrYujGTmKP8AKB8/HaLV0LOF4jEVThCk5kTmL7s6VaHZh+em9pPgrn8W/wBdN7SfBSpEnYzu0EZkzZyvFmXI1+26ZVt6veZlUu1MQkBjDzS+Ue2rxjKugLm6cgWQaeIVY/xafnpvaT4KSEJvbH5P+8P/ADWY2dPM2ffRpHZrJlk3mdR8vVRlB7Bz53t26iTZAYWaWYj9JPgqKdhLvAueSxRjzXmCg8HpNXqFpFNsGVBUpFxkLHbcx8ySEQEt5O8gyZhCt7CZeWZrZhu9b5b9ljZyYwRxI12kSy3canKR+UYAajlew7b2rR/g8njl9pfgo/B5PHL7S/BTtaAkicfT1Q+kXMDRAjbv9PzvxWc2bIxjLycOdiwB0yJ8kHu0GY/pGkdEsTM04EqvqyuGK5UAYnLGqnW6iwOpGg7c1T9kIk7lfKLo5Bz30RwhvmhUX1B4S453I0zXKbCUEESSgg3BzJ8FBtLYjFMZQITm0cTilaTdICojcocqm7hCVGbf38+w/J9tv6VVuIxkm8iEUszRllAZgQTd0Elrpx2W989gutr2sLfqbfPze0nwU1hcO7KCZ5tS3yk7CR4PRVO8rMKj2licVBMIzPLN+KStmCKpDKSc9kjsbDKosbg2vcGu7S2piUkiELu8bSyLHmVryDdIys7BCWVZN5cWDFVuL2ub/qbfPz+0nwVHxysii00zM7BFGdFGYhjxNuzYAKTex5cjS3kQpfRqZmi4izFWtnZi2fRTmUsqm1yRaw1VraVcVRQ4ZyoLSzqSNQXjNj9ISx+n93Kl9Ub5+f2k+Ci8iFdUVm9oI6ICJ5r5lGrJ2/3Kib6X5+X1p8FV6trZSMOlTU6DqgkLX0VkN9L8/L60+CoLbYmEpXey5Q6x5s63zOqsODdWtxAXzX9FRi3UzlKebK8Le0VkN/L8/L60+CjfS/Py+tPgpOMKXal1SotfRWU2U0kjShp5uB1UWKDQoja8Hexqx6o3z8/tJ8FW21A4AjaqxaQYKuqKzu0A0UMkm+nO7jd7ZkF8ilrX3foprZbvKpJllUhraOT3fOYeM/YR6adeSQtPRVL1Rvn5/aT4KaxMDqjsJ5rqjEcScwCfBReCIV/RVIMI3z83tJ8Fd6o3z8/tJ8FF4IhXVFZTa2JeIxqssrGRmAu9gMovzSBz9lvTVj1Nvn5vaT4KLyIV1ReqXqjfPz+0nwUdUb5+f2k+Ci8iFF2OJOrxWKW3a2uGvyHOzU5j95upNU8x+xvCf6VIwCE4NApIJhABXzgculrg6/VS3zdU4r5ur8V+ebd8V/Te9RHJOULF9KoonKSYnCxuDqruFYX1FwXuNCD9dWG/k/q/U3vrzjbGCkXaOKcw4pkd4iphw0UyMFjQNdpRpqCOGrtcNN192VZRCd5u8xbIuIyLeVltfdEXUa2zZiBxA1hVhX4Km9lpEmnfMhsTdabo5Ixkna7AHaILwRJkbYWknw2ckukTEpkOZWPDqSAC2l7m9uel+Qs+kkgAHBoLcnPL0lrk153hdnYzcWc4gsZsJnXK62YPeZ1ffOWFjxMoVDYEciAxjcLiolkYdYCKdpoSzSECFY3bDm7E6ZrZW5nvqQWe0l5Y22tJBIHIbjDb3fjkMDJ24pJGd1ej4jaBjXM7xItwLtcC5IAFy3aSB9dKLSZg1080rybtKnxf0a856jPJhuBJmjaLAFg5dy8yyI0kkeZjw7vLciw0HcavNg4TFDHSNK8ls01xkbdMhYbm0hlK3CjQKgIGYNzBMNpbaaNJ7tcbebewutkwGkCADGJInETGUmFBBI5K1M+PZAC7xKCwUFri7Noqi7cyeQpwTyf1fqb4qw23sBO+JbMkz/jmFeMrmMQgUx5gQDlDBgxNxft5VM6MYPFLipGneT/m5hkbdNeS8TJI0pBIQaBEFgbNrYmKq60ssnD6229dm7dbjIBgQCcMQSY5UCMZSiC6Lq0OFwW6OZco0IGZpWChiGYKHchASAbC3mjuFdG3BljYyQqJSBHmuuctyChmuSe6sm+y8SYceyCUTNi3EV2fWAmAtulLBdQHsRY9gIqNBsKdpsI53jFFxZR5EeMR3yGBXUyO2XNmsHa5WwI0qeiahYXVLYMJwutGVMv3EYmGg7YdAkJD/H8lbuDHs+bKYzlYqbBtCLXHPsv+/ursLSKLXTS/Y3aSfF6a8+wuzcZuFDnEFjiMJvFyuuUhjv2WTfOWFjxMAqaAjtAs5Nm4ldoplaRYEMIjyqzpu1UiVJGMwVbnmWVmPARexpKwrMe9rba3khxHJGN0NwymSXbohpMmMQEdFbLfSf1fqb303iFaQZWyEXBFs6kEcirKwKn0gg159srZ2NSLC5BMsr4fGrLvGcgOLnD5w5KrxHQ6VOxOEnOCAhXEod7EZ95vHZlAO+3a7wORmsSFYZhfLzoqU7U190WxpF6JutwhzmEkTtuy2JvAiYRI6K2kJdFCruwoHc37y1z33PPmaiN0ijEQlM+GEROUSF+AnXQPntfQ6eiqh48Quyt2N5JO6btWdcrjetlVnAZ8uRWuTmJ4bnW4rKY/YOJiw5gMHCuLw06jDK0qquVkkCiUWLAoGKnS8ncaXR/DWgvFS1gRUujBgvNBALgCJ/UCMMg6UPIGTdi3uK2ossG8WfD7tWB3l7oMp1BYPbt76iCVjFvRiMLurX3muS3fn3lqy+F2LI2FmvhpivWIZkusUWIYqAHY4fWJgthZCBmF+2xL2G2XLuY5GwpZI8W0rQ7tEklQxlFlbD5igdWIOUEXtewNT1bM0kl1qBh0ft4i6HRsxJN2TGObQASHMquaIAWiSRiqMMRhSshyoQGIc6mykScRsDoO6mzsphPrJBvW4wp3uuQKmcRGXLoMozW7tazs2DlRlxC4WZYjj45lw6IpkRFgZGcxobKXbW1/p1NWuJ2hJ1mDGDC4koIZoWjyKJlZmjZWKF/NOU63+mqNaz12vAo1gQWu6vB4BIYdk4QTkTlsUnDuOafk2wihS2NwQDLmW7WzLcjMLy6i4Iv6DVhDhpnUMssDKwBUhXIIOoIIksQRXnybAngaBXixPDg0UmCCKezmSZyjby6ggMOVbPpBFM+Ch3AdBmiMq5CJBFl4lMUTKbg5bojA6ECpbfZxRq0qdG0Ah7iLxDSANhgN27MTPYkbaKhBJVts2GSJnu8RaRg9grDRVRNBmJPIa+mlL0jjMu6E+GMoJXd5+O45jJnvf0Vl9ibFlXHQyzCV/wASKbxgQc4kY5ZFV2AO7YDUm5F/O5Vy9HJ+sySujGE7SLFFiXe5bxskySkZt3mADBbaBiL61JRvcI6k61iAwEENaATJECQScsAbpJwMKNxnG7tWyk6SYeXNCcRhWMl4ygk4jmupWwe99SNNal7OmO7DRusiNqGLyyg9nC7yNp9BtWA6N4OSPEASQ4u5nlP8mi3PG75WMxG8A1DXHLs0qw6O7Ymi2eIBhMUs0WHYKWishfXKA178yOzsNPt1K1MkWW0XjLBjciHX5PNGUDKRjmmtLTmFrW2+gjaQzYfdo2VnzcKsCBlLZrA3IFvTTA6SQyowXE4Vg1o7q4PFIGCro/nGzWHblPdWe6H7Bmw7vBiIozE8cbgx5njLxARsXzqBncZG/uk1B2bsKRcBs4bhlkXGxPKMlmCq8/E+l7AMNT30lSoGPewWomHNDXDg4LXNc4k4HFpaWnHMjxUZZfVbltsAIrmWAI4urEnKwyl7qc1jwgtp2AmmcF0ljmbJFiMNI1r5UcMbDmbK96yKbDmvPCY23WEhxQwx57w4oMUC95jQvH/e7OVd6A4d43RXixSsIAp3uGijjUgJfLKoznkQM3MXvrRXv07NVqstV5zRIADMjJb+k43bpIkQSRmEgxIBatywcsrHd3W+U2fTNYH5XcKc3sn9X6m99KFFcX/UGkOs/wBW+ys8E1J3sn9X6m99G9k/q/U3vpVFJ/UGkOs/1b7I4NqgYLDDqiMDlO6U5meTKNBclVdey5tcfSKXuM2GZnVlbI9xmkHLMAcjMSuYANlNyM1jqKZgiJwSZwkibpCUaIMCAARfPIF053NgLX0tSwxbCM0ZRU3T5VEVgLBhYBZCvMHUXB5i4IJ9PVNaLqadwrvU17hWH6ztD89T/Cp95R1naH56n+FT7yncU0uqb5BQa03pfVbjqa91Im2bG6lWQMrAggi4IOhBB5gjsrz2XbuOWdYTi9WRnDdVhyZUKB2JM9xYuvZfXS9q4nSPFGVIxtGMtIrMpGGiynIyIVvvfOu40+nupBoyiDIpN8gl1hu/6r0OHZyKoVVACgAACwAGgAA5ACuHDLnAt8k/vWvPtndIMXOiMmPTyiCRVOFjD5T2ld7ekv0gxQmaM7QjDJHnYnDRhVUsFsW3ujXtoaU6MonE02+QRrLcpPqvR+pr3UdTXurBSbSxqhS20IlDEBScNGASeQBMmtRMJ0nxMkQlG0Y1U287DRKVvewbyvCdKTiuj1TPII1kbz6r0jqi91HU17q8/G2sXdh/GUN0Nm/F4uEg5bN5XTi017dK7DtfGPbJtGJsyhxlw8Zup5MLS6g9/Kjiuj1TPII1lu8+q3/U17qbgwqkXt3/ALzWCTbeLLZRtKEtcrlGHiJuCwItved1YW71buNJXbeKAH/qUNmJC+Qi1IIDW8rrYsvtDvo4ro9UzyCNZbvPqvQ+pr3UdTXurzp+kOKDZTtGMEybofi0er2LZdJdNAeduRrj9I8UCAdoxWKsc3V4soyNGhBO+55pEFrdvYSLnFdHqmeQRrI3n1Xo3U17qOpr3VgRtTGkNbHxnJ5wGGjJGl7Eb3Q6dtVQ6bYndCTrvC0Ms4/FYWOSFY3a4Sc2a0i2U2PO9u1DoygP2meQ9kotAO0+q9Plwqi2nNgKc6mvdXmB6W4q7BsblyGQXODjsxhdYny2lJ890AuBfMLdtp0O2cayMwxoGRirKcJHmVha6m0pF9RyJBuNdaUaMon9pnkPZBtAG0+q9B6mndXOpr3CvPZ9t45WZeuBiihny4SM5Q2bKW8qDrlblflc2FQMP02xUjIseMLs+TKFwkPy4mnAJM4AIRTcX0OlIdGUB+0zyHsgWgHafVepdTXuFHU17qw/Wdofnqf4VPvK51naH58n+FT7yncU0uqb5BN1pvS+q2qYVczaciP3CnOpr3Cs50Mx08vWRNKsjQ4gRhhGEuDDBJqqtbnIR9VaTK3iX2T8VQmw2YGDSb8o9lMHkiQVzqa9wo6mncK7lbxL7J+KjK3iX2T8VJqVm6tvyj2S3nb1zqa91Nz4VQrEDkD+407lbxL7J+KkYhWyNqPNPyT3fpUajZurb8o9kXnb10YNe4UdTXuFKCt4h7J+KjK3iX2T8VGpWbq2/KPZF529c6ovdR1Re6u5W8S+yfioyt4l9k/FRqNm6tvyj2RedvXOqL3UdUXuruVvEvsn4qMreJfZPxUajZurb8o9kXnb1ndnMxwsahZB5NbMpi7hyzsR6x9VEse7wzoEewjk1Jj5tnZicrd5JsB22A0FStjfyaL9Wv7hS9p/kJf1b/5WqUIKpDRQaK6MLDUPFbMV5A5LBhFJEMptZZTGWIPMMN2tiDprz0qvg6Iwq6teQlXL6lbEl4JdbKPlwRns7ed6vKKaWApwcQqfZvRaGBkZM1441QFspuFDKGJy3BysRpYG+oNJn6KQu7sS4Lm9gRZTvBPcArzzi+txqRarqijg2pb7pmVBOyEtCFJTcCyFcosuUIVIK2sQANAPRaq38Cod00eeUK6BDxLqoSaPw2OkzHUHUKRyrQUUGm05pLxVHJ0VQMXQtnLZxmayhjKmIvcKSLOgtodOYNd2N0Wjg3bXLPHCkROljkQR5gCCVJUAWBt+83dFHBtzS3zEKlXopFvA93uJM/MWvvZp7ebe2aVhz5Be0XLbdDIMoW8gAUr5wvYjDoB5vYuHiUegG9yb1fUUcG3ci+7eqdei0IYkFwTLvbggEE764BAzW8vKdSSL6EWplOhsI+VITmzXLLe+bCvrZe/Cx+t+8EX1FJwbUX3b1XYTYccbSsoN5s2blpnZ3YA2vbM7HUnnpUY9FYzCkTM5WOJoQeANunVEdCVQA3CLrbNcc6uqKW41JeKy23MBDhlzCJ5GxEzqVVkUs0pfEAlmAFkaMle0crm9Rh0iMKMWwkgBk3ru00AzPoczEWA81eQAsoqx6YcsL/a1/wBHE1B2hhjJDJGDYvGyX7sykXt9dctpXSlWxWltNkQQDiO0rKt2kH2eq1mEESZneRvSDt1pC0i4WUbxQrFJsPZwuYLcm50zNyIvfW9hUOBFVkbqMrbsRgK0uHZTuomgXMp58JJ/SsdOVJx+xZJCLS5QIymgN+KORDrfUZmRv7n10qHZDhgxkvaV3I4rEMwYIdeS2uPTbsuDnHTlY4y3yPuq/GrwJDm90H3Vu3TGQEA4NwWvlG+hubamwza2GtL/AArl/MpP20PxVSY7YryS5xLl4WA53XNGY+HW3M5u+p+z8MY4wpN7X+0k2Gg0HIaDlSP+ILSGAgtJ3QfdRVNLPawEXSdog+6138G2NaQY1zGyFsWOEsjEWw2EGpBt2X0762W9Phb/AKfirH/wY+bjf7WP+2wlbS9bdGoatNtR2ZAJ8V2VlealBjztaD5hR8ROwViFYEA+Hu/SrzHC7exTRoTipblVJ8ztAPgr0Tbe2ooEO8cKSrG3NrWN2yi5sO02sK8uwI8lH+gv7hWNpm0VKQZwbiM8j3LE+Ia1ezspupktknEYTEJ3anSzEwqh6zIczhLlkUC4Y5iREfD3VCn6fTCMlsRNmEBlaO8eYcObIfJ25XJN6kYtUy53AtH5QHuKg6+omqnrOFIVchtLEBbKfMZt3lZb3uCcvIkDuFZtC2VXNxLz3ErEs9vrPaLxqHtBPvuVwvTeXMV61LcOqWGUnMxK2tu+xgR9XZ2pPTx7E9cmsCQSAh81XcnROWVGP1VBWSBrvluN4NbGzSBiBl1tmz3001NzzvXFXDSZky3srOw1sA29iYc9DpIpA5a99ONpqYkuqeadrlXEl1XzVpN00kQEti5rK2W9lsW7VByWJFj6qmJt3EkAjFSkEXB4OR5fIrMnH4ZiLKSZMhAsRq6GRSCWAU5Qbm4+urtRp3VBWtVdgEPeD2lVrRbbTTA5bwe0qQelmJglgYzPKHxEUTI2WxEzbvsUG4zBhrzA7L16jvG8Lf8AT8VeL7W87C/27Cf6qV7dXQaJqvq0LzySZOfguq0HWqVrNeqOJMnPwWawm8GCTdC77pQtyALkAXudNOdu21qbw0cg2eBKGEgw1nznM+YRkEs3a3aT3mmEhy4JGjQNIUjAudLuUW5DOgNrk2zC9rU6IkfCM9rndyXNivEudSModhoQRoxBtcEg1oBbqiGig0V0QWGiiiilQiiiihCKKKKEIooooQiiiihCKKKKEIooooQs90w5YX+1r/o4mmDUnphEHjhQ8nxABtz0jmb/AONVB2Fh/mIvYX3VwHxHd1sSf0jZ2ntC5vTFzhW3ict07T2hV4w+J3kb2NwgV9UtxSYcyZQPk5RKRfXT02rkhxtmyix4iovGf+XJlW/aN7k7AbH1Ors+DfshggChEIOVbkuXFrEf0G01qsE8HADBCWMhzWjWwQKZBlIJDsVtyPby7Kz2S/Joy6Ow470jJfk0HDo7Dj0vzJT5Z8SZZVQ3ygEWC2A3lrAn5W77G7deVqusNmyLn87KM1hYXtrp2a1nMMsbrGTBAM0qp5gN1ZVa41uCCSvIgkA8Iva0xHRyBhYRoneVRb+siq9oDMGuw7h/1RVadFz206jgwbTdmN+Rnw7cVregO1kiGLU3Z2xYKxoCzt+L4UXCjsuPONh6a1RjxE3nHq6eFCGlI9Lm6J9Chj/SrNfwXbMRExVhyxAQD0LFE45emRh9Q9N9Jtd7sIYtJJBct83GLZpPp7FHa3oBt1tl/sMxwgL0LR5ZwFNtIfpHKduAzjEDDHadxUBNmRuzrGoEURJdvOM0y62dmuzrGdTcm7WHyNcJgfyUf6C/uFesYbZcaRhFUBVFgNeX/n6e29ZrE/wU4J3LeXS/yY55EQehUU2UegVWt1gNqa0AxErP01YnaRuhroDZzxmY9cPtsWNxeFEiFCSA1r2NiRcEi/p5VXno4mcNmfQ3tcHm4l84jMOME8+01vv+EWC8WK/xM3xUib+CTBBSc2J0BP8AKZuz+9VBmiKzBDanosOnoG0UxDaseCxJ2GmZ2uczsjXAUWMZLKbBQCQTa5uSNK7BsZUfMrNxLlYcJDXaRyTpcEtI3KtuP4IsF4sV/iZfirv/AAiwXixX+Jm+Kl4prxHCeicdB2kiOFHksCvRtBlszXQrYkKdFQxqCCtjZSfrq2rUf8IsF4sV/iZvio/4RYLxYr/EzfFTX6Gq1OdUB8EypoCvU59UHwWH2t52F/t2E/1Ur26sXD/BNgldH/GGKOrqGxEjDMhDKSpNjqBWu6svd++tew2U2WlcJnGVu6NsRsdHgyZxlZZZMmCRnYFN3GpUohBzlUAOdgtrsLkkDtNPyEthWZWAUwsQoVLWymwBRitrciCRblSMJCZMJGhRrZYiCGS4KFHVgGuNGVTqDy1FOTRmPDOgRrCOQklkJJbOzMbHtYk6C3cByFhaioTtdbyG1o4mZHkJACsgBN1521y353FrdtJbpBACAX1Jy2yvcMG3eVhlupz8NjY3FLn2JC5fMlw5JIzNlu1gWy3sGNhxDXSkfxBDe+U353zNcm8hzE31JMrkntJHcLb4vrG5KjHpVD5SzAhIxIpuQJAyCSym2hysh7+Lloafk6S4dQxMq8JIawY2IV3PmjUZY3NxpwHuoXo5APkH5PynIGURgWGbTSKMG3MLY8zXPwaw+UqI7Kc+gZgOMENYA6CxPLlc2tejl9iXkdqf2ntZIIy7nkjuALksEGY2sDbs1OguO+lYLaccpYIwLJbOPDcsNT26q4uO1G7q5tDZUc9t4t7BgCCymz5cwupGhyrccuEUvB7OjizbtcudixsTa5JY2BNhqxOnfTuVKbyY7VDG3haJihCTMBG1wbhgzXKjUcK3troRrzFI2Z0hE7WRdL2uWOotmuAEsdLHUjnUuDY8SMrKpBQWXiYhRYjKoJsAAxAHZfsp3A4BIVyxjKtwbXJ5BV5k35KvqqwTSgwDOxGCj4vbsETMskgUpbNcGwuCwubW80Fj3AXNhXZNtwqCS9gpYE5W5oGL2sOIKEe5FwMpva1GI2JC5JZLkuJL3a+YII9LHQZBaw0plejkVirC4zuyi7AIJAQ6KA2isGbMORzHTkBW5aXkpSdIYTKYy1jcgMTwNbd6ZzZQS0gULc3tRJ0lw4XMZRb6GvbI0mYDLcqUVmDciAbGnoNjRK+YILtcG5JHE+c8JNtGJPo5DSsthmV4VYYWFUMOcCTHCNhCbRAsCl1UBQgvoNQOZvVtFqZZgDVcBO9SMp8JzQVq8TtWKNwjvlY5eYa3ESq3a2UXYEC5Fzypg9IsPlzbwWAJ5NeyqJL2te2RlYHtDC17ioE2ycU8rySYKN8yooU4oZQI94eW6s2sjHUaUj8H5rAdQTT/APdNyPJ2BO7uQBFGLHsW3ImqPHli65nmpdVf0Sr3DYxJM2Q3yuyHQjiQlWGo1sQRppoafqlXBYsIEGDUKrFhbGkG5LMbkR3IJYmx05dwrsGDxiEEYS5AtxY5mHJF1DRkE2QantLHmzEu49sG2s3zTdVq9EqRtvZPWEVQ5jKuHDAXIIDL3i2jHWoP4LN+dS+xD93UqXFYxct8GgzMFH40OZva/kuWlcweOxUq5osPBIvemNRxrrzWK3Ig0l/R1t/9eS/ZOaq1bEHH/wBGAnthQz0RJNziZb6G+SDsvb/l+k+uur0SItbEy6ajgg0ve9vJ6cz66nyy4xbZsLCuZgq3xii7HkovFqTY6Dupy2O/M4/8Wv3VLq2jug3yUeo0+g3yCrB0ROn4zJpy4INL87eT0pX4LN+dS+xD93U2CXGuoZMLEysAVZcYpUg6ggiKxBHbS7Y78zj/AMWv3NBs2jug3yQbDTObG+QSuhROGTGlpGfJiUQCwzO7QwsoABtmbeKluXkxyHLW7J2a6hnkYGWUhnIFwLCyop8KjQd9yebGsl/B9E00uJndfNxIyxhgyq5gwymQPYZ7xhcptyZu+9b0OfCfWPfUAa0Hkc3Z3LoWsFCkKQwMY9nZ4be3DYjI3i/6f967kbxfZ/vRvG8J9Yo3jeE+sU9MRkbxfZ/vTeIRsjcXyT2eg+mnN43hPrFN4iQ5G4T5p7R3GhCWEbxfZ/vXcjeL7P8AeuCQ+E+sV3eN4T6xQhGRvF9n+9GRvF9n+9G8bwn1ijeN4T6xQhGRvF9n+9GRvF9n+9G8bwn1ijeN4T6xQhU2xR+Lxfq1/cKXtQeRl/Vv/lNQ4YS2AUBBITCtlPImwy39ANifop6bBCLCNGtyEhZQTck2U6kntPP66hCcqo0UGiujCw0UUUUqEUUUUIRRRRQhFFFFCF1OY+kVitn9C5MXgonSRUEmAWCxvrbrTa2HLO8J/uH0X2qcx9IrOdG58UMJhBEF3XVdfNvn8roc2o13Vrd7Ag8xyHxS97KdM0yAZOfctKwAS6exW83R2dnYjEHK00T5bsOBJRIyacvJgxgDQg61XDodilicLiFEsixZpLyZt5FAsWfN+sXPy1DEaW1exSYyXZ8qSA77NBlylAxW2FeXzWANn362uLhbdoJTNsyczKUzLGThG5hAogkxDygpnNswdBYXv28tODpve0Hlt8gcrv54LVgJWK6HzyOS0/Dvt6ozSXUibFSCx+SRFLGot2xAcrEaDYGCeKEJI+dgTrcnQnhBJtcgdoCjuArKbD2ViI4olmzMAMO0qKwswEEiuur3MgmKM5vZgqka3FazYgdcNEszBpRGoc3vdgBfXt+nt51WtznXCy+HCRkPzx8PBWpW1OcP69P3NWaxvRnFR7MSGJ2MkEOQCOaU7wiIRqyFspjswuEHDr6BWk2iwLQ2+fT9zVQtiNq7kHIpktKSoEdiwjjMaXJF1Mm8AOhy2uT5x6r4akWM/wAj9AqFqm/hu90/N0UxDyktiDuzLmsHkDZDLjZCBbkck8SD9SOVhTi9HsXeFmxALrKskpG8XNleK6oNQFMKMhWwuzk3qyxmHfrQZlaSHIoQKcpSQOxZ24l0KZBf+iw+VY5DBdHcdbDLJmIC4QSZzdVyDH70OolBksXhuQdbr4dOjEqop8PQzFJh90uJK2wK4dcrMqq6xiPMAFvbOM+a4YE2tTmG2DIca4MmdWjdZdWJWNsRPNFDmPaY3RD4VjNvOU1b7e28MIkS5MzycCAA2DACxKi7ZR3C5t31ZbNwIiSwJYniZiNXZubH6e7sFhyFRl84Ky0Po0xWcM5u+GZ8Pr2BMdElAnx4GgGLjAHo6pguzsrSVm+ih/GNof2tP+0wVaSrbcglbzQiiiinJyKbxPmN+if3GnKbxHmN+if3UISxXa4K7QhFFFFCEUUUUIXnEhyYVWUC9oxew+WyKTrpezdunfpSJWzYGRyBm3U2oFtVDgEW0vpe407tLVYfxYq4NZDJKbol1zIqAOVUliYmsi5iSTeyqeddGyUlwbPvJgDHKMuZLcGdCPySnLdTbQGx5DkMxtlfeBvDOdvsr3DsjLZ2J1+Z+k/+a5Qx51Gw2/kBZI48od1GaVlJ3bshJAhIFypPM10lrt1CxsD67roOHiubp0nVDDRKk0VHxKzxoXZIQqi5O+kP2DD3P0Cmop5WFwsIFyDeWVSCozHMGw4K8OuttCO8VRGn9HkSKojuPsptUrdH6KbRUbD79xdUiOgP5WUedqOeH7tbekd4p3q2J+bh/bSfcUh+INHDA1R5H2Rqlbo/ROUU31XE/Nw/tpPuK71XE/Nw/tn+4pP6i0b1o8j7I1St0Uuiom0ZJoIZJpI4skSM7WlcnKgJaw3AubA6Xok2kgC2JYuoZVUXdlOoOU2yj0tYDtIq/ZNI2a2AuoPDgM1FUovp84KXe1UHQno9s6SFykcWJO8YuzxrLZjyUSMlrWANge2/bViMK8n5U5V+bQnX9ZILFv0VsO/NTfQvowsGGtFLKoeR3IvHYG+XS8egsorD+KLQadigVCyXDKcYnON2ferlgHLO1W34H4L8zw37CL4aZxnRHCCNimEwuYKSL4eMi4HaAoJ+i4qf/Fr/AD8v/t/d01iMBIFOWaRj2AtGoP0ndGw+o15my01rw/8AoPm72WvA3LOY7ZGFWONhhcICYHmN8PCczIIiIxppmznlrppTUWzcNuJZBgsJMywRzBRBEvFIJC0Rsp83KPTr9FWU+IYRo+aQ3SSU3aKwWEqCyHccROYFNFuDzWkx7QywySu8qKkaT8BiYssuYrfyK8fCbjUajU9mqK1a7/cJx6Tt+WU9iZA3JOxdmRwtBNHDHHKTNEwiWNQylHkFzAlibwpawJALaG9XI23K2XNbD3znM+8I4AhC+VSLnmY6diG3oqtnpm3E6u1yzwAcJVRIRmYDdJxXjHMW1OhvU7G4iVRM2dnSAMWNoQcyRiYWXdHSzKM173Pm2F66nRNS9TlxkgkGd+OGO6R9FRtA5S7hNq4mVyqOgs9zmUsMgdlYKFYMCQB59je+lqRhekErIWMigqJyRYWYxmLKitm1BD8xr6qYO1JN/u43clmILNHu/NEJuVGFZv8AmgXaw0OutXI2Uw/5x0JI8nDzJuT+T5k61p1iHOluCqvBwxVY+25DLJcgbp24gELLHlPCpdwWYkC4AuMtu0W04lPeazE8ro8wd28nG01wkRLCMDU5oQM1rWys1tASugLY2tMJt0zsCrojlcjAGTLlynq4HJhfOU5ELnItUYYd6Ax3SWhwKhsXLmAPkYOevy8XVt1VfCPUKzXRmJnxWLZpGO6aLD9gzWRcQJCAMua2IEegGkS99hpdyfE32e6rLcgrbeaEdVXwj1Cjqq+EeoUbk+Jvs91G5Pib7PdTk5HVV8I9QpvEYZcjcI809g7jTm5Pib7PdSMREcjcTeae7uPooQlDCr4R6hXeqr4R6hQIj4m+z3Ubk+Jvs91CEdVXwj1Cjqq+EeoUbk+Jvs91G5Pib7PdQhHVV8I9Qo6qvhHqFG5Pib7PdRuT4m+z3UIWXgkIwsIdgFkEUa2WTNmcqF4o3BU5iOIWt3iuJjA+HkWPKFWEsBu2W6OJMrqS+obK+p1JBJ569wblsNGrIymN4VN2jBEkUkbBDdu1lUenMLcxTcWD3UMwGZ7QiHUxcCxLIVU5WuWAlJJ5m4074k4ppu2pHRz8gf12I/15qjt21I6OHyJ/XYj/AF5qyfjX/Cp/z+zlV0dzz3KTtTDCSJkLZQ1teRFiDoQQRy5g6VTYnourMPKX/KaNd2Oe1rsz3NgAmvNAFNTtvbMabdhcnA7MS6h1/JyKOA8+Jh9tUg6POBKBG12iyob4ci/V0iszld7fMpFwQOXZeuBsnJZhUjMx6LXPcpi9EQCbyaFswstivBMq21sMplBU20EajutyDoooWwkF8uUMq2K3318nFw33g0/oemnsVhJ5ZVlyqgi82NwGLhvynGkmRcynKLhrFSdL00vR9kIaNI0ZDiHW1gCzyh0U2HJo7oe7NU3CvIxqYnu7fTL8CIS36NguhLouWNkyIhReLei6KHut95qL65F5EC1rsjCbqJUuGy31VQo1JNgo5WvaqSPYLLOWKl8wUlxuQC3EXLF13q3Yk8B0BFuVT+j+AMWa6BAQoF8mY5c17mKykC4sxAY635CobQS6mZfOWGH5tShJ6b//AIzGf2Wf/TaoGw8Oq4eIqAC0UZY9pORdSe2p/Tc/+mYz+yz/AOm1RNk/yeH9TF/kWu1+CP7VXvH0WXpH9Klim9hxzmBcjxBbvYNG5PnvzIkAPqFOU3sLGyLAoEDsAXswaKx431GZwfWKufGc6tTiOdtjcd6j0fzndyn7rE/OQ/sn++qLtPDTNEyu0bKRYhIpQxFxpwTA/Tra176XqV/GUv5tJ7UP3lM4rFyuhXq8i3Fr3gb6irSWIPK3przWmXhwPJ/1WwqjEXKIXdWGVz5k5YIhUS7w7+5QHKGU3B00NqVhGyxyNnhWMIpYyRS23RDZLZ5z5O2eyiwGugvq3Mto4wVdVZXjU58MA6z5WZU8pbXKMtuQ0ANOYWFXjkj3bzKUWBrSYfhWMMFU5ZPOGY3J9GlaZMMxOE9m/wAp+6ZtS4TKyQFJIyvWFAzLI5vxc2adifov6qf2iDmkMhiIVGEhEM5QeTuwOWfLvN0eds2UgX1AMbD4siOARxF16wCGRsOFJ4rgBJLXqVj2LGZGSRBLGzSJvMMDYpujJxSXChQP6N1B7wes0JPAu/kfsqFp547l2TEMuINjE0xzA5IZTpaDNc7+1rbn/wC3q33eJ+cg/ZSffVRSGGKcO0CoSWyoz4RVDMILlVMg4rRpy14/oq8/jCX82k9uD72tlypuVVKhEkwaSElIs8oMc7KscmckWM5UBsjEqvOykjVaYiwzKyMQFJdQWeLEHjDBY96zYkhyGsFvmym3m0sQB5MQFjlLSpkmQTwNlDbz5JlJQkOQO4AWFNYW6SRgA6uzCINhFV2WyEogl0KhLaXscx5nRyerfoeJN9j8xQnraXIUgfyXB8gXPZbtNaWz96+o/FWa6HzMZseTGVJxaaEqSPxXB8yGI5a6GtLvT4D6199TtyVluQRZ+9fUfios/evqPxUb0+A+tffRvT4D6199KnIs/evqPxUjEBsjar5p7D3H+lS96fAfWvvpGIkORuE+ae1e4+mhCWA3evqPxUWfvX1H4qBKfCfWvvo3p8B9a++hCLP3r6j8VFn719R+KjenwH1r76N6fAfWvvoQiz96+o/FRZ+9fUfio3p8B9a++jenwH1r76ELK4eNHwsC9qtBJco7ao6O7BspuxAbivqWNzqacdVjixNtBIXcARuOcUaG/CBcsjG/pohiLYXD5SQVbDMcrZbqrxl82ouuTNcdtu3lTcK+TxJySRgowCvc3KiW8lyTctfX0Kl9bgRBOKZNU+L2AzMTHi8VACSSkTrlzMzMzWdWIJJOgNvRVwaK3KtnpVmxVaHDtErGY9zMWmFQfg1N/OOO/aR/d138Gpv5xx37SP7ur6iq/Flj6pvyhSaxV6RVD+DU3844724/u6Pwam/nHHe3H93V9RRxZY+qb8oRrFXpFUP4NTfzjjv2kf3dH4NTfzjjv2kf3dX1FHFlj6pvyhGsVekVm8X0SkkjdH2hjWV1ZWUvHYhgQQfJ8jVzsr+Tw/qY/wDKtSxULY/5BB4Vy+wSv/ipqNmpUDFJobO4QmOqOeOUZU0U3sLa8aQKpz3BflFKw89+RVCD9VOCn+jrjqyajm/+d65D40jVacieV9j3q/o7nO7k5/HsfdJ+xm+7qPj9ppJGyK0iFhbNuJzYdugUHUXGhFr3q23g7xUDbSF4HVWIJy+aMxtmGYABlOq3GhB10udD5nRuXxAIxzn/AItcys/ktBFGPkYZsOxEOIUBXEQLqu6Pm7u2XS9+a8qUsKtBJE7OufDxwApFOTaIOA+sQtfP5utrHU30fxMcjRRgIwIjlUBbgCQlNzIRm0sAxJJOUsRRh8PNuJRGWjkaGMKWN/LAPvHFyfO4OLkefZWxIuzO3eN+eXimLkGNVI4Fbe3GIUnMs8h1z/KaFSfot66kbQcOJ1F8swchmhxBZXaEQAACLTlfPe9mYZdb0YNCsWHDEkjEjzlyHXP8m5/3p/akLnrGUOXaNxE6tZVUxBQvnAX3uY2tfiU3sNOq0JHAOjpn7KhaeeO5R4Y4xiTIHny8RHDiy12GGFmYpxL5JuEkjUac6uTtuL+s/YT/AHdVR2ZK+KvI4aMFmvlIU6YUKFQS8J4ZeLX5WmuuizjvFbLlTcs5s/EbuRyS5RmlIG7xB/KyNJcKYbJluVsCc97kiwFR8NCI5QVLhbi4EWIUKqzzygbsQ2e6y5BcjIRcXNrXGHwqiSZypG8IQAG91AJL2vYFmY69yrVZh8A6NHYNc7lxZjljJkd8QmraDdlEHiC253p8p4Ksuh+MVpseRmscWnNGB/kuCHIi4+sVpusD0+y3urPdEm8vtD+1p/2mCrSZqmbkFZbzQkdYHp9lvdR1gen2W91LzUZqcnJHWB6fZb3U3iJxkbn5p+S3d9FP5qbxB4G/RP7jQhAxA9Pst7q71gen2W91LBozUISOsD0+y3uo6wPT7Le6l5qM1CEjrA9Pst7qOsD0+y3upeajNQhZGOILhcOyqgJfDBrxqxKu8SMLnkSG569v0hmBlZcULxyKkd1ZVjNiwmzKSiLlIyrwG7LfVjm0kYdimGgYZzmMCHyrqFEjIhIA52zDh0+qm49oLOmKCsxWHOgImZ83Abki+gzh1trcLftqIJSmzRQaK6ILERRRRSoRRRRQhFFFFCFw1E2Z5rDummHrkdv/AJVMqHgfPmHdLf2o4m/eTTTmEqmCkbC2TC0Cs0MbMS9yUUk8b8yRrSxTewtlq0CkvKLlzZZZFHnvyUNYVxXxmYstPEjlbO4rS0dz3dysf4jw/wAxD+zT3VX7d2fDHAzJDCDmjF93GMoZ0VmuylRZSTcggWvY1P8A4lXxz/t5fiqPjtmqkbMJJRlBN2nmtYam9mvyvyrzajUAqN5ROOX4VrlUWJEW6jISEHdytfdwkySIUEcd8lmD3YjKFLAArl5V3DRqYJnSGGZ1hRwu6i0lYPni4FFstl4Txa6nUVLxKskaFt4H3LzSL1iawEW7zIpzanjtc6aGmxiQsMkr7+yQxzgJPMSVlD2XiYcQy6nlWqHS3AbfvlnPYmIwGAieKBmjhYnEAEgQuCOPTNEgU+qn9p4eJN/lSBXjjcxx7mI5lWEOJfMzDyl1zXycOW1zekRYTeJA7GdScQoIMswItm7GckfTUrHAoJ2BlKwK174mYMXWITCwzEWsyr38zyGvVaEM0XfzPhkqFp547lFOAL4rd7iGNQWJCrCeFRhflvhzfWR+Gy/paVof4lw/zEP7JPhqhbEFp91H1jmwu8mKB4RAdUGqi8vnHTh9NWO1cFuoXkVpmKC9jiJl0HPXMeytlyqOnBQMLh4t/Krx4fIok4t3BlRg/kwLKCDu7khySSpIstiYuGaJngCRxSxSTN5XcRtdN2cqM0UYRGz3fWxCBbi7G1lhYS8jLmlA8tkPWJ7+Qk3JzcXabHTkKhQTsWQMZCGKcS4jEEFZZGjje5NlvlzAMRmDALqKcnq56H4VBNjwqKAMWlgFAAvhcGTYAWGutaXcL4V9QrM9D8KBNjwC5ti01LsTrhcEdSTc/XWm3A729o++p25BWG5BG4Xwr6hRuF8K+oUbgd7e0ffRuB3t7R99KnI3C+FfUKbxEC5G4R5p7B3GnNwO9vaPvpvEQjI2reaflHuPpoQliBfCvqFd3C+FfUK4IB3t7R99d3A729o++hCNwvhX1CjcL4V9Qo3A729o++jcDvb2j76EI3C+FfUKNwvhX1CjcDvb2j76NwO9vaPvoQqPZUQbDQggEZI2171ysp+ogH6QK7jsKiRTFVVS0b5iABfKrKL99gLV2iodqUqoPP66KKK6MLERRRRSoRRRRQhFFFFCEVDw35ab/wDmf+m3/geqiimnMJQpgqR0d/kyfS/+d6KK4j41/wAWn/L7FaWjue7uVjekTRhhZgCNND9Ioory9uBwWwU1Ps+OTV1DWudfq0+g6XHI2F6IdnRpcKgAbzha9xrpr2c9OQuaKKshzspwTSo2Lw6x7hVFgMQlhcnmH76sZdmxuxZkViwKG4vdSLEH6iRfuJHKiiu2+HyTZCT0j9As21c/wS+qoHz5RnN7tbXXJfX+6vsilzQh1KsAVIsQeRBvoaKK6Aqoml2ZGGLBAGYksdddbn1k3PedTrSTsyO6tkF4wAnoC+aLcjbmL8uy1dopUFR+iv5faH9rj/7TBVozRRVpuQVxuS5RRRSpyKRiPMb9E/uNFFCEsUUUUIRRRRQhFFFFCF//2Q=="/>
        <xdr:cNvSpPr>
          <a:spLocks noChangeAspect="1" noChangeArrowheads="1"/>
        </xdr:cNvSpPr>
      </xdr:nvSpPr>
      <xdr:spPr bwMode="auto">
        <a:xfrm>
          <a:off x="3362325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142875</xdr:rowOff>
    </xdr:to>
    <xdr:sp macro="" textlink="">
      <xdr:nvSpPr>
        <xdr:cNvPr id="5123" name="AutoShape 3" descr="data:image/jpeg;base64,/9j/4AAQSkZJRgABAQAAAQABAAD/2wCEAAkGBhQSEBUUExQWFBUUFBcWFxcXGBkXGBgZFR0VGBgWFxUXHCYeGhwjHBkXHy8gJCcpLCwtFx4xNTAqNSYrLikBCQoKDgwOGg8PGiklHyQsLSwsLCwsMiwsKSwtNS0tLC8sLCwtKiosLCwvLywtLCwsLCwpLy0qLCwsLCwsKSwpKf/AABEIALMBGgMBIgACEQEDEQH/xAAbAAABBQEBAAAAAAAAAAAAAAAAAgMEBQYBB//EAFEQAAIBAgMEBQcGCAwFBAMAAAECAwARBBIhBRMiMQYUQVFSIzJhkZLR0kJTcYGh0xYkM1Ryc5OxBxU0VWJjdIKUsrPhF0OitMElo8LwNWSD/8QAGwEAAQUBAQAAAAAAAAAAAAAAAAECAwQFBgf/xAA7EQABAwEEBAwFAwUBAQAAAAABAAIRAwQSITEFFEFRExUiMlJTYXGBkaHRBpKxwfBCQ3IWMzSi4SMk/9oADAMBAAIRAxEAPwD1yiq3Z2FZ4UdppbsisbMtrkA6DJS8XgisbsJprqrEcSdgJ8FQQnqs6R4zFoz9XVmUxxhcqBsrkylm80kjKqgixsSlhrYujGTmKP8AKB8/HaLV0LOF4jEVThCk5kTmL7s6VaHZh+em9pPgrn8W/wBdN7SfBSpEnYzu0EZkzZyvFmXI1+26ZVt6veZlUu1MQkBjDzS+Ue2rxjKugLm6cgWQaeIVY/xafnpvaT4KSEJvbH5P+8P/ADWY2dPM2ffRpHZrJlk3mdR8vVRlB7Bz53t26iTZAYWaWYj9JPgqKdhLvAueSxRjzXmCg8HpNXqFpFNsGVBUpFxkLHbcx8ySEQEt5O8gyZhCt7CZeWZrZhu9b5b9ljZyYwRxI12kSy3canKR+UYAajlew7b2rR/g8njl9pfgo/B5PHL7S/BTtaAkicfT1Q+kXMDRAjbv9PzvxWc2bIxjLycOdiwB0yJ8kHu0GY/pGkdEsTM04EqvqyuGK5UAYnLGqnW6iwOpGg7c1T9kIk7lfKLo5Bz30RwhvmhUX1B4S453I0zXKbCUEESSgg3BzJ8FBtLYjFMZQITm0cTilaTdICojcocqm7hCVGbf38+w/J9tv6VVuIxkm8iEUszRllAZgQTd0Elrpx2W989gutr2sLfqbfPze0nwU1hcO7KCZ5tS3yk7CR4PRVO8rMKj2licVBMIzPLN+KStmCKpDKSc9kjsbDKosbg2vcGu7S2piUkiELu8bSyLHmVryDdIys7BCWVZN5cWDFVuL2ub/qbfPz+0nwVHxysii00zM7BFGdFGYhjxNuzYAKTex5cjS3kQpfRqZmi4izFWtnZi2fRTmUsqm1yRaw1VraVcVRQ4ZyoLSzqSNQXjNj9ISx+n93Kl9Ub5+f2k+Ci8iFdUVm9oI6ICJ5r5lGrJ2/3Kib6X5+X1p8FV6trZSMOlTU6DqgkLX0VkN9L8/L60+CoLbYmEpXey5Q6x5s63zOqsODdWtxAXzX9FRi3UzlKebK8Le0VkN/L8/L60+CjfS/Py+tPgpOMKXal1SotfRWU2U0kjShp5uB1UWKDQoja8Hexqx6o3z8/tJ8FW21A4AjaqxaQYKuqKzu0A0UMkm+nO7jd7ZkF8ilrX3foprZbvKpJllUhraOT3fOYeM/YR6adeSQtPRVL1Rvn5/aT4KaxMDqjsJ5rqjEcScwCfBReCIV/RVIMI3z83tJ8Fd6o3z8/tJ8FF4IhXVFZTa2JeIxqssrGRmAu9gMovzSBz9lvTVj1Nvn5vaT4KLyIV1ReqXqjfPz+0nwUdUb5+f2k+Ci8iFF2OJOrxWKW3a2uGvyHOzU5j95upNU8x+xvCf6VIwCE4NApIJhABXzgculrg6/VS3zdU4r5ur8V+ebd8V/Te9RHJOULF9KoonKSYnCxuDqruFYX1FwXuNCD9dWG/k/q/U3vrzjbGCkXaOKcw4pkd4iphw0UyMFjQNdpRpqCOGrtcNN192VZRCd5u8xbIuIyLeVltfdEXUa2zZiBxA1hVhX4Km9lpEmnfMhsTdabo5Ixkna7AHaILwRJkbYWknw2ckukTEpkOZWPDqSAC2l7m9uel+Qs+kkgAHBoLcnPL0lrk153hdnYzcWc4gsZsJnXK62YPeZ1ffOWFjxMoVDYEciAxjcLiolkYdYCKdpoSzSECFY3bDm7E6ZrZW5nvqQWe0l5Y22tJBIHIbjDb3fjkMDJ24pJGd1ej4jaBjXM7xItwLtcC5IAFy3aSB9dKLSZg1080rybtKnxf0a856jPJhuBJmjaLAFg5dy8yyI0kkeZjw7vLciw0HcavNg4TFDHSNK8ls01xkbdMhYbm0hlK3CjQKgIGYNzBMNpbaaNJ7tcbebewutkwGkCADGJInETGUmFBBI5K1M+PZAC7xKCwUFri7Noqi7cyeQpwTyf1fqb4qw23sBO+JbMkz/jmFeMrmMQgUx5gQDlDBgxNxft5VM6MYPFLipGneT/m5hkbdNeS8TJI0pBIQaBEFgbNrYmKq60ssnD6229dm7dbjIBgQCcMQSY5UCMZSiC6Lq0OFwW6OZco0IGZpWChiGYKHchASAbC3mjuFdG3BljYyQqJSBHmuuctyChmuSe6sm+y8SYceyCUTNi3EV2fWAmAtulLBdQHsRY9gIqNBsKdpsI53jFFxZR5EeMR3yGBXUyO2XNmsHa5WwI0qeiahYXVLYMJwutGVMv3EYmGg7YdAkJD/H8lbuDHs+bKYzlYqbBtCLXHPsv+/ursLSKLXTS/Y3aSfF6a8+wuzcZuFDnEFjiMJvFyuuUhjv2WTfOWFjxMAqaAjtAs5Nm4ldoplaRYEMIjyqzpu1UiVJGMwVbnmWVmPARexpKwrMe9rba3khxHJGN0NwymSXbohpMmMQEdFbLfSf1fqb303iFaQZWyEXBFs6kEcirKwKn0gg159srZ2NSLC5BMsr4fGrLvGcgOLnD5w5KrxHQ6VOxOEnOCAhXEod7EZ95vHZlAO+3a7wORmsSFYZhfLzoqU7U190WxpF6JutwhzmEkTtuy2JvAiYRI6K2kJdFCruwoHc37y1z33PPmaiN0ijEQlM+GEROUSF+AnXQPntfQ6eiqh48Quyt2N5JO6btWdcrjetlVnAZ8uRWuTmJ4bnW4rKY/YOJiw5gMHCuLw06jDK0qquVkkCiUWLAoGKnS8ncaXR/DWgvFS1gRUujBgvNBALgCJ/UCMMg6UPIGTdi3uK2ossG8WfD7tWB3l7oMp1BYPbt76iCVjFvRiMLurX3muS3fn3lqy+F2LI2FmvhpivWIZkusUWIYqAHY4fWJgthZCBmF+2xL2G2XLuY5GwpZI8W0rQ7tEklQxlFlbD5igdWIOUEXtewNT1bM0kl1qBh0ft4i6HRsxJN2TGObQASHMquaIAWiSRiqMMRhSshyoQGIc6mykScRsDoO6mzsphPrJBvW4wp3uuQKmcRGXLoMozW7tazs2DlRlxC4WZYjj45lw6IpkRFgZGcxobKXbW1/p1NWuJ2hJ1mDGDC4koIZoWjyKJlZmjZWKF/NOU63+mqNaz12vAo1gQWu6vB4BIYdk4QTkTlsUnDuOafk2wihS2NwQDLmW7WzLcjMLy6i4Iv6DVhDhpnUMssDKwBUhXIIOoIIksQRXnybAngaBXixPDg0UmCCKezmSZyjby6ggMOVbPpBFM+Ch3AdBmiMq5CJBFl4lMUTKbg5bojA6ECpbfZxRq0qdG0Ah7iLxDSANhgN27MTPYkbaKhBJVts2GSJnu8RaRg9grDRVRNBmJPIa+mlL0jjMu6E+GMoJXd5+O45jJnvf0Vl9ibFlXHQyzCV/wASKbxgQc4kY5ZFV2AO7YDUm5F/O5Vy9HJ+sySujGE7SLFFiXe5bxskySkZt3mADBbaBiL61JRvcI6k61iAwEENaATJECQScsAbpJwMKNxnG7tWyk6SYeXNCcRhWMl4ygk4jmupWwe99SNNal7OmO7DRusiNqGLyyg9nC7yNp9BtWA6N4OSPEASQ4u5nlP8mi3PG75WMxG8A1DXHLs0qw6O7Ymi2eIBhMUs0WHYKWishfXKA178yOzsNPt1K1MkWW0XjLBjciHX5PNGUDKRjmmtLTmFrW2+gjaQzYfdo2VnzcKsCBlLZrA3IFvTTA6SQyowXE4Vg1o7q4PFIGCro/nGzWHblPdWe6H7Bmw7vBiIozE8cbgx5njLxARsXzqBncZG/uk1B2bsKRcBs4bhlkXGxPKMlmCq8/E+l7AMNT30lSoGPewWomHNDXDg4LXNc4k4HFpaWnHMjxUZZfVbltsAIrmWAI4urEnKwyl7qc1jwgtp2AmmcF0ljmbJFiMNI1r5UcMbDmbK96yKbDmvPCY23WEhxQwx57w4oMUC95jQvH/e7OVd6A4d43RXixSsIAp3uGijjUgJfLKoznkQM3MXvrRXv07NVqstV5zRIADMjJb+k43bpIkQSRmEgxIBatywcsrHd3W+U2fTNYH5XcKc3sn9X6m99KFFcX/UGkOs/wBW+ys8E1J3sn9X6m99G9k/q/U3vpVFJ/UGkOs/1b7I4NqgYLDDqiMDlO6U5meTKNBclVdey5tcfSKXuM2GZnVlbI9xmkHLMAcjMSuYANlNyM1jqKZgiJwSZwkibpCUaIMCAARfPIF053NgLX0tSwxbCM0ZRU3T5VEVgLBhYBZCvMHUXB5i4IJ9PVNaLqadwrvU17hWH6ztD89T/Cp95R1naH56n+FT7yncU0uqb5BQa03pfVbjqa91Im2bG6lWQMrAggi4IOhBB5gjsrz2XbuOWdYTi9WRnDdVhyZUKB2JM9xYuvZfXS9q4nSPFGVIxtGMtIrMpGGiynIyIVvvfOu40+nupBoyiDIpN8gl1hu/6r0OHZyKoVVACgAACwAGgAA5ACuHDLnAt8k/vWvPtndIMXOiMmPTyiCRVOFjD5T2ld7ekv0gxQmaM7QjDJHnYnDRhVUsFsW3ujXtoaU6MonE02+QRrLcpPqvR+pr3UdTXurBSbSxqhS20IlDEBScNGASeQBMmtRMJ0nxMkQlG0Y1U287DRKVvewbyvCdKTiuj1TPII1kbz6r0jqi91HU17q8/G2sXdh/GUN0Nm/F4uEg5bN5XTi017dK7DtfGPbJtGJsyhxlw8Zup5MLS6g9/Kjiuj1TPII1lu8+q3/U17qbgwqkXt3/ALzWCTbeLLZRtKEtcrlGHiJuCwItved1YW71buNJXbeKAH/qUNmJC+Qi1IIDW8rrYsvtDvo4ro9UzyCNZbvPqvQ+pr3UdTXurzp+kOKDZTtGMEybofi0er2LZdJdNAeduRrj9I8UCAdoxWKsc3V4soyNGhBO+55pEFrdvYSLnFdHqmeQRrI3n1Xo3U17qOpr3VgRtTGkNbHxnJ5wGGjJGl7Eb3Q6dtVQ6bYndCTrvC0Ms4/FYWOSFY3a4Sc2a0i2U2PO9u1DoygP2meQ9kotAO0+q9Plwqi2nNgKc6mvdXmB6W4q7BsblyGQXODjsxhdYny2lJ890AuBfMLdtp0O2cayMwxoGRirKcJHmVha6m0pF9RyJBuNdaUaMon9pnkPZBtAG0+q9B6mndXOpr3CvPZ9t45WZeuBiihny4SM5Q2bKW8qDrlblflc2FQMP02xUjIseMLs+TKFwkPy4mnAJM4AIRTcX0OlIdGUB+0zyHsgWgHafVepdTXuFHU17qw/Wdofnqf4VPvK51naH58n+FT7yncU0uqb5BN1pvS+q2qYVczaciP3CnOpr3Cs50Mx08vWRNKsjQ4gRhhGEuDDBJqqtbnIR9VaTK3iX2T8VQmw2YGDSb8o9lMHkiQVzqa9wo6mncK7lbxL7J+KjK3iX2T8VJqVm6tvyj2S3nb1zqa91Nz4VQrEDkD+407lbxL7J+KkYhWyNqPNPyT3fpUajZurb8o9kXnb10YNe4UdTXuFKCt4h7J+KjK3iX2T8VGpWbq2/KPZF529c6ovdR1Re6u5W8S+yfioyt4l9k/FRqNm6tvyj2RedvXOqL3UdUXuruVvEvsn4qMreJfZPxUajZurb8o9kXnb1ndnMxwsahZB5NbMpi7hyzsR6x9VEse7wzoEewjk1Jj5tnZicrd5JsB22A0FStjfyaL9Wv7hS9p/kJf1b/5WqUIKpDRQaK6MLDUPFbMV5A5LBhFJEMptZZTGWIPMMN2tiDprz0qvg6Iwq6teQlXL6lbEl4JdbKPlwRns7ed6vKKaWApwcQqfZvRaGBkZM1441QFspuFDKGJy3BysRpYG+oNJn6KQu7sS4Lm9gRZTvBPcArzzi+txqRarqijg2pb7pmVBOyEtCFJTcCyFcosuUIVIK2sQANAPRaq38Cod00eeUK6BDxLqoSaPw2OkzHUHUKRyrQUUGm05pLxVHJ0VQMXQtnLZxmayhjKmIvcKSLOgtodOYNd2N0Wjg3bXLPHCkROljkQR5gCCVJUAWBt+83dFHBtzS3zEKlXopFvA93uJM/MWvvZp7ebe2aVhz5Be0XLbdDIMoW8gAUr5wvYjDoB5vYuHiUegG9yb1fUUcG3ci+7eqdei0IYkFwTLvbggEE764BAzW8vKdSSL6EWplOhsI+VITmzXLLe+bCvrZe/Cx+t+8EX1FJwbUX3b1XYTYccbSsoN5s2blpnZ3YA2vbM7HUnnpUY9FYzCkTM5WOJoQeANunVEdCVQA3CLrbNcc6uqKW41JeKy23MBDhlzCJ5GxEzqVVkUs0pfEAlmAFkaMle0crm9Rh0iMKMWwkgBk3ru00AzPoczEWA81eQAsoqx6YcsL/a1/wBHE1B2hhjJDJGDYvGyX7sykXt9dctpXSlWxWltNkQQDiO0rKt2kH2eq1mEESZneRvSDt1pC0i4WUbxQrFJsPZwuYLcm50zNyIvfW9hUOBFVkbqMrbsRgK0uHZTuomgXMp58JJ/SsdOVJx+xZJCLS5QIymgN+KORDrfUZmRv7n10qHZDhgxkvaV3I4rEMwYIdeS2uPTbsuDnHTlY4y3yPuq/GrwJDm90H3Vu3TGQEA4NwWvlG+hubamwza2GtL/AArl/MpP20PxVSY7YryS5xLl4WA53XNGY+HW3M5u+p+z8MY4wpN7X+0k2Gg0HIaDlSP+ILSGAgtJ3QfdRVNLPawEXSdog+6138G2NaQY1zGyFsWOEsjEWw2EGpBt2X0762W9Phb/AKfirH/wY+bjf7WP+2wlbS9bdGoatNtR2ZAJ8V2VlealBjztaD5hR8ROwViFYEA+Hu/SrzHC7exTRoTipblVJ8ztAPgr0Tbe2ooEO8cKSrG3NrWN2yi5sO02sK8uwI8lH+gv7hWNpm0VKQZwbiM8j3LE+Ia1ezspupktknEYTEJ3anSzEwqh6zIczhLlkUC4Y5iREfD3VCn6fTCMlsRNmEBlaO8eYcObIfJ25XJN6kYtUy53AtH5QHuKg6+omqnrOFIVchtLEBbKfMZt3lZb3uCcvIkDuFZtC2VXNxLz3ErEs9vrPaLxqHtBPvuVwvTeXMV61LcOqWGUnMxK2tu+xgR9XZ2pPTx7E9cmsCQSAh81XcnROWVGP1VBWSBrvluN4NbGzSBiBl1tmz3001NzzvXFXDSZky3srOw1sA29iYc9DpIpA5a99ONpqYkuqeadrlXEl1XzVpN00kQEti5rK2W9lsW7VByWJFj6qmJt3EkAjFSkEXB4OR5fIrMnH4ZiLKSZMhAsRq6GRSCWAU5Qbm4+urtRp3VBWtVdgEPeD2lVrRbbTTA5bwe0qQelmJglgYzPKHxEUTI2WxEzbvsUG4zBhrzA7L16jvG8Lf8AT8VeL7W87C/27Cf6qV7dXQaJqvq0LzySZOfguq0HWqVrNeqOJMnPwWawm8GCTdC77pQtyALkAXudNOdu21qbw0cg2eBKGEgw1nznM+YRkEs3a3aT3mmEhy4JGjQNIUjAudLuUW5DOgNrk2zC9rU6IkfCM9rndyXNivEudSModhoQRoxBtcEg1oBbqiGig0V0QWGiiiilQiiiihCKKKKEIooooQiiiihCKKKKEIooooQs90w5YX+1r/o4mmDUnphEHjhQ8nxABtz0jmb/AONVB2Fh/mIvYX3VwHxHd1sSf0jZ2ntC5vTFzhW3ict07T2hV4w+J3kb2NwgV9UtxSYcyZQPk5RKRfXT02rkhxtmyix4iovGf+XJlW/aN7k7AbH1Ors+DfshggChEIOVbkuXFrEf0G01qsE8HADBCWMhzWjWwQKZBlIJDsVtyPby7Kz2S/Joy6Ow470jJfk0HDo7Dj0vzJT5Z8SZZVQ3ygEWC2A3lrAn5W77G7deVqusNmyLn87KM1hYXtrp2a1nMMsbrGTBAM0qp5gN1ZVa41uCCSvIgkA8Iva0xHRyBhYRoneVRb+siq9oDMGuw7h/1RVadFz206jgwbTdmN+Rnw7cVregO1kiGLU3Z2xYKxoCzt+L4UXCjsuPONh6a1RjxE3nHq6eFCGlI9Lm6J9Chj/SrNfwXbMRExVhyxAQD0LFE45emRh9Q9N9Jtd7sIYtJJBct83GLZpPp7FHa3oBt1tl/sMxwgL0LR5ZwFNtIfpHKduAzjEDDHadxUBNmRuzrGoEURJdvOM0y62dmuzrGdTcm7WHyNcJgfyUf6C/uFesYbZcaRhFUBVFgNeX/n6e29ZrE/wU4J3LeXS/yY55EQehUU2UegVWt1gNqa0AxErP01YnaRuhroDZzxmY9cPtsWNxeFEiFCSA1r2NiRcEi/p5VXno4mcNmfQ3tcHm4l84jMOME8+01vv+EWC8WK/xM3xUib+CTBBSc2J0BP8AKZuz+9VBmiKzBDanosOnoG0UxDaseCxJ2GmZ2uczsjXAUWMZLKbBQCQTa5uSNK7BsZUfMrNxLlYcJDXaRyTpcEtI3KtuP4IsF4sV/iZfirv/AAiwXixX+Jm+Kl4prxHCeicdB2kiOFHksCvRtBlszXQrYkKdFQxqCCtjZSfrq2rUf8IsF4sV/iZvio/4RYLxYr/EzfFTX6Gq1OdUB8EypoCvU59UHwWH2t52F/t2E/1Ur26sXD/BNgldH/GGKOrqGxEjDMhDKSpNjqBWu6svd++tew2U2WlcJnGVu6NsRsdHgyZxlZZZMmCRnYFN3GpUohBzlUAOdgtrsLkkDtNPyEthWZWAUwsQoVLWymwBRitrciCRblSMJCZMJGhRrZYiCGS4KFHVgGuNGVTqDy1FOTRmPDOgRrCOQklkJJbOzMbHtYk6C3cByFhaioTtdbyG1o4mZHkJACsgBN1521y353FrdtJbpBACAX1Jy2yvcMG3eVhlupz8NjY3FLn2JC5fMlw5JIzNlu1gWy3sGNhxDXSkfxBDe+U353zNcm8hzE31JMrkntJHcLb4vrG5KjHpVD5SzAhIxIpuQJAyCSym2hysh7+Lloafk6S4dQxMq8JIawY2IV3PmjUZY3NxpwHuoXo5APkH5PynIGURgWGbTSKMG3MLY8zXPwaw+UqI7Kc+gZgOMENYA6CxPLlc2tejl9iXkdqf2ntZIIy7nkjuALksEGY2sDbs1OguO+lYLaccpYIwLJbOPDcsNT26q4uO1G7q5tDZUc9t4t7BgCCymz5cwupGhyrccuEUvB7OjizbtcudixsTa5JY2BNhqxOnfTuVKbyY7VDG3haJihCTMBG1wbhgzXKjUcK3troRrzFI2Z0hE7WRdL2uWOotmuAEsdLHUjnUuDY8SMrKpBQWXiYhRYjKoJsAAxAHZfsp3A4BIVyxjKtwbXJ5BV5k35KvqqwTSgwDOxGCj4vbsETMskgUpbNcGwuCwubW80Fj3AXNhXZNtwqCS9gpYE5W5oGL2sOIKEe5FwMpva1GI2JC5JZLkuJL3a+YII9LHQZBaw0plejkVirC4zuyi7AIJAQ6KA2isGbMORzHTkBW5aXkpSdIYTKYy1jcgMTwNbd6ZzZQS0gULc3tRJ0lw4XMZRb6GvbI0mYDLcqUVmDciAbGnoNjRK+YILtcG5JHE+c8JNtGJPo5DSsthmV4VYYWFUMOcCTHCNhCbRAsCl1UBQgvoNQOZvVtFqZZgDVcBO9SMp8JzQVq8TtWKNwjvlY5eYa3ESq3a2UXYEC5Fzypg9IsPlzbwWAJ5NeyqJL2te2RlYHtDC17ioE2ycU8rySYKN8yooU4oZQI94eW6s2sjHUaUj8H5rAdQTT/APdNyPJ2BO7uQBFGLHsW3ImqPHli65nmpdVf0Sr3DYxJM2Q3yuyHQjiQlWGo1sQRppoafqlXBYsIEGDUKrFhbGkG5LMbkR3IJYmx05dwrsGDxiEEYS5AtxY5mHJF1DRkE2QantLHmzEu49sG2s3zTdVq9EqRtvZPWEVQ5jKuHDAXIIDL3i2jHWoP4LN+dS+xD93UqXFYxct8GgzMFH40OZva/kuWlcweOxUq5osPBIvemNRxrrzWK3Ig0l/R1t/9eS/ZOaq1bEHH/wBGAnthQz0RJNziZb6G+SDsvb/l+k+uur0SItbEy6ajgg0ve9vJ6cz66nyy4xbZsLCuZgq3xii7HkovFqTY6Dupy2O/M4/8Wv3VLq2jug3yUeo0+g3yCrB0ROn4zJpy4INL87eT0pX4LN+dS+xD93U2CXGuoZMLEysAVZcYpUg6ggiKxBHbS7Y78zj/AMWv3NBs2jug3yQbDTObG+QSuhROGTGlpGfJiUQCwzO7QwsoABtmbeKluXkxyHLW7J2a6hnkYGWUhnIFwLCyop8KjQd9yebGsl/B9E00uJndfNxIyxhgyq5gwymQPYZ7xhcptyZu+9b0OfCfWPfUAa0Hkc3Z3LoWsFCkKQwMY9nZ4be3DYjI3i/6f967kbxfZ/vRvG8J9Yo3jeE+sU9MRkbxfZ/vTeIRsjcXyT2eg+mnN43hPrFN4iQ5G4T5p7R3GhCWEbxfZ/vXcjeL7P8AeuCQ+E+sV3eN4T6xQhGRvF9n+9GRvF9n+9G8bwn1ijeN4T6xQhGRvF9n+9GRvF9n+9G8bwn1ijeN4T6xQhU2xR+Lxfq1/cKXtQeRl/Vv/lNQ4YS2AUBBITCtlPImwy39ANifop6bBCLCNGtyEhZQTck2U6kntPP66hCcqo0UGiujCw0UUUUqEUUUUIRRRRQhFFFFCF1OY+kVitn9C5MXgonSRUEmAWCxvrbrTa2HLO8J/uH0X2qcx9IrOdG58UMJhBEF3XVdfNvn8roc2o13Vrd7Ag8xyHxS97KdM0yAZOfctKwAS6exW83R2dnYjEHK00T5bsOBJRIyacvJgxgDQg61XDodilicLiFEsixZpLyZt5FAsWfN+sXPy1DEaW1exSYyXZ8qSA77NBlylAxW2FeXzWANn362uLhbdoJTNsyczKUzLGThG5hAogkxDygpnNswdBYXv28tODpve0Hlt8gcrv54LVgJWK6HzyOS0/Dvt6ozSXUibFSCx+SRFLGot2xAcrEaDYGCeKEJI+dgTrcnQnhBJtcgdoCjuArKbD2ViI4olmzMAMO0qKwswEEiuur3MgmKM5vZgqka3FazYgdcNEszBpRGoc3vdgBfXt+nt51WtznXCy+HCRkPzx8PBWpW1OcP69P3NWaxvRnFR7MSGJ2MkEOQCOaU7wiIRqyFspjswuEHDr6BWk2iwLQ2+fT9zVQtiNq7kHIpktKSoEdiwjjMaXJF1Mm8AOhy2uT5x6r4akWM/wAj9AqFqm/hu90/N0UxDyktiDuzLmsHkDZDLjZCBbkck8SD9SOVhTi9HsXeFmxALrKskpG8XNleK6oNQFMKMhWwuzk3qyxmHfrQZlaSHIoQKcpSQOxZ24l0KZBf+iw+VY5DBdHcdbDLJmIC4QSZzdVyDH70OolBksXhuQdbr4dOjEqop8PQzFJh90uJK2wK4dcrMqq6xiPMAFvbOM+a4YE2tTmG2DIca4MmdWjdZdWJWNsRPNFDmPaY3RD4VjNvOU1b7e28MIkS5MzycCAA2DACxKi7ZR3C5t31ZbNwIiSwJYniZiNXZubH6e7sFhyFRl84Ky0Po0xWcM5u+GZ8Pr2BMdElAnx4GgGLjAHo6pguzsrSVm+ih/GNof2tP+0wVaSrbcglbzQiiiinJyKbxPmN+if3GnKbxHmN+if3UISxXa4K7QhFFFFCEUUUUIXnEhyYVWUC9oxew+WyKTrpezdunfpSJWzYGRyBm3U2oFtVDgEW0vpe407tLVYfxYq4NZDJKbol1zIqAOVUliYmsi5iSTeyqeddGyUlwbPvJgDHKMuZLcGdCPySnLdTbQGx5DkMxtlfeBvDOdvsr3DsjLZ2J1+Z+k/+a5Qx51Gw2/kBZI48od1GaVlJ3bshJAhIFypPM10lrt1CxsD67roOHiubp0nVDDRKk0VHxKzxoXZIQqi5O+kP2DD3P0Cmop5WFwsIFyDeWVSCozHMGw4K8OuttCO8VRGn9HkSKojuPsptUrdH6KbRUbD79xdUiOgP5WUedqOeH7tbekd4p3q2J+bh/bSfcUh+INHDA1R5H2Rqlbo/ROUU31XE/Nw/tpPuK71XE/Nw/tn+4pP6i0b1o8j7I1St0Uuiom0ZJoIZJpI4skSM7WlcnKgJaw3AubA6Xok2kgC2JYuoZVUXdlOoOU2yj0tYDtIq/ZNI2a2AuoPDgM1FUovp84KXe1UHQno9s6SFykcWJO8YuzxrLZjyUSMlrWANge2/bViMK8n5U5V+bQnX9ZILFv0VsO/NTfQvowsGGtFLKoeR3IvHYG+XS8egsorD+KLQadigVCyXDKcYnON2ferlgHLO1W34H4L8zw37CL4aZxnRHCCNimEwuYKSL4eMi4HaAoJ+i4qf/Fr/AD8v/t/d01iMBIFOWaRj2AtGoP0ndGw+o15my01rw/8AoPm72WvA3LOY7ZGFWONhhcICYHmN8PCczIIiIxppmznlrppTUWzcNuJZBgsJMywRzBRBEvFIJC0Rsp83KPTr9FWU+IYRo+aQ3SSU3aKwWEqCyHccROYFNFuDzWkx7QywySu8qKkaT8BiYssuYrfyK8fCbjUajU9mqK1a7/cJx6Tt+WU9iZA3JOxdmRwtBNHDHHKTNEwiWNQylHkFzAlibwpawJALaG9XI23K2XNbD3znM+8I4AhC+VSLnmY6diG3oqtnpm3E6u1yzwAcJVRIRmYDdJxXjHMW1OhvU7G4iVRM2dnSAMWNoQcyRiYWXdHSzKM173Pm2F66nRNS9TlxkgkGd+OGO6R9FRtA5S7hNq4mVyqOgs9zmUsMgdlYKFYMCQB59je+lqRhekErIWMigqJyRYWYxmLKitm1BD8xr6qYO1JN/u43clmILNHu/NEJuVGFZv8AmgXaw0OutXI2Uw/5x0JI8nDzJuT+T5k61p1iHOluCqvBwxVY+25DLJcgbp24gELLHlPCpdwWYkC4AuMtu0W04lPeazE8ro8wd28nG01wkRLCMDU5oQM1rWys1tASugLY2tMJt0zsCrojlcjAGTLlynq4HJhfOU5ELnItUYYd6Ax3SWhwKhsXLmAPkYOevy8XVt1VfCPUKzXRmJnxWLZpGO6aLD9gzWRcQJCAMua2IEegGkS99hpdyfE32e6rLcgrbeaEdVXwj1Cjqq+EeoUbk+Jvs91G5Pib7PdTk5HVV8I9QpvEYZcjcI809g7jTm5Pib7PdSMREcjcTeae7uPooQlDCr4R6hXeqr4R6hQIj4m+z3Ubk+Jvs91CEdVXwj1Cjqq+EeoUbk+Jvs91G5Pib7PdQhHVV8I9Qo6qvhHqFG5Pib7PdRuT4m+z3UIWXgkIwsIdgFkEUa2WTNmcqF4o3BU5iOIWt3iuJjA+HkWPKFWEsBu2W6OJMrqS+obK+p1JBJ569wblsNGrIymN4VN2jBEkUkbBDdu1lUenMLcxTcWD3UMwGZ7QiHUxcCxLIVU5WuWAlJJ5m4074k4ppu2pHRz8gf12I/15qjt21I6OHyJ/XYj/AF5qyfjX/Cp/z+zlV0dzz3KTtTDCSJkLZQ1teRFiDoQQRy5g6VTYnourMPKX/KaNd2Oe1rsz3NgAmvNAFNTtvbMabdhcnA7MS6h1/JyKOA8+Jh9tUg6POBKBG12iyob4ci/V0iszld7fMpFwQOXZeuBsnJZhUjMx6LXPcpi9EQCbyaFswstivBMq21sMplBU20EajutyDoooWwkF8uUMq2K3318nFw33g0/oemnsVhJ5ZVlyqgi82NwGLhvynGkmRcynKLhrFSdL00vR9kIaNI0ZDiHW1gCzyh0U2HJo7oe7NU3CvIxqYnu7fTL8CIS36NguhLouWNkyIhReLei6KHut95qL65F5EC1rsjCbqJUuGy31VQo1JNgo5WvaqSPYLLOWKl8wUlxuQC3EXLF13q3Yk8B0BFuVT+j+AMWa6BAQoF8mY5c17mKykC4sxAY635CobQS6mZfOWGH5tShJ6b//AIzGf2Wf/TaoGw8Oq4eIqAC0UZY9pORdSe2p/Tc/+mYz+yz/AOm1RNk/yeH9TF/kWu1+CP7VXvH0WXpH9Klim9hxzmBcjxBbvYNG5PnvzIkAPqFOU3sLGyLAoEDsAXswaKx431GZwfWKufGc6tTiOdtjcd6j0fzndyn7rE/OQ/sn++qLtPDTNEyu0bKRYhIpQxFxpwTA/Tra176XqV/GUv5tJ7UP3lM4rFyuhXq8i3Fr3gb6irSWIPK3przWmXhwPJ/1WwqjEXKIXdWGVz5k5YIhUS7w7+5QHKGU3B00NqVhGyxyNnhWMIpYyRS23RDZLZ5z5O2eyiwGugvq3Mto4wVdVZXjU58MA6z5WZU8pbXKMtuQ0ANOYWFXjkj3bzKUWBrSYfhWMMFU5ZPOGY3J9GlaZMMxOE9m/wAp+6ZtS4TKyQFJIyvWFAzLI5vxc2adifov6qf2iDmkMhiIVGEhEM5QeTuwOWfLvN0eds2UgX1AMbD4siOARxF16wCGRsOFJ4rgBJLXqVj2LGZGSRBLGzSJvMMDYpujJxSXChQP6N1B7wes0JPAu/kfsqFp547l2TEMuINjE0xzA5IZTpaDNc7+1rbn/wC3q33eJ+cg/ZSffVRSGGKcO0CoSWyoz4RVDMILlVMg4rRpy14/oq8/jCX82k9uD72tlypuVVKhEkwaSElIs8oMc7KscmckWM5UBsjEqvOykjVaYiwzKyMQFJdQWeLEHjDBY96zYkhyGsFvmym3m0sQB5MQFjlLSpkmQTwNlDbz5JlJQkOQO4AWFNYW6SRgA6uzCINhFV2WyEogl0KhLaXscx5nRyerfoeJN9j8xQnraXIUgfyXB8gXPZbtNaWz96+o/FWa6HzMZseTGVJxaaEqSPxXB8yGI5a6GtLvT4D6199TtyVluQRZ+9fUfios/evqPxUb0+A+tffRvT4D6199KnIs/evqPxUjEBsjar5p7D3H+lS96fAfWvvpGIkORuE+ae1e4+mhCWA3evqPxUWfvX1H4qBKfCfWvvo3p8B9a++hCLP3r6j8VFn719R+KjenwH1r76N6fAfWvvoQiz96+o/FRZ+9fUfio3p8B9a++jenwH1r76ELK4eNHwsC9qtBJco7ao6O7BspuxAbivqWNzqacdVjixNtBIXcARuOcUaG/CBcsjG/pohiLYXD5SQVbDMcrZbqrxl82ouuTNcdtu3lTcK+TxJySRgowCvc3KiW8lyTctfX0Kl9bgRBOKZNU+L2AzMTHi8VACSSkTrlzMzMzWdWIJJOgNvRVwaK3KtnpVmxVaHDtErGY9zMWmFQfg1N/OOO/aR/d138Gpv5xx37SP7ur6iq/Flj6pvyhSaxV6RVD+DU3844724/u6Pwam/nHHe3H93V9RRxZY+qb8oRrFXpFUP4NTfzjjv2kf3dH4NTfzjjv2kf3dX1FHFlj6pvyhGsVekVm8X0SkkjdH2hjWV1ZWUvHYhgQQfJ8jVzsr+Tw/qY/wDKtSxULY/5BB4Vy+wSv/ipqNmpUDFJobO4QmOqOeOUZU0U3sLa8aQKpz3BflFKw89+RVCD9VOCn+jrjqyajm/+d65D40jVacieV9j3q/o7nO7k5/HsfdJ+xm+7qPj9ppJGyK0iFhbNuJzYdugUHUXGhFr3q23g7xUDbSF4HVWIJy+aMxtmGYABlOq3GhB10udD5nRuXxAIxzn/AItcys/ktBFGPkYZsOxEOIUBXEQLqu6Pm7u2XS9+a8qUsKtBJE7OufDxwApFOTaIOA+sQtfP5utrHU30fxMcjRRgIwIjlUBbgCQlNzIRm0sAxJJOUsRRh8PNuJRGWjkaGMKWN/LAPvHFyfO4OLkefZWxIuzO3eN+eXimLkGNVI4Fbe3GIUnMs8h1z/KaFSfot66kbQcOJ1F8swchmhxBZXaEQAACLTlfPe9mYZdb0YNCsWHDEkjEjzlyHXP8m5/3p/akLnrGUOXaNxE6tZVUxBQvnAX3uY2tfiU3sNOq0JHAOjpn7KhaeeO5R4Y4xiTIHny8RHDiy12GGFmYpxL5JuEkjUac6uTtuL+s/YT/AHdVR2ZK+KvI4aMFmvlIU6YUKFQS8J4ZeLX5WmuuizjvFbLlTcs5s/EbuRyS5RmlIG7xB/KyNJcKYbJluVsCc97kiwFR8NCI5QVLhbi4EWIUKqzzygbsQ2e6y5BcjIRcXNrXGHwqiSZypG8IQAG91AJL2vYFmY69yrVZh8A6NHYNc7lxZjljJkd8QmraDdlEHiC253p8p4Ksuh+MVpseRmscWnNGB/kuCHIi4+sVpusD0+y3urPdEm8vtD+1p/2mCrSZqmbkFZbzQkdYHp9lvdR1gen2W91LzUZqcnJHWB6fZb3U3iJxkbn5p+S3d9FP5qbxB4G/RP7jQhAxA9Pst7q71gen2W91LBozUISOsD0+y3uo6wPT7Le6l5qM1CEjrA9Pst7qOsD0+y3upeajNQhZGOILhcOyqgJfDBrxqxKu8SMLnkSG569v0hmBlZcULxyKkd1ZVjNiwmzKSiLlIyrwG7LfVjm0kYdimGgYZzmMCHyrqFEjIhIA52zDh0+qm49oLOmKCsxWHOgImZ83Abki+gzh1trcLftqIJSmzRQaK6ILERRRRSoRRRRQhFFFFCFw1E2Z5rDummHrkdv/AJVMqHgfPmHdLf2o4m/eTTTmEqmCkbC2TC0Cs0MbMS9yUUk8b8yRrSxTewtlq0CkvKLlzZZZFHnvyUNYVxXxmYstPEjlbO4rS0dz3dysf4jw/wAxD+zT3VX7d2fDHAzJDCDmjF93GMoZ0VmuylRZSTcggWvY1P8A4lXxz/t5fiqPjtmqkbMJJRlBN2nmtYam9mvyvyrzajUAqN5ROOX4VrlUWJEW6jISEHdytfdwkySIUEcd8lmD3YjKFLAArl5V3DRqYJnSGGZ1hRwu6i0lYPni4FFstl4Txa6nUVLxKskaFt4H3LzSL1iawEW7zIpzanjtc6aGmxiQsMkr7+yQxzgJPMSVlD2XiYcQy6nlWqHS3AbfvlnPYmIwGAieKBmjhYnEAEgQuCOPTNEgU+qn9p4eJN/lSBXjjcxx7mI5lWEOJfMzDyl1zXycOW1zekRYTeJA7GdScQoIMswItm7GckfTUrHAoJ2BlKwK174mYMXWITCwzEWsyr38zyGvVaEM0XfzPhkqFp547lFOAL4rd7iGNQWJCrCeFRhflvhzfWR+Gy/paVof4lw/zEP7JPhqhbEFp91H1jmwu8mKB4RAdUGqi8vnHTh9NWO1cFuoXkVpmKC9jiJl0HPXMeytlyqOnBQMLh4t/Krx4fIok4t3BlRg/kwLKCDu7khySSpIstiYuGaJngCRxSxSTN5XcRtdN2cqM0UYRGz3fWxCBbi7G1lhYS8jLmlA8tkPWJ7+Qk3JzcXabHTkKhQTsWQMZCGKcS4jEEFZZGjje5NlvlzAMRmDALqKcnq56H4VBNjwqKAMWlgFAAvhcGTYAWGutaXcL4V9QrM9D8KBNjwC5ti01LsTrhcEdSTc/XWm3A729o++p25BWG5BG4Xwr6hRuF8K+oUbgd7e0ffRuB3t7R99KnI3C+FfUKbxEC5G4R5p7B3GnNwO9vaPvpvEQjI2reaflHuPpoQliBfCvqFd3C+FfUK4IB3t7R99d3A729o++hCNwvhX1CjcL4V9Qo3A729o++jcDvb2j76EI3C+FfUKNwvhX1CjcDvb2j76NwO9vaPvoQqPZUQbDQggEZI2171ysp+ogH6QK7jsKiRTFVVS0b5iABfKrKL99gLV2iodqUqoPP66KKK6MLERRRRSoRRRRQhFFFFCEVDw35ab/wDmf+m3/geqiimnMJQpgqR0d/kyfS/+d6KK4j41/wAWn/L7FaWjue7uVjekTRhhZgCNND9Ioory9uBwWwU1Ps+OTV1DWudfq0+g6XHI2F6IdnRpcKgAbzha9xrpr2c9OQuaKKshzspwTSo2Lw6x7hVFgMQlhcnmH76sZdmxuxZkViwKG4vdSLEH6iRfuJHKiiu2+HyTZCT0j9As21c/wS+qoHz5RnN7tbXXJfX+6vsilzQh1KsAVIsQeRBvoaKK6Aqoml2ZGGLBAGYksdddbn1k3PedTrSTsyO6tkF4wAnoC+aLcjbmL8uy1dopUFR+iv5faH9rj/7TBVozRRVpuQVxuS5RRRSpyKRiPMb9E/uNFFCEsUUUUIRRRRQhFFFFCF//2Q=="/>
        <xdr:cNvSpPr>
          <a:spLocks noChangeAspect="1" noChangeArrowheads="1"/>
        </xdr:cNvSpPr>
      </xdr:nvSpPr>
      <xdr:spPr bwMode="auto">
        <a:xfrm>
          <a:off x="3362325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9</xdr:row>
      <xdr:rowOff>142875</xdr:rowOff>
    </xdr:to>
    <xdr:sp macro="" textlink="">
      <xdr:nvSpPr>
        <xdr:cNvPr id="5124" name="AutoShape 4" descr="data:image/jpeg;base64,/9j/4AAQSkZJRgABAQAAAQABAAD/2wCEAAkGBhQSEBUUExQWFBUUFBcWFxcXGBkXGBgZFR0VGBgWFxUXHCYeGhwjHBkXHy8gJCcpLCwtFx4xNTAqNSYrLikBCQoKDgwOGg8PGiklHyQsLSwsLCwsMiwsKSwtNS0tLC8sLCwtKiosLCwvLywtLCwsLCwpLy0qLCwsLCwsKSwpKf/AABEIALMBGgMBIgACEQEDEQH/xAAbAAABBQEBAAAAAAAAAAAAAAAAAgMEBQYBB//EAFEQAAIBAgMEBQcGCAwFBAMAAAECAwARBBIhBRMiMQYUQVFSIzJhkZLR0kJTcYGh0xYkM1Ryc5OxBxU0VWJjdIKUsrPhF0OitMElo8LwNWSD/8QAGwEAAQUBAQAAAAAAAAAAAAAAAAECAwQFBgf/xAA7EQABAwEEBAwFAwUBAQAAAAABAAIRAwQSITEFFEFRExUiMlJTYXGBkaHRBpKxwfBCQ3IWMzSi4SMk/9oADAMBAAIRAxEAPwD1yiq3Z2FZ4UdppbsisbMtrkA6DJS8XgisbsJprqrEcSdgJ8FQQnqs6R4zFoz9XVmUxxhcqBsrkylm80kjKqgixsSlhrYujGTmKP8AKB8/HaLV0LOF4jEVThCk5kTmL7s6VaHZh+em9pPgrn8W/wBdN7SfBSpEnYzu0EZkzZyvFmXI1+26ZVt6veZlUu1MQkBjDzS+Ue2rxjKugLm6cgWQaeIVY/xafnpvaT4KSEJvbH5P+8P/ADWY2dPM2ffRpHZrJlk3mdR8vVRlB7Bz53t26iTZAYWaWYj9JPgqKdhLvAueSxRjzXmCg8HpNXqFpFNsGVBUpFxkLHbcx8ySEQEt5O8gyZhCt7CZeWZrZhu9b5b9ljZyYwRxI12kSy3canKR+UYAajlew7b2rR/g8njl9pfgo/B5PHL7S/BTtaAkicfT1Q+kXMDRAjbv9PzvxWc2bIxjLycOdiwB0yJ8kHu0GY/pGkdEsTM04EqvqyuGK5UAYnLGqnW6iwOpGg7c1T9kIk7lfKLo5Bz30RwhvmhUX1B4S453I0zXKbCUEESSgg3BzJ8FBtLYjFMZQITm0cTilaTdICojcocqm7hCVGbf38+w/J9tv6VVuIxkm8iEUszRllAZgQTd0Elrpx2W989gutr2sLfqbfPze0nwU1hcO7KCZ5tS3yk7CR4PRVO8rMKj2licVBMIzPLN+KStmCKpDKSc9kjsbDKosbg2vcGu7S2piUkiELu8bSyLHmVryDdIys7BCWVZN5cWDFVuL2ub/qbfPz+0nwVHxysii00zM7BFGdFGYhjxNuzYAKTex5cjS3kQpfRqZmi4izFWtnZi2fRTmUsqm1yRaw1VraVcVRQ4ZyoLSzqSNQXjNj9ISx+n93Kl9Ub5+f2k+Ci8iFdUVm9oI6ICJ5r5lGrJ2/3Kib6X5+X1p8FV6trZSMOlTU6DqgkLX0VkN9L8/L60+CoLbYmEpXey5Q6x5s63zOqsODdWtxAXzX9FRi3UzlKebK8Le0VkN/L8/L60+CjfS/Py+tPgpOMKXal1SotfRWU2U0kjShp5uB1UWKDQoja8Hexqx6o3z8/tJ8FW21A4AjaqxaQYKuqKzu0A0UMkm+nO7jd7ZkF8ilrX3foprZbvKpJllUhraOT3fOYeM/YR6adeSQtPRVL1Rvn5/aT4KaxMDqjsJ5rqjEcScwCfBReCIV/RVIMI3z83tJ8Fd6o3z8/tJ8FF4IhXVFZTa2JeIxqssrGRmAu9gMovzSBz9lvTVj1Nvn5vaT4KLyIV1ReqXqjfPz+0nwUdUb5+f2k+Ci8iFF2OJOrxWKW3a2uGvyHOzU5j95upNU8x+xvCf6VIwCE4NApIJhABXzgculrg6/VS3zdU4r5ur8V+ebd8V/Te9RHJOULF9KoonKSYnCxuDqruFYX1FwXuNCD9dWG/k/q/U3vrzjbGCkXaOKcw4pkd4iphw0UyMFjQNdpRpqCOGrtcNN192VZRCd5u8xbIuIyLeVltfdEXUa2zZiBxA1hVhX4Km9lpEmnfMhsTdabo5Ixkna7AHaILwRJkbYWknw2ckukTEpkOZWPDqSAC2l7m9uel+Qs+kkgAHBoLcnPL0lrk153hdnYzcWc4gsZsJnXK62YPeZ1ffOWFjxMoVDYEciAxjcLiolkYdYCKdpoSzSECFY3bDm7E6ZrZW5nvqQWe0l5Y22tJBIHIbjDb3fjkMDJ24pJGd1ej4jaBjXM7xItwLtcC5IAFy3aSB9dKLSZg1080rybtKnxf0a856jPJhuBJmjaLAFg5dy8yyI0kkeZjw7vLciw0HcavNg4TFDHSNK8ls01xkbdMhYbm0hlK3CjQKgIGYNzBMNpbaaNJ7tcbebewutkwGkCADGJInETGUmFBBI5K1M+PZAC7xKCwUFri7Noqi7cyeQpwTyf1fqb4qw23sBO+JbMkz/jmFeMrmMQgUx5gQDlDBgxNxft5VM6MYPFLipGneT/m5hkbdNeS8TJI0pBIQaBEFgbNrYmKq60ssnD6229dm7dbjIBgQCcMQSY5UCMZSiC6Lq0OFwW6OZco0IGZpWChiGYKHchASAbC3mjuFdG3BljYyQqJSBHmuuctyChmuSe6sm+y8SYceyCUTNi3EV2fWAmAtulLBdQHsRY9gIqNBsKdpsI53jFFxZR5EeMR3yGBXUyO2XNmsHa5WwI0qeiahYXVLYMJwutGVMv3EYmGg7YdAkJD/H8lbuDHs+bKYzlYqbBtCLXHPsv+/ursLSKLXTS/Y3aSfF6a8+wuzcZuFDnEFjiMJvFyuuUhjv2WTfOWFjxMAqaAjtAs5Nm4ldoplaRYEMIjyqzpu1UiVJGMwVbnmWVmPARexpKwrMe9rba3khxHJGN0NwymSXbohpMmMQEdFbLfSf1fqb303iFaQZWyEXBFs6kEcirKwKn0gg159srZ2NSLC5BMsr4fGrLvGcgOLnD5w5KrxHQ6VOxOEnOCAhXEod7EZ95vHZlAO+3a7wORmsSFYZhfLzoqU7U190WxpF6JutwhzmEkTtuy2JvAiYRI6K2kJdFCruwoHc37y1z33PPmaiN0ijEQlM+GEROUSF+AnXQPntfQ6eiqh48Quyt2N5JO6btWdcrjetlVnAZ8uRWuTmJ4bnW4rKY/YOJiw5gMHCuLw06jDK0qquVkkCiUWLAoGKnS8ncaXR/DWgvFS1gRUujBgvNBALgCJ/UCMMg6UPIGTdi3uK2ossG8WfD7tWB3l7oMp1BYPbt76iCVjFvRiMLurX3muS3fn3lqy+F2LI2FmvhpivWIZkusUWIYqAHY4fWJgthZCBmF+2xL2G2XLuY5GwpZI8W0rQ7tEklQxlFlbD5igdWIOUEXtewNT1bM0kl1qBh0ft4i6HRsxJN2TGObQASHMquaIAWiSRiqMMRhSshyoQGIc6mykScRsDoO6mzsphPrJBvW4wp3uuQKmcRGXLoMozW7tazs2DlRlxC4WZYjj45lw6IpkRFgZGcxobKXbW1/p1NWuJ2hJ1mDGDC4koIZoWjyKJlZmjZWKF/NOU63+mqNaz12vAo1gQWu6vB4BIYdk4QTkTlsUnDuOafk2wihS2NwQDLmW7WzLcjMLy6i4Iv6DVhDhpnUMssDKwBUhXIIOoIIksQRXnybAngaBXixPDg0UmCCKezmSZyjby6ggMOVbPpBFM+Ch3AdBmiMq5CJBFl4lMUTKbg5bojA6ECpbfZxRq0qdG0Ah7iLxDSANhgN27MTPYkbaKhBJVts2GSJnu8RaRg9grDRVRNBmJPIa+mlL0jjMu6E+GMoJXd5+O45jJnvf0Vl9ibFlXHQyzCV/wASKbxgQc4kY5ZFV2AO7YDUm5F/O5Vy9HJ+sySujGE7SLFFiXe5bxskySkZt3mADBbaBiL61JRvcI6k61iAwEENaATJECQScsAbpJwMKNxnG7tWyk6SYeXNCcRhWMl4ygk4jmupWwe99SNNal7OmO7DRusiNqGLyyg9nC7yNp9BtWA6N4OSPEASQ4u5nlP8mi3PG75WMxG8A1DXHLs0qw6O7Ymi2eIBhMUs0WHYKWishfXKA178yOzsNPt1K1MkWW0XjLBjciHX5PNGUDKRjmmtLTmFrW2+gjaQzYfdo2VnzcKsCBlLZrA3IFvTTA6SQyowXE4Vg1o7q4PFIGCro/nGzWHblPdWe6H7Bmw7vBiIozE8cbgx5njLxARsXzqBncZG/uk1B2bsKRcBs4bhlkXGxPKMlmCq8/E+l7AMNT30lSoGPewWomHNDXDg4LXNc4k4HFpaWnHMjxUZZfVbltsAIrmWAI4urEnKwyl7qc1jwgtp2AmmcF0ljmbJFiMNI1r5UcMbDmbK96yKbDmvPCY23WEhxQwx57w4oMUC95jQvH/e7OVd6A4d43RXixSsIAp3uGijjUgJfLKoznkQM3MXvrRXv07NVqstV5zRIADMjJb+k43bpIkQSRmEgxIBatywcsrHd3W+U2fTNYH5XcKc3sn9X6m99KFFcX/UGkOs/wBW+ys8E1J3sn9X6m99G9k/q/U3vpVFJ/UGkOs/1b7I4NqgYLDDqiMDlO6U5meTKNBclVdey5tcfSKXuM2GZnVlbI9xmkHLMAcjMSuYANlNyM1jqKZgiJwSZwkibpCUaIMCAARfPIF053NgLX0tSwxbCM0ZRU3T5VEVgLBhYBZCvMHUXB5i4IJ9PVNaLqadwrvU17hWH6ztD89T/Cp95R1naH56n+FT7yncU0uqb5BQa03pfVbjqa91Im2bG6lWQMrAggi4IOhBB5gjsrz2XbuOWdYTi9WRnDdVhyZUKB2JM9xYuvZfXS9q4nSPFGVIxtGMtIrMpGGiynIyIVvvfOu40+nupBoyiDIpN8gl1hu/6r0OHZyKoVVACgAACwAGgAA5ACuHDLnAt8k/vWvPtndIMXOiMmPTyiCRVOFjD5T2ld7ekv0gxQmaM7QjDJHnYnDRhVUsFsW3ujXtoaU6MonE02+QRrLcpPqvR+pr3UdTXurBSbSxqhS20IlDEBScNGASeQBMmtRMJ0nxMkQlG0Y1U287DRKVvewbyvCdKTiuj1TPII1kbz6r0jqi91HU17q8/G2sXdh/GUN0Nm/F4uEg5bN5XTi017dK7DtfGPbJtGJsyhxlw8Zup5MLS6g9/Kjiuj1TPII1lu8+q3/U17qbgwqkXt3/ALzWCTbeLLZRtKEtcrlGHiJuCwItved1YW71buNJXbeKAH/qUNmJC+Qi1IIDW8rrYsvtDvo4ro9UzyCNZbvPqvQ+pr3UdTXurzp+kOKDZTtGMEybofi0er2LZdJdNAeduRrj9I8UCAdoxWKsc3V4soyNGhBO+55pEFrdvYSLnFdHqmeQRrI3n1Xo3U17qOpr3VgRtTGkNbHxnJ5wGGjJGl7Eb3Q6dtVQ6bYndCTrvC0Ms4/FYWOSFY3a4Sc2a0i2U2PO9u1DoygP2meQ9kotAO0+q9Plwqi2nNgKc6mvdXmB6W4q7BsblyGQXODjsxhdYny2lJ890AuBfMLdtp0O2cayMwxoGRirKcJHmVha6m0pF9RyJBuNdaUaMon9pnkPZBtAG0+q9B6mndXOpr3CvPZ9t45WZeuBiihny4SM5Q2bKW8qDrlblflc2FQMP02xUjIseMLs+TKFwkPy4mnAJM4AIRTcX0OlIdGUB+0zyHsgWgHafVepdTXuFHU17qw/Wdofnqf4VPvK51naH58n+FT7yncU0uqb5BN1pvS+q2qYVczaciP3CnOpr3Cs50Mx08vWRNKsjQ4gRhhGEuDDBJqqtbnIR9VaTK3iX2T8VQmw2YGDSb8o9lMHkiQVzqa9wo6mncK7lbxL7J+KjK3iX2T8VJqVm6tvyj2S3nb1zqa91Nz4VQrEDkD+407lbxL7J+KkYhWyNqPNPyT3fpUajZurb8o9kXnb10YNe4UdTXuFKCt4h7J+KjK3iX2T8VGpWbq2/KPZF529c6ovdR1Re6u5W8S+yfioyt4l9k/FRqNm6tvyj2RedvXOqL3UdUXuruVvEvsn4qMreJfZPxUajZurb8o9kXnb1ndnMxwsahZB5NbMpi7hyzsR6x9VEse7wzoEewjk1Jj5tnZicrd5JsB22A0FStjfyaL9Wv7hS9p/kJf1b/5WqUIKpDRQaK6MLDUPFbMV5A5LBhFJEMptZZTGWIPMMN2tiDprz0qvg6Iwq6teQlXL6lbEl4JdbKPlwRns7ed6vKKaWApwcQqfZvRaGBkZM1441QFspuFDKGJy3BysRpYG+oNJn6KQu7sS4Lm9gRZTvBPcArzzi+txqRarqijg2pb7pmVBOyEtCFJTcCyFcosuUIVIK2sQANAPRaq38Cod00eeUK6BDxLqoSaPw2OkzHUHUKRyrQUUGm05pLxVHJ0VQMXQtnLZxmayhjKmIvcKSLOgtodOYNd2N0Wjg3bXLPHCkROljkQR5gCCVJUAWBt+83dFHBtzS3zEKlXopFvA93uJM/MWvvZp7ebe2aVhz5Be0XLbdDIMoW8gAUr5wvYjDoB5vYuHiUegG9yb1fUUcG3ci+7eqdei0IYkFwTLvbggEE764BAzW8vKdSSL6EWplOhsI+VITmzXLLe+bCvrZe/Cx+t+8EX1FJwbUX3b1XYTYccbSsoN5s2blpnZ3YA2vbM7HUnnpUY9FYzCkTM5WOJoQeANunVEdCVQA3CLrbNcc6uqKW41JeKy23MBDhlzCJ5GxEzqVVkUs0pfEAlmAFkaMle0crm9Rh0iMKMWwkgBk3ru00AzPoczEWA81eQAsoqx6YcsL/a1/wBHE1B2hhjJDJGDYvGyX7sykXt9dctpXSlWxWltNkQQDiO0rKt2kH2eq1mEESZneRvSDt1pC0i4WUbxQrFJsPZwuYLcm50zNyIvfW9hUOBFVkbqMrbsRgK0uHZTuomgXMp58JJ/SsdOVJx+xZJCLS5QIymgN+KORDrfUZmRv7n10qHZDhgxkvaV3I4rEMwYIdeS2uPTbsuDnHTlY4y3yPuq/GrwJDm90H3Vu3TGQEA4NwWvlG+hubamwza2GtL/AArl/MpP20PxVSY7YryS5xLl4WA53XNGY+HW3M5u+p+z8MY4wpN7X+0k2Gg0HIaDlSP+ILSGAgtJ3QfdRVNLPawEXSdog+6138G2NaQY1zGyFsWOEsjEWw2EGpBt2X0762W9Phb/AKfirH/wY+bjf7WP+2wlbS9bdGoatNtR2ZAJ8V2VlealBjztaD5hR8ROwViFYEA+Hu/SrzHC7exTRoTipblVJ8ztAPgr0Tbe2ooEO8cKSrG3NrWN2yi5sO02sK8uwI8lH+gv7hWNpm0VKQZwbiM8j3LE+Ia1ezspupktknEYTEJ3anSzEwqh6zIczhLlkUC4Y5iREfD3VCn6fTCMlsRNmEBlaO8eYcObIfJ25XJN6kYtUy53AtH5QHuKg6+omqnrOFIVchtLEBbKfMZt3lZb3uCcvIkDuFZtC2VXNxLz3ErEs9vrPaLxqHtBPvuVwvTeXMV61LcOqWGUnMxK2tu+xgR9XZ2pPTx7E9cmsCQSAh81XcnROWVGP1VBWSBrvluN4NbGzSBiBl1tmz3001NzzvXFXDSZky3srOw1sA29iYc9DpIpA5a99ONpqYkuqeadrlXEl1XzVpN00kQEti5rK2W9lsW7VByWJFj6qmJt3EkAjFSkEXB4OR5fIrMnH4ZiLKSZMhAsRq6GRSCWAU5Qbm4+urtRp3VBWtVdgEPeD2lVrRbbTTA5bwe0qQelmJglgYzPKHxEUTI2WxEzbvsUG4zBhrzA7L16jvG8Lf8AT8VeL7W87C/27Cf6qV7dXQaJqvq0LzySZOfguq0HWqVrNeqOJMnPwWawm8GCTdC77pQtyALkAXudNOdu21qbw0cg2eBKGEgw1nznM+YRkEs3a3aT3mmEhy4JGjQNIUjAudLuUW5DOgNrk2zC9rU6IkfCM9rndyXNivEudSModhoQRoxBtcEg1oBbqiGig0V0QWGiiiilQiiiihCKKKKEIooooQiiiihCKKKKEIooooQs90w5YX+1r/o4mmDUnphEHjhQ8nxABtz0jmb/AONVB2Fh/mIvYX3VwHxHd1sSf0jZ2ntC5vTFzhW3ict07T2hV4w+J3kb2NwgV9UtxSYcyZQPk5RKRfXT02rkhxtmyix4iovGf+XJlW/aN7k7AbH1Ors+DfshggChEIOVbkuXFrEf0G01qsE8HADBCWMhzWjWwQKZBlIJDsVtyPby7Kz2S/Joy6Ow470jJfk0HDo7Dj0vzJT5Z8SZZVQ3ygEWC2A3lrAn5W77G7deVqusNmyLn87KM1hYXtrp2a1nMMsbrGTBAM0qp5gN1ZVa41uCCSvIgkA8Iva0xHRyBhYRoneVRb+siq9oDMGuw7h/1RVadFz206jgwbTdmN+Rnw7cVregO1kiGLU3Z2xYKxoCzt+L4UXCjsuPONh6a1RjxE3nHq6eFCGlI9Lm6J9Chj/SrNfwXbMRExVhyxAQD0LFE45emRh9Q9N9Jtd7sIYtJJBct83GLZpPp7FHa3oBt1tl/sMxwgL0LR5ZwFNtIfpHKduAzjEDDHadxUBNmRuzrGoEURJdvOM0y62dmuzrGdTcm7WHyNcJgfyUf6C/uFesYbZcaRhFUBVFgNeX/n6e29ZrE/wU4J3LeXS/yY55EQehUU2UegVWt1gNqa0AxErP01YnaRuhroDZzxmY9cPtsWNxeFEiFCSA1r2NiRcEi/p5VXno4mcNmfQ3tcHm4l84jMOME8+01vv+EWC8WK/xM3xUib+CTBBSc2J0BP8AKZuz+9VBmiKzBDanosOnoG0UxDaseCxJ2GmZ2uczsjXAUWMZLKbBQCQTa5uSNK7BsZUfMrNxLlYcJDXaRyTpcEtI3KtuP4IsF4sV/iZfirv/AAiwXixX+Jm+Kl4prxHCeicdB2kiOFHksCvRtBlszXQrYkKdFQxqCCtjZSfrq2rUf8IsF4sV/iZvio/4RYLxYr/EzfFTX6Gq1OdUB8EypoCvU59UHwWH2t52F/t2E/1Ur26sXD/BNgldH/GGKOrqGxEjDMhDKSpNjqBWu6svd++tew2U2WlcJnGVu6NsRsdHgyZxlZZZMmCRnYFN3GpUohBzlUAOdgtrsLkkDtNPyEthWZWAUwsQoVLWymwBRitrciCRblSMJCZMJGhRrZYiCGS4KFHVgGuNGVTqDy1FOTRmPDOgRrCOQklkJJbOzMbHtYk6C3cByFhaioTtdbyG1o4mZHkJACsgBN1521y353FrdtJbpBACAX1Jy2yvcMG3eVhlupz8NjY3FLn2JC5fMlw5JIzNlu1gWy3sGNhxDXSkfxBDe+U353zNcm8hzE31JMrkntJHcLb4vrG5KjHpVD5SzAhIxIpuQJAyCSym2hysh7+Lloafk6S4dQxMq8JIawY2IV3PmjUZY3NxpwHuoXo5APkH5PynIGURgWGbTSKMG3MLY8zXPwaw+UqI7Kc+gZgOMENYA6CxPLlc2tejl9iXkdqf2ntZIIy7nkjuALksEGY2sDbs1OguO+lYLaccpYIwLJbOPDcsNT26q4uO1G7q5tDZUc9t4t7BgCCymz5cwupGhyrccuEUvB7OjizbtcudixsTa5JY2BNhqxOnfTuVKbyY7VDG3haJihCTMBG1wbhgzXKjUcK3troRrzFI2Z0hE7WRdL2uWOotmuAEsdLHUjnUuDY8SMrKpBQWXiYhRYjKoJsAAxAHZfsp3A4BIVyxjKtwbXJ5BV5k35KvqqwTSgwDOxGCj4vbsETMskgUpbNcGwuCwubW80Fj3AXNhXZNtwqCS9gpYE5W5oGL2sOIKEe5FwMpva1GI2JC5JZLkuJL3a+YII9LHQZBaw0plejkVirC4zuyi7AIJAQ6KA2isGbMORzHTkBW5aXkpSdIYTKYy1jcgMTwNbd6ZzZQS0gULc3tRJ0lw4XMZRb6GvbI0mYDLcqUVmDciAbGnoNjRK+YILtcG5JHE+c8JNtGJPo5DSsthmV4VYYWFUMOcCTHCNhCbRAsCl1UBQgvoNQOZvVtFqZZgDVcBO9SMp8JzQVq8TtWKNwjvlY5eYa3ESq3a2UXYEC5Fzypg9IsPlzbwWAJ5NeyqJL2te2RlYHtDC17ioE2ycU8rySYKN8yooU4oZQI94eW6s2sjHUaUj8H5rAdQTT/APdNyPJ2BO7uQBFGLHsW3ImqPHli65nmpdVf0Sr3DYxJM2Q3yuyHQjiQlWGo1sQRppoafqlXBYsIEGDUKrFhbGkG5LMbkR3IJYmx05dwrsGDxiEEYS5AtxY5mHJF1DRkE2QantLHmzEu49sG2s3zTdVq9EqRtvZPWEVQ5jKuHDAXIIDL3i2jHWoP4LN+dS+xD93UqXFYxct8GgzMFH40OZva/kuWlcweOxUq5osPBIvemNRxrrzWK3Ig0l/R1t/9eS/ZOaq1bEHH/wBGAnthQz0RJNziZb6G+SDsvb/l+k+uur0SItbEy6ajgg0ve9vJ6cz66nyy4xbZsLCuZgq3xii7HkovFqTY6Dupy2O/M4/8Wv3VLq2jug3yUeo0+g3yCrB0ROn4zJpy4INL87eT0pX4LN+dS+xD93U2CXGuoZMLEysAVZcYpUg6ggiKxBHbS7Y78zj/AMWv3NBs2jug3yQbDTObG+QSuhROGTGlpGfJiUQCwzO7QwsoABtmbeKluXkxyHLW7J2a6hnkYGWUhnIFwLCyop8KjQd9yebGsl/B9E00uJndfNxIyxhgyq5gwymQPYZ7xhcptyZu+9b0OfCfWPfUAa0Hkc3Z3LoWsFCkKQwMY9nZ4be3DYjI3i/6f967kbxfZ/vRvG8J9Yo3jeE+sU9MRkbxfZ/vTeIRsjcXyT2eg+mnN43hPrFN4iQ5G4T5p7R3GhCWEbxfZ/vXcjeL7P8AeuCQ+E+sV3eN4T6xQhGRvF9n+9GRvF9n+9G8bwn1ijeN4T6xQhGRvF9n+9GRvF9n+9G8bwn1ijeN4T6xQhU2xR+Lxfq1/cKXtQeRl/Vv/lNQ4YS2AUBBITCtlPImwy39ANifop6bBCLCNGtyEhZQTck2U6kntPP66hCcqo0UGiujCw0UUUUqEUUUUIRRRRQhFFFFCF1OY+kVitn9C5MXgonSRUEmAWCxvrbrTa2HLO8J/uH0X2qcx9IrOdG58UMJhBEF3XVdfNvn8roc2o13Vrd7Ag8xyHxS97KdM0yAZOfctKwAS6exW83R2dnYjEHK00T5bsOBJRIyacvJgxgDQg61XDodilicLiFEsixZpLyZt5FAsWfN+sXPy1DEaW1exSYyXZ8qSA77NBlylAxW2FeXzWANn362uLhbdoJTNsyczKUzLGThG5hAogkxDygpnNswdBYXv28tODpve0Hlt8gcrv54LVgJWK6HzyOS0/Dvt6ozSXUibFSCx+SRFLGot2xAcrEaDYGCeKEJI+dgTrcnQnhBJtcgdoCjuArKbD2ViI4olmzMAMO0qKwswEEiuur3MgmKM5vZgqka3FazYgdcNEszBpRGoc3vdgBfXt+nt51WtznXCy+HCRkPzx8PBWpW1OcP69P3NWaxvRnFR7MSGJ2MkEOQCOaU7wiIRqyFspjswuEHDr6BWk2iwLQ2+fT9zVQtiNq7kHIpktKSoEdiwjjMaXJF1Mm8AOhy2uT5x6r4akWM/wAj9AqFqm/hu90/N0UxDyktiDuzLmsHkDZDLjZCBbkck8SD9SOVhTi9HsXeFmxALrKskpG8XNleK6oNQFMKMhWwuzk3qyxmHfrQZlaSHIoQKcpSQOxZ24l0KZBf+iw+VY5DBdHcdbDLJmIC4QSZzdVyDH70OolBksXhuQdbr4dOjEqop8PQzFJh90uJK2wK4dcrMqq6xiPMAFvbOM+a4YE2tTmG2DIca4MmdWjdZdWJWNsRPNFDmPaY3RD4VjNvOU1b7e28MIkS5MzycCAA2DACxKi7ZR3C5t31ZbNwIiSwJYniZiNXZubH6e7sFhyFRl84Ky0Po0xWcM5u+GZ8Pr2BMdElAnx4GgGLjAHo6pguzsrSVm+ih/GNof2tP+0wVaSrbcglbzQiiiinJyKbxPmN+if3GnKbxHmN+if3UISxXa4K7QhFFFFCEUUUUIXnEhyYVWUC9oxew+WyKTrpezdunfpSJWzYGRyBm3U2oFtVDgEW0vpe407tLVYfxYq4NZDJKbol1zIqAOVUliYmsi5iSTeyqeddGyUlwbPvJgDHKMuZLcGdCPySnLdTbQGx5DkMxtlfeBvDOdvsr3DsjLZ2J1+Z+k/+a5Qx51Gw2/kBZI48od1GaVlJ3bshJAhIFypPM10lrt1CxsD67roOHiubp0nVDDRKk0VHxKzxoXZIQqi5O+kP2DD3P0Cmop5WFwsIFyDeWVSCozHMGw4K8OuttCO8VRGn9HkSKojuPsptUrdH6KbRUbD79xdUiOgP5WUedqOeH7tbekd4p3q2J+bh/bSfcUh+INHDA1R5H2Rqlbo/ROUU31XE/Nw/tpPuK71XE/Nw/tn+4pP6i0b1o8j7I1St0Uuiom0ZJoIZJpI4skSM7WlcnKgJaw3AubA6Xok2kgC2JYuoZVUXdlOoOU2yj0tYDtIq/ZNI2a2AuoPDgM1FUovp84KXe1UHQno9s6SFykcWJO8YuzxrLZjyUSMlrWANge2/bViMK8n5U5V+bQnX9ZILFv0VsO/NTfQvowsGGtFLKoeR3IvHYG+XS8egsorD+KLQadigVCyXDKcYnON2ferlgHLO1W34H4L8zw37CL4aZxnRHCCNimEwuYKSL4eMi4HaAoJ+i4qf/Fr/AD8v/t/d01iMBIFOWaRj2AtGoP0ndGw+o15my01rw/8AoPm72WvA3LOY7ZGFWONhhcICYHmN8PCczIIiIxppmznlrppTUWzcNuJZBgsJMywRzBRBEvFIJC0Rsp83KPTr9FWU+IYRo+aQ3SSU3aKwWEqCyHccROYFNFuDzWkx7QywySu8qKkaT8BiYssuYrfyK8fCbjUajU9mqK1a7/cJx6Tt+WU9iZA3JOxdmRwtBNHDHHKTNEwiWNQylHkFzAlibwpawJALaG9XI23K2XNbD3znM+8I4AhC+VSLnmY6diG3oqtnpm3E6u1yzwAcJVRIRmYDdJxXjHMW1OhvU7G4iVRM2dnSAMWNoQcyRiYWXdHSzKM173Pm2F66nRNS9TlxkgkGd+OGO6R9FRtA5S7hNq4mVyqOgs9zmUsMgdlYKFYMCQB59je+lqRhekErIWMigqJyRYWYxmLKitm1BD8xr6qYO1JN/u43clmILNHu/NEJuVGFZv8AmgXaw0OutXI2Uw/5x0JI8nDzJuT+T5k61p1iHOluCqvBwxVY+25DLJcgbp24gELLHlPCpdwWYkC4AuMtu0W04lPeazE8ro8wd28nG01wkRLCMDU5oQM1rWys1tASugLY2tMJt0zsCrojlcjAGTLlynq4HJhfOU5ELnItUYYd6Ax3SWhwKhsXLmAPkYOevy8XVt1VfCPUKzXRmJnxWLZpGO6aLD9gzWRcQJCAMua2IEegGkS99hpdyfE32e6rLcgrbeaEdVXwj1Cjqq+EeoUbk+Jvs91G5Pib7PdTk5HVV8I9QpvEYZcjcI809g7jTm5Pib7PdSMREcjcTeae7uPooQlDCr4R6hXeqr4R6hQIj4m+z3Ubk+Jvs91CEdVXwj1Cjqq+EeoUbk+Jvs91G5Pib7PdQhHVV8I9Qo6qvhHqFG5Pib7PdRuT4m+z3UIWXgkIwsIdgFkEUa2WTNmcqF4o3BU5iOIWt3iuJjA+HkWPKFWEsBu2W6OJMrqS+obK+p1JBJ569wblsNGrIymN4VN2jBEkUkbBDdu1lUenMLcxTcWD3UMwGZ7QiHUxcCxLIVU5WuWAlJJ5m4074k4ppu2pHRz8gf12I/15qjt21I6OHyJ/XYj/AF5qyfjX/Cp/z+zlV0dzz3KTtTDCSJkLZQ1teRFiDoQQRy5g6VTYnourMPKX/KaNd2Oe1rsz3NgAmvNAFNTtvbMabdhcnA7MS6h1/JyKOA8+Jh9tUg6POBKBG12iyob4ci/V0iszld7fMpFwQOXZeuBsnJZhUjMx6LXPcpi9EQCbyaFswstivBMq21sMplBU20EajutyDoooWwkF8uUMq2K3318nFw33g0/oemnsVhJ5ZVlyqgi82NwGLhvynGkmRcynKLhrFSdL00vR9kIaNI0ZDiHW1gCzyh0U2HJo7oe7NU3CvIxqYnu7fTL8CIS36NguhLouWNkyIhReLei6KHut95qL65F5EC1rsjCbqJUuGy31VQo1JNgo5WvaqSPYLLOWKl8wUlxuQC3EXLF13q3Yk8B0BFuVT+j+AMWa6BAQoF8mY5c17mKykC4sxAY635CobQS6mZfOWGH5tShJ6b//AIzGf2Wf/TaoGw8Oq4eIqAC0UZY9pORdSe2p/Tc/+mYz+yz/AOm1RNk/yeH9TF/kWu1+CP7VXvH0WXpH9Klim9hxzmBcjxBbvYNG5PnvzIkAPqFOU3sLGyLAoEDsAXswaKx431GZwfWKufGc6tTiOdtjcd6j0fzndyn7rE/OQ/sn++qLtPDTNEyu0bKRYhIpQxFxpwTA/Tra176XqV/GUv5tJ7UP3lM4rFyuhXq8i3Fr3gb6irSWIPK3przWmXhwPJ/1WwqjEXKIXdWGVz5k5YIhUS7w7+5QHKGU3B00NqVhGyxyNnhWMIpYyRS23RDZLZ5z5O2eyiwGugvq3Mto4wVdVZXjU58MA6z5WZU8pbXKMtuQ0ANOYWFXjkj3bzKUWBrSYfhWMMFU5ZPOGY3J9GlaZMMxOE9m/wAp+6ZtS4TKyQFJIyvWFAzLI5vxc2adifov6qf2iDmkMhiIVGEhEM5QeTuwOWfLvN0eds2UgX1AMbD4siOARxF16wCGRsOFJ4rgBJLXqVj2LGZGSRBLGzSJvMMDYpujJxSXChQP6N1B7wes0JPAu/kfsqFp547l2TEMuINjE0xzA5IZTpaDNc7+1rbn/wC3q33eJ+cg/ZSffVRSGGKcO0CoSWyoz4RVDMILlVMg4rRpy14/oq8/jCX82k9uD72tlypuVVKhEkwaSElIs8oMc7KscmckWM5UBsjEqvOykjVaYiwzKyMQFJdQWeLEHjDBY96zYkhyGsFvmym3m0sQB5MQFjlLSpkmQTwNlDbz5JlJQkOQO4AWFNYW6SRgA6uzCINhFV2WyEogl0KhLaXscx5nRyerfoeJN9j8xQnraXIUgfyXB8gXPZbtNaWz96+o/FWa6HzMZseTGVJxaaEqSPxXB8yGI5a6GtLvT4D6199TtyVluQRZ+9fUfios/evqPxUb0+A+tffRvT4D6199KnIs/evqPxUjEBsjar5p7D3H+lS96fAfWvvpGIkORuE+ae1e4+mhCWA3evqPxUWfvX1H4qBKfCfWvvo3p8B9a++hCLP3r6j8VFn719R+KjenwH1r76N6fAfWvvoQiz96+o/FRZ+9fUfio3p8B9a++jenwH1r76ELK4eNHwsC9qtBJco7ao6O7BspuxAbivqWNzqacdVjixNtBIXcARuOcUaG/CBcsjG/pohiLYXD5SQVbDMcrZbqrxl82ouuTNcdtu3lTcK+TxJySRgowCvc3KiW8lyTctfX0Kl9bgRBOKZNU+L2AzMTHi8VACSSkTrlzMzMzWdWIJJOgNvRVwaK3KtnpVmxVaHDtErGY9zMWmFQfg1N/OOO/aR/d138Gpv5xx37SP7ur6iq/Flj6pvyhSaxV6RVD+DU3844724/u6Pwam/nHHe3H93V9RRxZY+qb8oRrFXpFUP4NTfzjjv2kf3dH4NTfzjjv2kf3dX1FHFlj6pvyhGsVekVm8X0SkkjdH2hjWV1ZWUvHYhgQQfJ8jVzsr+Tw/qY/wDKtSxULY/5BB4Vy+wSv/ipqNmpUDFJobO4QmOqOeOUZU0U3sLa8aQKpz3BflFKw89+RVCD9VOCn+jrjqyajm/+d65D40jVacieV9j3q/o7nO7k5/HsfdJ+xm+7qPj9ppJGyK0iFhbNuJzYdugUHUXGhFr3q23g7xUDbSF4HVWIJy+aMxtmGYABlOq3GhB10udD5nRuXxAIxzn/AItcys/ktBFGPkYZsOxEOIUBXEQLqu6Pm7u2XS9+a8qUsKtBJE7OufDxwApFOTaIOA+sQtfP5utrHU30fxMcjRRgIwIjlUBbgCQlNzIRm0sAxJJOUsRRh8PNuJRGWjkaGMKWN/LAPvHFyfO4OLkefZWxIuzO3eN+eXimLkGNVI4Fbe3GIUnMs8h1z/KaFSfot66kbQcOJ1F8swchmhxBZXaEQAACLTlfPe9mYZdb0YNCsWHDEkjEjzlyHXP8m5/3p/akLnrGUOXaNxE6tZVUxBQvnAX3uY2tfiU3sNOq0JHAOjpn7KhaeeO5R4Y4xiTIHny8RHDiy12GGFmYpxL5JuEkjUac6uTtuL+s/YT/AHdVR2ZK+KvI4aMFmvlIU6YUKFQS8J4ZeLX5WmuuizjvFbLlTcs5s/EbuRyS5RmlIG7xB/KyNJcKYbJluVsCc97kiwFR8NCI5QVLhbi4EWIUKqzzygbsQ2e6y5BcjIRcXNrXGHwqiSZypG8IQAG91AJL2vYFmY69yrVZh8A6NHYNc7lxZjljJkd8QmraDdlEHiC253p8p4Ksuh+MVpseRmscWnNGB/kuCHIi4+sVpusD0+y3urPdEm8vtD+1p/2mCrSZqmbkFZbzQkdYHp9lvdR1gen2W91LzUZqcnJHWB6fZb3U3iJxkbn5p+S3d9FP5qbxB4G/RP7jQhAxA9Pst7q71gen2W91LBozUISOsD0+y3uo6wPT7Le6l5qM1CEjrA9Pst7qOsD0+y3upeajNQhZGOILhcOyqgJfDBrxqxKu8SMLnkSG569v0hmBlZcULxyKkd1ZVjNiwmzKSiLlIyrwG7LfVjm0kYdimGgYZzmMCHyrqFEjIhIA52zDh0+qm49oLOmKCsxWHOgImZ83Abki+gzh1trcLftqIJSmzRQaK6ILERRRRSoRRRRQhFFFFCFw1E2Z5rDummHrkdv/AJVMqHgfPmHdLf2o4m/eTTTmEqmCkbC2TC0Cs0MbMS9yUUk8b8yRrSxTewtlq0CkvKLlzZZZFHnvyUNYVxXxmYstPEjlbO4rS0dz3dysf4jw/wAxD+zT3VX7d2fDHAzJDCDmjF93GMoZ0VmuylRZSTcggWvY1P8A4lXxz/t5fiqPjtmqkbMJJRlBN2nmtYam9mvyvyrzajUAqN5ROOX4VrlUWJEW6jISEHdytfdwkySIUEcd8lmD3YjKFLAArl5V3DRqYJnSGGZ1hRwu6i0lYPni4FFstl4Txa6nUVLxKskaFt4H3LzSL1iawEW7zIpzanjtc6aGmxiQsMkr7+yQxzgJPMSVlD2XiYcQy6nlWqHS3AbfvlnPYmIwGAieKBmjhYnEAEgQuCOPTNEgU+qn9p4eJN/lSBXjjcxx7mI5lWEOJfMzDyl1zXycOW1zekRYTeJA7GdScQoIMswItm7GckfTUrHAoJ2BlKwK174mYMXWITCwzEWsyr38zyGvVaEM0XfzPhkqFp547lFOAL4rd7iGNQWJCrCeFRhflvhzfWR+Gy/paVof4lw/zEP7JPhqhbEFp91H1jmwu8mKB4RAdUGqi8vnHTh9NWO1cFuoXkVpmKC9jiJl0HPXMeytlyqOnBQMLh4t/Krx4fIok4t3BlRg/kwLKCDu7khySSpIstiYuGaJngCRxSxSTN5XcRtdN2cqM0UYRGz3fWxCBbi7G1lhYS8jLmlA8tkPWJ7+Qk3JzcXabHTkKhQTsWQMZCGKcS4jEEFZZGjje5NlvlzAMRmDALqKcnq56H4VBNjwqKAMWlgFAAvhcGTYAWGutaXcL4V9QrM9D8KBNjwC5ti01LsTrhcEdSTc/XWm3A729o++p25BWG5BG4Xwr6hRuF8K+oUbgd7e0ffRuB3t7R99KnI3C+FfUKbxEC5G4R5p7B3GnNwO9vaPvpvEQjI2reaflHuPpoQliBfCvqFd3C+FfUK4IB3t7R99d3A729o++hCNwvhX1CjcL4V9Qo3A729o++jcDvb2j76EI3C+FfUKNwvhX1CjcDvb2j76NwO9vaPvoQqPZUQbDQggEZI2171ysp+ogH6QK7jsKiRTFVVS0b5iABfKrKL99gLV2iodqUqoPP66KKK6MLERRRRSoRRRRQhFFFFCEVDw35ab/wDmf+m3/geqiimnMJQpgqR0d/kyfS/+d6KK4j41/wAWn/L7FaWjue7uVjekTRhhZgCNND9Ioory9uBwWwU1Ps+OTV1DWudfq0+g6XHI2F6IdnRpcKgAbzha9xrpr2c9OQuaKKshzspwTSo2Lw6x7hVFgMQlhcnmH76sZdmxuxZkViwKG4vdSLEH6iRfuJHKiiu2+HyTZCT0j9As21c/wS+qoHz5RnN7tbXXJfX+6vsilzQh1KsAVIsQeRBvoaKK6Aqoml2ZGGLBAGYksdddbn1k3PedTrSTsyO6tkF4wAnoC+aLcjbmL8uy1dopUFR+iv5faH9rj/7TBVozRRVpuQVxuS5RRRSpyKRiPMb9E/uNFFCEsUUUUIRRRRQhFFFFCF//2Q=="/>
        <xdr:cNvSpPr>
          <a:spLocks noChangeAspect="1" noChangeArrowheads="1"/>
        </xdr:cNvSpPr>
      </xdr:nvSpPr>
      <xdr:spPr bwMode="auto">
        <a:xfrm>
          <a:off x="3362325" y="1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76200</xdr:rowOff>
    </xdr:to>
    <xdr:sp macro="" textlink="">
      <xdr:nvSpPr>
        <xdr:cNvPr id="5125" name="AutoShape 5" descr="data:image/jpeg;base64,/9j/4AAQSkZJRgABAQAAAQABAAD/2wCEAAkGBhQSEBUUExQWFBUUFBcWFxcXGBkXGBgZFR0VGBgWFxUXHCYeGhwjHBkXHy8gJCcpLCwtFx4xNTAqNSYrLikBCQoKDgwOGg8PGiklHyQsLSwsLCwsMiwsKSwtNS0tLC8sLCwtKiosLCwvLywtLCwsLCwpLy0qLCwsLCwsKSwpKf/AABEIALMBGgMBIgACEQEDEQH/xAAbAAABBQEBAAAAAAAAAAAAAAAAAgMEBQYBB//EAFEQAAIBAgMEBQcGCAwFBAMAAAECAwARBBIhBRMiMQYUQVFSIzJhkZLR0kJTcYGh0xYkM1Ryc5OxBxU0VWJjdIKUsrPhF0OitMElo8LwNWSD/8QAGwEAAQUBAQAAAAAAAAAAAAAAAAECAwQFBgf/xAA7EQABAwEEBAwFAwUBAQAAAAABAAIRAwQSITEFFEFRExUiMlJTYXGBkaHRBpKxwfBCQ3IWMzSi4SMk/9oADAMBAAIRAxEAPwD1yiq3Z2FZ4UdppbsisbMtrkA6DJS8XgisbsJprqrEcSdgJ8FQQnqs6R4zFoz9XVmUxxhcqBsrkylm80kjKqgixsSlhrYujGTmKP8AKB8/HaLV0LOF4jEVThCk5kTmL7s6VaHZh+em9pPgrn8W/wBdN7SfBSpEnYzu0EZkzZyvFmXI1+26ZVt6veZlUu1MQkBjDzS+Ue2rxjKugLm6cgWQaeIVY/xafnpvaT4KSEJvbH5P+8P/ADWY2dPM2ffRpHZrJlk3mdR8vVRlB7Bz53t26iTZAYWaWYj9JPgqKdhLvAueSxRjzXmCg8HpNXqFpFNsGVBUpFxkLHbcx8ySEQEt5O8gyZhCt7CZeWZrZhu9b5b9ljZyYwRxI12kSy3canKR+UYAajlew7b2rR/g8njl9pfgo/B5PHL7S/BTtaAkicfT1Q+kXMDRAjbv9PzvxWc2bIxjLycOdiwB0yJ8kHu0GY/pGkdEsTM04EqvqyuGK5UAYnLGqnW6iwOpGg7c1T9kIk7lfKLo5Bz30RwhvmhUX1B4S453I0zXKbCUEESSgg3BzJ8FBtLYjFMZQITm0cTilaTdICojcocqm7hCVGbf38+w/J9tv6VVuIxkm8iEUszRllAZgQTd0Elrpx2W989gutr2sLfqbfPze0nwU1hcO7KCZ5tS3yk7CR4PRVO8rMKj2licVBMIzPLN+KStmCKpDKSc9kjsbDKosbg2vcGu7S2piUkiELu8bSyLHmVryDdIys7BCWVZN5cWDFVuL2ub/qbfPz+0nwVHxysii00zM7BFGdFGYhjxNuzYAKTex5cjS3kQpfRqZmi4izFWtnZi2fRTmUsqm1yRaw1VraVcVRQ4ZyoLSzqSNQXjNj9ISx+n93Kl9Ub5+f2k+Ci8iFdUVm9oI6ICJ5r5lGrJ2/3Kib6X5+X1p8FV6trZSMOlTU6DqgkLX0VkN9L8/L60+CoLbYmEpXey5Q6x5s63zOqsODdWtxAXzX9FRi3UzlKebK8Le0VkN/L8/L60+CjfS/Py+tPgpOMKXal1SotfRWU2U0kjShp5uB1UWKDQoja8Hexqx6o3z8/tJ8FW21A4AjaqxaQYKuqKzu0A0UMkm+nO7jd7ZkF8ilrX3foprZbvKpJllUhraOT3fOYeM/YR6adeSQtPRVL1Rvn5/aT4KaxMDqjsJ5rqjEcScwCfBReCIV/RVIMI3z83tJ8Fd6o3z8/tJ8FF4IhXVFZTa2JeIxqssrGRmAu9gMovzSBz9lvTVj1Nvn5vaT4KLyIV1ReqXqjfPz+0nwUdUb5+f2k+Ci8iFF2OJOrxWKW3a2uGvyHOzU5j95upNU8x+xvCf6VIwCE4NApIJhABXzgculrg6/VS3zdU4r5ur8V+ebd8V/Te9RHJOULF9KoonKSYnCxuDqruFYX1FwXuNCD9dWG/k/q/U3vrzjbGCkXaOKcw4pkd4iphw0UyMFjQNdpRpqCOGrtcNN192VZRCd5u8xbIuIyLeVltfdEXUa2zZiBxA1hVhX4Km9lpEmnfMhsTdabo5Ixkna7AHaILwRJkbYWknw2ckukTEpkOZWPDqSAC2l7m9uel+Qs+kkgAHBoLcnPL0lrk153hdnYzcWc4gsZsJnXK62YPeZ1ffOWFjxMoVDYEciAxjcLiolkYdYCKdpoSzSECFY3bDm7E6ZrZW5nvqQWe0l5Y22tJBIHIbjDb3fjkMDJ24pJGd1ej4jaBjXM7xItwLtcC5IAFy3aSB9dKLSZg1080rybtKnxf0a856jPJhuBJmjaLAFg5dy8yyI0kkeZjw7vLciw0HcavNg4TFDHSNK8ls01xkbdMhYbm0hlK3CjQKgIGYNzBMNpbaaNJ7tcbebewutkwGkCADGJInETGUmFBBI5K1M+PZAC7xKCwUFri7Noqi7cyeQpwTyf1fqb4qw23sBO+JbMkz/jmFeMrmMQgUx5gQDlDBgxNxft5VM6MYPFLipGneT/m5hkbdNeS8TJI0pBIQaBEFgbNrYmKq60ssnD6229dm7dbjIBgQCcMQSY5UCMZSiC6Lq0OFwW6OZco0IGZpWChiGYKHchASAbC3mjuFdG3BljYyQqJSBHmuuctyChmuSe6sm+y8SYceyCUTNi3EV2fWAmAtulLBdQHsRY9gIqNBsKdpsI53jFFxZR5EeMR3yGBXUyO2XNmsHa5WwI0qeiahYXVLYMJwutGVMv3EYmGg7YdAkJD/H8lbuDHs+bKYzlYqbBtCLXHPsv+/ursLSKLXTS/Y3aSfF6a8+wuzcZuFDnEFjiMJvFyuuUhjv2WTfOWFjxMAqaAjtAs5Nm4ldoplaRYEMIjyqzpu1UiVJGMwVbnmWVmPARexpKwrMe9rba3khxHJGN0NwymSXbohpMmMQEdFbLfSf1fqb303iFaQZWyEXBFs6kEcirKwKn0gg159srZ2NSLC5BMsr4fGrLvGcgOLnD5w5KrxHQ6VOxOEnOCAhXEod7EZ95vHZlAO+3a7wORmsSFYZhfLzoqU7U190WxpF6JutwhzmEkTtuy2JvAiYRI6K2kJdFCruwoHc37y1z33PPmaiN0ijEQlM+GEROUSF+AnXQPntfQ6eiqh48Quyt2N5JO6btWdcrjetlVnAZ8uRWuTmJ4bnW4rKY/YOJiw5gMHCuLw06jDK0qquVkkCiUWLAoGKnS8ncaXR/DWgvFS1gRUujBgvNBALgCJ/UCMMg6UPIGTdi3uK2ossG8WfD7tWB3l7oMp1BYPbt76iCVjFvRiMLurX3muS3fn3lqy+F2LI2FmvhpivWIZkusUWIYqAHY4fWJgthZCBmF+2xL2G2XLuY5GwpZI8W0rQ7tEklQxlFlbD5igdWIOUEXtewNT1bM0kl1qBh0ft4i6HRsxJN2TGObQASHMquaIAWiSRiqMMRhSshyoQGIc6mykScRsDoO6mzsphPrJBvW4wp3uuQKmcRGXLoMozW7tazs2DlRlxC4WZYjj45lw6IpkRFgZGcxobKXbW1/p1NWuJ2hJ1mDGDC4koIZoWjyKJlZmjZWKF/NOU63+mqNaz12vAo1gQWu6vB4BIYdk4QTkTlsUnDuOafk2wihS2NwQDLmW7WzLcjMLy6i4Iv6DVhDhpnUMssDKwBUhXIIOoIIksQRXnybAngaBXixPDg0UmCCKezmSZyjby6ggMOVbPpBFM+Ch3AdBmiMq5CJBFl4lMUTKbg5bojA6ECpbfZxRq0qdG0Ah7iLxDSANhgN27MTPYkbaKhBJVts2GSJnu8RaRg9grDRVRNBmJPIa+mlL0jjMu6E+GMoJXd5+O45jJnvf0Vl9ibFlXHQyzCV/wASKbxgQc4kY5ZFV2AO7YDUm5F/O5Vy9HJ+sySujGE7SLFFiXe5bxskySkZt3mADBbaBiL61JRvcI6k61iAwEENaATJECQScsAbpJwMKNxnG7tWyk6SYeXNCcRhWMl4ygk4jmupWwe99SNNal7OmO7DRusiNqGLyyg9nC7yNp9BtWA6N4OSPEASQ4u5nlP8mi3PG75WMxG8A1DXHLs0qw6O7Ymi2eIBhMUs0WHYKWishfXKA178yOzsNPt1K1MkWW0XjLBjciHX5PNGUDKRjmmtLTmFrW2+gjaQzYfdo2VnzcKsCBlLZrA3IFvTTA6SQyowXE4Vg1o7q4PFIGCro/nGzWHblPdWe6H7Bmw7vBiIozE8cbgx5njLxARsXzqBncZG/uk1B2bsKRcBs4bhlkXGxPKMlmCq8/E+l7AMNT30lSoGPewWomHNDXDg4LXNc4k4HFpaWnHMjxUZZfVbltsAIrmWAI4urEnKwyl7qc1jwgtp2AmmcF0ljmbJFiMNI1r5UcMbDmbK96yKbDmvPCY23WEhxQwx57w4oMUC95jQvH/e7OVd6A4d43RXixSsIAp3uGijjUgJfLKoznkQM3MXvrRXv07NVqstV5zRIADMjJb+k43bpIkQSRmEgxIBatywcsrHd3W+U2fTNYH5XcKc3sn9X6m99KFFcX/UGkOs/wBW+ys8E1J3sn9X6m99G9k/q/U3vpVFJ/UGkOs/1b7I4NqgYLDDqiMDlO6U5meTKNBclVdey5tcfSKXuM2GZnVlbI9xmkHLMAcjMSuYANlNyM1jqKZgiJwSZwkibpCUaIMCAARfPIF053NgLX0tSwxbCM0ZRU3T5VEVgLBhYBZCvMHUXB5i4IJ9PVNaLqadwrvU17hWH6ztD89T/Cp95R1naH56n+FT7yncU0uqb5BQa03pfVbjqa91Im2bG6lWQMrAggi4IOhBB5gjsrz2XbuOWdYTi9WRnDdVhyZUKB2JM9xYuvZfXS9q4nSPFGVIxtGMtIrMpGGiynIyIVvvfOu40+nupBoyiDIpN8gl1hu/6r0OHZyKoVVACgAACwAGgAA5ACuHDLnAt8k/vWvPtndIMXOiMmPTyiCRVOFjD5T2ld7ekv0gxQmaM7QjDJHnYnDRhVUsFsW3ujXtoaU6MonE02+QRrLcpPqvR+pr3UdTXurBSbSxqhS20IlDEBScNGASeQBMmtRMJ0nxMkQlG0Y1U287DRKVvewbyvCdKTiuj1TPII1kbz6r0jqi91HU17q8/G2sXdh/GUN0Nm/F4uEg5bN5XTi017dK7DtfGPbJtGJsyhxlw8Zup5MLS6g9/Kjiuj1TPII1lu8+q3/U17qbgwqkXt3/ALzWCTbeLLZRtKEtcrlGHiJuCwItved1YW71buNJXbeKAH/qUNmJC+Qi1IIDW8rrYsvtDvo4ro9UzyCNZbvPqvQ+pr3UdTXurzp+kOKDZTtGMEybofi0er2LZdJdNAeduRrj9I8UCAdoxWKsc3V4soyNGhBO+55pEFrdvYSLnFdHqmeQRrI3n1Xo3U17qOpr3VgRtTGkNbHxnJ5wGGjJGl7Eb3Q6dtVQ6bYndCTrvC0Ms4/FYWOSFY3a4Sc2a0i2U2PO9u1DoygP2meQ9kotAO0+q9Plwqi2nNgKc6mvdXmB6W4q7BsblyGQXODjsxhdYny2lJ890AuBfMLdtp0O2cayMwxoGRirKcJHmVha6m0pF9RyJBuNdaUaMon9pnkPZBtAG0+q9B6mndXOpr3CvPZ9t45WZeuBiihny4SM5Q2bKW8qDrlblflc2FQMP02xUjIseMLs+TKFwkPy4mnAJM4AIRTcX0OlIdGUB+0zyHsgWgHafVepdTXuFHU17qw/Wdofnqf4VPvK51naH58n+FT7yncU0uqb5BN1pvS+q2qYVczaciP3CnOpr3Cs50Mx08vWRNKsjQ4gRhhGEuDDBJqqtbnIR9VaTK3iX2T8VQmw2YGDSb8o9lMHkiQVzqa9wo6mncK7lbxL7J+KjK3iX2T8VJqVm6tvyj2S3nb1zqa91Nz4VQrEDkD+407lbxL7J+KkYhWyNqPNPyT3fpUajZurb8o9kXnb10YNe4UdTXuFKCt4h7J+KjK3iX2T8VGpWbq2/KPZF529c6ovdR1Re6u5W8S+yfioyt4l9k/FRqNm6tvyj2RedvXOqL3UdUXuruVvEvsn4qMreJfZPxUajZurb8o9kXnb1ndnMxwsahZB5NbMpi7hyzsR6x9VEse7wzoEewjk1Jj5tnZicrd5JsB22A0FStjfyaL9Wv7hS9p/kJf1b/5WqUIKpDRQaK6MLDUPFbMV5A5LBhFJEMptZZTGWIPMMN2tiDprz0qvg6Iwq6teQlXL6lbEl4JdbKPlwRns7ed6vKKaWApwcQqfZvRaGBkZM1441QFspuFDKGJy3BysRpYG+oNJn6KQu7sS4Lm9gRZTvBPcArzzi+txqRarqijg2pb7pmVBOyEtCFJTcCyFcosuUIVIK2sQANAPRaq38Cod00eeUK6BDxLqoSaPw2OkzHUHUKRyrQUUGm05pLxVHJ0VQMXQtnLZxmayhjKmIvcKSLOgtodOYNd2N0Wjg3bXLPHCkROljkQR5gCCVJUAWBt+83dFHBtzS3zEKlXopFvA93uJM/MWvvZp7ebe2aVhz5Be0XLbdDIMoW8gAUr5wvYjDoB5vYuHiUegG9yb1fUUcG3ci+7eqdei0IYkFwTLvbggEE764BAzW8vKdSSL6EWplOhsI+VITmzXLLe+bCvrZe/Cx+t+8EX1FJwbUX3b1XYTYccbSsoN5s2blpnZ3YA2vbM7HUnnpUY9FYzCkTM5WOJoQeANunVEdCVQA3CLrbNcc6uqKW41JeKy23MBDhlzCJ5GxEzqVVkUs0pfEAlmAFkaMle0crm9Rh0iMKMWwkgBk3ru00AzPoczEWA81eQAsoqx6YcsL/a1/wBHE1B2hhjJDJGDYvGyX7sykXt9dctpXSlWxWltNkQQDiO0rKt2kH2eq1mEESZneRvSDt1pC0i4WUbxQrFJsPZwuYLcm50zNyIvfW9hUOBFVkbqMrbsRgK0uHZTuomgXMp58JJ/SsdOVJx+xZJCLS5QIymgN+KORDrfUZmRv7n10qHZDhgxkvaV3I4rEMwYIdeS2uPTbsuDnHTlY4y3yPuq/GrwJDm90H3Vu3TGQEA4NwWvlG+hubamwza2GtL/AArl/MpP20PxVSY7YryS5xLl4WA53XNGY+HW3M5u+p+z8MY4wpN7X+0k2Gg0HIaDlSP+ILSGAgtJ3QfdRVNLPawEXSdog+6138G2NaQY1zGyFsWOEsjEWw2EGpBt2X0762W9Phb/AKfirH/wY+bjf7WP+2wlbS9bdGoatNtR2ZAJ8V2VlealBjztaD5hR8ROwViFYEA+Hu/SrzHC7exTRoTipblVJ8ztAPgr0Tbe2ooEO8cKSrG3NrWN2yi5sO02sK8uwI8lH+gv7hWNpm0VKQZwbiM8j3LE+Ia1ezspupktknEYTEJ3anSzEwqh6zIczhLlkUC4Y5iREfD3VCn6fTCMlsRNmEBlaO8eYcObIfJ25XJN6kYtUy53AtH5QHuKg6+omqnrOFIVchtLEBbKfMZt3lZb3uCcvIkDuFZtC2VXNxLz3ErEs9vrPaLxqHtBPvuVwvTeXMV61LcOqWGUnMxK2tu+xgR9XZ2pPTx7E9cmsCQSAh81XcnROWVGP1VBWSBrvluN4NbGzSBiBl1tmz3001NzzvXFXDSZky3srOw1sA29iYc9DpIpA5a99ONpqYkuqeadrlXEl1XzVpN00kQEti5rK2W9lsW7VByWJFj6qmJt3EkAjFSkEXB4OR5fIrMnH4ZiLKSZMhAsRq6GRSCWAU5Qbm4+urtRp3VBWtVdgEPeD2lVrRbbTTA5bwe0qQelmJglgYzPKHxEUTI2WxEzbvsUG4zBhrzA7L16jvG8Lf8AT8VeL7W87C/27Cf6qV7dXQaJqvq0LzySZOfguq0HWqVrNeqOJMnPwWawm8GCTdC77pQtyALkAXudNOdu21qbw0cg2eBKGEgw1nznM+YRkEs3a3aT3mmEhy4JGjQNIUjAudLuUW5DOgNrk2zC9rU6IkfCM9rndyXNivEudSModhoQRoxBtcEg1oBbqiGig0V0QWGiiiilQiiiihCKKKKEIooooQiiiihCKKKKEIooooQs90w5YX+1r/o4mmDUnphEHjhQ8nxABtz0jmb/AONVB2Fh/mIvYX3VwHxHd1sSf0jZ2ntC5vTFzhW3ict07T2hV4w+J3kb2NwgV9UtxSYcyZQPk5RKRfXT02rkhxtmyix4iovGf+XJlW/aN7k7AbH1Ors+DfshggChEIOVbkuXFrEf0G01qsE8HADBCWMhzWjWwQKZBlIJDsVtyPby7Kz2S/Joy6Ow470jJfk0HDo7Dj0vzJT5Z8SZZVQ3ygEWC2A3lrAn5W77G7deVqusNmyLn87KM1hYXtrp2a1nMMsbrGTBAM0qp5gN1ZVa41uCCSvIgkA8Iva0xHRyBhYRoneVRb+siq9oDMGuw7h/1RVadFz206jgwbTdmN+Rnw7cVregO1kiGLU3Z2xYKxoCzt+L4UXCjsuPONh6a1RjxE3nHq6eFCGlI9Lm6J9Chj/SrNfwXbMRExVhyxAQD0LFE45emRh9Q9N9Jtd7sIYtJJBct83GLZpPp7FHa3oBt1tl/sMxwgL0LR5ZwFNtIfpHKduAzjEDDHadxUBNmRuzrGoEURJdvOM0y62dmuzrGdTcm7WHyNcJgfyUf6C/uFesYbZcaRhFUBVFgNeX/n6e29ZrE/wU4J3LeXS/yY55EQehUU2UegVWt1gNqa0AxErP01YnaRuhroDZzxmY9cPtsWNxeFEiFCSA1r2NiRcEi/p5VXno4mcNmfQ3tcHm4l84jMOME8+01vv+EWC8WK/xM3xUib+CTBBSc2J0BP8AKZuz+9VBmiKzBDanosOnoG0UxDaseCxJ2GmZ2uczsjXAUWMZLKbBQCQTa5uSNK7BsZUfMrNxLlYcJDXaRyTpcEtI3KtuP4IsF4sV/iZfirv/AAiwXixX+Jm+Kl4prxHCeicdB2kiOFHksCvRtBlszXQrYkKdFQxqCCtjZSfrq2rUf8IsF4sV/iZvio/4RYLxYr/EzfFTX6Gq1OdUB8EypoCvU59UHwWH2t52F/t2E/1Ur26sXD/BNgldH/GGKOrqGxEjDMhDKSpNjqBWu6svd++tew2U2WlcJnGVu6NsRsdHgyZxlZZZMmCRnYFN3GpUohBzlUAOdgtrsLkkDtNPyEthWZWAUwsQoVLWymwBRitrciCRblSMJCZMJGhRrZYiCGS4KFHVgGuNGVTqDy1FOTRmPDOgRrCOQklkJJbOzMbHtYk6C3cByFhaioTtdbyG1o4mZHkJACsgBN1521y353FrdtJbpBACAX1Jy2yvcMG3eVhlupz8NjY3FLn2JC5fMlw5JIzNlu1gWy3sGNhxDXSkfxBDe+U353zNcm8hzE31JMrkntJHcLb4vrG5KjHpVD5SzAhIxIpuQJAyCSym2hysh7+Lloafk6S4dQxMq8JIawY2IV3PmjUZY3NxpwHuoXo5APkH5PynIGURgWGbTSKMG3MLY8zXPwaw+UqI7Kc+gZgOMENYA6CxPLlc2tejl9iXkdqf2ntZIIy7nkjuALksEGY2sDbs1OguO+lYLaccpYIwLJbOPDcsNT26q4uO1G7q5tDZUc9t4t7BgCCymz5cwupGhyrccuEUvB7OjizbtcudixsTa5JY2BNhqxOnfTuVKbyY7VDG3haJihCTMBG1wbhgzXKjUcK3troRrzFI2Z0hE7WRdL2uWOotmuAEsdLHUjnUuDY8SMrKpBQWXiYhRYjKoJsAAxAHZfsp3A4BIVyxjKtwbXJ5BV5k35KvqqwTSgwDOxGCj4vbsETMskgUpbNcGwuCwubW80Fj3AXNhXZNtwqCS9gpYE5W5oGL2sOIKEe5FwMpva1GI2JC5JZLkuJL3a+YII9LHQZBaw0plejkVirC4zuyi7AIJAQ6KA2isGbMORzHTkBW5aXkpSdIYTKYy1jcgMTwNbd6ZzZQS0gULc3tRJ0lw4XMZRb6GvbI0mYDLcqUVmDciAbGnoNjRK+YILtcG5JHE+c8JNtGJPo5DSsthmV4VYYWFUMOcCTHCNhCbRAsCl1UBQgvoNQOZvVtFqZZgDVcBO9SMp8JzQVq8TtWKNwjvlY5eYa3ESq3a2UXYEC5Fzypg9IsPlzbwWAJ5NeyqJL2te2RlYHtDC17ioE2ycU8rySYKN8yooU4oZQI94eW6s2sjHUaUj8H5rAdQTT/APdNyPJ2BO7uQBFGLHsW3ImqPHli65nmpdVf0Sr3DYxJM2Q3yuyHQjiQlWGo1sQRppoafqlXBYsIEGDUKrFhbGkG5LMbkR3IJYmx05dwrsGDxiEEYS5AtxY5mHJF1DRkE2QantLHmzEu49sG2s3zTdVq9EqRtvZPWEVQ5jKuHDAXIIDL3i2jHWoP4LN+dS+xD93UqXFYxct8GgzMFH40OZva/kuWlcweOxUq5osPBIvemNRxrrzWK3Ig0l/R1t/9eS/ZOaq1bEHH/wBGAnthQz0RJNziZb6G+SDsvb/l+k+uur0SItbEy6ajgg0ve9vJ6cz66nyy4xbZsLCuZgq3xii7HkovFqTY6Dupy2O/M4/8Wv3VLq2jug3yUeo0+g3yCrB0ROn4zJpy4INL87eT0pX4LN+dS+xD93U2CXGuoZMLEysAVZcYpUg6ggiKxBHbS7Y78zj/AMWv3NBs2jug3yQbDTObG+QSuhROGTGlpGfJiUQCwzO7QwsoABtmbeKluXkxyHLW7J2a6hnkYGWUhnIFwLCyop8KjQd9yebGsl/B9E00uJndfNxIyxhgyq5gwymQPYZ7xhcptyZu+9b0OfCfWPfUAa0Hkc3Z3LoWsFCkKQwMY9nZ4be3DYjI3i/6f967kbxfZ/vRvG8J9Yo3jeE+sU9MRkbxfZ/vTeIRsjcXyT2eg+mnN43hPrFN4iQ5G4T5p7R3GhCWEbxfZ/vXcjeL7P8AeuCQ+E+sV3eN4T6xQhGRvF9n+9GRvF9n+9G8bwn1ijeN4T6xQhGRvF9n+9GRvF9n+9G8bwn1ijeN4T6xQhU2xR+Lxfq1/cKXtQeRl/Vv/lNQ4YS2AUBBITCtlPImwy39ANifop6bBCLCNGtyEhZQTck2U6kntPP66hCcqo0UGiujCw0UUUUqEUUUUIRRRRQhFFFFCF1OY+kVitn9C5MXgonSRUEmAWCxvrbrTa2HLO8J/uH0X2qcx9IrOdG58UMJhBEF3XVdfNvn8roc2o13Vrd7Ag8xyHxS97KdM0yAZOfctKwAS6exW83R2dnYjEHK00T5bsOBJRIyacvJgxgDQg61XDodilicLiFEsixZpLyZt5FAsWfN+sXPy1DEaW1exSYyXZ8qSA77NBlylAxW2FeXzWANn362uLhbdoJTNsyczKUzLGThG5hAogkxDygpnNswdBYXv28tODpve0Hlt8gcrv54LVgJWK6HzyOS0/Dvt6ozSXUibFSCx+SRFLGot2xAcrEaDYGCeKEJI+dgTrcnQnhBJtcgdoCjuArKbD2ViI4olmzMAMO0qKwswEEiuur3MgmKM5vZgqka3FazYgdcNEszBpRGoc3vdgBfXt+nt51WtznXCy+HCRkPzx8PBWpW1OcP69P3NWaxvRnFR7MSGJ2MkEOQCOaU7wiIRqyFspjswuEHDr6BWk2iwLQ2+fT9zVQtiNq7kHIpktKSoEdiwjjMaXJF1Mm8AOhy2uT5x6r4akWM/wAj9AqFqm/hu90/N0UxDyktiDuzLmsHkDZDLjZCBbkck8SD9SOVhTi9HsXeFmxALrKskpG8XNleK6oNQFMKMhWwuzk3qyxmHfrQZlaSHIoQKcpSQOxZ24l0KZBf+iw+VY5DBdHcdbDLJmIC4QSZzdVyDH70OolBksXhuQdbr4dOjEqop8PQzFJh90uJK2wK4dcrMqq6xiPMAFvbOM+a4YE2tTmG2DIca4MmdWjdZdWJWNsRPNFDmPaY3RD4VjNvOU1b7e28MIkS5MzycCAA2DACxKi7ZR3C5t31ZbNwIiSwJYniZiNXZubH6e7sFhyFRl84Ky0Po0xWcM5u+GZ8Pr2BMdElAnx4GgGLjAHo6pguzsrSVm+ih/GNof2tP+0wVaSrbcglbzQiiiinJyKbxPmN+if3GnKbxHmN+if3UISxXa4K7QhFFFFCEUUUUIXnEhyYVWUC9oxew+WyKTrpezdunfpSJWzYGRyBm3U2oFtVDgEW0vpe407tLVYfxYq4NZDJKbol1zIqAOVUliYmsi5iSTeyqeddGyUlwbPvJgDHKMuZLcGdCPySnLdTbQGx5DkMxtlfeBvDOdvsr3DsjLZ2J1+Z+k/+a5Qx51Gw2/kBZI48od1GaVlJ3bshJAhIFypPM10lrt1CxsD67roOHiubp0nVDDRKk0VHxKzxoXZIQqi5O+kP2DD3P0Cmop5WFwsIFyDeWVSCozHMGw4K8OuttCO8VRGn9HkSKojuPsptUrdH6KbRUbD79xdUiOgP5WUedqOeH7tbekd4p3q2J+bh/bSfcUh+INHDA1R5H2Rqlbo/ROUU31XE/Nw/tpPuK71XE/Nw/tn+4pP6i0b1o8j7I1St0Uuiom0ZJoIZJpI4skSM7WlcnKgJaw3AubA6Xok2kgC2JYuoZVUXdlOoOU2yj0tYDtIq/ZNI2a2AuoPDgM1FUovp84KXe1UHQno9s6SFykcWJO8YuzxrLZjyUSMlrWANge2/bViMK8n5U5V+bQnX9ZILFv0VsO/NTfQvowsGGtFLKoeR3IvHYG+XS8egsorD+KLQadigVCyXDKcYnON2ferlgHLO1W34H4L8zw37CL4aZxnRHCCNimEwuYKSL4eMi4HaAoJ+i4qf/Fr/AD8v/t/d01iMBIFOWaRj2AtGoP0ndGw+o15my01rw/8AoPm72WvA3LOY7ZGFWONhhcICYHmN8PCczIIiIxppmznlrppTUWzcNuJZBgsJMywRzBRBEvFIJC0Rsp83KPTr9FWU+IYRo+aQ3SSU3aKwWEqCyHccROYFNFuDzWkx7QywySu8qKkaT8BiYssuYrfyK8fCbjUajU9mqK1a7/cJx6Tt+WU9iZA3JOxdmRwtBNHDHHKTNEwiWNQylHkFzAlibwpawJALaG9XI23K2XNbD3znM+8I4AhC+VSLnmY6diG3oqtnpm3E6u1yzwAcJVRIRmYDdJxXjHMW1OhvU7G4iVRM2dnSAMWNoQcyRiYWXdHSzKM173Pm2F66nRNS9TlxkgkGd+OGO6R9FRtA5S7hNq4mVyqOgs9zmUsMgdlYKFYMCQB59je+lqRhekErIWMigqJyRYWYxmLKitm1BD8xr6qYO1JN/u43clmILNHu/NEJuVGFZv8AmgXaw0OutXI2Uw/5x0JI8nDzJuT+T5k61p1iHOluCqvBwxVY+25DLJcgbp24gELLHlPCpdwWYkC4AuMtu0W04lPeazE8ro8wd28nG01wkRLCMDU5oQM1rWys1tASugLY2tMJt0zsCrojlcjAGTLlynq4HJhfOU5ELnItUYYd6Ax3SWhwKhsXLmAPkYOevy8XVt1VfCPUKzXRmJnxWLZpGO6aLD9gzWRcQJCAMua2IEegGkS99hpdyfE32e6rLcgrbeaEdVXwj1Cjqq+EeoUbk+Jvs91G5Pib7PdTk5HVV8I9QpvEYZcjcI809g7jTm5Pib7PdSMREcjcTeae7uPooQlDCr4R6hXeqr4R6hQIj4m+z3Ubk+Jvs91CEdVXwj1Cjqq+EeoUbk+Jvs91G5Pib7PdQhHVV8I9Qo6qvhHqFG5Pib7PdRuT4m+z3UIWXgkIwsIdgFkEUa2WTNmcqF4o3BU5iOIWt3iuJjA+HkWPKFWEsBu2W6OJMrqS+obK+p1JBJ569wblsNGrIymN4VN2jBEkUkbBDdu1lUenMLcxTcWD3UMwGZ7QiHUxcCxLIVU5WuWAlJJ5m4074k4ppu2pHRz8gf12I/15qjt21I6OHyJ/XYj/AF5qyfjX/Cp/z+zlV0dzz3KTtTDCSJkLZQ1teRFiDoQQRy5g6VTYnourMPKX/KaNd2Oe1rsz3NgAmvNAFNTtvbMabdhcnA7MS6h1/JyKOA8+Jh9tUg6POBKBG12iyob4ci/V0iszld7fMpFwQOXZeuBsnJZhUjMx6LXPcpi9EQCbyaFswstivBMq21sMplBU20EajutyDoooWwkF8uUMq2K3318nFw33g0/oemnsVhJ5ZVlyqgi82NwGLhvynGkmRcynKLhrFSdL00vR9kIaNI0ZDiHW1gCzyh0U2HJo7oe7NU3CvIxqYnu7fTL8CIS36NguhLouWNkyIhReLei6KHut95qL65F5EC1rsjCbqJUuGy31VQo1JNgo5WvaqSPYLLOWKl8wUlxuQC3EXLF13q3Yk8B0BFuVT+j+AMWa6BAQoF8mY5c17mKykC4sxAY635CobQS6mZfOWGH5tShJ6b//AIzGf2Wf/TaoGw8Oq4eIqAC0UZY9pORdSe2p/Tc/+mYz+yz/AOm1RNk/yeH9TF/kWu1+CP7VXvH0WXpH9Klim9hxzmBcjxBbvYNG5PnvzIkAPqFOU3sLGyLAoEDsAXswaKx431GZwfWKufGc6tTiOdtjcd6j0fzndyn7rE/OQ/sn++qLtPDTNEyu0bKRYhIpQxFxpwTA/Tra176XqV/GUv5tJ7UP3lM4rFyuhXq8i3Fr3gb6irSWIPK3przWmXhwPJ/1WwqjEXKIXdWGVz5k5YIhUS7w7+5QHKGU3B00NqVhGyxyNnhWMIpYyRS23RDZLZ5z5O2eyiwGugvq3Mto4wVdVZXjU58MA6z5WZU8pbXKMtuQ0ANOYWFXjkj3bzKUWBrSYfhWMMFU5ZPOGY3J9GlaZMMxOE9m/wAp+6ZtS4TKyQFJIyvWFAzLI5vxc2adifov6qf2iDmkMhiIVGEhEM5QeTuwOWfLvN0eds2UgX1AMbD4siOARxF16wCGRsOFJ4rgBJLXqVj2LGZGSRBLGzSJvMMDYpujJxSXChQP6N1B7wes0JPAu/kfsqFp547l2TEMuINjE0xzA5IZTpaDNc7+1rbn/wC3q33eJ+cg/ZSffVRSGGKcO0CoSWyoz4RVDMILlVMg4rRpy14/oq8/jCX82k9uD72tlypuVVKhEkwaSElIs8oMc7KscmckWM5UBsjEqvOykjVaYiwzKyMQFJdQWeLEHjDBY96zYkhyGsFvmym3m0sQB5MQFjlLSpkmQTwNlDbz5JlJQkOQO4AWFNYW6SRgA6uzCINhFV2WyEogl0KhLaXscx5nRyerfoeJN9j8xQnraXIUgfyXB8gXPZbtNaWz96+o/FWa6HzMZseTGVJxaaEqSPxXB8yGI5a6GtLvT4D6199TtyVluQRZ+9fUfios/evqPxUb0+A+tffRvT4D6199KnIs/evqPxUjEBsjar5p7D3H+lS96fAfWvvpGIkORuE+ae1e4+mhCWA3evqPxUWfvX1H4qBKfCfWvvo3p8B9a++hCLP3r6j8VFn719R+KjenwH1r76N6fAfWvvoQiz96+o/FRZ+9fUfio3p8B9a++jenwH1r76ELK4eNHwsC9qtBJco7ao6O7BspuxAbivqWNzqacdVjixNtBIXcARuOcUaG/CBcsjG/pohiLYXD5SQVbDMcrZbqrxl82ouuTNcdtu3lTcK+TxJySRgowCvc3KiW8lyTctfX0Kl9bgRBOKZNU+L2AzMTHi8VACSSkTrlzMzMzWdWIJJOgNvRVwaK3KtnpVmxVaHDtErGY9zMWmFQfg1N/OOO/aR/d138Gpv5xx37SP7ur6iq/Flj6pvyhSaxV6RVD+DU3844724/u6Pwam/nHHe3H93V9RRxZY+qb8oRrFXpFUP4NTfzjjv2kf3dH4NTfzjjv2kf3dX1FHFlj6pvyhGsVekVm8X0SkkjdH2hjWV1ZWUvHYhgQQfJ8jVzsr+Tw/qY/wDKtSxULY/5BB4Vy+wSv/ipqNmpUDFJobO4QmOqOeOUZU0U3sLa8aQKpz3BflFKw89+RVCD9VOCn+jrjqyajm/+d65D40jVacieV9j3q/o7nO7k5/HsfdJ+xm+7qPj9ppJGyK0iFhbNuJzYdugUHUXGhFr3q23g7xUDbSF4HVWIJy+aMxtmGYABlOq3GhB10udD5nRuXxAIxzn/AItcys/ktBFGPkYZsOxEOIUBXEQLqu6Pm7u2XS9+a8qUsKtBJE7OufDxwApFOTaIOA+sQtfP5utrHU30fxMcjRRgIwIjlUBbgCQlNzIRm0sAxJJOUsRRh8PNuJRGWjkaGMKWN/LAPvHFyfO4OLkefZWxIuzO3eN+eXimLkGNVI4Fbe3GIUnMs8h1z/KaFSfot66kbQcOJ1F8swchmhxBZXaEQAACLTlfPe9mYZdb0YNCsWHDEkjEjzlyHXP8m5/3p/akLnrGUOXaNxE6tZVUxBQvnAX3uY2tfiU3sNOq0JHAOjpn7KhaeeO5R4Y4xiTIHny8RHDiy12GGFmYpxL5JuEkjUac6uTtuL+s/YT/AHdVR2ZK+KvI4aMFmvlIU6YUKFQS8J4ZeLX5WmuuizjvFbLlTcs5s/EbuRyS5RmlIG7xB/KyNJcKYbJluVsCc97kiwFR8NCI5QVLhbi4EWIUKqzzygbsQ2e6y5BcjIRcXNrXGHwqiSZypG8IQAG91AJL2vYFmY69yrVZh8A6NHYNc7lxZjljJkd8QmraDdlEHiC253p8p4Ksuh+MVpseRmscWnNGB/kuCHIi4+sVpusD0+y3urPdEm8vtD+1p/2mCrSZqmbkFZbzQkdYHp9lvdR1gen2W91LzUZqcnJHWB6fZb3U3iJxkbn5p+S3d9FP5qbxB4G/RP7jQhAxA9Pst7q71gen2W91LBozUISOsD0+y3uo6wPT7Le6l5qM1CEjrA9Pst7qOsD0+y3upeajNQhZGOILhcOyqgJfDBrxqxKu8SMLnkSG569v0hmBlZcULxyKkd1ZVjNiwmzKSiLlIyrwG7LfVjm0kYdimGgYZzmMCHyrqFEjIhIA52zDh0+qm49oLOmKCsxWHOgImZ83Abki+gzh1trcLftqIJSmzRQaK6ILERRRRSoRRRRQhFFFFCFw1E2Z5rDummHrkdv/AJVMqHgfPmHdLf2o4m/eTTTmEqmCkbC2TC0Cs0MbMS9yUUk8b8yRrSxTewtlq0CkvKLlzZZZFHnvyUNYVxXxmYstPEjlbO4rS0dz3dysf4jw/wAxD+zT3VX7d2fDHAzJDCDmjF93GMoZ0VmuylRZSTcggWvY1P8A4lXxz/t5fiqPjtmqkbMJJRlBN2nmtYam9mvyvyrzajUAqN5ROOX4VrlUWJEW6jISEHdytfdwkySIUEcd8lmD3YjKFLAArl5V3DRqYJnSGGZ1hRwu6i0lYPni4FFstl4Txa6nUVLxKskaFt4H3LzSL1iawEW7zIpzanjtc6aGmxiQsMkr7+yQxzgJPMSVlD2XiYcQy6nlWqHS3AbfvlnPYmIwGAieKBmjhYnEAEgQuCOPTNEgU+qn9p4eJN/lSBXjjcxx7mI5lWEOJfMzDyl1zXycOW1zekRYTeJA7GdScQoIMswItm7GckfTUrHAoJ2BlKwK174mYMXWITCwzEWsyr38zyGvVaEM0XfzPhkqFp547lFOAL4rd7iGNQWJCrCeFRhflvhzfWR+Gy/paVof4lw/zEP7JPhqhbEFp91H1jmwu8mKB4RAdUGqi8vnHTh9NWO1cFuoXkVpmKC9jiJl0HPXMeytlyqOnBQMLh4t/Krx4fIok4t3BlRg/kwLKCDu7khySSpIstiYuGaJngCRxSxSTN5XcRtdN2cqM0UYRGz3fWxCBbi7G1lhYS8jLmlA8tkPWJ7+Qk3JzcXabHTkKhQTsWQMZCGKcS4jEEFZZGjje5NlvlzAMRmDALqKcnq56H4VBNjwqKAMWlgFAAvhcGTYAWGutaXcL4V9QrM9D8KBNjwC5ti01LsTrhcEdSTc/XWm3A729o++p25BWG5BG4Xwr6hRuF8K+oUbgd7e0ffRuB3t7R99KnI3C+FfUKbxEC5G4R5p7B3GnNwO9vaPvpvEQjI2reaflHuPpoQliBfCvqFd3C+FfUK4IB3t7R99d3A729o++hCNwvhX1CjcL4V9Qo3A729o++jcDvb2j76EI3C+FfUKNwvhX1CjcDvb2j76NwO9vaPvoQqPZUQbDQggEZI2171ysp+ogH6QK7jsKiRTFVVS0b5iABfKrKL99gLV2iodqUqoPP66KKK6MLERRRRSoRRRRQhFFFFCEVDw35ab/wDmf+m3/geqiimnMJQpgqR0d/kyfS/+d6KK4j41/wAWn/L7FaWjue7uVjekTRhhZgCNND9Ioory9uBwWwU1Ps+OTV1DWudfq0+g6XHI2F6IdnRpcKgAbzha9xrpr2c9OQuaKKshzspwTSo2Lw6x7hVFgMQlhcnmH76sZdmxuxZkViwKG4vdSLEH6iRfuJHKiiu2+HyTZCT0j9As21c/wS+qoHz5RnN7tbXXJfX+6vsilzQh1KsAVIsQeRBvoaKK6Aqoml2ZGGLBAGYksdddbn1k3PedTrSTsyO6tkF4wAnoC+aLcjbmL8uy1dopUFR+iv5faH9rj/7TBVozRRVpuQVxuS5RRRSpyKRiPMb9E/uNFFCEsUUUUIRRRRQhFFFFCF//2Q=="/>
        <xdr:cNvSpPr>
          <a:spLocks noChangeAspect="1" noChangeArrowheads="1"/>
        </xdr:cNvSpPr>
      </xdr:nvSpPr>
      <xdr:spPr bwMode="auto">
        <a:xfrm>
          <a:off x="2600325" y="4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76200</xdr:rowOff>
    </xdr:to>
    <xdr:sp macro="" textlink="">
      <xdr:nvSpPr>
        <xdr:cNvPr id="5126" name="AutoShape 6" descr="data:image/jpeg;base64,/9j/4AAQSkZJRgABAQAAAQABAAD/2wCEAAkGBhQSEBUUExQWFBUUFBcWFxcXGBkXGBgZFR0VGBgWFxUXHCYeGhwjHBkXHy8gJCcpLCwtFx4xNTAqNSYrLikBCQoKDgwOGg8PGiklHyQsLSwsLCwsMiwsKSwtNS0tLC8sLCwtKiosLCwvLywtLCwsLCwpLy0qLCwsLCwsKSwpKf/AABEIALMBGgMBIgACEQEDEQH/xAAbAAABBQEBAAAAAAAAAAAAAAAAAgMEBQYBB//EAFEQAAIBAgMEBQcGCAwFBAMAAAECAwARBBIhBRMiMQYUQVFSIzJhkZLR0kJTcYGh0xYkM1Ryc5OxBxU0VWJjdIKUsrPhF0OitMElo8LwNWSD/8QAGwEAAQUBAQAAAAAAAAAAAAAAAAECAwQFBgf/xAA7EQABAwEEBAwFAwUBAQAAAAABAAIRAwQSITEFFEFRExUiMlJTYXGBkaHRBpKxwfBCQ3IWMzSi4SMk/9oADAMBAAIRAxEAPwD1yiq3Z2FZ4UdppbsisbMtrkA6DJS8XgisbsJprqrEcSdgJ8FQQnqs6R4zFoz9XVmUxxhcqBsrkylm80kjKqgixsSlhrYujGTmKP8AKB8/HaLV0LOF4jEVThCk5kTmL7s6VaHZh+em9pPgrn8W/wBdN7SfBSpEnYzu0EZkzZyvFmXI1+26ZVt6veZlUu1MQkBjDzS+Ue2rxjKugLm6cgWQaeIVY/xafnpvaT4KSEJvbH5P+8P/ADWY2dPM2ffRpHZrJlk3mdR8vVRlB7Bz53t26iTZAYWaWYj9JPgqKdhLvAueSxRjzXmCg8HpNXqFpFNsGVBUpFxkLHbcx8ySEQEt5O8gyZhCt7CZeWZrZhu9b5b9ljZyYwRxI12kSy3canKR+UYAajlew7b2rR/g8njl9pfgo/B5PHL7S/BTtaAkicfT1Q+kXMDRAjbv9PzvxWc2bIxjLycOdiwB0yJ8kHu0GY/pGkdEsTM04EqvqyuGK5UAYnLGqnW6iwOpGg7c1T9kIk7lfKLo5Bz30RwhvmhUX1B4S453I0zXKbCUEESSgg3BzJ8FBtLYjFMZQITm0cTilaTdICojcocqm7hCVGbf38+w/J9tv6VVuIxkm8iEUszRllAZgQTd0Elrpx2W989gutr2sLfqbfPze0nwU1hcO7KCZ5tS3yk7CR4PRVO8rMKj2licVBMIzPLN+KStmCKpDKSc9kjsbDKosbg2vcGu7S2piUkiELu8bSyLHmVryDdIys7BCWVZN5cWDFVuL2ub/qbfPz+0nwVHxysii00zM7BFGdFGYhjxNuzYAKTex5cjS3kQpfRqZmi4izFWtnZi2fRTmUsqm1yRaw1VraVcVRQ4ZyoLSzqSNQXjNj9ISx+n93Kl9Ub5+f2k+Ci8iFdUVm9oI6ICJ5r5lGrJ2/3Kib6X5+X1p8FV6trZSMOlTU6DqgkLX0VkN9L8/L60+CoLbYmEpXey5Q6x5s63zOqsODdWtxAXzX9FRi3UzlKebK8Le0VkN/L8/L60+CjfS/Py+tPgpOMKXal1SotfRWU2U0kjShp5uB1UWKDQoja8Hexqx6o3z8/tJ8FW21A4AjaqxaQYKuqKzu0A0UMkm+nO7jd7ZkF8ilrX3foprZbvKpJllUhraOT3fOYeM/YR6adeSQtPRVL1Rvn5/aT4KaxMDqjsJ5rqjEcScwCfBReCIV/RVIMI3z83tJ8Fd6o3z8/tJ8FF4IhXVFZTa2JeIxqssrGRmAu9gMovzSBz9lvTVj1Nvn5vaT4KLyIV1ReqXqjfPz+0nwUdUb5+f2k+Ci8iFF2OJOrxWKW3a2uGvyHOzU5j95upNU8x+xvCf6VIwCE4NApIJhABXzgculrg6/VS3zdU4r5ur8V+ebd8V/Te9RHJOULF9KoonKSYnCxuDqruFYX1FwXuNCD9dWG/k/q/U3vrzjbGCkXaOKcw4pkd4iphw0UyMFjQNdpRpqCOGrtcNN192VZRCd5u8xbIuIyLeVltfdEXUa2zZiBxA1hVhX4Km9lpEmnfMhsTdabo5Ixkna7AHaILwRJkbYWknw2ckukTEpkOZWPDqSAC2l7m9uel+Qs+kkgAHBoLcnPL0lrk153hdnYzcWc4gsZsJnXK62YPeZ1ffOWFjxMoVDYEciAxjcLiolkYdYCKdpoSzSECFY3bDm7E6ZrZW5nvqQWe0l5Y22tJBIHIbjDb3fjkMDJ24pJGd1ej4jaBjXM7xItwLtcC5IAFy3aSB9dKLSZg1080rybtKnxf0a856jPJhuBJmjaLAFg5dy8yyI0kkeZjw7vLciw0HcavNg4TFDHSNK8ls01xkbdMhYbm0hlK3CjQKgIGYNzBMNpbaaNJ7tcbebewutkwGkCADGJInETGUmFBBI5K1M+PZAC7xKCwUFri7Noqi7cyeQpwTyf1fqb4qw23sBO+JbMkz/jmFeMrmMQgUx5gQDlDBgxNxft5VM6MYPFLipGneT/m5hkbdNeS8TJI0pBIQaBEFgbNrYmKq60ssnD6229dm7dbjIBgQCcMQSY5UCMZSiC6Lq0OFwW6OZco0IGZpWChiGYKHchASAbC3mjuFdG3BljYyQqJSBHmuuctyChmuSe6sm+y8SYceyCUTNi3EV2fWAmAtulLBdQHsRY9gIqNBsKdpsI53jFFxZR5EeMR3yGBXUyO2XNmsHa5WwI0qeiahYXVLYMJwutGVMv3EYmGg7YdAkJD/H8lbuDHs+bKYzlYqbBtCLXHPsv+/ursLSKLXTS/Y3aSfF6a8+wuzcZuFDnEFjiMJvFyuuUhjv2WTfOWFjxMAqaAjtAs5Nm4ldoplaRYEMIjyqzpu1UiVJGMwVbnmWVmPARexpKwrMe9rba3khxHJGN0NwymSXbohpMmMQEdFbLfSf1fqb303iFaQZWyEXBFs6kEcirKwKn0gg159srZ2NSLC5BMsr4fGrLvGcgOLnD5w5KrxHQ6VOxOEnOCAhXEod7EZ95vHZlAO+3a7wORmsSFYZhfLzoqU7U190WxpF6JutwhzmEkTtuy2JvAiYRI6K2kJdFCruwoHc37y1z33PPmaiN0ijEQlM+GEROUSF+AnXQPntfQ6eiqh48Quyt2N5JO6btWdcrjetlVnAZ8uRWuTmJ4bnW4rKY/YOJiw5gMHCuLw06jDK0qquVkkCiUWLAoGKnS8ncaXR/DWgvFS1gRUujBgvNBALgCJ/UCMMg6UPIGTdi3uK2ossG8WfD7tWB3l7oMp1BYPbt76iCVjFvRiMLurX3muS3fn3lqy+F2LI2FmvhpivWIZkusUWIYqAHY4fWJgthZCBmF+2xL2G2XLuY5GwpZI8W0rQ7tEklQxlFlbD5igdWIOUEXtewNT1bM0kl1qBh0ft4i6HRsxJN2TGObQASHMquaIAWiSRiqMMRhSshyoQGIc6mykScRsDoO6mzsphPrJBvW4wp3uuQKmcRGXLoMozW7tazs2DlRlxC4WZYjj45lw6IpkRFgZGcxobKXbW1/p1NWuJ2hJ1mDGDC4koIZoWjyKJlZmjZWKF/NOU63+mqNaz12vAo1gQWu6vB4BIYdk4QTkTlsUnDuOafk2wihS2NwQDLmW7WzLcjMLy6i4Iv6DVhDhpnUMssDKwBUhXIIOoIIksQRXnybAngaBXixPDg0UmCCKezmSZyjby6ggMOVbPpBFM+Ch3AdBmiMq5CJBFl4lMUTKbg5bojA6ECpbfZxRq0qdG0Ah7iLxDSANhgN27MTPYkbaKhBJVts2GSJnu8RaRg9grDRVRNBmJPIa+mlL0jjMu6E+GMoJXd5+O45jJnvf0Vl9ibFlXHQyzCV/wASKbxgQc4kY5ZFV2AO7YDUm5F/O5Vy9HJ+sySujGE7SLFFiXe5bxskySkZt3mADBbaBiL61JRvcI6k61iAwEENaATJECQScsAbpJwMKNxnG7tWyk6SYeXNCcRhWMl4ygk4jmupWwe99SNNal7OmO7DRusiNqGLyyg9nC7yNp9BtWA6N4OSPEASQ4u5nlP8mi3PG75WMxG8A1DXHLs0qw6O7Ymi2eIBhMUs0WHYKWishfXKA178yOzsNPt1K1MkWW0XjLBjciHX5PNGUDKRjmmtLTmFrW2+gjaQzYfdo2VnzcKsCBlLZrA3IFvTTA6SQyowXE4Vg1o7q4PFIGCro/nGzWHblPdWe6H7Bmw7vBiIozE8cbgx5njLxARsXzqBncZG/uk1B2bsKRcBs4bhlkXGxPKMlmCq8/E+l7AMNT30lSoGPewWomHNDXDg4LXNc4k4HFpaWnHMjxUZZfVbltsAIrmWAI4urEnKwyl7qc1jwgtp2AmmcF0ljmbJFiMNI1r5UcMbDmbK96yKbDmvPCY23WEhxQwx57w4oMUC95jQvH/e7OVd6A4d43RXixSsIAp3uGijjUgJfLKoznkQM3MXvrRXv07NVqstV5zRIADMjJb+k43bpIkQSRmEgxIBatywcsrHd3W+U2fTNYH5XcKc3sn9X6m99KFFcX/UGkOs/wBW+ys8E1J3sn9X6m99G9k/q/U3vpVFJ/UGkOs/1b7I4NqgYLDDqiMDlO6U5meTKNBclVdey5tcfSKXuM2GZnVlbI9xmkHLMAcjMSuYANlNyM1jqKZgiJwSZwkibpCUaIMCAARfPIF053NgLX0tSwxbCM0ZRU3T5VEVgLBhYBZCvMHUXB5i4IJ9PVNaLqadwrvU17hWH6ztD89T/Cp95R1naH56n+FT7yncU0uqb5BQa03pfVbjqa91Im2bG6lWQMrAggi4IOhBB5gjsrz2XbuOWdYTi9WRnDdVhyZUKB2JM9xYuvZfXS9q4nSPFGVIxtGMtIrMpGGiynIyIVvvfOu40+nupBoyiDIpN8gl1hu/6r0OHZyKoVVACgAACwAGgAA5ACuHDLnAt8k/vWvPtndIMXOiMmPTyiCRVOFjD5T2ld7ekv0gxQmaM7QjDJHnYnDRhVUsFsW3ujXtoaU6MonE02+QRrLcpPqvR+pr3UdTXurBSbSxqhS20IlDEBScNGASeQBMmtRMJ0nxMkQlG0Y1U287DRKVvewbyvCdKTiuj1TPII1kbz6r0jqi91HU17q8/G2sXdh/GUN0Nm/F4uEg5bN5XTi017dK7DtfGPbJtGJsyhxlw8Zup5MLS6g9/Kjiuj1TPII1lu8+q3/U17qbgwqkXt3/ALzWCTbeLLZRtKEtcrlGHiJuCwItved1YW71buNJXbeKAH/qUNmJC+Qi1IIDW8rrYsvtDvo4ro9UzyCNZbvPqvQ+pr3UdTXurzp+kOKDZTtGMEybofi0er2LZdJdNAeduRrj9I8UCAdoxWKsc3V4soyNGhBO+55pEFrdvYSLnFdHqmeQRrI3n1Xo3U17qOpr3VgRtTGkNbHxnJ5wGGjJGl7Eb3Q6dtVQ6bYndCTrvC0Ms4/FYWOSFY3a4Sc2a0i2U2PO9u1DoygP2meQ9kotAO0+q9Plwqi2nNgKc6mvdXmB6W4q7BsblyGQXODjsxhdYny2lJ890AuBfMLdtp0O2cayMwxoGRirKcJHmVha6m0pF9RyJBuNdaUaMon9pnkPZBtAG0+q9B6mndXOpr3CvPZ9t45WZeuBiihny4SM5Q2bKW8qDrlblflc2FQMP02xUjIseMLs+TKFwkPy4mnAJM4AIRTcX0OlIdGUB+0zyHsgWgHafVepdTXuFHU17qw/Wdofnqf4VPvK51naH58n+FT7yncU0uqb5BN1pvS+q2qYVczaciP3CnOpr3Cs50Mx08vWRNKsjQ4gRhhGEuDDBJqqtbnIR9VaTK3iX2T8VQmw2YGDSb8o9lMHkiQVzqa9wo6mncK7lbxL7J+KjK3iX2T8VJqVm6tvyj2S3nb1zqa91Nz4VQrEDkD+407lbxL7J+KkYhWyNqPNPyT3fpUajZurb8o9kXnb10YNe4UdTXuFKCt4h7J+KjK3iX2T8VGpWbq2/KPZF529c6ovdR1Re6u5W8S+yfioyt4l9k/FRqNm6tvyj2RedvXOqL3UdUXuruVvEvsn4qMreJfZPxUajZurb8o9kXnb1ndnMxwsahZB5NbMpi7hyzsR6x9VEse7wzoEewjk1Jj5tnZicrd5JsB22A0FStjfyaL9Wv7hS9p/kJf1b/5WqUIKpDRQaK6MLDUPFbMV5A5LBhFJEMptZZTGWIPMMN2tiDprz0qvg6Iwq6teQlXL6lbEl4JdbKPlwRns7ed6vKKaWApwcQqfZvRaGBkZM1441QFspuFDKGJy3BysRpYG+oNJn6KQu7sS4Lm9gRZTvBPcArzzi+txqRarqijg2pb7pmVBOyEtCFJTcCyFcosuUIVIK2sQANAPRaq38Cod00eeUK6BDxLqoSaPw2OkzHUHUKRyrQUUGm05pLxVHJ0VQMXQtnLZxmayhjKmIvcKSLOgtodOYNd2N0Wjg3bXLPHCkROljkQR5gCCVJUAWBt+83dFHBtzS3zEKlXopFvA93uJM/MWvvZp7ebe2aVhz5Be0XLbdDIMoW8gAUr5wvYjDoB5vYuHiUegG9yb1fUUcG3ci+7eqdei0IYkFwTLvbggEE764BAzW8vKdSSL6EWplOhsI+VITmzXLLe+bCvrZe/Cx+t+8EX1FJwbUX3b1XYTYccbSsoN5s2blpnZ3YA2vbM7HUnnpUY9FYzCkTM5WOJoQeANunVEdCVQA3CLrbNcc6uqKW41JeKy23MBDhlzCJ5GxEzqVVkUs0pfEAlmAFkaMle0crm9Rh0iMKMWwkgBk3ru00AzPoczEWA81eQAsoqx6YcsL/a1/wBHE1B2hhjJDJGDYvGyX7sykXt9dctpXSlWxWltNkQQDiO0rKt2kH2eq1mEESZneRvSDt1pC0i4WUbxQrFJsPZwuYLcm50zNyIvfW9hUOBFVkbqMrbsRgK0uHZTuomgXMp58JJ/SsdOVJx+xZJCLS5QIymgN+KORDrfUZmRv7n10qHZDhgxkvaV3I4rEMwYIdeS2uPTbsuDnHTlY4y3yPuq/GrwJDm90H3Vu3TGQEA4NwWvlG+hubamwza2GtL/AArl/MpP20PxVSY7YryS5xLl4WA53XNGY+HW3M5u+p+z8MY4wpN7X+0k2Gg0HIaDlSP+ILSGAgtJ3QfdRVNLPawEXSdog+6138G2NaQY1zGyFsWOEsjEWw2EGpBt2X0762W9Phb/AKfirH/wY+bjf7WP+2wlbS9bdGoatNtR2ZAJ8V2VlealBjztaD5hR8ROwViFYEA+Hu/SrzHC7exTRoTipblVJ8ztAPgr0Tbe2ooEO8cKSrG3NrWN2yi5sO02sK8uwI8lH+gv7hWNpm0VKQZwbiM8j3LE+Ia1ezspupktknEYTEJ3anSzEwqh6zIczhLlkUC4Y5iREfD3VCn6fTCMlsRNmEBlaO8eYcObIfJ25XJN6kYtUy53AtH5QHuKg6+omqnrOFIVchtLEBbKfMZt3lZb3uCcvIkDuFZtC2VXNxLz3ErEs9vrPaLxqHtBPvuVwvTeXMV61LcOqWGUnMxK2tu+xgR9XZ2pPTx7E9cmsCQSAh81XcnROWVGP1VBWSBrvluN4NbGzSBiBl1tmz3001NzzvXFXDSZky3srOw1sA29iYc9DpIpA5a99ONpqYkuqeadrlXEl1XzVpN00kQEti5rK2W9lsW7VByWJFj6qmJt3EkAjFSkEXB4OR5fIrMnH4ZiLKSZMhAsRq6GRSCWAU5Qbm4+urtRp3VBWtVdgEPeD2lVrRbbTTA5bwe0qQelmJglgYzPKHxEUTI2WxEzbvsUG4zBhrzA7L16jvG8Lf8AT8VeL7W87C/27Cf6qV7dXQaJqvq0LzySZOfguq0HWqVrNeqOJMnPwWawm8GCTdC77pQtyALkAXudNOdu21qbw0cg2eBKGEgw1nznM+YRkEs3a3aT3mmEhy4JGjQNIUjAudLuUW5DOgNrk2zC9rU6IkfCM9rndyXNivEudSModhoQRoxBtcEg1oBbqiGig0V0QWGiiiilQiiiihCKKKKEIooooQiiiihCKKKKEIooooQs90w5YX+1r/o4mmDUnphEHjhQ8nxABtz0jmb/AONVB2Fh/mIvYX3VwHxHd1sSf0jZ2ntC5vTFzhW3ict07T2hV4w+J3kb2NwgV9UtxSYcyZQPk5RKRfXT02rkhxtmyix4iovGf+XJlW/aN7k7AbH1Ors+DfshggChEIOVbkuXFrEf0G01qsE8HADBCWMhzWjWwQKZBlIJDsVtyPby7Kz2S/Joy6Ow470jJfk0HDo7Dj0vzJT5Z8SZZVQ3ygEWC2A3lrAn5W77G7deVqusNmyLn87KM1hYXtrp2a1nMMsbrGTBAM0qp5gN1ZVa41uCCSvIgkA8Iva0xHRyBhYRoneVRb+siq9oDMGuw7h/1RVadFz206jgwbTdmN+Rnw7cVregO1kiGLU3Z2xYKxoCzt+L4UXCjsuPONh6a1RjxE3nHq6eFCGlI9Lm6J9Chj/SrNfwXbMRExVhyxAQD0LFE45emRh9Q9N9Jtd7sIYtJJBct83GLZpPp7FHa3oBt1tl/sMxwgL0LR5ZwFNtIfpHKduAzjEDDHadxUBNmRuzrGoEURJdvOM0y62dmuzrGdTcm7WHyNcJgfyUf6C/uFesYbZcaRhFUBVFgNeX/n6e29ZrE/wU4J3LeXS/yY55EQehUU2UegVWt1gNqa0AxErP01YnaRuhroDZzxmY9cPtsWNxeFEiFCSA1r2NiRcEi/p5VXno4mcNmfQ3tcHm4l84jMOME8+01vv+EWC8WK/xM3xUib+CTBBSc2J0BP8AKZuz+9VBmiKzBDanosOnoG0UxDaseCxJ2GmZ2uczsjXAUWMZLKbBQCQTa5uSNK7BsZUfMrNxLlYcJDXaRyTpcEtI3KtuP4IsF4sV/iZfirv/AAiwXixX+Jm+Kl4prxHCeicdB2kiOFHksCvRtBlszXQrYkKdFQxqCCtjZSfrq2rUf8IsF4sV/iZvio/4RYLxYr/EzfFTX6Gq1OdUB8EypoCvU59UHwWH2t52F/t2E/1Ur26sXD/BNgldH/GGKOrqGxEjDMhDKSpNjqBWu6svd++tew2U2WlcJnGVu6NsRsdHgyZxlZZZMmCRnYFN3GpUohBzlUAOdgtrsLkkDtNPyEthWZWAUwsQoVLWymwBRitrciCRblSMJCZMJGhRrZYiCGS4KFHVgGuNGVTqDy1FOTRmPDOgRrCOQklkJJbOzMbHtYk6C3cByFhaioTtdbyG1o4mZHkJACsgBN1521y353FrdtJbpBACAX1Jy2yvcMG3eVhlupz8NjY3FLn2JC5fMlw5JIzNlu1gWy3sGNhxDXSkfxBDe+U353zNcm8hzE31JMrkntJHcLb4vrG5KjHpVD5SzAhIxIpuQJAyCSym2hysh7+Lloafk6S4dQxMq8JIawY2IV3PmjUZY3NxpwHuoXo5APkH5PynIGURgWGbTSKMG3MLY8zXPwaw+UqI7Kc+gZgOMENYA6CxPLlc2tejl9iXkdqf2ntZIIy7nkjuALksEGY2sDbs1OguO+lYLaccpYIwLJbOPDcsNT26q4uO1G7q5tDZUc9t4t7BgCCymz5cwupGhyrccuEUvB7OjizbtcudixsTa5JY2BNhqxOnfTuVKbyY7VDG3haJihCTMBG1wbhgzXKjUcK3troRrzFI2Z0hE7WRdL2uWOotmuAEsdLHUjnUuDY8SMrKpBQWXiYhRYjKoJsAAxAHZfsp3A4BIVyxjKtwbXJ5BV5k35KvqqwTSgwDOxGCj4vbsETMskgUpbNcGwuCwubW80Fj3AXNhXZNtwqCS9gpYE5W5oGL2sOIKEe5FwMpva1GI2JC5JZLkuJL3a+YII9LHQZBaw0plejkVirC4zuyi7AIJAQ6KA2isGbMORzHTkBW5aXkpSdIYTKYy1jcgMTwNbd6ZzZQS0gULc3tRJ0lw4XMZRb6GvbI0mYDLcqUVmDciAbGnoNjRK+YILtcG5JHE+c8JNtGJPo5DSsthmV4VYYWFUMOcCTHCNhCbRAsCl1UBQgvoNQOZvVtFqZZgDVcBO9SMp8JzQVq8TtWKNwjvlY5eYa3ESq3a2UXYEC5Fzypg9IsPlzbwWAJ5NeyqJL2te2RlYHtDC17ioE2ycU8rySYKN8yooU4oZQI94eW6s2sjHUaUj8H5rAdQTT/APdNyPJ2BO7uQBFGLHsW3ImqPHli65nmpdVf0Sr3DYxJM2Q3yuyHQjiQlWGo1sQRppoafqlXBYsIEGDUKrFhbGkG5LMbkR3IJYmx05dwrsGDxiEEYS5AtxY5mHJF1DRkE2QantLHmzEu49sG2s3zTdVq9EqRtvZPWEVQ5jKuHDAXIIDL3i2jHWoP4LN+dS+xD93UqXFYxct8GgzMFH40OZva/kuWlcweOxUq5osPBIvemNRxrrzWK3Ig0l/R1t/9eS/ZOaq1bEHH/wBGAnthQz0RJNziZb6G+SDsvb/l+k+uur0SItbEy6ajgg0ve9vJ6cz66nyy4xbZsLCuZgq3xii7HkovFqTY6Dupy2O/M4/8Wv3VLq2jug3yUeo0+g3yCrB0ROn4zJpy4INL87eT0pX4LN+dS+xD93U2CXGuoZMLEysAVZcYpUg6ggiKxBHbS7Y78zj/AMWv3NBs2jug3yQbDTObG+QSuhROGTGlpGfJiUQCwzO7QwsoABtmbeKluXkxyHLW7J2a6hnkYGWUhnIFwLCyop8KjQd9yebGsl/B9E00uJndfNxIyxhgyq5gwymQPYZ7xhcptyZu+9b0OfCfWPfUAa0Hkc3Z3LoWsFCkKQwMY9nZ4be3DYjI3i/6f967kbxfZ/vRvG8J9Yo3jeE+sU9MRkbxfZ/vTeIRsjcXyT2eg+mnN43hPrFN4iQ5G4T5p7R3GhCWEbxfZ/vXcjeL7P8AeuCQ+E+sV3eN4T6xQhGRvF9n+9GRvF9n+9G8bwn1ijeN4T6xQhGRvF9n+9GRvF9n+9G8bwn1ijeN4T6xQhU2xR+Lxfq1/cKXtQeRl/Vv/lNQ4YS2AUBBITCtlPImwy39ANifop6bBCLCNGtyEhZQTck2U6kntPP66hCcqo0UGiujCw0UUUUqEUUUUIRRRRQhFFFFCF1OY+kVitn9C5MXgonSRUEmAWCxvrbrTa2HLO8J/uH0X2qcx9IrOdG58UMJhBEF3XVdfNvn8roc2o13Vrd7Ag8xyHxS97KdM0yAZOfctKwAS6exW83R2dnYjEHK00T5bsOBJRIyacvJgxgDQg61XDodilicLiFEsixZpLyZt5FAsWfN+sXPy1DEaW1exSYyXZ8qSA77NBlylAxW2FeXzWANn362uLhbdoJTNsyczKUzLGThG5hAogkxDygpnNswdBYXv28tODpve0Hlt8gcrv54LVgJWK6HzyOS0/Dvt6ozSXUibFSCx+SRFLGot2xAcrEaDYGCeKEJI+dgTrcnQnhBJtcgdoCjuArKbD2ViI4olmzMAMO0qKwswEEiuur3MgmKM5vZgqka3FazYgdcNEszBpRGoc3vdgBfXt+nt51WtznXCy+HCRkPzx8PBWpW1OcP69P3NWaxvRnFR7MSGJ2MkEOQCOaU7wiIRqyFspjswuEHDr6BWk2iwLQ2+fT9zVQtiNq7kHIpktKSoEdiwjjMaXJF1Mm8AOhy2uT5x6r4akWM/wAj9AqFqm/hu90/N0UxDyktiDuzLmsHkDZDLjZCBbkck8SD9SOVhTi9HsXeFmxALrKskpG8XNleK6oNQFMKMhWwuzk3qyxmHfrQZlaSHIoQKcpSQOxZ24l0KZBf+iw+VY5DBdHcdbDLJmIC4QSZzdVyDH70OolBksXhuQdbr4dOjEqop8PQzFJh90uJK2wK4dcrMqq6xiPMAFvbOM+a4YE2tTmG2DIca4MmdWjdZdWJWNsRPNFDmPaY3RD4VjNvOU1b7e28MIkS5MzycCAA2DACxKi7ZR3C5t31ZbNwIiSwJYniZiNXZubH6e7sFhyFRl84Ky0Po0xWcM5u+GZ8Pr2BMdElAnx4GgGLjAHo6pguzsrSVm+ih/GNof2tP+0wVaSrbcglbzQiiiinJyKbxPmN+if3GnKbxHmN+if3UISxXa4K7QhFFFFCEUUUUIXnEhyYVWUC9oxew+WyKTrpezdunfpSJWzYGRyBm3U2oFtVDgEW0vpe407tLVYfxYq4NZDJKbol1zIqAOVUliYmsi5iSTeyqeddGyUlwbPvJgDHKMuZLcGdCPySnLdTbQGx5DkMxtlfeBvDOdvsr3DsjLZ2J1+Z+k/+a5Qx51Gw2/kBZI48od1GaVlJ3bshJAhIFypPM10lrt1CxsD67roOHiubp0nVDDRKk0VHxKzxoXZIQqi5O+kP2DD3P0Cmop5WFwsIFyDeWVSCozHMGw4K8OuttCO8VRGn9HkSKojuPsptUrdH6KbRUbD79xdUiOgP5WUedqOeH7tbekd4p3q2J+bh/bSfcUh+INHDA1R5H2Rqlbo/ROUU31XE/Nw/tpPuK71XE/Nw/tn+4pP6i0b1o8j7I1St0Uuiom0ZJoIZJpI4skSM7WlcnKgJaw3AubA6Xok2kgC2JYuoZVUXdlOoOU2yj0tYDtIq/ZNI2a2AuoPDgM1FUovp84KXe1UHQno9s6SFykcWJO8YuzxrLZjyUSMlrWANge2/bViMK8n5U5V+bQnX9ZILFv0VsO/NTfQvowsGGtFLKoeR3IvHYG+XS8egsorD+KLQadigVCyXDKcYnON2ferlgHLO1W34H4L8zw37CL4aZxnRHCCNimEwuYKSL4eMi4HaAoJ+i4qf/Fr/AD8v/t/d01iMBIFOWaRj2AtGoP0ndGw+o15my01rw/8AoPm72WvA3LOY7ZGFWONhhcICYHmN8PCczIIiIxppmznlrppTUWzcNuJZBgsJMywRzBRBEvFIJC0Rsp83KPTr9FWU+IYRo+aQ3SSU3aKwWEqCyHccROYFNFuDzWkx7QywySu8qKkaT8BiYssuYrfyK8fCbjUajU9mqK1a7/cJx6Tt+WU9iZA3JOxdmRwtBNHDHHKTNEwiWNQylHkFzAlibwpawJALaG9XI23K2XNbD3znM+8I4AhC+VSLnmY6diG3oqtnpm3E6u1yzwAcJVRIRmYDdJxXjHMW1OhvU7G4iVRM2dnSAMWNoQcyRiYWXdHSzKM173Pm2F66nRNS9TlxkgkGd+OGO6R9FRtA5S7hNq4mVyqOgs9zmUsMgdlYKFYMCQB59je+lqRhekErIWMigqJyRYWYxmLKitm1BD8xr6qYO1JN/u43clmILNHu/NEJuVGFZv8AmgXaw0OutXI2Uw/5x0JI8nDzJuT+T5k61p1iHOluCqvBwxVY+25DLJcgbp24gELLHlPCpdwWYkC4AuMtu0W04lPeazE8ro8wd28nG01wkRLCMDU5oQM1rWys1tASugLY2tMJt0zsCrojlcjAGTLlynq4HJhfOU5ELnItUYYd6Ax3SWhwKhsXLmAPkYOevy8XVt1VfCPUKzXRmJnxWLZpGO6aLD9gzWRcQJCAMua2IEegGkS99hpdyfE32e6rLcgrbeaEdVXwj1Cjqq+EeoUbk+Jvs91G5Pib7PdTk5HVV8I9QpvEYZcjcI809g7jTm5Pib7PdSMREcjcTeae7uPooQlDCr4R6hXeqr4R6hQIj4m+z3Ubk+Jvs91CEdVXwj1Cjqq+EeoUbk+Jvs91G5Pib7PdQhHVV8I9Qo6qvhHqFG5Pib7PdRuT4m+z3UIWXgkIwsIdgFkEUa2WTNmcqF4o3BU5iOIWt3iuJjA+HkWPKFWEsBu2W6OJMrqS+obK+p1JBJ569wblsNGrIymN4VN2jBEkUkbBDdu1lUenMLcxTcWD3UMwGZ7QiHUxcCxLIVU5WuWAlJJ5m4074k4ppu2pHRz8gf12I/15qjt21I6OHyJ/XYj/AF5qyfjX/Cp/z+zlV0dzz3KTtTDCSJkLZQ1teRFiDoQQRy5g6VTYnourMPKX/KaNd2Oe1rsz3NgAmvNAFNTtvbMabdhcnA7MS6h1/JyKOA8+Jh9tUg6POBKBG12iyob4ci/V0iszld7fMpFwQOXZeuBsnJZhUjMx6LXPcpi9EQCbyaFswstivBMq21sMplBU20EajutyDoooWwkF8uUMq2K3318nFw33g0/oemnsVhJ5ZVlyqgi82NwGLhvynGkmRcynKLhrFSdL00vR9kIaNI0ZDiHW1gCzyh0U2HJo7oe7NU3CvIxqYnu7fTL8CIS36NguhLouWNkyIhReLei6KHut95qL65F5EC1rsjCbqJUuGy31VQo1JNgo5WvaqSPYLLOWKl8wUlxuQC3EXLF13q3Yk8B0BFuVT+j+AMWa6BAQoF8mY5c17mKykC4sxAY635CobQS6mZfOWGH5tShJ6b//AIzGf2Wf/TaoGw8Oq4eIqAC0UZY9pORdSe2p/Tc/+mYz+yz/AOm1RNk/yeH9TF/kWu1+CP7VXvH0WXpH9Klim9hxzmBcjxBbvYNG5PnvzIkAPqFOU3sLGyLAoEDsAXswaKx431GZwfWKufGc6tTiOdtjcd6j0fzndyn7rE/OQ/sn++qLtPDTNEyu0bKRYhIpQxFxpwTA/Tra176XqV/GUv5tJ7UP3lM4rFyuhXq8i3Fr3gb6irSWIPK3przWmXhwPJ/1WwqjEXKIXdWGVz5k5YIhUS7w7+5QHKGU3B00NqVhGyxyNnhWMIpYyRS23RDZLZ5z5O2eyiwGugvq3Mto4wVdVZXjU58MA6z5WZU8pbXKMtuQ0ANOYWFXjkj3bzKUWBrSYfhWMMFU5ZPOGY3J9GlaZMMxOE9m/wAp+6ZtS4TKyQFJIyvWFAzLI5vxc2adifov6qf2iDmkMhiIVGEhEM5QeTuwOWfLvN0eds2UgX1AMbD4siOARxF16wCGRsOFJ4rgBJLXqVj2LGZGSRBLGzSJvMMDYpujJxSXChQP6N1B7wes0JPAu/kfsqFp547l2TEMuINjE0xzA5IZTpaDNc7+1rbn/wC3q33eJ+cg/ZSffVRSGGKcO0CoSWyoz4RVDMILlVMg4rRpy14/oq8/jCX82k9uD72tlypuVVKhEkwaSElIs8oMc7KscmckWM5UBsjEqvOykjVaYiwzKyMQFJdQWeLEHjDBY96zYkhyGsFvmym3m0sQB5MQFjlLSpkmQTwNlDbz5JlJQkOQO4AWFNYW6SRgA6uzCINhFV2WyEogl0KhLaXscx5nRyerfoeJN9j8xQnraXIUgfyXB8gXPZbtNaWz96+o/FWa6HzMZseTGVJxaaEqSPxXB8yGI5a6GtLvT4D6199TtyVluQRZ+9fUfios/evqPxUb0+A+tffRvT4D6199KnIs/evqPxUjEBsjar5p7D3H+lS96fAfWvvpGIkORuE+ae1e4+mhCWA3evqPxUWfvX1H4qBKfCfWvvo3p8B9a++hCLP3r6j8VFn719R+KjenwH1r76N6fAfWvvoQiz96+o/FRZ+9fUfio3p8B9a++jenwH1r76ELK4eNHwsC9qtBJco7ao6O7BspuxAbivqWNzqacdVjixNtBIXcARuOcUaG/CBcsjG/pohiLYXD5SQVbDMcrZbqrxl82ouuTNcdtu3lTcK+TxJySRgowCvc3KiW8lyTctfX0Kl9bgRBOKZNU+L2AzMTHi8VACSSkTrlzMzMzWdWIJJOgNvRVwaK3KtnpVmxVaHDtErGY9zMWmFQfg1N/OOO/aR/d138Gpv5xx37SP7ur6iq/Flj6pvyhSaxV6RVD+DU3844724/u6Pwam/nHHe3H93V9RRxZY+qb8oRrFXpFUP4NTfzjjv2kf3dH4NTfzjjv2kf3dX1FHFlj6pvyhGsVekVm8X0SkkjdH2hjWV1ZWUvHYhgQQfJ8jVzsr+Tw/qY/wDKtSxULY/5BB4Vy+wSv/ipqNmpUDFJobO4QmOqOeOUZU0U3sLa8aQKpz3BflFKw89+RVCD9VOCn+jrjqyajm/+d65D40jVacieV9j3q/o7nO7k5/HsfdJ+xm+7qPj9ppJGyK0iFhbNuJzYdugUHUXGhFr3q23g7xUDbSF4HVWIJy+aMxtmGYABlOq3GhB10udD5nRuXxAIxzn/AItcys/ktBFGPkYZsOxEOIUBXEQLqu6Pm7u2XS9+a8qUsKtBJE7OufDxwApFOTaIOA+sQtfP5utrHU30fxMcjRRgIwIjlUBbgCQlNzIRm0sAxJJOUsRRh8PNuJRGWjkaGMKWN/LAPvHFyfO4OLkefZWxIuzO3eN+eXimLkGNVI4Fbe3GIUnMs8h1z/KaFSfot66kbQcOJ1F8swchmhxBZXaEQAACLTlfPe9mYZdb0YNCsWHDEkjEjzlyHXP8m5/3p/akLnrGUOXaNxE6tZVUxBQvnAX3uY2tfiU3sNOq0JHAOjpn7KhaeeO5R4Y4xiTIHny8RHDiy12GGFmYpxL5JuEkjUac6uTtuL+s/YT/AHdVR2ZK+KvI4aMFmvlIU6YUKFQS8J4ZeLX5WmuuizjvFbLlTcs5s/EbuRyS5RmlIG7xB/KyNJcKYbJluVsCc97kiwFR8NCI5QVLhbi4EWIUKqzzygbsQ2e6y5BcjIRcXNrXGHwqiSZypG8IQAG91AJL2vYFmY69yrVZh8A6NHYNc7lxZjljJkd8QmraDdlEHiC253p8p4Ksuh+MVpseRmscWnNGB/kuCHIi4+sVpusD0+y3urPdEm8vtD+1p/2mCrSZqmbkFZbzQkdYHp9lvdR1gen2W91LzUZqcnJHWB6fZb3U3iJxkbn5p+S3d9FP5qbxB4G/RP7jQhAxA9Pst7q71gen2W91LBozUISOsD0+y3uo6wPT7Le6l5qM1CEjrA9Pst7qOsD0+y3upeajNQhZGOILhcOyqgJfDBrxqxKu8SMLnkSG569v0hmBlZcULxyKkd1ZVjNiwmzKSiLlIyrwG7LfVjm0kYdimGgYZzmMCHyrqFEjIhIA52zDh0+qm49oLOmKCsxWHOgImZ83Abki+gzh1trcLftqIJSmzRQaK6ILERRRRSoRRRRQhFFFFCFw1E2Z5rDummHrkdv/AJVMqHgfPmHdLf2o4m/eTTTmEqmCkbC2TC0Cs0MbMS9yUUk8b8yRrSxTewtlq0CkvKLlzZZZFHnvyUNYVxXxmYstPEjlbO4rS0dz3dysf4jw/wAxD+zT3VX7d2fDHAzJDCDmjF93GMoZ0VmuylRZSTcggWvY1P8A4lXxz/t5fiqPjtmqkbMJJRlBN2nmtYam9mvyvyrzajUAqN5ROOX4VrlUWJEW6jISEHdytfdwkySIUEcd8lmD3YjKFLAArl5V3DRqYJnSGGZ1hRwu6i0lYPni4FFstl4Txa6nUVLxKskaFt4H3LzSL1iawEW7zIpzanjtc6aGmxiQsMkr7+yQxzgJPMSVlD2XiYcQy6nlWqHS3AbfvlnPYmIwGAieKBmjhYnEAEgQuCOPTNEgU+qn9p4eJN/lSBXjjcxx7mI5lWEOJfMzDyl1zXycOW1zekRYTeJA7GdScQoIMswItm7GckfTUrHAoJ2BlKwK174mYMXWITCwzEWsyr38zyGvVaEM0XfzPhkqFp547lFOAL4rd7iGNQWJCrCeFRhflvhzfWR+Gy/paVof4lw/zEP7JPhqhbEFp91H1jmwu8mKB4RAdUGqi8vnHTh9NWO1cFuoXkVpmKC9jiJl0HPXMeytlyqOnBQMLh4t/Krx4fIok4t3BlRg/kwLKCDu7khySSpIstiYuGaJngCRxSxSTN5XcRtdN2cqM0UYRGz3fWxCBbi7G1lhYS8jLmlA8tkPWJ7+Qk3JzcXabHTkKhQTsWQMZCGKcS4jEEFZZGjje5NlvlzAMRmDALqKcnq56H4VBNjwqKAMWlgFAAvhcGTYAWGutaXcL4V9QrM9D8KBNjwC5ti01LsTrhcEdSTc/XWm3A729o++p25BWG5BG4Xwr6hRuF8K+oUbgd7e0ffRuB3t7R99KnI3C+FfUKbxEC5G4R5p7B3GnNwO9vaPvpvEQjI2reaflHuPpoQliBfCvqFd3C+FfUK4IB3t7R99d3A729o++hCNwvhX1CjcL4V9Qo3A729o++jcDvb2j76EI3C+FfUKNwvhX1CjcDvb2j76NwO9vaPvoQqPZUQbDQggEZI2171ysp+ogH6QK7jsKiRTFVVS0b5iABfKrKL99gLV2iodqUqoPP66KKK6MLERRRRSoRRRRQhFFFFCEVDw35ab/wDmf+m3/geqiimnMJQpgqR0d/kyfS/+d6KK4j41/wAWn/L7FaWjue7uVjekTRhhZgCNND9Ioory9uBwWwU1Ps+OTV1DWudfq0+g6XHI2F6IdnRpcKgAbzha9xrpr2c9OQuaKKshzspwTSo2Lw6x7hVFgMQlhcnmH76sZdmxuxZkViwKG4vdSLEH6iRfuJHKiiu2+HyTZCT0j9As21c/wS+qoHz5RnN7tbXXJfX+6vsilzQh1KsAVIsQeRBvoaKK6Aqoml2ZGGLBAGYksdddbn1k3PedTrSTsyO6tkF4wAnoC+aLcjbmL8uy1dopUFR+iv5faH9rj/7TBVozRRVpuQVxuS5RRRSpyKRiPMb9E/uNFFCEsUUUUIRRRRQhFFFFCF//2Q=="/>
        <xdr:cNvSpPr>
          <a:spLocks noChangeAspect="1" noChangeArrowheads="1"/>
        </xdr:cNvSpPr>
      </xdr:nvSpPr>
      <xdr:spPr bwMode="auto">
        <a:xfrm>
          <a:off x="2600325" y="4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85724</xdr:colOff>
      <xdr:row>2</xdr:row>
      <xdr:rowOff>133350</xdr:rowOff>
    </xdr:from>
    <xdr:to>
      <xdr:col>6</xdr:col>
      <xdr:colOff>323849</xdr:colOff>
      <xdr:row>13</xdr:row>
      <xdr:rowOff>19050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4049" y="552450"/>
          <a:ext cx="3286125" cy="1733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4</xdr:col>
      <xdr:colOff>304800</xdr:colOff>
      <xdr:row>16</xdr:row>
      <xdr:rowOff>114300</xdr:rowOff>
    </xdr:to>
    <xdr:sp macro="" textlink="">
      <xdr:nvSpPr>
        <xdr:cNvPr id="6145" name="AutoShape 1" descr="data:image/jpeg;base64,/9j/4AAQSkZJRgABAQAAAQABAAD/2wCEAAkGBhAQDxAPDxANDw8PEA8QDxAQDw8PEBAQFBAVFBQQEhQXHCYeGBkjGRIUHy8gIycpLCwsFR4xNTAqNSYrLCkBCQoKDQwOGg8PGi8lHyQ1LCorKjU1NDIuNTYpNSksKiwpKSw1LTQpLCktKSktKSk1NSksNSkqLCwpLCwpLCksLP/AABEIANEA8AMBIgACEQEDEQH/xAAcAAEAAgMBAQEAAAAAAAAAAAAAAQUDBAYHAgj/xABDEAACAQMACAIGBgcGBwAAAAAAAQIDBBEFBhITITFBUXGBFCJhkaGxBzJCUsHRYnKSorLh8CNEY2SCwhUWJHODk/H/xAAYAQEAAwEAAAAAAAAAAAAAAAAAAQMEAv/EACERAQEAAgEEAwEBAAAAAAAAAAABAgMREiFBUQQxYSMT/9oADAMBAAIRAxEAPwD3EAAAAAAAAAAAAAAAAAAAAAAAAAAAAAAAAAAAAAAAAAAAABB8zqJcyZSwsvkirq3WXkDdlcnzvzQ3434G/vz7jc9yt35HpAF1GWSSss7zD2XyfwZZgAAAAAAAADBO5XQw393s+qub5+BoKuBY+kDflfvyd+BYq4M0KqZUqufcbgC2BjoVtpZ95kAAAAAABBIAAADQ0tX2YJfefwRSu4N7WSWFT8Zfgc/KuBvu4I9IK91yN+BY+kEb8rt+RvwLL0g6ezrbdOMu64+JwvpB2GgJZt4P9b5gWIAAAAAQSfM+T8GBy9zebU5Pu3jw6GNVysjXPrfgWauBvyt35PpAFl6QfUbgq1cH0q4HSaIucyce6z5otjmdBVc1l4S+R04AAAAAAIJIAEkEgVOstByoOS5wal5cmcXKuekVIKSaaymmmvYzzfTthK2quLzsSy6cu8e3isgfO+I3xoekH0qwG46pDrGm6xjlcAb++PRtGW+7o04PmorPjzZxOqOiXXqqrJf2VJ5z0lPol3x1PQAAAAAAAQyQB5xpKm6VapTfDZk8eD4o19+dNrnoeU4q4prMoLFRLm4/e8jhlcAWm/G/K30gnfgWKrH3GsVka5nttqclGKcpSeElzbA6/VKk5SnU6RSivF//AD4nUGlonR6oUo0+b5yfeT5m6AAAAAAQSAAIJAEGrpHRtOvTdOrHMXyfWL7p9GbZguruNNZl5Jc2B5xpXVqpb1NnO3GWXCXdLv7TDT0PUOuvbh1pJySSjlRXbuTCkkBxF3YzhzRb6vamzr4qV9qnS5qPKc1+COhqUYSWGk/ItbK/2nsyxno+SYG1b28acVCEVGMVhJckjKAAAAAAAAABDRyGsOo6qN1bbEJvjKm+EJPvHs/gdgVemdOQt6c5fWlFN7Kf8T6Ii3icjy/0KopOMoSjKLxKLTTT7Mzx0ZUfQ17LS11f37cNpUaXrXFdwcYzlj1aVLo+HF+R2cLZdTnDLqnPCJeXLU9FVZSUIxcpSeEl3O/1d1ajbLak9utJcZdI/ox/M0qEYrlz9xZ29+1wb2l7efvO0rYGOlVUllGQAAAAAAgEkAMkkACJywm3ySbZy9a/3snL3exF1pyvsW831a2V5nFaMrvalF9OK8ALapWSMP8AxBcsmC5bZQ3MakJbSeV2A6qFzk2IVO3PmczY6TUvHqi4oXIHWWV1vI/pLhJfibRzVnduElJea7ovqF5GfJ4fZ8wM4IInUS4tpeIH0D4hUUuTT8D7AAGG5uIwi5S5L4+wCu0/pbcw2Yv15L9ldzitYtI7FLHFtx2pd2ui82bGk7t1qyy/rS4+xFJXnv7qjHmp1oyfshTTn7vVivMz78vrCeXGd8Op0VZbqjCHDaSzN95vjJ+9mS4qtGaLMNxDgXzs7aML/wBbGSxoXGTmdJKUJKa5Ln4FnZXOUmSOnsbrZkuz4MukcrbVTodH19qHtjwf4AbQAAAAACABIIAFDrXW9SEO7bfksL5nL2FP+2f6r+aL7XHMXTl9lqUfNPJWaDpbW3UfXEY+C5/gBsTpGhdW6Zc1ImpVgByl5bOD2o8GbNhpTPB8GWF5bZKG4tHF5QHRw0jjqbVHS/dmhobVWdzQ3sK2zLalFxnHK4Y6rxMV5q3e0Vnd7yK5uk9p/s8/gB1Nrp9rqmuzFzpHbeX5LojirS6bLajXAtrW/mqy2WsNPaT68sG8tZoxm4VFxxlNfFM5a83ialTaT65NKdGo3vG8y6r8gOwuNZn9jZj7ebKW90vKX1pt+LOfrXUuUdpvsk2/cjXlRuZcqNw/ClU/IDfq3PGTz9nC8+H5mtoaO1ex/wAKhN+c5RXygz4lY1qWN/CVNzW1GMuD2VlZx045Mmri/wCruJdoUYfxS/3GC3q+Tx6U/ex1ikfM5hMhxN65WaSp5iyv0PVazF5wnhPp3wXF1DgaOisLf03ze7qw8YNqX7s/gBdW+S40Vc4qKP3uBWUeRt6LjmvD2ZfwA6UAAAABABIAgACs1isN9bzilmUfXj4r+WSjt5xpwjBdFjz6nW1Y5i13TXwPPPSuLT5p49wFrKufLeTTp1cmzFgfFWBVXdFFvNlddIDqNSaWza5+9Um18F+Bfmroq03VCnT6xis/rc38TbA5HWfVltu4t45lzq019r9KPt7o5qhdcM4ePBnqWDj9Y9EzouValFyoybdSCWXBvnJL7vyAoZXeTXr3WEYqcZVKijQhKo5fZis48X0Rd2Wo9zUqJ3GzSprnszUptdljgvEC51Dt1uJVXFKU6jSlji4pJe7OTpzHbW0acIwglGEViKXRGVgcBr9n0in/ANpY/akcxqlUbq3FTOYzqeo/0YxUPmpM6v6SbeTdKUXhyp1IZ7NNNP8AeZyuhoqkthclhIy69Vm3LO+VeOPGVrrqbMppUKps7w1LGGuihry2aia748i6uamEYLDQjqyVSfqwTyl1l/IC5tKbcSw0NS/tm30g/mj5hKKWDNa1lGSfk/AC6BCZIAAACAAAAA+a08Rk+0W/cjx+F7JuT482/LJ6/WhtRlHvFr3o8xVoozaxjG0mvwAyWdfJaU5lBRexLHR8i3t6gG1Ix21NOtST5OpD+I+8kW7xWpP/ABIfxIDugAAIaJAGOlbxj9WMY557KSyfZIAAADnteLPeWrklxpSUvJ8GeaSm08ns9zQVSEoS+rOLi/BrB5Be2jpznTkvWhJxfigLewr5in7DddQptFyxHHZmtpzXChaVYUZxqSnUjteolhLOFnP9cALO5uFtLPLKybV9rJGnDK6Lp2Rx+k9cbRbt7c25xU8Rg5bCfJSfcra2t9rOMk5zWYtRzTn158vZ8yOR6RaaRcoqTeG+ODcp6UXVnmFPW+guCrY/0zX4Gzb61UpShFXFNbclHLziOXzlw4Ike06IvVOOznLj8iwKPV+2oUKfC4p1ZTScp7ccNdFHjy4lxGvF8pRfhJMDIAABBJAEkAkCGctrBojZm60dnZm/WXVSfVexnUlJrNWxGEO7cn5cF82Bwt7TxxM9lcZSZj0hNGDQz2nJdsMC+pyPmU8Si+0ov4oR4GCctqcI95RXvaQHooAAAAAAAAAAHA696N2K0ayXq1ViX68fzXyO+KrWXR2/tpxSzKK24frR6e7KA83sXhteBwGvtTOkV7KNP/czvKM8SR5zrtPOkZPtSiv3JfmBRwfBEMiHJGSjS25KKaTbwm3hEQfEI5aXdrpnzLDSWi6dGC9fbnJrZxjGz1fy5l/Yag6Qo1U52zlFppuE4S2ez5/1kwax6OrqKpbmo5J5fqv1OWcp9WT/AJ529o0Y46LqueWzizx7cqqjSwpSS7JtG9oS+rRurbYq1ot3FCPq1JrhKrGLXPszRrUpQeJRlF9mmmberkc31iu97Zr33ECOPbPLL3j9ckgEgQAABJAEnI6yXOakl931fzOqrVVGLk+SWTg9KVG22+bbb8wKK/qGfQVB4nU+zlQz3fP+vE1bmPE6DR0F6LSjHmpVJT/WbSXwSA+JSIsVm4or/Fh/Ej7nTFp6tWnJ8ozi34J8QPQQYXd019uHvRkjJPimmvYB9AAAAAAAAEMSkksvCXdmt/xSjnG9p5/WQHmmm7RU7itFcEqksLsm8pfE8n1sqZv6z7RS/c/mexaemp16s48VKTw/ZyPFdZJ5vrr2PH7kfzA0I8joNB07fZi3Haq5zw4tPPRZOcUjPYXUadWFSSbUHnC6sjhbq2TXl1WS/lemy1pvIJ5q3C58J0U/nAstNaOp7ipd+lSrVVTU2k6S2njkkuRSw+mXP16EP3vzZV6Q+kSFWo5qGxnHqqGenPi1k7w2bNPfG21R8zPD5En8pOPTl9P3jqVcvD2YpLDz8cH1qhDa0no5f561f7NaMv8AaYNN6U9Iq7zGOCXJLOOrN/6PobWl9HL/ADUX7oyf4EXK5Xqy+zCTHGSTj8fq0EEkOgEEgCAAKPT2kMPd55LMvPkcreXKb5nc3mhaFV7VSGZPhtJyT+DKytqPaS6VV4VJAcMo7c4xXOTSR1lCjCEFFckv6Zlp/R/bxkpwqV1JcsyUl8TNW1Vm/q3DXjDP4gV1SKPmnBLibFTVG6+zc0vOnJfia89UL3pcUf2ZID7lWiux96O01sVoRz6s5KLXjyZq/wDJN4+dxSX+mTLPQupu5qKpWq76UeMYqOzFPu+4HTgAAAAAAA5fWrSLjUjTzhbO1ju23+RzFa4TO501q5RusOe1GaWFODw8dn3Ofn9HDzlXU/OCA04U4Rj0curPM9YNSKlS7rV4zp7urJNxe0pY4J8V7Eeq3mp95F/2U6VWP6TdOS8sNGlU1Ov39ih/7f5AeO32pVxvJblUt3n1VKrLaXs+qastTL37tF/+X+R7M9R777lF+FVfkStR75/YoLxq/kgPKNF/RdpS5jKVGlQkoPEs3EItNrK4M2pfQzptf3Wk/C6o/me6ao6uVbR1JVZU26iilGDk0tlvi20u50gH5il9EGml/c15V6L/ABLvUH6NtKW+lLOvcWkqdGjUlOc3Om0lu5RXJ55tH6CAAAAQBkASQABIIySABGQAJAAAAAAAAAAAAAAAAAAAAAAAAAAAACAAAAAAAAQAAJAAEgAAAAAAAAAAAAAAAAAAAAAAAAAD/9k="/>
        <xdr:cNvSpPr>
          <a:spLocks noChangeAspect="1" noChangeArrowheads="1"/>
        </xdr:cNvSpPr>
      </xdr:nvSpPr>
      <xdr:spPr bwMode="auto">
        <a:xfrm>
          <a:off x="4933950" y="250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304800</xdr:colOff>
      <xdr:row>5</xdr:row>
      <xdr:rowOff>76200</xdr:rowOff>
    </xdr:to>
    <xdr:sp macro="" textlink="">
      <xdr:nvSpPr>
        <xdr:cNvPr id="6146" name="AutoShape 2" descr="data:image/jpeg;base64,/9j/4AAQSkZJRgABAQAAAQABAAD/2wCEAAkGBhAQDxAPDxANDw8PEA8QDxAQDw8PEBAQFBAVFBQQEhQXHCYeGBkjGRIUHy8gIycpLCwsFR4xNTAqNSYrLCkBCQoKDQwOGg8PGi8lHyQ1LCorKjU1NDIuNTYpNSksKiwpKSw1LTQpLCktKSktKSk1NSksNSkqLCwpLCwpLCksLP/AABEIANEA8AMBIgACEQEDEQH/xAAcAAEAAgMBAQEAAAAAAAAAAAAAAQUDBAYHAgj/xABDEAACAQMACAIGBgcGBwAAAAAAAQIDBBEFBhITITFBUXGBFCJhkaGxBzJCUsHRYnKSorLh8CNEY2SCwhUWJHODk/H/xAAYAQEAAwEAAAAAAAAAAAAAAAAAAQMEAv/EACERAQEAAgEEAwEBAAAAAAAAAAABAgMREiFBUQQxYSMT/9oADAMBAAIRAxEAPwD3EAAAAAAAAAAAAAAAAAAAAAAAAAAAAAAAAAAAAAAAAAAAABB8zqJcyZSwsvkirq3WXkDdlcnzvzQ3434G/vz7jc9yt35HpAF1GWSSss7zD2XyfwZZgAAAAAAAADBO5XQw393s+qub5+BoKuBY+kDflfvyd+BYq4M0KqZUqufcbgC2BjoVtpZ95kAAAAAABBIAAADQ0tX2YJfefwRSu4N7WSWFT8Zfgc/KuBvu4I9IK91yN+BY+kEb8rt+RvwLL0g6ezrbdOMu64+JwvpB2GgJZt4P9b5gWIAAAAAQSfM+T8GBy9zebU5Pu3jw6GNVysjXPrfgWauBvyt35PpAFl6QfUbgq1cH0q4HSaIucyce6z5otjmdBVc1l4S+R04AAAAAAIJIAEkEgVOstByoOS5wal5cmcXKuekVIKSaaymmmvYzzfTthK2quLzsSy6cu8e3isgfO+I3xoekH0qwG46pDrGm6xjlcAb++PRtGW+7o04PmorPjzZxOqOiXXqqrJf2VJ5z0lPol3x1PQAAAAAAAQyQB5xpKm6VapTfDZk8eD4o19+dNrnoeU4q4prMoLFRLm4/e8jhlcAWm/G/K30gnfgWKrH3GsVka5nttqclGKcpSeElzbA6/VKk5SnU6RSivF//AD4nUGlonR6oUo0+b5yfeT5m6AAAAAAQSAAIJAEGrpHRtOvTdOrHMXyfWL7p9GbZguruNNZl5Jc2B5xpXVqpb1NnO3GWXCXdLv7TDT0PUOuvbh1pJySSjlRXbuTCkkBxF3YzhzRb6vamzr4qV9qnS5qPKc1+COhqUYSWGk/ItbK/2nsyxno+SYG1b28acVCEVGMVhJckjKAAAAAAAAABDRyGsOo6qN1bbEJvjKm+EJPvHs/gdgVemdOQt6c5fWlFN7Kf8T6Ii3icjy/0KopOMoSjKLxKLTTT7Mzx0ZUfQ17LS11f37cNpUaXrXFdwcYzlj1aVLo+HF+R2cLZdTnDLqnPCJeXLU9FVZSUIxcpSeEl3O/1d1ajbLak9utJcZdI/ox/M0qEYrlz9xZ29+1wb2l7efvO0rYGOlVUllGQAAAAAAgEkAMkkACJywm3ySbZy9a/3snL3exF1pyvsW831a2V5nFaMrvalF9OK8ALapWSMP8AxBcsmC5bZQ3MakJbSeV2A6qFzk2IVO3PmczY6TUvHqi4oXIHWWV1vI/pLhJfibRzVnduElJea7ovqF5GfJ4fZ8wM4IInUS4tpeIH0D4hUUuTT8D7AAGG5uIwi5S5L4+wCu0/pbcw2Yv15L9ldzitYtI7FLHFtx2pd2ui82bGk7t1qyy/rS4+xFJXnv7qjHmp1oyfshTTn7vVivMz78vrCeXGd8Op0VZbqjCHDaSzN95vjJ+9mS4qtGaLMNxDgXzs7aML/wBbGSxoXGTmdJKUJKa5Ln4FnZXOUmSOnsbrZkuz4MukcrbVTodH19qHtjwf4AbQAAAAACABIIAFDrXW9SEO7bfksL5nL2FP+2f6r+aL7XHMXTl9lqUfNPJWaDpbW3UfXEY+C5/gBsTpGhdW6Zc1ImpVgByl5bOD2o8GbNhpTPB8GWF5bZKG4tHF5QHRw0jjqbVHS/dmhobVWdzQ3sK2zLalFxnHK4Y6rxMV5q3e0Vnd7yK5uk9p/s8/gB1Nrp9rqmuzFzpHbeX5LojirS6bLajXAtrW/mqy2WsNPaT68sG8tZoxm4VFxxlNfFM5a83ialTaT65NKdGo3vG8y6r8gOwuNZn9jZj7ebKW90vKX1pt+LOfrXUuUdpvsk2/cjXlRuZcqNw/ClU/IDfq3PGTz9nC8+H5mtoaO1ex/wAKhN+c5RXygz4lY1qWN/CVNzW1GMuD2VlZx045Mmri/wCruJdoUYfxS/3GC3q+Tx6U/ex1ikfM5hMhxN65WaSp5iyv0PVazF5wnhPp3wXF1DgaOisLf03ze7qw8YNqX7s/gBdW+S40Vc4qKP3uBWUeRt6LjmvD2ZfwA6UAAAABABIAgACs1isN9bzilmUfXj4r+WSjt5xpwjBdFjz6nW1Y5i13TXwPPPSuLT5p49wFrKufLeTTp1cmzFgfFWBVXdFFvNlddIDqNSaWza5+9Um18F+Bfmroq03VCnT6xis/rc38TbA5HWfVltu4t45lzq019r9KPt7o5qhdcM4ePBnqWDj9Y9EzouValFyoybdSCWXBvnJL7vyAoZXeTXr3WEYqcZVKijQhKo5fZis48X0Rd2Wo9zUqJ3GzSprnszUptdljgvEC51Dt1uJVXFKU6jSlji4pJe7OTpzHbW0acIwglGEViKXRGVgcBr9n0in/ANpY/akcxqlUbq3FTOYzqeo/0YxUPmpM6v6SbeTdKUXhyp1IZ7NNNP8AeZyuhoqkthclhIy69Vm3LO+VeOPGVrrqbMppUKps7w1LGGuihry2aia748i6uamEYLDQjqyVSfqwTyl1l/IC5tKbcSw0NS/tm30g/mj5hKKWDNa1lGSfk/AC6BCZIAAACAAAAA+a08Rk+0W/cjx+F7JuT482/LJ6/WhtRlHvFr3o8xVoozaxjG0mvwAyWdfJaU5lBRexLHR8i3t6gG1Ix21NOtST5OpD+I+8kW7xWpP/ABIfxIDugAAIaJAGOlbxj9WMY557KSyfZIAAADnteLPeWrklxpSUvJ8GeaSm08ns9zQVSEoS+rOLi/BrB5Be2jpznTkvWhJxfigLewr5in7DddQptFyxHHZmtpzXChaVYUZxqSnUjteolhLOFnP9cALO5uFtLPLKybV9rJGnDK6Lp2Rx+k9cbRbt7c25xU8Rg5bCfJSfcra2t9rOMk5zWYtRzTn158vZ8yOR6RaaRcoqTeG+ODcp6UXVnmFPW+guCrY/0zX4Gzb61UpShFXFNbclHLziOXzlw4Ike06IvVOOznLj8iwKPV+2oUKfC4p1ZTScp7ccNdFHjy4lxGvF8pRfhJMDIAABBJAEkAkCGctrBojZm60dnZm/WXVSfVexnUlJrNWxGEO7cn5cF82Bwt7TxxM9lcZSZj0hNGDQz2nJdsMC+pyPmU8Si+0ov4oR4GCctqcI95RXvaQHooAAAAAAAAAAHA696N2K0ayXq1ViX68fzXyO+KrWXR2/tpxSzKK24frR6e7KA83sXhteBwGvtTOkV7KNP/czvKM8SR5zrtPOkZPtSiv3JfmBRwfBEMiHJGSjS25KKaTbwm3hEQfEI5aXdrpnzLDSWi6dGC9fbnJrZxjGz1fy5l/Yag6Qo1U52zlFppuE4S2ez5/1kwax6OrqKpbmo5J5fqv1OWcp9WT/AJ529o0Y46LqueWzizx7cqqjSwpSS7JtG9oS+rRurbYq1ot3FCPq1JrhKrGLXPszRrUpQeJRlF9mmmberkc31iu97Zr33ECOPbPLL3j9ckgEgQAABJAEnI6yXOakl931fzOqrVVGLk+SWTg9KVG22+bbb8wKK/qGfQVB4nU+zlQz3fP+vE1bmPE6DR0F6LSjHmpVJT/WbSXwSA+JSIsVm4or/Fh/Ej7nTFp6tWnJ8ozi34J8QPQQYXd019uHvRkjJPimmvYB9AAAAAAAAEMSkksvCXdmt/xSjnG9p5/WQHmmm7RU7itFcEqksLsm8pfE8n1sqZv6z7RS/c/mexaemp16s48VKTw/ZyPFdZJ5vrr2PH7kfzA0I8joNB07fZi3Haq5zw4tPPRZOcUjPYXUadWFSSbUHnC6sjhbq2TXl1WS/lemy1pvIJ5q3C58J0U/nAstNaOp7ipd+lSrVVTU2k6S2njkkuRSw+mXP16EP3vzZV6Q+kSFWo5qGxnHqqGenPi1k7w2bNPfG21R8zPD5En8pOPTl9P3jqVcvD2YpLDz8cH1qhDa0no5f561f7NaMv8AaYNN6U9Iq7zGOCXJLOOrN/6PobWl9HL/ADUX7oyf4EXK5Xqy+zCTHGSTj8fq0EEkOgEEgCAAKPT2kMPd55LMvPkcreXKb5nc3mhaFV7VSGZPhtJyT+DKytqPaS6VV4VJAcMo7c4xXOTSR1lCjCEFFckv6Zlp/R/bxkpwqV1JcsyUl8TNW1Vm/q3DXjDP4gV1SKPmnBLibFTVG6+zc0vOnJfia89UL3pcUf2ZID7lWiux96O01sVoRz6s5KLXjyZq/wDJN4+dxSX+mTLPQupu5qKpWq76UeMYqOzFPu+4HTgAAAAAAA5fWrSLjUjTzhbO1ju23+RzFa4TO501q5RusOe1GaWFODw8dn3Ofn9HDzlXU/OCA04U4Rj0curPM9YNSKlS7rV4zp7urJNxe0pY4J8V7Eeq3mp95F/2U6VWP6TdOS8sNGlU1Ov39ih/7f5AeO32pVxvJblUt3n1VKrLaXs+qastTL37tF/+X+R7M9R777lF+FVfkStR75/YoLxq/kgPKNF/RdpS5jKVGlQkoPEs3EItNrK4M2pfQzptf3Wk/C6o/me6ao6uVbR1JVZU26iilGDk0tlvi20u50gH5il9EGml/c15V6L/ABLvUH6NtKW+lLOvcWkqdGjUlOc3Om0lu5RXJ55tH6CAAAAQBkASQABIIySABGQAJAAAAAAAAAAAAAAAAAAAAAAAAAAAACAAAAAAAAQAAJAAEgAAAAAAAAAAAAAAAAAAAAAAAAAD/9k="/>
        <xdr:cNvSpPr>
          <a:spLocks noChangeAspect="1" noChangeArrowheads="1"/>
        </xdr:cNvSpPr>
      </xdr:nvSpPr>
      <xdr:spPr bwMode="auto">
        <a:xfrm>
          <a:off x="4933950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333375</xdr:colOff>
      <xdr:row>2</xdr:row>
      <xdr:rowOff>38100</xdr:rowOff>
    </xdr:from>
    <xdr:to>
      <xdr:col>4</xdr:col>
      <xdr:colOff>1552288</xdr:colOff>
      <xdr:row>7</xdr:row>
      <xdr:rowOff>148471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5" y="38100"/>
          <a:ext cx="1218913" cy="10819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12887</xdr:colOff>
      <xdr:row>3</xdr:row>
      <xdr:rowOff>5603</xdr:rowOff>
    </xdr:to>
    <xdr:sp macro="" textlink="">
      <xdr:nvSpPr>
        <xdr:cNvPr id="8" name="Flèche gauche 7">
          <a:hlinkClick xmlns:r="http://schemas.openxmlformats.org/officeDocument/2006/relationships" r:id="rId2"/>
        </xdr:cNvPr>
        <xdr:cNvSpPr/>
      </xdr:nvSpPr>
      <xdr:spPr>
        <a:xfrm>
          <a:off x="0" y="0"/>
          <a:ext cx="1133475" cy="476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ysClr val="windowText" lastClr="000000"/>
              </a:solidFill>
            </a:rPr>
            <a:t>SOMMAIRE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0</xdr:rowOff>
    </xdr:from>
    <xdr:to>
      <xdr:col>2</xdr:col>
      <xdr:colOff>1500334</xdr:colOff>
      <xdr:row>5</xdr:row>
      <xdr:rowOff>200025</xdr:rowOff>
    </xdr:to>
    <xdr:pic>
      <xdr:nvPicPr>
        <xdr:cNvPr id="2" name="Image 1" descr="https://encrypted-tbn0.gstatic.com/images?q=tbn:ANd9GcT14zq5s8m4GzEwOw5nad1VZYLp9kYIsdonq--edgMLIX2gYLz_HQ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5" y="0"/>
          <a:ext cx="1347934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1133475</xdr:colOff>
      <xdr:row>2</xdr:row>
      <xdr:rowOff>152400</xdr:rowOff>
    </xdr:to>
    <xdr:sp macro="" textlink="">
      <xdr:nvSpPr>
        <xdr:cNvPr id="3" name="Flèche gauche 2">
          <a:hlinkClick xmlns:r="http://schemas.openxmlformats.org/officeDocument/2006/relationships" r:id="rId2"/>
        </xdr:cNvPr>
        <xdr:cNvSpPr/>
      </xdr:nvSpPr>
      <xdr:spPr>
        <a:xfrm>
          <a:off x="0" y="0"/>
          <a:ext cx="1133475" cy="476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ysClr val="windowText" lastClr="000000"/>
              </a:solidFill>
            </a:rPr>
            <a:t>SOMMAIRE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1133475</xdr:colOff>
      <xdr:row>2</xdr:row>
      <xdr:rowOff>152400</xdr:rowOff>
    </xdr:to>
    <xdr:sp macro="" textlink="">
      <xdr:nvSpPr>
        <xdr:cNvPr id="2" name="Flèche gauche 1">
          <a:hlinkClick xmlns:r="http://schemas.openxmlformats.org/officeDocument/2006/relationships" r:id="rId1"/>
        </xdr:cNvPr>
        <xdr:cNvSpPr/>
      </xdr:nvSpPr>
      <xdr:spPr>
        <a:xfrm>
          <a:off x="0" y="0"/>
          <a:ext cx="1133475" cy="476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ysClr val="windowText" lastClr="000000"/>
              </a:solidFill>
            </a:rPr>
            <a:t>SOMMAIRE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1133475</xdr:colOff>
      <xdr:row>2</xdr:row>
      <xdr:rowOff>95250</xdr:rowOff>
    </xdr:to>
    <xdr:sp macro="" textlink="">
      <xdr:nvSpPr>
        <xdr:cNvPr id="3" name="Flèche gauche 2">
          <a:hlinkClick xmlns:r="http://schemas.openxmlformats.org/officeDocument/2006/relationships" r:id="rId1"/>
        </xdr:cNvPr>
        <xdr:cNvSpPr/>
      </xdr:nvSpPr>
      <xdr:spPr>
        <a:xfrm>
          <a:off x="0" y="0"/>
          <a:ext cx="1133475" cy="476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ysClr val="windowText" lastClr="000000"/>
              </a:solidFill>
            </a:rPr>
            <a:t>SOMMAIRE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zoomScaleNormal="100" workbookViewId="0">
      <selection activeCell="A7" sqref="A7"/>
    </sheetView>
  </sheetViews>
  <sheetFormatPr baseColWidth="10" defaultRowHeight="12.75"/>
  <cols>
    <col min="1" max="1" width="16.140625" bestFit="1" customWidth="1"/>
  </cols>
  <sheetData>
    <row r="1" spans="1:1" ht="20.25">
      <c r="A1" s="23" t="s">
        <v>29</v>
      </c>
    </row>
    <row r="5" spans="1:1" ht="18">
      <c r="A5" s="9" t="s">
        <v>14</v>
      </c>
    </row>
    <row r="7" spans="1:1">
      <c r="A7" s="22" t="s">
        <v>27</v>
      </c>
    </row>
    <row r="8" spans="1:1">
      <c r="A8" s="22" t="s">
        <v>3</v>
      </c>
    </row>
    <row r="9" spans="1:1">
      <c r="A9" s="22" t="s">
        <v>26</v>
      </c>
    </row>
    <row r="10" spans="1:1">
      <c r="A10" s="22" t="s">
        <v>52</v>
      </c>
    </row>
    <row r="11" spans="1:1">
      <c r="A11" s="22" t="s">
        <v>64</v>
      </c>
    </row>
  </sheetData>
  <hyperlinks>
    <hyperlink ref="A7" location="'Exercice en live'!A1" display="Exercice en live"/>
    <hyperlink ref="A8" location="'Exo 1'!A1" display="Exercice 1"/>
    <hyperlink ref="A9" location="' exo 2 '!A1" display="Exercice 2"/>
    <hyperlink ref="A10" location="'Exo 3'!A1" display="Exercice 3"/>
    <hyperlink ref="A11" location="'Exo 4'!A1" display="Exercice 4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22"/>
  <sheetViews>
    <sheetView tabSelected="1" zoomScaleNormal="100" workbookViewId="0">
      <selection activeCell="C22" sqref="C22"/>
    </sheetView>
  </sheetViews>
  <sheetFormatPr baseColWidth="10" defaultRowHeight="12.75"/>
  <cols>
    <col min="1" max="1" width="16.85546875" bestFit="1" customWidth="1"/>
    <col min="2" max="2" width="17.28515625" customWidth="1"/>
    <col min="3" max="3" width="25.7109375" customWidth="1"/>
    <col min="4" max="4" width="14.140625" bestFit="1" customWidth="1"/>
    <col min="5" max="5" width="26.7109375" customWidth="1"/>
  </cols>
  <sheetData>
    <row r="5" spans="1:5" ht="18">
      <c r="A5" s="9" t="s">
        <v>3</v>
      </c>
      <c r="B5" s="1"/>
      <c r="C5" s="1"/>
    </row>
    <row r="6" spans="1:5" ht="18">
      <c r="A6" s="9"/>
      <c r="B6" s="1"/>
      <c r="C6" s="1"/>
    </row>
    <row r="7" spans="1:5" ht="15">
      <c r="A7" s="1" t="s">
        <v>13</v>
      </c>
      <c r="B7" s="1"/>
      <c r="C7" s="1"/>
    </row>
    <row r="8" spans="1:5" ht="15">
      <c r="A8" s="1" t="s">
        <v>10</v>
      </c>
      <c r="B8" s="1"/>
      <c r="C8" s="1"/>
    </row>
    <row r="9" spans="1:5" ht="15">
      <c r="A9" s="1"/>
      <c r="B9" s="1"/>
      <c r="C9" s="1"/>
    </row>
    <row r="10" spans="1:5" ht="15">
      <c r="A10" s="1"/>
      <c r="B10" s="1"/>
      <c r="C10" s="1"/>
    </row>
    <row r="11" spans="1:5" ht="15.75">
      <c r="A11" s="2"/>
      <c r="B11" s="3" t="s">
        <v>7</v>
      </c>
      <c r="C11" s="3" t="s">
        <v>8</v>
      </c>
      <c r="D11" s="3" t="s">
        <v>9</v>
      </c>
      <c r="E11" s="3" t="s">
        <v>12</v>
      </c>
    </row>
    <row r="12" spans="1:5" ht="15">
      <c r="A12" s="4" t="s">
        <v>4</v>
      </c>
      <c r="B12" s="5">
        <v>15000</v>
      </c>
      <c r="C12" s="5">
        <v>23000</v>
      </c>
      <c r="D12" s="5">
        <v>11000</v>
      </c>
      <c r="E12" s="10"/>
    </row>
    <row r="13" spans="1:5" ht="15">
      <c r="A13" s="4" t="s">
        <v>5</v>
      </c>
      <c r="B13" s="5">
        <v>22000</v>
      </c>
      <c r="C13" s="5">
        <v>40000</v>
      </c>
      <c r="D13" s="5">
        <v>8000</v>
      </c>
      <c r="E13" s="10"/>
    </row>
    <row r="14" spans="1:5" ht="15">
      <c r="A14" s="4" t="s">
        <v>6</v>
      </c>
      <c r="B14" s="5">
        <v>5000</v>
      </c>
      <c r="C14" s="5">
        <v>70000</v>
      </c>
      <c r="D14" s="5">
        <v>35000</v>
      </c>
      <c r="E14" s="10"/>
    </row>
    <row r="15" spans="1:5" ht="15">
      <c r="A15" s="24" t="s">
        <v>11</v>
      </c>
      <c r="B15" s="10"/>
      <c r="C15" s="10"/>
      <c r="D15" s="10"/>
      <c r="E15" s="10"/>
    </row>
    <row r="16" spans="1:5" ht="15">
      <c r="A16" s="6" t="s">
        <v>1</v>
      </c>
      <c r="B16" s="10"/>
      <c r="C16" s="10"/>
      <c r="D16" s="10"/>
    </row>
    <row r="17" spans="1:5" ht="15">
      <c r="A17" s="1"/>
      <c r="B17" s="1"/>
      <c r="C17" s="1"/>
    </row>
    <row r="18" spans="1:5" ht="15">
      <c r="A18" s="1"/>
      <c r="B18" s="1"/>
      <c r="C18" s="1"/>
    </row>
    <row r="19" spans="1:5" ht="15.75">
      <c r="A19" s="1"/>
      <c r="B19" s="7" t="s">
        <v>2</v>
      </c>
      <c r="C19" s="8">
        <v>0.2</v>
      </c>
    </row>
    <row r="20" spans="1:5" ht="15">
      <c r="A20" s="1"/>
      <c r="B20" s="1"/>
      <c r="C20" s="1"/>
    </row>
    <row r="21" spans="1:5" ht="13.5" thickBot="1"/>
    <row r="22" spans="1:5" ht="60.75" customHeight="1" thickBot="1">
      <c r="D22" s="73" t="s">
        <v>28</v>
      </c>
      <c r="E22" s="74"/>
    </row>
  </sheetData>
  <mergeCells count="1">
    <mergeCell ref="D22:E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27"/>
  <sheetViews>
    <sheetView topLeftCell="A4" zoomScaleNormal="100" workbookViewId="0">
      <selection activeCell="A19" sqref="A19"/>
    </sheetView>
  </sheetViews>
  <sheetFormatPr baseColWidth="10" defaultRowHeight="12.75"/>
  <cols>
    <col min="1" max="1" width="20.85546875" customWidth="1"/>
    <col min="2" max="2" width="19.85546875" customWidth="1"/>
    <col min="3" max="3" width="25.140625" customWidth="1"/>
  </cols>
  <sheetData>
    <row r="6" spans="1:3" ht="18">
      <c r="A6" s="9" t="s">
        <v>26</v>
      </c>
    </row>
    <row r="7" spans="1:3" ht="45" customHeight="1">
      <c r="A7" s="75" t="s">
        <v>15</v>
      </c>
      <c r="B7" s="75"/>
      <c r="C7" s="75"/>
    </row>
    <row r="8" spans="1:3" ht="15.75">
      <c r="A8" s="21"/>
      <c r="B8" s="21"/>
      <c r="C8" s="21"/>
    </row>
    <row r="9" spans="1:3" ht="15">
      <c r="A9" s="1"/>
      <c r="B9" s="1"/>
      <c r="C9" s="1"/>
    </row>
    <row r="10" spans="1:3" ht="15.75">
      <c r="A10" s="11" t="s">
        <v>16</v>
      </c>
      <c r="B10" s="12" t="s">
        <v>17</v>
      </c>
      <c r="C10" s="13" t="s">
        <v>18</v>
      </c>
    </row>
    <row r="11" spans="1:3" ht="16.5">
      <c r="A11" s="14" t="s">
        <v>19</v>
      </c>
      <c r="B11" s="15">
        <v>100</v>
      </c>
      <c r="C11" s="16"/>
    </row>
    <row r="12" spans="1:3" ht="16.5">
      <c r="A12" s="14" t="s">
        <v>20</v>
      </c>
      <c r="B12" s="15">
        <v>350</v>
      </c>
      <c r="C12" s="16"/>
    </row>
    <row r="13" spans="1:3" ht="16.5">
      <c r="A13" s="14" t="s">
        <v>21</v>
      </c>
      <c r="B13" s="15">
        <v>420</v>
      </c>
      <c r="C13" s="16"/>
    </row>
    <row r="14" spans="1:3" ht="16.5">
      <c r="A14" s="14" t="s">
        <v>22</v>
      </c>
      <c r="B14" s="15">
        <v>860</v>
      </c>
      <c r="C14" s="16"/>
    </row>
    <row r="15" spans="1:3" ht="16.5">
      <c r="A15" s="14" t="s">
        <v>23</v>
      </c>
      <c r="B15" s="15">
        <v>730</v>
      </c>
      <c r="C15" s="16"/>
    </row>
    <row r="16" spans="1:3" ht="16.5">
      <c r="A16" s="14" t="s">
        <v>24</v>
      </c>
      <c r="B16" s="15">
        <v>560</v>
      </c>
      <c r="C16" s="16"/>
    </row>
    <row r="17" spans="1:3" ht="16.5">
      <c r="A17" s="14" t="s">
        <v>25</v>
      </c>
      <c r="B17" s="17"/>
      <c r="C17" s="16"/>
    </row>
    <row r="18" spans="1:3" ht="15.75">
      <c r="A18" s="18"/>
      <c r="B18" s="18"/>
      <c r="C18" s="1"/>
    </row>
    <row r="19" spans="1:3" ht="15.75">
      <c r="A19" s="18"/>
      <c r="B19" s="18"/>
      <c r="C19" s="1"/>
    </row>
    <row r="20" spans="1:3" ht="15.75">
      <c r="A20" s="14" t="s">
        <v>16</v>
      </c>
      <c r="B20" s="12" t="s">
        <v>17</v>
      </c>
      <c r="C20" s="13" t="s">
        <v>18</v>
      </c>
    </row>
    <row r="21" spans="1:3" ht="16.5">
      <c r="A21" s="14" t="s">
        <v>19</v>
      </c>
      <c r="B21" s="19">
        <v>980</v>
      </c>
      <c r="C21" s="16">
        <f>B21/$B$27</f>
        <v>0.26849315068493151</v>
      </c>
    </row>
    <row r="22" spans="1:3" ht="16.5">
      <c r="A22" s="14" t="s">
        <v>20</v>
      </c>
      <c r="B22" s="19">
        <v>1000</v>
      </c>
      <c r="C22" s="16">
        <f t="shared" ref="C22:C26" si="0">B22/$B$27</f>
        <v>0.27397260273972601</v>
      </c>
    </row>
    <row r="23" spans="1:3" ht="16.5">
      <c r="A23" s="14" t="s">
        <v>21</v>
      </c>
      <c r="B23" s="19">
        <v>190</v>
      </c>
      <c r="C23" s="16">
        <f t="shared" si="0"/>
        <v>5.2054794520547946E-2</v>
      </c>
    </row>
    <row r="24" spans="1:3" ht="16.5">
      <c r="A24" s="14" t="s">
        <v>22</v>
      </c>
      <c r="B24" s="19">
        <v>230</v>
      </c>
      <c r="C24" s="16">
        <f t="shared" si="0"/>
        <v>6.3013698630136991E-2</v>
      </c>
    </row>
    <row r="25" spans="1:3" ht="16.5">
      <c r="A25" s="14" t="s">
        <v>23</v>
      </c>
      <c r="B25" s="19">
        <v>310</v>
      </c>
      <c r="C25" s="16">
        <f t="shared" si="0"/>
        <v>8.4931506849315067E-2</v>
      </c>
    </row>
    <row r="26" spans="1:3" ht="16.5">
      <c r="A26" s="14" t="s">
        <v>24</v>
      </c>
      <c r="B26" s="19">
        <v>940</v>
      </c>
      <c r="C26" s="16">
        <f t="shared" si="0"/>
        <v>0.25753424657534246</v>
      </c>
    </row>
    <row r="27" spans="1:3" ht="15.75">
      <c r="A27" s="14" t="s">
        <v>25</v>
      </c>
      <c r="B27" s="71">
        <f>SUM(B21:B26)</f>
        <v>3650</v>
      </c>
      <c r="C27" s="20"/>
    </row>
  </sheetData>
  <mergeCells count="1">
    <mergeCell ref="A7:C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34"/>
  <sheetViews>
    <sheetView topLeftCell="A7" workbookViewId="0">
      <selection activeCell="C20" sqref="C20"/>
    </sheetView>
  </sheetViews>
  <sheetFormatPr baseColWidth="10" defaultRowHeight="12.75"/>
  <cols>
    <col min="1" max="1" width="36.5703125" style="26" customWidth="1"/>
    <col min="2" max="2" width="22.7109375" style="26" customWidth="1"/>
    <col min="3" max="3" width="22.5703125" style="26" customWidth="1"/>
    <col min="4" max="4" width="7.5703125" style="26" customWidth="1"/>
    <col min="5" max="16384" width="11.42578125" style="26"/>
  </cols>
  <sheetData>
    <row r="5" spans="1:4" ht="24" customHeight="1">
      <c r="A5" s="76" t="s">
        <v>30</v>
      </c>
      <c r="B5" s="76"/>
      <c r="C5" s="76"/>
      <c r="D5" s="25"/>
    </row>
    <row r="6" spans="1:4" ht="14.25" customHeight="1">
      <c r="A6" s="76"/>
      <c r="B6" s="76"/>
      <c r="C6" s="76"/>
      <c r="D6" s="25"/>
    </row>
    <row r="7" spans="1:4" ht="24" customHeight="1">
      <c r="A7" s="27"/>
      <c r="B7" s="27"/>
      <c r="C7" s="27"/>
      <c r="D7" s="25"/>
    </row>
    <row r="8" spans="1:4">
      <c r="D8" s="28"/>
    </row>
    <row r="9" spans="1:4" ht="15" customHeight="1">
      <c r="A9" s="29" t="s">
        <v>31</v>
      </c>
      <c r="B9" s="30">
        <v>850</v>
      </c>
      <c r="C9" s="28"/>
      <c r="D9" s="28"/>
    </row>
    <row r="10" spans="1:4" ht="7.5" customHeight="1">
      <c r="A10" s="31"/>
      <c r="C10" s="28"/>
      <c r="D10" s="28"/>
    </row>
    <row r="11" spans="1:4" ht="18" customHeight="1">
      <c r="A11" s="28"/>
      <c r="B11" s="32" t="s">
        <v>32</v>
      </c>
      <c r="C11" s="28"/>
      <c r="D11" s="28"/>
    </row>
    <row r="12" spans="1:4">
      <c r="A12" s="33" t="s">
        <v>33</v>
      </c>
      <c r="B12" s="34">
        <v>1520.62</v>
      </c>
      <c r="C12" s="28"/>
      <c r="D12" s="28"/>
    </row>
    <row r="13" spans="1:4">
      <c r="A13" s="35" t="s">
        <v>34</v>
      </c>
      <c r="B13" s="36">
        <v>2000</v>
      </c>
      <c r="C13" s="28"/>
      <c r="D13" s="28"/>
    </row>
    <row r="14" spans="1:4">
      <c r="A14" s="35" t="s">
        <v>35</v>
      </c>
      <c r="B14" s="36">
        <v>58.91</v>
      </c>
      <c r="C14" s="28"/>
      <c r="D14" s="28"/>
    </row>
    <row r="15" spans="1:4">
      <c r="A15" s="37" t="s">
        <v>36</v>
      </c>
      <c r="B15" s="36">
        <v>45.54</v>
      </c>
      <c r="C15" s="28"/>
      <c r="D15" s="28"/>
    </row>
    <row r="16" spans="1:4">
      <c r="A16" s="38" t="s">
        <v>37</v>
      </c>
      <c r="B16" s="39"/>
      <c r="C16" s="28"/>
      <c r="D16" s="28"/>
    </row>
    <row r="17" spans="1:4" s="43" customFormat="1">
      <c r="A17" s="40"/>
      <c r="B17" s="41"/>
      <c r="C17" s="42"/>
      <c r="D17" s="42"/>
    </row>
    <row r="18" spans="1:4">
      <c r="A18" s="44"/>
      <c r="B18" s="45"/>
      <c r="C18" s="46"/>
    </row>
    <row r="19" spans="1:4">
      <c r="A19" s="47"/>
      <c r="B19" s="48" t="s">
        <v>38</v>
      </c>
      <c r="C19" s="49" t="s">
        <v>39</v>
      </c>
    </row>
    <row r="20" spans="1:4">
      <c r="A20" s="33" t="s">
        <v>40</v>
      </c>
      <c r="B20" s="50">
        <v>810</v>
      </c>
      <c r="C20" s="51"/>
    </row>
    <row r="21" spans="1:4">
      <c r="A21" s="35" t="s">
        <v>41</v>
      </c>
      <c r="B21" s="52"/>
      <c r="C21" s="51"/>
    </row>
    <row r="22" spans="1:4">
      <c r="A22" s="35" t="s">
        <v>42</v>
      </c>
      <c r="B22" s="52"/>
      <c r="C22" s="51"/>
    </row>
    <row r="23" spans="1:4">
      <c r="A23" s="35" t="s">
        <v>43</v>
      </c>
      <c r="B23" s="50">
        <v>843</v>
      </c>
      <c r="C23" s="51"/>
    </row>
    <row r="24" spans="1:4">
      <c r="A24" s="35" t="s">
        <v>44</v>
      </c>
      <c r="B24" s="50">
        <v>245.63</v>
      </c>
      <c r="C24" s="51"/>
    </row>
    <row r="25" spans="1:4">
      <c r="A25" s="35" t="s">
        <v>45</v>
      </c>
      <c r="B25" s="52"/>
      <c r="C25" s="51"/>
    </row>
    <row r="26" spans="1:4">
      <c r="A26" s="35" t="s">
        <v>46</v>
      </c>
      <c r="B26" s="52"/>
      <c r="C26" s="51"/>
    </row>
    <row r="27" spans="1:4">
      <c r="A27" s="35" t="s">
        <v>47</v>
      </c>
      <c r="B27" s="50">
        <v>425.23</v>
      </c>
      <c r="C27" s="51"/>
    </row>
    <row r="28" spans="1:4">
      <c r="A28" s="35" t="s">
        <v>48</v>
      </c>
      <c r="B28" s="50">
        <v>156</v>
      </c>
      <c r="C28" s="51"/>
    </row>
    <row r="29" spans="1:4">
      <c r="A29" s="35" t="s">
        <v>49</v>
      </c>
      <c r="B29" s="50">
        <v>356.89</v>
      </c>
      <c r="C29" s="51"/>
    </row>
    <row r="30" spans="1:4">
      <c r="A30" s="37" t="s">
        <v>50</v>
      </c>
      <c r="B30" s="36">
        <v>456.25</v>
      </c>
      <c r="C30" s="53"/>
    </row>
    <row r="31" spans="1:4">
      <c r="A31" s="38" t="s">
        <v>37</v>
      </c>
      <c r="B31" s="39"/>
      <c r="C31" s="54"/>
    </row>
    <row r="32" spans="1:4">
      <c r="A32" s="40"/>
      <c r="B32" s="41"/>
      <c r="C32" s="55"/>
    </row>
    <row r="33" spans="1:3">
      <c r="A33" s="44"/>
      <c r="B33" s="56"/>
      <c r="C33" s="44"/>
    </row>
    <row r="34" spans="1:3" ht="17.25" customHeight="1">
      <c r="A34" s="57" t="s">
        <v>51</v>
      </c>
      <c r="B34" s="39"/>
    </row>
  </sheetData>
  <mergeCells count="1">
    <mergeCell ref="A5:C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portrait" horizontalDpi="4294967293" verticalDpi="4294967293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5"/>
  <sheetViews>
    <sheetView zoomScaleNormal="100" workbookViewId="0">
      <selection activeCell="D13" sqref="D13"/>
    </sheetView>
  </sheetViews>
  <sheetFormatPr baseColWidth="10" defaultColWidth="14.85546875" defaultRowHeight="15"/>
  <cols>
    <col min="1" max="1" width="27.28515625" style="70" customWidth="1"/>
    <col min="2" max="2" width="12.42578125" style="70" bestFit="1" customWidth="1"/>
    <col min="3" max="3" width="10.5703125" style="70" customWidth="1"/>
    <col min="4" max="4" width="12.28515625" style="70" bestFit="1" customWidth="1"/>
    <col min="5" max="5" width="31.5703125" style="70" customWidth="1"/>
    <col min="6" max="256" width="14.85546875" style="70"/>
    <col min="257" max="257" width="27.28515625" style="70" customWidth="1"/>
    <col min="258" max="258" width="12.42578125" style="70" bestFit="1" customWidth="1"/>
    <col min="259" max="259" width="10.5703125" style="70" customWidth="1"/>
    <col min="260" max="260" width="12.28515625" style="70" bestFit="1" customWidth="1"/>
    <col min="261" max="261" width="31.5703125" style="70" customWidth="1"/>
    <col min="262" max="512" width="14.85546875" style="70"/>
    <col min="513" max="513" width="27.28515625" style="70" customWidth="1"/>
    <col min="514" max="514" width="12.42578125" style="70" bestFit="1" customWidth="1"/>
    <col min="515" max="515" width="10.5703125" style="70" customWidth="1"/>
    <col min="516" max="516" width="12.28515625" style="70" bestFit="1" customWidth="1"/>
    <col min="517" max="517" width="31.5703125" style="70" customWidth="1"/>
    <col min="518" max="768" width="14.85546875" style="70"/>
    <col min="769" max="769" width="27.28515625" style="70" customWidth="1"/>
    <col min="770" max="770" width="12.42578125" style="70" bestFit="1" customWidth="1"/>
    <col min="771" max="771" width="10.5703125" style="70" customWidth="1"/>
    <col min="772" max="772" width="12.28515625" style="70" bestFit="1" customWidth="1"/>
    <col min="773" max="773" width="31.5703125" style="70" customWidth="1"/>
    <col min="774" max="1024" width="14.85546875" style="70"/>
    <col min="1025" max="1025" width="27.28515625" style="70" customWidth="1"/>
    <col min="1026" max="1026" width="12.42578125" style="70" bestFit="1" customWidth="1"/>
    <col min="1027" max="1027" width="10.5703125" style="70" customWidth="1"/>
    <col min="1028" max="1028" width="12.28515625" style="70" bestFit="1" customWidth="1"/>
    <col min="1029" max="1029" width="31.5703125" style="70" customWidth="1"/>
    <col min="1030" max="1280" width="14.85546875" style="70"/>
    <col min="1281" max="1281" width="27.28515625" style="70" customWidth="1"/>
    <col min="1282" max="1282" width="12.42578125" style="70" bestFit="1" customWidth="1"/>
    <col min="1283" max="1283" width="10.5703125" style="70" customWidth="1"/>
    <col min="1284" max="1284" width="12.28515625" style="70" bestFit="1" customWidth="1"/>
    <col min="1285" max="1285" width="31.5703125" style="70" customWidth="1"/>
    <col min="1286" max="1536" width="14.85546875" style="70"/>
    <col min="1537" max="1537" width="27.28515625" style="70" customWidth="1"/>
    <col min="1538" max="1538" width="12.42578125" style="70" bestFit="1" customWidth="1"/>
    <col min="1539" max="1539" width="10.5703125" style="70" customWidth="1"/>
    <col min="1540" max="1540" width="12.28515625" style="70" bestFit="1" customWidth="1"/>
    <col min="1541" max="1541" width="31.5703125" style="70" customWidth="1"/>
    <col min="1542" max="1792" width="14.85546875" style="70"/>
    <col min="1793" max="1793" width="27.28515625" style="70" customWidth="1"/>
    <col min="1794" max="1794" width="12.42578125" style="70" bestFit="1" customWidth="1"/>
    <col min="1795" max="1795" width="10.5703125" style="70" customWidth="1"/>
    <col min="1796" max="1796" width="12.28515625" style="70" bestFit="1" customWidth="1"/>
    <col min="1797" max="1797" width="31.5703125" style="70" customWidth="1"/>
    <col min="1798" max="2048" width="14.85546875" style="70"/>
    <col min="2049" max="2049" width="27.28515625" style="70" customWidth="1"/>
    <col min="2050" max="2050" width="12.42578125" style="70" bestFit="1" customWidth="1"/>
    <col min="2051" max="2051" width="10.5703125" style="70" customWidth="1"/>
    <col min="2052" max="2052" width="12.28515625" style="70" bestFit="1" customWidth="1"/>
    <col min="2053" max="2053" width="31.5703125" style="70" customWidth="1"/>
    <col min="2054" max="2304" width="14.85546875" style="70"/>
    <col min="2305" max="2305" width="27.28515625" style="70" customWidth="1"/>
    <col min="2306" max="2306" width="12.42578125" style="70" bestFit="1" customWidth="1"/>
    <col min="2307" max="2307" width="10.5703125" style="70" customWidth="1"/>
    <col min="2308" max="2308" width="12.28515625" style="70" bestFit="1" customWidth="1"/>
    <col min="2309" max="2309" width="31.5703125" style="70" customWidth="1"/>
    <col min="2310" max="2560" width="14.85546875" style="70"/>
    <col min="2561" max="2561" width="27.28515625" style="70" customWidth="1"/>
    <col min="2562" max="2562" width="12.42578125" style="70" bestFit="1" customWidth="1"/>
    <col min="2563" max="2563" width="10.5703125" style="70" customWidth="1"/>
    <col min="2564" max="2564" width="12.28515625" style="70" bestFit="1" customWidth="1"/>
    <col min="2565" max="2565" width="31.5703125" style="70" customWidth="1"/>
    <col min="2566" max="2816" width="14.85546875" style="70"/>
    <col min="2817" max="2817" width="27.28515625" style="70" customWidth="1"/>
    <col min="2818" max="2818" width="12.42578125" style="70" bestFit="1" customWidth="1"/>
    <col min="2819" max="2819" width="10.5703125" style="70" customWidth="1"/>
    <col min="2820" max="2820" width="12.28515625" style="70" bestFit="1" customWidth="1"/>
    <col min="2821" max="2821" width="31.5703125" style="70" customWidth="1"/>
    <col min="2822" max="3072" width="14.85546875" style="70"/>
    <col min="3073" max="3073" width="27.28515625" style="70" customWidth="1"/>
    <col min="3074" max="3074" width="12.42578125" style="70" bestFit="1" customWidth="1"/>
    <col min="3075" max="3075" width="10.5703125" style="70" customWidth="1"/>
    <col min="3076" max="3076" width="12.28515625" style="70" bestFit="1" customWidth="1"/>
    <col min="3077" max="3077" width="31.5703125" style="70" customWidth="1"/>
    <col min="3078" max="3328" width="14.85546875" style="70"/>
    <col min="3329" max="3329" width="27.28515625" style="70" customWidth="1"/>
    <col min="3330" max="3330" width="12.42578125" style="70" bestFit="1" customWidth="1"/>
    <col min="3331" max="3331" width="10.5703125" style="70" customWidth="1"/>
    <col min="3332" max="3332" width="12.28515625" style="70" bestFit="1" customWidth="1"/>
    <col min="3333" max="3333" width="31.5703125" style="70" customWidth="1"/>
    <col min="3334" max="3584" width="14.85546875" style="70"/>
    <col min="3585" max="3585" width="27.28515625" style="70" customWidth="1"/>
    <col min="3586" max="3586" width="12.42578125" style="70" bestFit="1" customWidth="1"/>
    <col min="3587" max="3587" width="10.5703125" style="70" customWidth="1"/>
    <col min="3588" max="3588" width="12.28515625" style="70" bestFit="1" customWidth="1"/>
    <col min="3589" max="3589" width="31.5703125" style="70" customWidth="1"/>
    <col min="3590" max="3840" width="14.85546875" style="70"/>
    <col min="3841" max="3841" width="27.28515625" style="70" customWidth="1"/>
    <col min="3842" max="3842" width="12.42578125" style="70" bestFit="1" customWidth="1"/>
    <col min="3843" max="3843" width="10.5703125" style="70" customWidth="1"/>
    <col min="3844" max="3844" width="12.28515625" style="70" bestFit="1" customWidth="1"/>
    <col min="3845" max="3845" width="31.5703125" style="70" customWidth="1"/>
    <col min="3846" max="4096" width="14.85546875" style="70"/>
    <col min="4097" max="4097" width="27.28515625" style="70" customWidth="1"/>
    <col min="4098" max="4098" width="12.42578125" style="70" bestFit="1" customWidth="1"/>
    <col min="4099" max="4099" width="10.5703125" style="70" customWidth="1"/>
    <col min="4100" max="4100" width="12.28515625" style="70" bestFit="1" customWidth="1"/>
    <col min="4101" max="4101" width="31.5703125" style="70" customWidth="1"/>
    <col min="4102" max="4352" width="14.85546875" style="70"/>
    <col min="4353" max="4353" width="27.28515625" style="70" customWidth="1"/>
    <col min="4354" max="4354" width="12.42578125" style="70" bestFit="1" customWidth="1"/>
    <col min="4355" max="4355" width="10.5703125" style="70" customWidth="1"/>
    <col min="4356" max="4356" width="12.28515625" style="70" bestFit="1" customWidth="1"/>
    <col min="4357" max="4357" width="31.5703125" style="70" customWidth="1"/>
    <col min="4358" max="4608" width="14.85546875" style="70"/>
    <col min="4609" max="4609" width="27.28515625" style="70" customWidth="1"/>
    <col min="4610" max="4610" width="12.42578125" style="70" bestFit="1" customWidth="1"/>
    <col min="4611" max="4611" width="10.5703125" style="70" customWidth="1"/>
    <col min="4612" max="4612" width="12.28515625" style="70" bestFit="1" customWidth="1"/>
    <col min="4613" max="4613" width="31.5703125" style="70" customWidth="1"/>
    <col min="4614" max="4864" width="14.85546875" style="70"/>
    <col min="4865" max="4865" width="27.28515625" style="70" customWidth="1"/>
    <col min="4866" max="4866" width="12.42578125" style="70" bestFit="1" customWidth="1"/>
    <col min="4867" max="4867" width="10.5703125" style="70" customWidth="1"/>
    <col min="4868" max="4868" width="12.28515625" style="70" bestFit="1" customWidth="1"/>
    <col min="4869" max="4869" width="31.5703125" style="70" customWidth="1"/>
    <col min="4870" max="5120" width="14.85546875" style="70"/>
    <col min="5121" max="5121" width="27.28515625" style="70" customWidth="1"/>
    <col min="5122" max="5122" width="12.42578125" style="70" bestFit="1" customWidth="1"/>
    <col min="5123" max="5123" width="10.5703125" style="70" customWidth="1"/>
    <col min="5124" max="5124" width="12.28515625" style="70" bestFit="1" customWidth="1"/>
    <col min="5125" max="5125" width="31.5703125" style="70" customWidth="1"/>
    <col min="5126" max="5376" width="14.85546875" style="70"/>
    <col min="5377" max="5377" width="27.28515625" style="70" customWidth="1"/>
    <col min="5378" max="5378" width="12.42578125" style="70" bestFit="1" customWidth="1"/>
    <col min="5379" max="5379" width="10.5703125" style="70" customWidth="1"/>
    <col min="5380" max="5380" width="12.28515625" style="70" bestFit="1" customWidth="1"/>
    <col min="5381" max="5381" width="31.5703125" style="70" customWidth="1"/>
    <col min="5382" max="5632" width="14.85546875" style="70"/>
    <col min="5633" max="5633" width="27.28515625" style="70" customWidth="1"/>
    <col min="5634" max="5634" width="12.42578125" style="70" bestFit="1" customWidth="1"/>
    <col min="5635" max="5635" width="10.5703125" style="70" customWidth="1"/>
    <col min="5636" max="5636" width="12.28515625" style="70" bestFit="1" customWidth="1"/>
    <col min="5637" max="5637" width="31.5703125" style="70" customWidth="1"/>
    <col min="5638" max="5888" width="14.85546875" style="70"/>
    <col min="5889" max="5889" width="27.28515625" style="70" customWidth="1"/>
    <col min="5890" max="5890" width="12.42578125" style="70" bestFit="1" customWidth="1"/>
    <col min="5891" max="5891" width="10.5703125" style="70" customWidth="1"/>
    <col min="5892" max="5892" width="12.28515625" style="70" bestFit="1" customWidth="1"/>
    <col min="5893" max="5893" width="31.5703125" style="70" customWidth="1"/>
    <col min="5894" max="6144" width="14.85546875" style="70"/>
    <col min="6145" max="6145" width="27.28515625" style="70" customWidth="1"/>
    <col min="6146" max="6146" width="12.42578125" style="70" bestFit="1" customWidth="1"/>
    <col min="6147" max="6147" width="10.5703125" style="70" customWidth="1"/>
    <col min="6148" max="6148" width="12.28515625" style="70" bestFit="1" customWidth="1"/>
    <col min="6149" max="6149" width="31.5703125" style="70" customWidth="1"/>
    <col min="6150" max="6400" width="14.85546875" style="70"/>
    <col min="6401" max="6401" width="27.28515625" style="70" customWidth="1"/>
    <col min="6402" max="6402" width="12.42578125" style="70" bestFit="1" customWidth="1"/>
    <col min="6403" max="6403" width="10.5703125" style="70" customWidth="1"/>
    <col min="6404" max="6404" width="12.28515625" style="70" bestFit="1" customWidth="1"/>
    <col min="6405" max="6405" width="31.5703125" style="70" customWidth="1"/>
    <col min="6406" max="6656" width="14.85546875" style="70"/>
    <col min="6657" max="6657" width="27.28515625" style="70" customWidth="1"/>
    <col min="6658" max="6658" width="12.42578125" style="70" bestFit="1" customWidth="1"/>
    <col min="6659" max="6659" width="10.5703125" style="70" customWidth="1"/>
    <col min="6660" max="6660" width="12.28515625" style="70" bestFit="1" customWidth="1"/>
    <col min="6661" max="6661" width="31.5703125" style="70" customWidth="1"/>
    <col min="6662" max="6912" width="14.85546875" style="70"/>
    <col min="6913" max="6913" width="27.28515625" style="70" customWidth="1"/>
    <col min="6914" max="6914" width="12.42578125" style="70" bestFit="1" customWidth="1"/>
    <col min="6915" max="6915" width="10.5703125" style="70" customWidth="1"/>
    <col min="6916" max="6916" width="12.28515625" style="70" bestFit="1" customWidth="1"/>
    <col min="6917" max="6917" width="31.5703125" style="70" customWidth="1"/>
    <col min="6918" max="7168" width="14.85546875" style="70"/>
    <col min="7169" max="7169" width="27.28515625" style="70" customWidth="1"/>
    <col min="7170" max="7170" width="12.42578125" style="70" bestFit="1" customWidth="1"/>
    <col min="7171" max="7171" width="10.5703125" style="70" customWidth="1"/>
    <col min="7172" max="7172" width="12.28515625" style="70" bestFit="1" customWidth="1"/>
    <col min="7173" max="7173" width="31.5703125" style="70" customWidth="1"/>
    <col min="7174" max="7424" width="14.85546875" style="70"/>
    <col min="7425" max="7425" width="27.28515625" style="70" customWidth="1"/>
    <col min="7426" max="7426" width="12.42578125" style="70" bestFit="1" customWidth="1"/>
    <col min="7427" max="7427" width="10.5703125" style="70" customWidth="1"/>
    <col min="7428" max="7428" width="12.28515625" style="70" bestFit="1" customWidth="1"/>
    <col min="7429" max="7429" width="31.5703125" style="70" customWidth="1"/>
    <col min="7430" max="7680" width="14.85546875" style="70"/>
    <col min="7681" max="7681" width="27.28515625" style="70" customWidth="1"/>
    <col min="7682" max="7682" width="12.42578125" style="70" bestFit="1" customWidth="1"/>
    <col min="7683" max="7683" width="10.5703125" style="70" customWidth="1"/>
    <col min="7684" max="7684" width="12.28515625" style="70" bestFit="1" customWidth="1"/>
    <col min="7685" max="7685" width="31.5703125" style="70" customWidth="1"/>
    <col min="7686" max="7936" width="14.85546875" style="70"/>
    <col min="7937" max="7937" width="27.28515625" style="70" customWidth="1"/>
    <col min="7938" max="7938" width="12.42578125" style="70" bestFit="1" customWidth="1"/>
    <col min="7939" max="7939" width="10.5703125" style="70" customWidth="1"/>
    <col min="7940" max="7940" width="12.28515625" style="70" bestFit="1" customWidth="1"/>
    <col min="7941" max="7941" width="31.5703125" style="70" customWidth="1"/>
    <col min="7942" max="8192" width="14.85546875" style="70"/>
    <col min="8193" max="8193" width="27.28515625" style="70" customWidth="1"/>
    <col min="8194" max="8194" width="12.42578125" style="70" bestFit="1" customWidth="1"/>
    <col min="8195" max="8195" width="10.5703125" style="70" customWidth="1"/>
    <col min="8196" max="8196" width="12.28515625" style="70" bestFit="1" customWidth="1"/>
    <col min="8197" max="8197" width="31.5703125" style="70" customWidth="1"/>
    <col min="8198" max="8448" width="14.85546875" style="70"/>
    <col min="8449" max="8449" width="27.28515625" style="70" customWidth="1"/>
    <col min="8450" max="8450" width="12.42578125" style="70" bestFit="1" customWidth="1"/>
    <col min="8451" max="8451" width="10.5703125" style="70" customWidth="1"/>
    <col min="8452" max="8452" width="12.28515625" style="70" bestFit="1" customWidth="1"/>
    <col min="8453" max="8453" width="31.5703125" style="70" customWidth="1"/>
    <col min="8454" max="8704" width="14.85546875" style="70"/>
    <col min="8705" max="8705" width="27.28515625" style="70" customWidth="1"/>
    <col min="8706" max="8706" width="12.42578125" style="70" bestFit="1" customWidth="1"/>
    <col min="8707" max="8707" width="10.5703125" style="70" customWidth="1"/>
    <col min="8708" max="8708" width="12.28515625" style="70" bestFit="1" customWidth="1"/>
    <col min="8709" max="8709" width="31.5703125" style="70" customWidth="1"/>
    <col min="8710" max="8960" width="14.85546875" style="70"/>
    <col min="8961" max="8961" width="27.28515625" style="70" customWidth="1"/>
    <col min="8962" max="8962" width="12.42578125" style="70" bestFit="1" customWidth="1"/>
    <col min="8963" max="8963" width="10.5703125" style="70" customWidth="1"/>
    <col min="8964" max="8964" width="12.28515625" style="70" bestFit="1" customWidth="1"/>
    <col min="8965" max="8965" width="31.5703125" style="70" customWidth="1"/>
    <col min="8966" max="9216" width="14.85546875" style="70"/>
    <col min="9217" max="9217" width="27.28515625" style="70" customWidth="1"/>
    <col min="9218" max="9218" width="12.42578125" style="70" bestFit="1" customWidth="1"/>
    <col min="9219" max="9219" width="10.5703125" style="70" customWidth="1"/>
    <col min="9220" max="9220" width="12.28515625" style="70" bestFit="1" customWidth="1"/>
    <col min="9221" max="9221" width="31.5703125" style="70" customWidth="1"/>
    <col min="9222" max="9472" width="14.85546875" style="70"/>
    <col min="9473" max="9473" width="27.28515625" style="70" customWidth="1"/>
    <col min="9474" max="9474" width="12.42578125" style="70" bestFit="1" customWidth="1"/>
    <col min="9475" max="9475" width="10.5703125" style="70" customWidth="1"/>
    <col min="9476" max="9476" width="12.28515625" style="70" bestFit="1" customWidth="1"/>
    <col min="9477" max="9477" width="31.5703125" style="70" customWidth="1"/>
    <col min="9478" max="9728" width="14.85546875" style="70"/>
    <col min="9729" max="9729" width="27.28515625" style="70" customWidth="1"/>
    <col min="9730" max="9730" width="12.42578125" style="70" bestFit="1" customWidth="1"/>
    <col min="9731" max="9731" width="10.5703125" style="70" customWidth="1"/>
    <col min="9732" max="9732" width="12.28515625" style="70" bestFit="1" customWidth="1"/>
    <col min="9733" max="9733" width="31.5703125" style="70" customWidth="1"/>
    <col min="9734" max="9984" width="14.85546875" style="70"/>
    <col min="9985" max="9985" width="27.28515625" style="70" customWidth="1"/>
    <col min="9986" max="9986" width="12.42578125" style="70" bestFit="1" customWidth="1"/>
    <col min="9987" max="9987" width="10.5703125" style="70" customWidth="1"/>
    <col min="9988" max="9988" width="12.28515625" style="70" bestFit="1" customWidth="1"/>
    <col min="9989" max="9989" width="31.5703125" style="70" customWidth="1"/>
    <col min="9990" max="10240" width="14.85546875" style="70"/>
    <col min="10241" max="10241" width="27.28515625" style="70" customWidth="1"/>
    <col min="10242" max="10242" width="12.42578125" style="70" bestFit="1" customWidth="1"/>
    <col min="10243" max="10243" width="10.5703125" style="70" customWidth="1"/>
    <col min="10244" max="10244" width="12.28515625" style="70" bestFit="1" customWidth="1"/>
    <col min="10245" max="10245" width="31.5703125" style="70" customWidth="1"/>
    <col min="10246" max="10496" width="14.85546875" style="70"/>
    <col min="10497" max="10497" width="27.28515625" style="70" customWidth="1"/>
    <col min="10498" max="10498" width="12.42578125" style="70" bestFit="1" customWidth="1"/>
    <col min="10499" max="10499" width="10.5703125" style="70" customWidth="1"/>
    <col min="10500" max="10500" width="12.28515625" style="70" bestFit="1" customWidth="1"/>
    <col min="10501" max="10501" width="31.5703125" style="70" customWidth="1"/>
    <col min="10502" max="10752" width="14.85546875" style="70"/>
    <col min="10753" max="10753" width="27.28515625" style="70" customWidth="1"/>
    <col min="10754" max="10754" width="12.42578125" style="70" bestFit="1" customWidth="1"/>
    <col min="10755" max="10755" width="10.5703125" style="70" customWidth="1"/>
    <col min="10756" max="10756" width="12.28515625" style="70" bestFit="1" customWidth="1"/>
    <col min="10757" max="10757" width="31.5703125" style="70" customWidth="1"/>
    <col min="10758" max="11008" width="14.85546875" style="70"/>
    <col min="11009" max="11009" width="27.28515625" style="70" customWidth="1"/>
    <col min="11010" max="11010" width="12.42578125" style="70" bestFit="1" customWidth="1"/>
    <col min="11011" max="11011" width="10.5703125" style="70" customWidth="1"/>
    <col min="11012" max="11012" width="12.28515625" style="70" bestFit="1" customWidth="1"/>
    <col min="11013" max="11013" width="31.5703125" style="70" customWidth="1"/>
    <col min="11014" max="11264" width="14.85546875" style="70"/>
    <col min="11265" max="11265" width="27.28515625" style="70" customWidth="1"/>
    <col min="11266" max="11266" width="12.42578125" style="70" bestFit="1" customWidth="1"/>
    <col min="11267" max="11267" width="10.5703125" style="70" customWidth="1"/>
    <col min="11268" max="11268" width="12.28515625" style="70" bestFit="1" customWidth="1"/>
    <col min="11269" max="11269" width="31.5703125" style="70" customWidth="1"/>
    <col min="11270" max="11520" width="14.85546875" style="70"/>
    <col min="11521" max="11521" width="27.28515625" style="70" customWidth="1"/>
    <col min="11522" max="11522" width="12.42578125" style="70" bestFit="1" customWidth="1"/>
    <col min="11523" max="11523" width="10.5703125" style="70" customWidth="1"/>
    <col min="11524" max="11524" width="12.28515625" style="70" bestFit="1" customWidth="1"/>
    <col min="11525" max="11525" width="31.5703125" style="70" customWidth="1"/>
    <col min="11526" max="11776" width="14.85546875" style="70"/>
    <col min="11777" max="11777" width="27.28515625" style="70" customWidth="1"/>
    <col min="11778" max="11778" width="12.42578125" style="70" bestFit="1" customWidth="1"/>
    <col min="11779" max="11779" width="10.5703125" style="70" customWidth="1"/>
    <col min="11780" max="11780" width="12.28515625" style="70" bestFit="1" customWidth="1"/>
    <col min="11781" max="11781" width="31.5703125" style="70" customWidth="1"/>
    <col min="11782" max="12032" width="14.85546875" style="70"/>
    <col min="12033" max="12033" width="27.28515625" style="70" customWidth="1"/>
    <col min="12034" max="12034" width="12.42578125" style="70" bestFit="1" customWidth="1"/>
    <col min="12035" max="12035" width="10.5703125" style="70" customWidth="1"/>
    <col min="12036" max="12036" width="12.28515625" style="70" bestFit="1" customWidth="1"/>
    <col min="12037" max="12037" width="31.5703125" style="70" customWidth="1"/>
    <col min="12038" max="12288" width="14.85546875" style="70"/>
    <col min="12289" max="12289" width="27.28515625" style="70" customWidth="1"/>
    <col min="12290" max="12290" width="12.42578125" style="70" bestFit="1" customWidth="1"/>
    <col min="12291" max="12291" width="10.5703125" style="70" customWidth="1"/>
    <col min="12292" max="12292" width="12.28515625" style="70" bestFit="1" customWidth="1"/>
    <col min="12293" max="12293" width="31.5703125" style="70" customWidth="1"/>
    <col min="12294" max="12544" width="14.85546875" style="70"/>
    <col min="12545" max="12545" width="27.28515625" style="70" customWidth="1"/>
    <col min="12546" max="12546" width="12.42578125" style="70" bestFit="1" customWidth="1"/>
    <col min="12547" max="12547" width="10.5703125" style="70" customWidth="1"/>
    <col min="12548" max="12548" width="12.28515625" style="70" bestFit="1" customWidth="1"/>
    <col min="12549" max="12549" width="31.5703125" style="70" customWidth="1"/>
    <col min="12550" max="12800" width="14.85546875" style="70"/>
    <col min="12801" max="12801" width="27.28515625" style="70" customWidth="1"/>
    <col min="12802" max="12802" width="12.42578125" style="70" bestFit="1" customWidth="1"/>
    <col min="12803" max="12803" width="10.5703125" style="70" customWidth="1"/>
    <col min="12804" max="12804" width="12.28515625" style="70" bestFit="1" customWidth="1"/>
    <col min="12805" max="12805" width="31.5703125" style="70" customWidth="1"/>
    <col min="12806" max="13056" width="14.85546875" style="70"/>
    <col min="13057" max="13057" width="27.28515625" style="70" customWidth="1"/>
    <col min="13058" max="13058" width="12.42578125" style="70" bestFit="1" customWidth="1"/>
    <col min="13059" max="13059" width="10.5703125" style="70" customWidth="1"/>
    <col min="13060" max="13060" width="12.28515625" style="70" bestFit="1" customWidth="1"/>
    <col min="13061" max="13061" width="31.5703125" style="70" customWidth="1"/>
    <col min="13062" max="13312" width="14.85546875" style="70"/>
    <col min="13313" max="13313" width="27.28515625" style="70" customWidth="1"/>
    <col min="13314" max="13314" width="12.42578125" style="70" bestFit="1" customWidth="1"/>
    <col min="13315" max="13315" width="10.5703125" style="70" customWidth="1"/>
    <col min="13316" max="13316" width="12.28515625" style="70" bestFit="1" customWidth="1"/>
    <col min="13317" max="13317" width="31.5703125" style="70" customWidth="1"/>
    <col min="13318" max="13568" width="14.85546875" style="70"/>
    <col min="13569" max="13569" width="27.28515625" style="70" customWidth="1"/>
    <col min="13570" max="13570" width="12.42578125" style="70" bestFit="1" customWidth="1"/>
    <col min="13571" max="13571" width="10.5703125" style="70" customWidth="1"/>
    <col min="13572" max="13572" width="12.28515625" style="70" bestFit="1" customWidth="1"/>
    <col min="13573" max="13573" width="31.5703125" style="70" customWidth="1"/>
    <col min="13574" max="13824" width="14.85546875" style="70"/>
    <col min="13825" max="13825" width="27.28515625" style="70" customWidth="1"/>
    <col min="13826" max="13826" width="12.42578125" style="70" bestFit="1" customWidth="1"/>
    <col min="13827" max="13827" width="10.5703125" style="70" customWidth="1"/>
    <col min="13828" max="13828" width="12.28515625" style="70" bestFit="1" customWidth="1"/>
    <col min="13829" max="13829" width="31.5703125" style="70" customWidth="1"/>
    <col min="13830" max="14080" width="14.85546875" style="70"/>
    <col min="14081" max="14081" width="27.28515625" style="70" customWidth="1"/>
    <col min="14082" max="14082" width="12.42578125" style="70" bestFit="1" customWidth="1"/>
    <col min="14083" max="14083" width="10.5703125" style="70" customWidth="1"/>
    <col min="14084" max="14084" width="12.28515625" style="70" bestFit="1" customWidth="1"/>
    <col min="14085" max="14085" width="31.5703125" style="70" customWidth="1"/>
    <col min="14086" max="14336" width="14.85546875" style="70"/>
    <col min="14337" max="14337" width="27.28515625" style="70" customWidth="1"/>
    <col min="14338" max="14338" width="12.42578125" style="70" bestFit="1" customWidth="1"/>
    <col min="14339" max="14339" width="10.5703125" style="70" customWidth="1"/>
    <col min="14340" max="14340" width="12.28515625" style="70" bestFit="1" customWidth="1"/>
    <col min="14341" max="14341" width="31.5703125" style="70" customWidth="1"/>
    <col min="14342" max="14592" width="14.85546875" style="70"/>
    <col min="14593" max="14593" width="27.28515625" style="70" customWidth="1"/>
    <col min="14594" max="14594" width="12.42578125" style="70" bestFit="1" customWidth="1"/>
    <col min="14595" max="14595" width="10.5703125" style="70" customWidth="1"/>
    <col min="14596" max="14596" width="12.28515625" style="70" bestFit="1" customWidth="1"/>
    <col min="14597" max="14597" width="31.5703125" style="70" customWidth="1"/>
    <col min="14598" max="14848" width="14.85546875" style="70"/>
    <col min="14849" max="14849" width="27.28515625" style="70" customWidth="1"/>
    <col min="14850" max="14850" width="12.42578125" style="70" bestFit="1" customWidth="1"/>
    <col min="14851" max="14851" width="10.5703125" style="70" customWidth="1"/>
    <col min="14852" max="14852" width="12.28515625" style="70" bestFit="1" customWidth="1"/>
    <col min="14853" max="14853" width="31.5703125" style="70" customWidth="1"/>
    <col min="14854" max="15104" width="14.85546875" style="70"/>
    <col min="15105" max="15105" width="27.28515625" style="70" customWidth="1"/>
    <col min="15106" max="15106" width="12.42578125" style="70" bestFit="1" customWidth="1"/>
    <col min="15107" max="15107" width="10.5703125" style="70" customWidth="1"/>
    <col min="15108" max="15108" width="12.28515625" style="70" bestFit="1" customWidth="1"/>
    <col min="15109" max="15109" width="31.5703125" style="70" customWidth="1"/>
    <col min="15110" max="15360" width="14.85546875" style="70"/>
    <col min="15361" max="15361" width="27.28515625" style="70" customWidth="1"/>
    <col min="15362" max="15362" width="12.42578125" style="70" bestFit="1" customWidth="1"/>
    <col min="15363" max="15363" width="10.5703125" style="70" customWidth="1"/>
    <col min="15364" max="15364" width="12.28515625" style="70" bestFit="1" customWidth="1"/>
    <col min="15365" max="15365" width="31.5703125" style="70" customWidth="1"/>
    <col min="15366" max="15616" width="14.85546875" style="70"/>
    <col min="15617" max="15617" width="27.28515625" style="70" customWidth="1"/>
    <col min="15618" max="15618" width="12.42578125" style="70" bestFit="1" customWidth="1"/>
    <col min="15619" max="15619" width="10.5703125" style="70" customWidth="1"/>
    <col min="15620" max="15620" width="12.28515625" style="70" bestFit="1" customWidth="1"/>
    <col min="15621" max="15621" width="31.5703125" style="70" customWidth="1"/>
    <col min="15622" max="15872" width="14.85546875" style="70"/>
    <col min="15873" max="15873" width="27.28515625" style="70" customWidth="1"/>
    <col min="15874" max="15874" width="12.42578125" style="70" bestFit="1" customWidth="1"/>
    <col min="15875" max="15875" width="10.5703125" style="70" customWidth="1"/>
    <col min="15876" max="15876" width="12.28515625" style="70" bestFit="1" customWidth="1"/>
    <col min="15877" max="15877" width="31.5703125" style="70" customWidth="1"/>
    <col min="15878" max="16128" width="14.85546875" style="70"/>
    <col min="16129" max="16129" width="27.28515625" style="70" customWidth="1"/>
    <col min="16130" max="16130" width="12.42578125" style="70" bestFit="1" customWidth="1"/>
    <col min="16131" max="16131" width="10.5703125" style="70" customWidth="1"/>
    <col min="16132" max="16132" width="12.28515625" style="70" bestFit="1" customWidth="1"/>
    <col min="16133" max="16133" width="31.5703125" style="70" customWidth="1"/>
    <col min="16134" max="16384" width="14.85546875" style="70"/>
  </cols>
  <sheetData>
    <row r="5" spans="1:5" s="58" customFormat="1" ht="21" customHeight="1">
      <c r="A5" s="77" t="s">
        <v>53</v>
      </c>
      <c r="B5" s="77"/>
      <c r="C5" s="77"/>
      <c r="D5" s="77"/>
      <c r="E5" s="77"/>
    </row>
    <row r="6" spans="1:5" s="58" customFormat="1" ht="21" customHeight="1" thickBot="1">
      <c r="A6" s="59"/>
      <c r="B6" s="59"/>
      <c r="C6" s="59"/>
      <c r="D6" s="59"/>
      <c r="E6" s="59"/>
    </row>
    <row r="7" spans="1:5" s="58" customFormat="1" ht="21" customHeight="1">
      <c r="A7" s="60" t="s">
        <v>54</v>
      </c>
      <c r="B7" s="61" t="s">
        <v>55</v>
      </c>
      <c r="C7" s="61" t="s">
        <v>56</v>
      </c>
      <c r="D7" s="61" t="s">
        <v>57</v>
      </c>
      <c r="E7" s="62" t="s">
        <v>58</v>
      </c>
    </row>
    <row r="8" spans="1:5" s="58" customFormat="1" ht="21" customHeight="1">
      <c r="A8" s="63" t="s">
        <v>59</v>
      </c>
      <c r="B8" s="64">
        <v>100000</v>
      </c>
      <c r="C8" s="64">
        <v>60000</v>
      </c>
      <c r="D8" s="64"/>
      <c r="E8" s="65"/>
    </row>
    <row r="9" spans="1:5" s="58" customFormat="1" ht="21" customHeight="1">
      <c r="A9" s="63" t="s">
        <v>60</v>
      </c>
      <c r="B9" s="64">
        <v>80000</v>
      </c>
      <c r="C9" s="64">
        <v>50000</v>
      </c>
      <c r="D9" s="64"/>
      <c r="E9" s="66"/>
    </row>
    <row r="10" spans="1:5" s="58" customFormat="1" ht="21" customHeight="1">
      <c r="A10" s="63" t="s">
        <v>61</v>
      </c>
      <c r="B10" s="64">
        <v>90000</v>
      </c>
      <c r="C10" s="64">
        <v>50000</v>
      </c>
      <c r="D10" s="64"/>
      <c r="E10" s="66"/>
    </row>
    <row r="11" spans="1:5" s="58" customFormat="1" ht="21" customHeight="1">
      <c r="A11" s="63" t="s">
        <v>62</v>
      </c>
      <c r="B11" s="64">
        <v>60000</v>
      </c>
      <c r="C11" s="64">
        <v>30000</v>
      </c>
      <c r="D11" s="64"/>
      <c r="E11" s="66"/>
    </row>
    <row r="12" spans="1:5" s="58" customFormat="1" ht="21" customHeight="1">
      <c r="A12" s="67" t="s">
        <v>63</v>
      </c>
      <c r="B12" s="68">
        <v>70000</v>
      </c>
      <c r="C12" s="68">
        <v>40000</v>
      </c>
      <c r="D12" s="68"/>
      <c r="E12" s="69"/>
    </row>
    <row r="13" spans="1:5" s="28" customFormat="1" ht="21" customHeight="1">
      <c r="A13" s="72" t="s">
        <v>0</v>
      </c>
      <c r="B13" s="72"/>
      <c r="C13" s="72"/>
      <c r="D13" s="72"/>
    </row>
    <row r="14" spans="1:5" s="28" customFormat="1" ht="12.75"/>
    <row r="15" spans="1:5" s="28" customFormat="1" ht="12.75"/>
  </sheetData>
  <mergeCells count="1">
    <mergeCell ref="A5:E5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SOMMAIRE</vt:lpstr>
      <vt:lpstr>Exo 1</vt:lpstr>
      <vt:lpstr> exo 2 </vt:lpstr>
      <vt:lpstr>Exo 3</vt:lpstr>
      <vt:lpstr>Exo 4</vt:lpstr>
      <vt:lpstr>'Exo 4'!Zone_d_impression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RAMPAL</dc:creator>
  <cp:lastModifiedBy>dolfi</cp:lastModifiedBy>
  <cp:lastPrinted>2014-01-21T19:14:19Z</cp:lastPrinted>
  <dcterms:created xsi:type="dcterms:W3CDTF">2013-08-01T13:14:28Z</dcterms:created>
  <dcterms:modified xsi:type="dcterms:W3CDTF">2015-11-09T07:34:08Z</dcterms:modified>
</cp:coreProperties>
</file>