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/>
  <bookViews>
    <workbookView xWindow="0" yWindow="0" windowWidth="15600" windowHeight="11595" tabRatio="804"/>
  </bookViews>
  <sheets>
    <sheet name=" euro" sheetId="5" r:id="rId1"/>
    <sheet name="CA Fruits" sheetId="11" r:id="rId2"/>
    <sheet name="Comptoir  Indes " sheetId="13" r:id="rId3"/>
    <sheet name="Table de multiplication" sheetId="14" r:id="rId4"/>
    <sheet name="Touristes" sheetId="7" r:id="rId5"/>
  </sheets>
  <definedNames>
    <definedName name="frais" localSheetId="2">#REF!</definedName>
    <definedName name="frais">#REF!</definedName>
    <definedName name="france" localSheetId="4">Touristes!$E$14</definedName>
  </definedNames>
  <calcPr calcId="144525"/>
</workbook>
</file>

<file path=xl/calcChain.xml><?xml version="1.0" encoding="utf-8"?>
<calcChain xmlns="http://schemas.openxmlformats.org/spreadsheetml/2006/main">
  <c r="C11" i="13" l="1"/>
  <c r="B26" i="13" l="1"/>
  <c r="C26" i="13"/>
  <c r="E26" i="13" s="1"/>
  <c r="D26" i="13"/>
  <c r="B27" i="13"/>
  <c r="C27" i="13"/>
  <c r="D27" i="13"/>
  <c r="B28" i="13"/>
  <c r="C28" i="13"/>
  <c r="E28" i="13" s="1"/>
  <c r="D28" i="13"/>
  <c r="B29" i="13"/>
  <c r="C29" i="13"/>
  <c r="D29" i="13"/>
  <c r="C25" i="13"/>
  <c r="D25" i="13"/>
  <c r="E25" i="13" s="1"/>
  <c r="B25" i="13"/>
  <c r="C24" i="13"/>
  <c r="D24" i="13"/>
  <c r="B24" i="13"/>
  <c r="E24" i="13" s="1"/>
  <c r="C7" i="14"/>
  <c r="D7" i="14"/>
  <c r="E7" i="14"/>
  <c r="F7" i="14"/>
  <c r="G7" i="14"/>
  <c r="H7" i="14"/>
  <c r="I7" i="14"/>
  <c r="J7" i="14"/>
  <c r="K7" i="14"/>
  <c r="C8" i="14"/>
  <c r="D8" i="14"/>
  <c r="E8" i="14"/>
  <c r="F8" i="14"/>
  <c r="G8" i="14"/>
  <c r="H8" i="14"/>
  <c r="I8" i="14"/>
  <c r="J8" i="14"/>
  <c r="K8" i="14"/>
  <c r="C9" i="14"/>
  <c r="D9" i="14"/>
  <c r="E9" i="14"/>
  <c r="F9" i="14"/>
  <c r="G9" i="14"/>
  <c r="H9" i="14"/>
  <c r="I9" i="14"/>
  <c r="J9" i="14"/>
  <c r="K9" i="14"/>
  <c r="C10" i="14"/>
  <c r="D10" i="14"/>
  <c r="E10" i="14"/>
  <c r="F10" i="14"/>
  <c r="G10" i="14"/>
  <c r="H10" i="14"/>
  <c r="I10" i="14"/>
  <c r="J10" i="14"/>
  <c r="K10" i="14"/>
  <c r="C11" i="14"/>
  <c r="D11" i="14"/>
  <c r="E11" i="14"/>
  <c r="F11" i="14"/>
  <c r="G11" i="14"/>
  <c r="H11" i="14"/>
  <c r="I11" i="14"/>
  <c r="J11" i="14"/>
  <c r="K11" i="14"/>
  <c r="C12" i="14"/>
  <c r="D12" i="14"/>
  <c r="E12" i="14"/>
  <c r="F12" i="14"/>
  <c r="G12" i="14"/>
  <c r="H12" i="14"/>
  <c r="I12" i="14"/>
  <c r="J12" i="14"/>
  <c r="K12" i="14"/>
  <c r="C13" i="14"/>
  <c r="D13" i="14"/>
  <c r="E13" i="14"/>
  <c r="F13" i="14"/>
  <c r="G13" i="14"/>
  <c r="H13" i="14"/>
  <c r="I13" i="14"/>
  <c r="J13" i="14"/>
  <c r="K13" i="14"/>
  <c r="C14" i="14"/>
  <c r="D14" i="14"/>
  <c r="E14" i="14"/>
  <c r="F14" i="14"/>
  <c r="G14" i="14"/>
  <c r="H14" i="14"/>
  <c r="I14" i="14"/>
  <c r="J14" i="14"/>
  <c r="K14" i="14"/>
  <c r="C6" i="14"/>
  <c r="D6" i="14"/>
  <c r="E6" i="14"/>
  <c r="F6" i="14"/>
  <c r="G6" i="14"/>
  <c r="H6" i="14"/>
  <c r="I6" i="14"/>
  <c r="J6" i="14"/>
  <c r="K6" i="14"/>
  <c r="C5" i="14"/>
  <c r="D5" i="14"/>
  <c r="E5" i="14"/>
  <c r="F5" i="14"/>
  <c r="G5" i="14"/>
  <c r="H5" i="14"/>
  <c r="I5" i="14"/>
  <c r="J5" i="14"/>
  <c r="K5" i="14"/>
  <c r="B6" i="14"/>
  <c r="B7" i="14"/>
  <c r="B8" i="14"/>
  <c r="B9" i="14"/>
  <c r="B10" i="14"/>
  <c r="B11" i="14"/>
  <c r="B12" i="14"/>
  <c r="B13" i="14"/>
  <c r="B14" i="14"/>
  <c r="B5" i="14"/>
  <c r="E29" i="13"/>
  <c r="C30" i="13"/>
  <c r="D13" i="13"/>
  <c r="C13" i="13"/>
  <c r="B13" i="13"/>
  <c r="D12" i="13"/>
  <c r="C12" i="13"/>
  <c r="B12" i="13"/>
  <c r="D11" i="13"/>
  <c r="B11" i="13"/>
  <c r="E5" i="13"/>
  <c r="E6" i="13"/>
  <c r="E7" i="13"/>
  <c r="E8" i="13"/>
  <c r="E9" i="13"/>
  <c r="E4" i="13"/>
  <c r="D10" i="13"/>
  <c r="C10" i="13"/>
  <c r="B10" i="13"/>
  <c r="E18" i="5"/>
  <c r="E19" i="5"/>
  <c r="E20" i="5"/>
  <c r="E21" i="5"/>
  <c r="E22" i="5"/>
  <c r="E23" i="5"/>
  <c r="E17" i="5"/>
  <c r="E10" i="13" l="1"/>
  <c r="E13" i="13"/>
  <c r="B30" i="13"/>
  <c r="E12" i="13"/>
  <c r="E27" i="13"/>
  <c r="E30" i="13"/>
  <c r="D30" i="13"/>
  <c r="B19" i="11"/>
  <c r="D19" i="11"/>
  <c r="F19" i="11"/>
  <c r="H19" i="11"/>
  <c r="J19" i="11"/>
  <c r="E14" i="13" l="1"/>
  <c r="F5" i="13"/>
  <c r="F7" i="13"/>
  <c r="F9" i="13"/>
  <c r="F8" i="13"/>
  <c r="C14" i="13"/>
  <c r="B14" i="13"/>
  <c r="E11" i="13"/>
  <c r="F6" i="13"/>
  <c r="F4" i="13"/>
  <c r="D14" i="13"/>
  <c r="F10" i="13" l="1"/>
</calcChain>
</file>

<file path=xl/sharedStrings.xml><?xml version="1.0" encoding="utf-8"?>
<sst xmlns="http://schemas.openxmlformats.org/spreadsheetml/2006/main" count="108" uniqueCount="76">
  <si>
    <t>EXERCICE</t>
  </si>
  <si>
    <t>1 - Calculer le total par ligne</t>
  </si>
  <si>
    <t xml:space="preserve">2 - Convertissez le total obtenu en dollar </t>
  </si>
  <si>
    <t>BON DE COMMANDE</t>
  </si>
  <si>
    <t>Référence</t>
  </si>
  <si>
    <t>Description</t>
  </si>
  <si>
    <t>Quantité commandée</t>
  </si>
  <si>
    <t>Total $</t>
  </si>
  <si>
    <t>Gomme</t>
  </si>
  <si>
    <t>Crayon papier</t>
  </si>
  <si>
    <t>Stylo</t>
  </si>
  <si>
    <t>Colle</t>
  </si>
  <si>
    <t>Agrafeuse</t>
  </si>
  <si>
    <t>Juin</t>
  </si>
  <si>
    <t>Juillet</t>
  </si>
  <si>
    <t>Août</t>
  </si>
  <si>
    <t>Total</t>
  </si>
  <si>
    <t>Moyenne</t>
  </si>
  <si>
    <t>Rapport</t>
  </si>
  <si>
    <t>Nîmes</t>
  </si>
  <si>
    <t>Avignon</t>
  </si>
  <si>
    <t>Colmar</t>
  </si>
  <si>
    <t>Paris</t>
  </si>
  <si>
    <t>St jean de luz</t>
  </si>
  <si>
    <t>Dijon</t>
  </si>
  <si>
    <t>Valence</t>
  </si>
  <si>
    <t>Quimper</t>
  </si>
  <si>
    <t>Villes du Nord</t>
  </si>
  <si>
    <t>Villes du Sud</t>
  </si>
  <si>
    <t>France</t>
  </si>
  <si>
    <t>Indications</t>
  </si>
  <si>
    <t>Rapport = Sur colonne "Total" % de chaque ville par rapport à la France</t>
  </si>
  <si>
    <t>Total €</t>
  </si>
  <si>
    <t>Total £</t>
  </si>
  <si>
    <t>Cours du $</t>
  </si>
  <si>
    <t>Cours de £</t>
  </si>
  <si>
    <t>% sur CA Total</t>
  </si>
  <si>
    <t>MOYENNE</t>
  </si>
  <si>
    <t>TOTAL</t>
  </si>
  <si>
    <t>Trim 4</t>
  </si>
  <si>
    <t>Trim 3</t>
  </si>
  <si>
    <t>Trim 2</t>
  </si>
  <si>
    <t>Trim 1</t>
  </si>
  <si>
    <t>C.A HT</t>
  </si>
  <si>
    <t>Qté</t>
  </si>
  <si>
    <t>TOTAL TTC</t>
  </si>
  <si>
    <t>TOTAL HT</t>
  </si>
  <si>
    <t>Nectar Ananas</t>
  </si>
  <si>
    <t>Nectar Pêche</t>
  </si>
  <si>
    <t>Jus de Pomme</t>
  </si>
  <si>
    <t>Nectar d'Abricot</t>
  </si>
  <si>
    <t>Jus de Raisin</t>
  </si>
  <si>
    <t>TVA</t>
  </si>
  <si>
    <t>Prix 
Unitaire</t>
  </si>
  <si>
    <t>Pack de 6</t>
  </si>
  <si>
    <t>Calculez les colonnes vides</t>
  </si>
  <si>
    <t>Prix Unitaire
€</t>
  </si>
  <si>
    <t xml:space="preserve">3 - Convertissez le total obtenu en livre </t>
  </si>
  <si>
    <t>Ramette  A4</t>
  </si>
  <si>
    <t>Ramette  A3</t>
  </si>
  <si>
    <t>Poids vendus en Kg</t>
  </si>
  <si>
    <t>cacao</t>
  </si>
  <si>
    <t>thé</t>
  </si>
  <si>
    <t>café</t>
  </si>
  <si>
    <t>total</t>
  </si>
  <si>
    <t>rapport</t>
  </si>
  <si>
    <t>Janvier</t>
  </si>
  <si>
    <t>Février</t>
  </si>
  <si>
    <t>Mars</t>
  </si>
  <si>
    <t>Avril</t>
  </si>
  <si>
    <t>Mai</t>
  </si>
  <si>
    <t>Minimum</t>
  </si>
  <si>
    <t>Maximum</t>
  </si>
  <si>
    <t>PRIX 
AU KG</t>
  </si>
  <si>
    <t>Chiffre d'affaires</t>
  </si>
  <si>
    <t>Table de multiplication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</si>
</sst>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mmmm\ \y\y"/>
    <numFmt numFmtId="165" formatCode="#,##0&quot;F le Kg&quot;"/>
    <numFmt numFmtId="166" formatCode="_-* #,##0.00\ [$€-1]_-;\-* #,##0.00\ [$€-1]_-;_-* &quot;-&quot;??\ [$€-1]_-"/>
    <numFmt numFmtId="167" formatCode="#,##0\ &quot;€&quot;"/>
  </numFmts>
  <fonts count="22">
    <font>
      <sz val="10"/>
      <name val="Arial"/>
    </font>
    <font>
      <sz val="10"/>
      <name val="Arial"/>
    </font>
    <font>
      <b/>
      <sz val="10"/>
      <color indexed="62"/>
      <name val="Arial"/>
      <family val="2"/>
    </font>
    <font>
      <b/>
      <u/>
      <sz val="12"/>
      <color indexed="20"/>
      <name val="Tempus Sans ITC"/>
      <family val="5"/>
    </font>
    <font>
      <b/>
      <sz val="10"/>
      <name val="Arial"/>
      <family val="2"/>
    </font>
    <font>
      <b/>
      <sz val="18"/>
      <name val="AvantGarde Md BT"/>
      <family val="2"/>
    </font>
    <font>
      <b/>
      <sz val="11"/>
      <name val="AvantGarde Md BT"/>
      <family val="2"/>
    </font>
    <font>
      <b/>
      <sz val="10"/>
      <name val="Arial"/>
    </font>
    <font>
      <i/>
      <sz val="10"/>
      <name val="Arial"/>
    </font>
    <font>
      <sz val="20"/>
      <color indexed="38"/>
      <name val="Bell MT"/>
      <family val="1"/>
    </font>
    <font>
      <sz val="10"/>
      <color indexed="8"/>
      <name val="Arial"/>
    </font>
    <font>
      <b/>
      <sz val="10"/>
      <color indexed="9"/>
      <name val="Arial"/>
    </font>
    <font>
      <sz val="10"/>
      <name val="Arial"/>
    </font>
    <font>
      <sz val="10"/>
      <color indexed="8"/>
      <name val="Arial"/>
      <family val="2"/>
    </font>
    <font>
      <b/>
      <sz val="11"/>
      <color indexed="9"/>
      <name val="Arial"/>
      <family val="2"/>
    </font>
    <font>
      <sz val="10"/>
      <name val="Baskerville Old Face"/>
      <family val="1"/>
    </font>
    <font>
      <sz val="12"/>
      <name val="Baskerville Old Face"/>
      <family val="1"/>
    </font>
    <font>
      <i/>
      <sz val="14"/>
      <name val="Baskerville Old Face"/>
      <family val="1"/>
    </font>
    <font>
      <b/>
      <i/>
      <sz val="20"/>
      <color indexed="48"/>
      <name val="Arial"/>
      <family val="2"/>
    </font>
    <font>
      <sz val="10"/>
      <name val="Arial"/>
      <family val="2"/>
    </font>
    <font>
      <b/>
      <i/>
      <sz val="20"/>
      <color indexed="33"/>
      <name val="Arial"/>
      <family val="2"/>
    </font>
    <font>
      <sz val="14"/>
      <name val="Comic Sans MS"/>
      <family val="4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9"/>
        <bgColor indexed="24"/>
      </patternFill>
    </fill>
    <fill>
      <patternFill patternType="solid">
        <fgColor indexed="42"/>
        <bgColor indexed="24"/>
      </patternFill>
    </fill>
    <fill>
      <patternFill patternType="darkGray">
        <fgColor indexed="21"/>
        <bgColor indexed="17"/>
      </patternFill>
    </fill>
    <fill>
      <patternFill patternType="solid">
        <fgColor indexed="20"/>
        <bgColor indexed="2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41">
    <border>
      <left/>
      <right/>
      <top/>
      <bottom/>
      <diagonal/>
    </border>
    <border>
      <left style="medium">
        <color indexed="35"/>
      </left>
      <right style="medium">
        <color indexed="56"/>
      </right>
      <top style="medium">
        <color indexed="35"/>
      </top>
      <bottom style="medium">
        <color indexed="56"/>
      </bottom>
      <diagonal/>
    </border>
    <border>
      <left style="double">
        <color indexed="14"/>
      </left>
      <right style="thin">
        <color indexed="64"/>
      </right>
      <top style="double">
        <color indexed="1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14"/>
      </top>
      <bottom style="thin">
        <color indexed="64"/>
      </bottom>
      <diagonal/>
    </border>
    <border>
      <left style="double">
        <color indexed="1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14"/>
      </right>
      <top style="thin">
        <color indexed="64"/>
      </top>
      <bottom style="thin">
        <color indexed="64"/>
      </bottom>
      <diagonal/>
    </border>
    <border>
      <left style="double">
        <color indexed="14"/>
      </left>
      <right style="thin">
        <color indexed="64"/>
      </right>
      <top style="thin">
        <color indexed="64"/>
      </top>
      <bottom style="double">
        <color indexed="1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14"/>
      </bottom>
      <diagonal/>
    </border>
    <border>
      <left/>
      <right/>
      <top/>
      <bottom style="thick">
        <color indexed="23"/>
      </bottom>
      <diagonal/>
    </border>
    <border>
      <left style="thin">
        <color indexed="64"/>
      </left>
      <right style="double">
        <color indexed="14"/>
      </right>
      <top style="double">
        <color indexed="1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5">
    <xf numFmtId="0" fontId="0" fillId="0" borderId="0"/>
    <xf numFmtId="166" fontId="1" fillId="0" borderId="0" applyFont="0" applyFill="0" applyBorder="0" applyAlignment="0" applyProtection="0"/>
    <xf numFmtId="166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</cellStyleXfs>
  <cellXfs count="113">
    <xf numFmtId="0" fontId="0" fillId="0" borderId="0" xfId="0"/>
    <xf numFmtId="0" fontId="2" fillId="2" borderId="0" xfId="0" applyFont="1" applyFill="1"/>
    <xf numFmtId="0" fontId="0" fillId="2" borderId="0" xfId="0" applyFill="1"/>
    <xf numFmtId="0" fontId="0" fillId="0" borderId="0" xfId="0" applyFill="1"/>
    <xf numFmtId="0" fontId="2" fillId="2" borderId="0" xfId="0" applyFont="1" applyFill="1" applyAlignment="1">
      <alignment horizontal="left" indent="2"/>
    </xf>
    <xf numFmtId="0" fontId="2" fillId="2" borderId="0" xfId="0" quotePrefix="1" applyFont="1" applyFill="1" applyAlignment="1">
      <alignment horizontal="left" indent="2"/>
    </xf>
    <xf numFmtId="0" fontId="4" fillId="0" borderId="0" xfId="0" applyFont="1" applyAlignment="1">
      <alignment horizontal="center"/>
    </xf>
    <xf numFmtId="0" fontId="0" fillId="3" borderId="1" xfId="0" applyFill="1" applyBorder="1"/>
    <xf numFmtId="0" fontId="4" fillId="0" borderId="0" xfId="0" applyFont="1" applyFill="1" applyAlignment="1">
      <alignment horizontal="center"/>
    </xf>
    <xf numFmtId="0" fontId="0" fillId="0" borderId="0" xfId="0" applyFill="1" applyBorder="1"/>
    <xf numFmtId="0" fontId="4" fillId="0" borderId="0" xfId="0" quotePrefix="1" applyFont="1" applyFill="1" applyAlignment="1">
      <alignment horizontal="center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3" xfId="0" quotePrefix="1" applyFont="1" applyFill="1" applyBorder="1" applyAlignment="1">
      <alignment horizontal="center" vertical="center" wrapText="1"/>
    </xf>
    <xf numFmtId="0" fontId="6" fillId="0" borderId="0" xfId="0" applyFont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2" borderId="5" xfId="0" applyFill="1" applyBorder="1" applyAlignment="1">
      <alignment vertical="center"/>
    </xf>
    <xf numFmtId="2" fontId="0" fillId="2" borderId="5" xfId="0" applyNumberFormat="1" applyFill="1" applyBorder="1" applyAlignment="1">
      <alignment vertical="center"/>
    </xf>
    <xf numFmtId="2" fontId="0" fillId="2" borderId="6" xfId="0" applyNumberForma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/>
    <xf numFmtId="0" fontId="10" fillId="5" borderId="0" xfId="0" applyFont="1" applyFill="1" applyBorder="1" applyAlignment="1">
      <alignment vertical="center"/>
    </xf>
    <xf numFmtId="2" fontId="10" fillId="5" borderId="0" xfId="0" applyNumberFormat="1" applyFont="1" applyFill="1" applyBorder="1" applyAlignment="1">
      <alignment vertical="center"/>
    </xf>
    <xf numFmtId="0" fontId="10" fillId="5" borderId="9" xfId="0" applyFont="1" applyFill="1" applyBorder="1" applyAlignment="1">
      <alignment vertical="center"/>
    </xf>
    <xf numFmtId="2" fontId="10" fillId="5" borderId="9" xfId="0" applyNumberFormat="1" applyFont="1" applyFill="1" applyBorder="1" applyAlignment="1">
      <alignment vertical="center"/>
    </xf>
    <xf numFmtId="0" fontId="10" fillId="6" borderId="0" xfId="0" applyFont="1" applyFill="1" applyBorder="1" applyAlignment="1">
      <alignment vertical="center"/>
    </xf>
    <xf numFmtId="2" fontId="10" fillId="6" borderId="0" xfId="0" applyNumberFormat="1" applyFont="1" applyFill="1" applyBorder="1" applyAlignment="1">
      <alignment vertical="center"/>
    </xf>
    <xf numFmtId="0" fontId="11" fillId="7" borderId="0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 wrapText="1"/>
    </xf>
    <xf numFmtId="0" fontId="0" fillId="0" borderId="0" xfId="0" applyBorder="1"/>
    <xf numFmtId="0" fontId="13" fillId="6" borderId="0" xfId="0" applyFont="1" applyFill="1" applyBorder="1" applyAlignment="1">
      <alignment vertical="center"/>
    </xf>
    <xf numFmtId="0" fontId="0" fillId="0" borderId="13" xfId="0" applyBorder="1" applyAlignment="1">
      <alignment horizontal="left" vertical="center" indent="1"/>
    </xf>
    <xf numFmtId="0" fontId="0" fillId="0" borderId="15" xfId="0" applyBorder="1" applyAlignment="1">
      <alignment horizontal="left" vertical="center" indent="1"/>
    </xf>
    <xf numFmtId="0" fontId="0" fillId="2" borderId="5" xfId="0" applyFill="1" applyBorder="1" applyAlignment="1">
      <alignment horizontal="center" vertical="center"/>
    </xf>
    <xf numFmtId="166" fontId="0" fillId="0" borderId="16" xfId="2" applyFont="1" applyFill="1" applyBorder="1" applyAlignment="1"/>
    <xf numFmtId="0" fontId="0" fillId="0" borderId="16" xfId="0" applyFill="1" applyBorder="1" applyAlignment="1"/>
    <xf numFmtId="166" fontId="0" fillId="0" borderId="0" xfId="2" applyFont="1" applyFill="1" applyBorder="1" applyAlignment="1"/>
    <xf numFmtId="0" fontId="0" fillId="0" borderId="0" xfId="0" applyFill="1" applyBorder="1" applyAlignment="1"/>
    <xf numFmtId="10" fontId="0" fillId="0" borderId="5" xfId="0" applyNumberFormat="1" applyBorder="1" applyAlignment="1">
      <alignment vertical="center"/>
    </xf>
    <xf numFmtId="0" fontId="14" fillId="8" borderId="17" xfId="0" quotePrefix="1" applyFont="1" applyFill="1" applyBorder="1" applyAlignment="1">
      <alignment horizontal="center" vertical="center" wrapText="1"/>
    </xf>
    <xf numFmtId="0" fontId="14" fillId="8" borderId="17" xfId="0" applyFont="1" applyFill="1" applyBorder="1" applyAlignment="1">
      <alignment horizontal="center" vertical="center"/>
    </xf>
    <xf numFmtId="0" fontId="15" fillId="2" borderId="0" xfId="0" applyFont="1" applyFill="1"/>
    <xf numFmtId="0" fontId="16" fillId="2" borderId="0" xfId="0" applyFont="1" applyFill="1" applyAlignment="1">
      <alignment horizontal="left" indent="3"/>
    </xf>
    <xf numFmtId="0" fontId="17" fillId="2" borderId="0" xfId="0" applyFont="1" applyFill="1" applyAlignment="1">
      <alignment horizontal="left" indent="3"/>
    </xf>
    <xf numFmtId="0" fontId="9" fillId="0" borderId="0" xfId="0" applyFont="1" applyAlignment="1">
      <alignment horizontal="left" vertical="center"/>
    </xf>
    <xf numFmtId="0" fontId="18" fillId="0" borderId="0" xfId="0" applyFont="1"/>
    <xf numFmtId="0" fontId="19" fillId="0" borderId="0" xfId="0" applyFont="1"/>
    <xf numFmtId="0" fontId="19" fillId="0" borderId="0" xfId="0" applyFont="1" applyBorder="1"/>
    <xf numFmtId="0" fontId="19" fillId="0" borderId="24" xfId="0" applyFont="1" applyBorder="1" applyAlignment="1">
      <alignment vertical="center"/>
    </xf>
    <xf numFmtId="0" fontId="4" fillId="9" borderId="25" xfId="0" applyFont="1" applyFill="1" applyBorder="1" applyAlignment="1">
      <alignment horizontal="center" vertical="center"/>
    </xf>
    <xf numFmtId="0" fontId="4" fillId="9" borderId="26" xfId="0" applyFont="1" applyFill="1" applyBorder="1" applyAlignment="1">
      <alignment horizontal="center" vertical="center"/>
    </xf>
    <xf numFmtId="0" fontId="4" fillId="9" borderId="27" xfId="0" applyFont="1" applyFill="1" applyBorder="1" applyAlignment="1">
      <alignment horizontal="center" vertical="center"/>
    </xf>
    <xf numFmtId="0" fontId="4" fillId="9" borderId="28" xfId="0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0" xfId="0" applyFont="1" applyFill="1" applyAlignment="1">
      <alignment vertical="center"/>
    </xf>
    <xf numFmtId="164" fontId="19" fillId="9" borderId="29" xfId="0" applyNumberFormat="1" applyFont="1" applyFill="1" applyBorder="1" applyAlignment="1">
      <alignment horizontal="left" vertical="center" indent="1"/>
    </xf>
    <xf numFmtId="1" fontId="19" fillId="0" borderId="30" xfId="0" applyNumberFormat="1" applyFont="1" applyBorder="1" applyAlignment="1">
      <alignment vertical="center"/>
    </xf>
    <xf numFmtId="1" fontId="19" fillId="0" borderId="31" xfId="0" applyNumberFormat="1" applyFont="1" applyBorder="1" applyAlignment="1">
      <alignment vertical="center"/>
    </xf>
    <xf numFmtId="0" fontId="4" fillId="9" borderId="33" xfId="0" applyFont="1" applyFill="1" applyBorder="1" applyAlignment="1">
      <alignment horizontal="left" vertical="center" indent="1"/>
    </xf>
    <xf numFmtId="0" fontId="4" fillId="9" borderId="35" xfId="0" applyFont="1" applyFill="1" applyBorder="1" applyAlignment="1">
      <alignment horizontal="left" vertical="center" indent="1"/>
    </xf>
    <xf numFmtId="0" fontId="4" fillId="9" borderId="37" xfId="0" applyFont="1" applyFill="1" applyBorder="1" applyAlignment="1">
      <alignment horizontal="left" vertical="center" indent="1"/>
    </xf>
    <xf numFmtId="0" fontId="4" fillId="0" borderId="33" xfId="0" applyFont="1" applyBorder="1" applyAlignment="1">
      <alignment horizontal="center" vertical="center"/>
    </xf>
    <xf numFmtId="167" fontId="19" fillId="0" borderId="33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165" fontId="19" fillId="0" borderId="0" xfId="0" applyNumberFormat="1" applyFont="1" applyBorder="1"/>
    <xf numFmtId="0" fontId="20" fillId="0" borderId="0" xfId="0" applyFont="1" applyBorder="1"/>
    <xf numFmtId="0" fontId="4" fillId="9" borderId="33" xfId="0" applyFont="1" applyFill="1" applyBorder="1" applyAlignment="1">
      <alignment horizontal="center" vertical="center"/>
    </xf>
    <xf numFmtId="0" fontId="4" fillId="9" borderId="40" xfId="0" applyFont="1" applyFill="1" applyBorder="1" applyAlignment="1">
      <alignment horizontal="center" vertical="center"/>
    </xf>
    <xf numFmtId="164" fontId="19" fillId="0" borderId="33" xfId="0" applyNumberFormat="1" applyFont="1" applyBorder="1" applyAlignment="1">
      <alignment horizontal="center" vertical="center"/>
    </xf>
    <xf numFmtId="0" fontId="4" fillId="10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1" fillId="0" borderId="0" xfId="0" applyFont="1"/>
    <xf numFmtId="0" fontId="19" fillId="0" borderId="0" xfId="0" applyNumberFormat="1" applyFont="1" applyFill="1" applyBorder="1" applyAlignment="1">
      <alignment vertical="center"/>
    </xf>
    <xf numFmtId="0" fontId="0" fillId="0" borderId="5" xfId="0" applyNumberFormat="1" applyBorder="1" applyAlignment="1">
      <alignment horizontal="center" vertical="center"/>
    </xf>
    <xf numFmtId="0" fontId="0" fillId="0" borderId="5" xfId="2" applyNumberFormat="1" applyFont="1" applyBorder="1" applyAlignment="1">
      <alignment horizontal="center" vertical="center"/>
    </xf>
    <xf numFmtId="0" fontId="0" fillId="0" borderId="14" xfId="2" applyNumberFormat="1" applyFont="1" applyBorder="1" applyAlignment="1">
      <alignment horizontal="center" vertical="center"/>
    </xf>
    <xf numFmtId="0" fontId="0" fillId="0" borderId="12" xfId="0" applyNumberFormat="1" applyBorder="1" applyAlignment="1">
      <alignment horizontal="center" vertical="center"/>
    </xf>
    <xf numFmtId="0" fontId="0" fillId="0" borderId="12" xfId="4" applyNumberFormat="1" applyFont="1" applyBorder="1" applyAlignment="1">
      <alignment horizontal="center" vertical="center"/>
    </xf>
    <xf numFmtId="0" fontId="0" fillId="0" borderId="11" xfId="0" applyNumberFormat="1" applyBorder="1" applyAlignment="1">
      <alignment horizontal="center" vertical="center"/>
    </xf>
    <xf numFmtId="0" fontId="0" fillId="0" borderId="0" xfId="0" applyNumberFormat="1"/>
    <xf numFmtId="0" fontId="10" fillId="6" borderId="0" xfId="3" applyNumberFormat="1" applyFont="1" applyFill="1" applyBorder="1" applyAlignment="1">
      <alignment vertical="center"/>
    </xf>
    <xf numFmtId="0" fontId="10" fillId="5" borderId="0" xfId="3" applyNumberFormat="1" applyFont="1" applyFill="1" applyBorder="1" applyAlignment="1">
      <alignment vertical="center"/>
    </xf>
    <xf numFmtId="0" fontId="10" fillId="5" borderId="9" xfId="3" applyNumberFormat="1" applyFont="1" applyFill="1" applyBorder="1" applyAlignment="1">
      <alignment vertical="center"/>
    </xf>
    <xf numFmtId="1" fontId="19" fillId="0" borderId="34" xfId="0" applyNumberFormat="1" applyFont="1" applyBorder="1" applyAlignment="1">
      <alignment vertical="center"/>
    </xf>
    <xf numFmtId="1" fontId="19" fillId="0" borderId="26" xfId="0" applyNumberFormat="1" applyFont="1" applyBorder="1" applyAlignment="1">
      <alignment vertical="center"/>
    </xf>
    <xf numFmtId="1" fontId="19" fillId="0" borderId="0" xfId="0" applyNumberFormat="1" applyFont="1" applyBorder="1" applyAlignment="1">
      <alignment vertical="center"/>
    </xf>
    <xf numFmtId="1" fontId="19" fillId="0" borderId="36" xfId="0" applyNumberFormat="1" applyFont="1" applyBorder="1" applyAlignment="1">
      <alignment vertical="center"/>
    </xf>
    <xf numFmtId="1" fontId="19" fillId="0" borderId="32" xfId="0" applyNumberFormat="1" applyFont="1" applyBorder="1" applyAlignment="1">
      <alignment vertical="center"/>
    </xf>
    <xf numFmtId="1" fontId="19" fillId="0" borderId="27" xfId="0" applyNumberFormat="1" applyFont="1" applyBorder="1" applyAlignment="1">
      <alignment vertical="center"/>
    </xf>
    <xf numFmtId="9" fontId="19" fillId="0" borderId="38" xfId="3" applyFont="1" applyBorder="1" applyAlignment="1">
      <alignment horizontal="center" vertical="center"/>
    </xf>
    <xf numFmtId="9" fontId="19" fillId="0" borderId="32" xfId="3" applyFont="1" applyBorder="1" applyAlignment="1">
      <alignment horizontal="center" vertical="center"/>
    </xf>
    <xf numFmtId="9" fontId="19" fillId="0" borderId="28" xfId="4" applyNumberFormat="1" applyFont="1" applyBorder="1" applyAlignment="1">
      <alignment horizontal="center" vertical="center"/>
    </xf>
    <xf numFmtId="167" fontId="19" fillId="0" borderId="33" xfId="2" applyNumberFormat="1" applyFont="1" applyBorder="1" applyAlignment="1">
      <alignment vertical="center"/>
    </xf>
    <xf numFmtId="167" fontId="4" fillId="0" borderId="26" xfId="2" applyNumberFormat="1" applyFont="1" applyBorder="1" applyAlignment="1">
      <alignment vertical="center"/>
    </xf>
    <xf numFmtId="167" fontId="19" fillId="0" borderId="40" xfId="2" applyNumberFormat="1" applyFont="1" applyBorder="1" applyAlignment="1">
      <alignment vertical="center"/>
    </xf>
    <xf numFmtId="167" fontId="4" fillId="0" borderId="40" xfId="2" applyNumberFormat="1" applyFont="1" applyBorder="1" applyAlignment="1">
      <alignment vertical="center"/>
    </xf>
    <xf numFmtId="0" fontId="3" fillId="2" borderId="0" xfId="0" applyFont="1" applyFill="1" applyAlignment="1">
      <alignment horizontal="center"/>
    </xf>
    <xf numFmtId="0" fontId="5" fillId="0" borderId="0" xfId="0" quotePrefix="1" applyFont="1" applyFill="1" applyAlignment="1">
      <alignment horizontal="center"/>
    </xf>
    <xf numFmtId="0" fontId="0" fillId="2" borderId="18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2" borderId="20" xfId="0" applyFill="1" applyBorder="1" applyAlignment="1">
      <alignment horizontal="center" vertical="center"/>
    </xf>
    <xf numFmtId="0" fontId="0" fillId="2" borderId="21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19" fillId="9" borderId="39" xfId="0" applyFont="1" applyFill="1" applyBorder="1" applyAlignment="1">
      <alignment horizontal="center" vertical="center" textRotation="90" wrapText="1"/>
    </xf>
    <xf numFmtId="0" fontId="19" fillId="9" borderId="39" xfId="0" applyFont="1" applyFill="1" applyBorder="1" applyAlignment="1">
      <alignment horizontal="center" vertical="center" textRotation="90"/>
    </xf>
  </cellXfs>
  <cellStyles count="5">
    <cellStyle name="Euro" xfId="1"/>
    <cellStyle name="Euro 2" xfId="2"/>
    <cellStyle name="Normal" xfId="0" builtinId="0"/>
    <cellStyle name="Pourcentage" xfId="3" builtinId="5"/>
    <cellStyle name="Pourcentage 2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tabSelected="1" topLeftCell="A4" workbookViewId="0">
      <selection activeCell="G17" sqref="G17"/>
    </sheetView>
  </sheetViews>
  <sheetFormatPr baseColWidth="10" defaultRowHeight="12.75"/>
  <cols>
    <col min="1" max="1" width="12.85546875" customWidth="1"/>
    <col min="2" max="2" width="12.7109375" bestFit="1" customWidth="1"/>
    <col min="3" max="3" width="13.140625" bestFit="1" customWidth="1"/>
    <col min="4" max="4" width="14.5703125" customWidth="1"/>
    <col min="5" max="7" width="12.140625" customWidth="1"/>
  </cols>
  <sheetData>
    <row r="1" spans="1:7">
      <c r="A1" s="2"/>
      <c r="B1" s="2"/>
      <c r="C1" s="2"/>
      <c r="D1" s="2"/>
      <c r="E1" s="2"/>
      <c r="F1" s="3"/>
    </row>
    <row r="2" spans="1:7" ht="16.5">
      <c r="A2" s="102" t="s">
        <v>0</v>
      </c>
      <c r="B2" s="102"/>
      <c r="C2" s="102"/>
      <c r="D2" s="102"/>
      <c r="E2" s="102"/>
      <c r="F2" s="3"/>
    </row>
    <row r="3" spans="1:7">
      <c r="A3" s="1"/>
      <c r="B3" s="2"/>
      <c r="C3" s="2"/>
      <c r="D3" s="2"/>
      <c r="E3" s="2"/>
      <c r="F3" s="3"/>
    </row>
    <row r="4" spans="1:7">
      <c r="A4" s="4" t="s">
        <v>1</v>
      </c>
      <c r="B4" s="2"/>
      <c r="C4" s="2"/>
      <c r="D4" s="2"/>
      <c r="E4" s="2"/>
      <c r="F4" s="3"/>
    </row>
    <row r="5" spans="1:7">
      <c r="A5" s="5" t="s">
        <v>2</v>
      </c>
      <c r="B5" s="1"/>
      <c r="C5" s="2"/>
      <c r="D5" s="2"/>
      <c r="E5" s="2"/>
      <c r="F5" s="3"/>
    </row>
    <row r="6" spans="1:7">
      <c r="A6" s="5" t="s">
        <v>57</v>
      </c>
      <c r="B6" s="2"/>
      <c r="C6" s="2"/>
      <c r="D6" s="2"/>
      <c r="E6" s="2"/>
      <c r="F6" s="3"/>
      <c r="G6" s="35"/>
    </row>
    <row r="7" spans="1:7">
      <c r="A7" s="1"/>
      <c r="B7" s="2"/>
      <c r="C7" s="2"/>
      <c r="D7" s="2"/>
      <c r="E7" s="2"/>
      <c r="F7" s="3"/>
      <c r="G7" s="35"/>
    </row>
    <row r="8" spans="1:7">
      <c r="G8" s="35"/>
    </row>
    <row r="9" spans="1:7">
      <c r="G9" s="35"/>
    </row>
    <row r="10" spans="1:7" ht="13.5" thickBot="1"/>
    <row r="11" spans="1:7" ht="13.5" thickBot="1">
      <c r="A11" s="6" t="s">
        <v>34</v>
      </c>
      <c r="B11" s="7">
        <v>1.34</v>
      </c>
      <c r="D11" s="6" t="s">
        <v>35</v>
      </c>
      <c r="E11" s="7">
        <v>0.88</v>
      </c>
    </row>
    <row r="12" spans="1:7" s="3" customFormat="1">
      <c r="A12" s="8"/>
      <c r="B12" s="9"/>
      <c r="D12" s="10"/>
      <c r="E12" s="9"/>
    </row>
    <row r="13" spans="1:7" s="3" customFormat="1">
      <c r="A13" s="8"/>
      <c r="B13" s="9"/>
      <c r="D13" s="10"/>
      <c r="E13" s="9"/>
    </row>
    <row r="14" spans="1:7" s="3" customFormat="1" ht="23.25">
      <c r="A14" s="103" t="s">
        <v>3</v>
      </c>
      <c r="B14" s="103"/>
      <c r="C14" s="103"/>
      <c r="D14" s="103"/>
      <c r="E14" s="103"/>
      <c r="F14" s="103"/>
      <c r="G14" s="103"/>
    </row>
    <row r="15" spans="1:7" ht="13.5" thickBot="1"/>
    <row r="16" spans="1:7" s="14" customFormat="1" ht="30.75" thickTop="1">
      <c r="A16" s="11" t="s">
        <v>4</v>
      </c>
      <c r="B16" s="12" t="s">
        <v>5</v>
      </c>
      <c r="C16" s="12" t="s">
        <v>6</v>
      </c>
      <c r="D16" s="13" t="s">
        <v>56</v>
      </c>
      <c r="E16" s="13" t="s">
        <v>32</v>
      </c>
      <c r="F16" s="12" t="s">
        <v>7</v>
      </c>
      <c r="G16" s="34" t="s">
        <v>33</v>
      </c>
    </row>
    <row r="17" spans="1:7" s="21" customFormat="1" ht="18" customHeight="1">
      <c r="A17" s="15">
        <v>1</v>
      </c>
      <c r="B17" s="16" t="s">
        <v>8</v>
      </c>
      <c r="C17" s="17">
        <v>50</v>
      </c>
      <c r="D17" s="17">
        <v>1</v>
      </c>
      <c r="E17" s="18">
        <f>C17*D17</f>
        <v>50</v>
      </c>
      <c r="F17" s="19"/>
      <c r="G17" s="20"/>
    </row>
    <row r="18" spans="1:7" s="21" customFormat="1" ht="18" customHeight="1">
      <c r="A18" s="15">
        <v>2</v>
      </c>
      <c r="B18" s="16" t="s">
        <v>58</v>
      </c>
      <c r="C18" s="17">
        <v>125</v>
      </c>
      <c r="D18" s="17">
        <v>5</v>
      </c>
      <c r="E18" s="18">
        <f t="shared" ref="E18:E23" si="0">C18*D18</f>
        <v>625</v>
      </c>
      <c r="F18" s="19"/>
      <c r="G18" s="20"/>
    </row>
    <row r="19" spans="1:7" s="21" customFormat="1" ht="18" customHeight="1">
      <c r="A19" s="15">
        <v>3</v>
      </c>
      <c r="B19" s="16" t="s">
        <v>59</v>
      </c>
      <c r="C19" s="17">
        <v>10</v>
      </c>
      <c r="D19" s="17">
        <v>15</v>
      </c>
      <c r="E19" s="18">
        <f t="shared" si="0"/>
        <v>150</v>
      </c>
      <c r="F19" s="19"/>
      <c r="G19" s="20"/>
    </row>
    <row r="20" spans="1:7" s="21" customFormat="1" ht="18" customHeight="1">
      <c r="A20" s="15">
        <v>4</v>
      </c>
      <c r="B20" s="16" t="s">
        <v>9</v>
      </c>
      <c r="C20" s="17">
        <v>100</v>
      </c>
      <c r="D20" s="17">
        <v>0.8</v>
      </c>
      <c r="E20" s="18">
        <f t="shared" si="0"/>
        <v>80</v>
      </c>
      <c r="F20" s="19"/>
      <c r="G20" s="20"/>
    </row>
    <row r="21" spans="1:7" s="21" customFormat="1" ht="18" customHeight="1">
      <c r="A21" s="15">
        <v>5</v>
      </c>
      <c r="B21" s="16" t="s">
        <v>10</v>
      </c>
      <c r="C21" s="17">
        <v>50</v>
      </c>
      <c r="D21" s="17">
        <v>2.5</v>
      </c>
      <c r="E21" s="18">
        <f t="shared" si="0"/>
        <v>125</v>
      </c>
      <c r="F21" s="19"/>
      <c r="G21" s="20"/>
    </row>
    <row r="22" spans="1:7" s="21" customFormat="1" ht="18" customHeight="1">
      <c r="A22" s="15">
        <v>6</v>
      </c>
      <c r="B22" s="16" t="s">
        <v>11</v>
      </c>
      <c r="C22" s="17">
        <v>50</v>
      </c>
      <c r="D22" s="17">
        <v>1.5</v>
      </c>
      <c r="E22" s="18">
        <f t="shared" si="0"/>
        <v>75</v>
      </c>
      <c r="F22" s="19"/>
      <c r="G22" s="20"/>
    </row>
    <row r="23" spans="1:7" s="21" customFormat="1" ht="18" customHeight="1" thickBot="1">
      <c r="A23" s="22">
        <v>7</v>
      </c>
      <c r="B23" s="23" t="s">
        <v>12</v>
      </c>
      <c r="C23" s="24">
        <v>15</v>
      </c>
      <c r="D23" s="24">
        <v>12</v>
      </c>
      <c r="E23" s="18">
        <f t="shared" si="0"/>
        <v>180</v>
      </c>
      <c r="F23" s="19"/>
      <c r="G23" s="20"/>
    </row>
    <row r="24" spans="1:7" ht="13.5" thickTop="1"/>
  </sheetData>
  <mergeCells count="2">
    <mergeCell ref="A2:E2"/>
    <mergeCell ref="A14:G14"/>
  </mergeCells>
  <phoneticPr fontId="0" type="noConversion"/>
  <printOptions horizontalCentered="1"/>
  <pageMargins left="0.43" right="0.44" top="0.98425196850393704" bottom="0.98425196850393704" header="0.51181102362204722" footer="0.51181102362204722"/>
  <pageSetup paperSize="9" orientation="portrait" r:id="rId1"/>
  <headerFooter alignWithMargins="0">
    <oddFooter>&amp;R&amp;"Arial,Italique"&amp;7&amp;F -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workbookViewId="0">
      <selection activeCell="I9" sqref="I9"/>
    </sheetView>
  </sheetViews>
  <sheetFormatPr baseColWidth="10" defaultRowHeight="12.75"/>
  <cols>
    <col min="1" max="1" width="15.85546875" customWidth="1"/>
    <col min="2" max="2" width="10" customWidth="1"/>
    <col min="3" max="11" width="9.42578125" customWidth="1"/>
    <col min="12" max="13" width="11.85546875" bestFit="1" customWidth="1"/>
  </cols>
  <sheetData>
    <row r="1" spans="1:13" ht="18.75">
      <c r="A1" s="49" t="s">
        <v>0</v>
      </c>
      <c r="B1" s="47"/>
      <c r="C1" s="2"/>
      <c r="D1" s="2"/>
      <c r="E1" s="2"/>
      <c r="F1" s="2"/>
      <c r="G1" s="2"/>
      <c r="H1" s="2"/>
      <c r="I1" s="2"/>
      <c r="J1" s="2"/>
    </row>
    <row r="2" spans="1:13" ht="15.75">
      <c r="A2" s="48" t="s">
        <v>55</v>
      </c>
      <c r="B2" s="47"/>
      <c r="C2" s="2"/>
      <c r="D2" s="2"/>
      <c r="E2" s="2"/>
      <c r="F2" s="2"/>
      <c r="G2" s="2"/>
      <c r="H2" s="2"/>
      <c r="I2" s="2"/>
      <c r="J2" s="2"/>
    </row>
    <row r="4" spans="1:13" ht="13.5" thickBot="1"/>
    <row r="5" spans="1:13" s="21" customFormat="1" ht="30">
      <c r="A5" s="46" t="s">
        <v>54</v>
      </c>
      <c r="B5" s="45" t="s">
        <v>53</v>
      </c>
      <c r="D5" s="39" t="s">
        <v>52</v>
      </c>
      <c r="E5" s="44">
        <v>0.2</v>
      </c>
    </row>
    <row r="6" spans="1:13">
      <c r="A6" s="43" t="s">
        <v>51</v>
      </c>
      <c r="B6" s="42">
        <v>5.3</v>
      </c>
    </row>
    <row r="7" spans="1:13">
      <c r="A7" s="43" t="s">
        <v>50</v>
      </c>
      <c r="B7" s="42">
        <v>9.1</v>
      </c>
    </row>
    <row r="8" spans="1:13">
      <c r="A8" s="43" t="s">
        <v>49</v>
      </c>
      <c r="B8" s="42">
        <v>6</v>
      </c>
    </row>
    <row r="9" spans="1:13">
      <c r="A9" s="43" t="s">
        <v>48</v>
      </c>
      <c r="B9" s="42">
        <v>10.6</v>
      </c>
    </row>
    <row r="10" spans="1:13" ht="13.5" thickBot="1">
      <c r="A10" s="41" t="s">
        <v>47</v>
      </c>
      <c r="B10" s="40">
        <v>12.1</v>
      </c>
    </row>
    <row r="12" spans="1:13" ht="13.5" thickBot="1"/>
    <row r="13" spans="1:13" ht="19.5" customHeight="1">
      <c r="A13" s="109"/>
      <c r="B13" s="108" t="s">
        <v>51</v>
      </c>
      <c r="C13" s="108"/>
      <c r="D13" s="108" t="s">
        <v>50</v>
      </c>
      <c r="E13" s="108"/>
      <c r="F13" s="108" t="s">
        <v>49</v>
      </c>
      <c r="G13" s="108"/>
      <c r="H13" s="108" t="s">
        <v>48</v>
      </c>
      <c r="I13" s="108"/>
      <c r="J13" s="108" t="s">
        <v>47</v>
      </c>
      <c r="K13" s="108"/>
      <c r="L13" s="104" t="s">
        <v>46</v>
      </c>
      <c r="M13" s="106" t="s">
        <v>45</v>
      </c>
    </row>
    <row r="14" spans="1:13" ht="19.5" customHeight="1">
      <c r="A14" s="110"/>
      <c r="B14" s="39" t="s">
        <v>44</v>
      </c>
      <c r="C14" s="39" t="s">
        <v>43</v>
      </c>
      <c r="D14" s="39" t="s">
        <v>44</v>
      </c>
      <c r="E14" s="39" t="s">
        <v>43</v>
      </c>
      <c r="F14" s="39" t="s">
        <v>44</v>
      </c>
      <c r="G14" s="39" t="s">
        <v>43</v>
      </c>
      <c r="H14" s="39" t="s">
        <v>44</v>
      </c>
      <c r="I14" s="39" t="s">
        <v>43</v>
      </c>
      <c r="J14" s="39" t="s">
        <v>44</v>
      </c>
      <c r="K14" s="39" t="s">
        <v>43</v>
      </c>
      <c r="L14" s="105"/>
      <c r="M14" s="107"/>
    </row>
    <row r="15" spans="1:13" ht="19.5" customHeight="1">
      <c r="A15" s="38" t="s">
        <v>42</v>
      </c>
      <c r="B15" s="17">
        <v>292</v>
      </c>
      <c r="C15" s="80"/>
      <c r="D15" s="17">
        <v>366</v>
      </c>
      <c r="E15" s="80"/>
      <c r="F15" s="17">
        <v>58</v>
      </c>
      <c r="G15" s="80"/>
      <c r="H15" s="17">
        <v>272</v>
      </c>
      <c r="I15" s="80"/>
      <c r="J15" s="17">
        <v>272</v>
      </c>
      <c r="K15" s="80"/>
      <c r="L15" s="80"/>
      <c r="M15" s="81"/>
    </row>
    <row r="16" spans="1:13" ht="19.5" customHeight="1">
      <c r="A16" s="38" t="s">
        <v>41</v>
      </c>
      <c r="B16" s="17">
        <v>162</v>
      </c>
      <c r="C16" s="80"/>
      <c r="D16" s="17">
        <v>327</v>
      </c>
      <c r="E16" s="80"/>
      <c r="F16" s="17">
        <v>132</v>
      </c>
      <c r="G16" s="80"/>
      <c r="H16" s="17">
        <v>158</v>
      </c>
      <c r="I16" s="80"/>
      <c r="J16" s="17">
        <v>200</v>
      </c>
      <c r="K16" s="80"/>
      <c r="L16" s="80"/>
      <c r="M16" s="81"/>
    </row>
    <row r="17" spans="1:13" ht="19.5" customHeight="1">
      <c r="A17" s="38" t="s">
        <v>40</v>
      </c>
      <c r="B17" s="17">
        <v>240</v>
      </c>
      <c r="C17" s="80"/>
      <c r="D17" s="17">
        <v>264</v>
      </c>
      <c r="E17" s="80"/>
      <c r="F17" s="17">
        <v>74</v>
      </c>
      <c r="G17" s="80"/>
      <c r="H17" s="17">
        <v>168</v>
      </c>
      <c r="I17" s="80"/>
      <c r="J17" s="17">
        <v>304</v>
      </c>
      <c r="K17" s="80"/>
      <c r="L17" s="80"/>
      <c r="M17" s="81"/>
    </row>
    <row r="18" spans="1:13" ht="19.5" customHeight="1">
      <c r="A18" s="38" t="s">
        <v>39</v>
      </c>
      <c r="B18" s="17">
        <v>264</v>
      </c>
      <c r="C18" s="80"/>
      <c r="D18" s="17">
        <v>222</v>
      </c>
      <c r="E18" s="80"/>
      <c r="F18" s="17">
        <v>92</v>
      </c>
      <c r="G18" s="80"/>
      <c r="H18" s="17">
        <v>214</v>
      </c>
      <c r="I18" s="80"/>
      <c r="J18" s="17">
        <v>464</v>
      </c>
      <c r="K18" s="80"/>
      <c r="L18" s="80"/>
      <c r="M18" s="81"/>
    </row>
    <row r="19" spans="1:13" ht="19.5" customHeight="1">
      <c r="A19" s="38" t="s">
        <v>38</v>
      </c>
      <c r="B19" s="17">
        <f>SUM(B15:B18)</f>
        <v>958</v>
      </c>
      <c r="C19" s="80"/>
      <c r="D19" s="17">
        <f>SUM(D15:D18)</f>
        <v>1179</v>
      </c>
      <c r="E19" s="80"/>
      <c r="F19" s="17">
        <f>SUM(F15:F18)</f>
        <v>356</v>
      </c>
      <c r="G19" s="80"/>
      <c r="H19" s="17">
        <f>SUM(H15:H18)</f>
        <v>812</v>
      </c>
      <c r="I19" s="80"/>
      <c r="J19" s="17">
        <f>SUM(J15:J18)</f>
        <v>1240</v>
      </c>
      <c r="K19" s="80"/>
      <c r="L19" s="80"/>
      <c r="M19" s="81"/>
    </row>
    <row r="20" spans="1:13" ht="19.5" customHeight="1">
      <c r="A20" s="38" t="s">
        <v>37</v>
      </c>
      <c r="B20" s="79"/>
      <c r="C20" s="80"/>
      <c r="D20" s="79"/>
      <c r="E20" s="80"/>
      <c r="F20" s="79"/>
      <c r="G20" s="80"/>
      <c r="H20" s="79"/>
      <c r="I20" s="80"/>
      <c r="J20" s="79"/>
      <c r="K20" s="80"/>
      <c r="L20" s="80"/>
      <c r="M20" s="81"/>
    </row>
    <row r="21" spans="1:13" ht="19.5" customHeight="1" thickBot="1">
      <c r="A21" s="37" t="s">
        <v>36</v>
      </c>
      <c r="B21" s="82"/>
      <c r="C21" s="83"/>
      <c r="D21" s="82"/>
      <c r="E21" s="83"/>
      <c r="F21" s="82"/>
      <c r="G21" s="83"/>
      <c r="H21" s="82"/>
      <c r="I21" s="83"/>
      <c r="J21" s="82"/>
      <c r="K21" s="83"/>
      <c r="L21" s="83"/>
      <c r="M21" s="84"/>
    </row>
    <row r="22" spans="1:13">
      <c r="C22" s="85"/>
      <c r="E22" s="85"/>
      <c r="I22" s="85"/>
    </row>
    <row r="23" spans="1:13">
      <c r="E23" s="85"/>
      <c r="I23" s="85"/>
    </row>
    <row r="24" spans="1:13">
      <c r="E24" s="85"/>
    </row>
    <row r="25" spans="1:13">
      <c r="E25" s="85"/>
    </row>
    <row r="26" spans="1:13">
      <c r="E26" s="85"/>
    </row>
  </sheetData>
  <mergeCells count="8">
    <mergeCell ref="L13:L14"/>
    <mergeCell ref="M13:M14"/>
    <mergeCell ref="J13:K13"/>
    <mergeCell ref="A13:A14"/>
    <mergeCell ref="B13:C13"/>
    <mergeCell ref="D13:E13"/>
    <mergeCell ref="F13:G13"/>
    <mergeCell ref="H13:I13"/>
  </mergeCells>
  <printOptions horizontalCentered="1"/>
  <pageMargins left="0.59055118110236227" right="0.59055118110236227" top="0.78740157480314965" bottom="0.98425196850393704" header="0.51181102362204722" footer="0.51181102362204722"/>
  <pageSetup paperSize="9" orientation="landscape" r:id="rId1"/>
  <headerFooter alignWithMargins="0">
    <oddFooter>&amp;R&amp;"Arial,Italique"&amp;8&amp;F -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>
      <selection activeCell="D24" sqref="D24"/>
    </sheetView>
  </sheetViews>
  <sheetFormatPr baseColWidth="10" defaultRowHeight="12.75"/>
  <cols>
    <col min="1" max="1" width="13.85546875" style="52" customWidth="1"/>
    <col min="2" max="4" width="11.7109375" style="52" bestFit="1" customWidth="1"/>
    <col min="5" max="5" width="12.5703125" style="52" bestFit="1" customWidth="1"/>
    <col min="6" max="16384" width="11.42578125" style="52"/>
  </cols>
  <sheetData>
    <row r="1" spans="1:8" ht="25.5">
      <c r="A1" s="51" t="s">
        <v>60</v>
      </c>
    </row>
    <row r="2" spans="1:8" ht="13.5" thickBot="1">
      <c r="A2" s="53"/>
    </row>
    <row r="3" spans="1:8" s="59" customFormat="1" ht="16.5" customHeight="1" thickTop="1" thickBot="1">
      <c r="A3" s="54"/>
      <c r="B3" s="55" t="s">
        <v>61</v>
      </c>
      <c r="C3" s="56" t="s">
        <v>62</v>
      </c>
      <c r="D3" s="56" t="s">
        <v>63</v>
      </c>
      <c r="E3" s="57" t="s">
        <v>64</v>
      </c>
      <c r="F3" s="58" t="s">
        <v>65</v>
      </c>
      <c r="H3" s="60"/>
    </row>
    <row r="4" spans="1:8" s="59" customFormat="1" ht="16.5" customHeight="1" thickTop="1" thickBot="1">
      <c r="A4" s="61" t="s">
        <v>66</v>
      </c>
      <c r="B4" s="62">
        <v>20</v>
      </c>
      <c r="C4" s="63">
        <v>16</v>
      </c>
      <c r="D4" s="63">
        <v>24</v>
      </c>
      <c r="E4" s="91">
        <f>SUM(B4:D4)</f>
        <v>60</v>
      </c>
      <c r="F4" s="96">
        <f>E4/E$10</f>
        <v>0.15789473684210525</v>
      </c>
    </row>
    <row r="5" spans="1:8" s="59" customFormat="1" ht="16.5" customHeight="1" thickTop="1" thickBot="1">
      <c r="A5" s="61" t="s">
        <v>67</v>
      </c>
      <c r="B5" s="62">
        <v>21</v>
      </c>
      <c r="C5" s="63">
        <v>12</v>
      </c>
      <c r="D5" s="63">
        <v>20</v>
      </c>
      <c r="E5" s="91">
        <f t="shared" ref="E5:E9" si="0">SUM(B5:D5)</f>
        <v>53</v>
      </c>
      <c r="F5" s="96">
        <f t="shared" ref="F5:F9" si="1">E5/E$10</f>
        <v>0.13947368421052631</v>
      </c>
    </row>
    <row r="6" spans="1:8" s="59" customFormat="1" ht="16.5" customHeight="1" thickTop="1" thickBot="1">
      <c r="A6" s="61" t="s">
        <v>68</v>
      </c>
      <c r="B6" s="62">
        <v>24</v>
      </c>
      <c r="C6" s="63">
        <v>6</v>
      </c>
      <c r="D6" s="63">
        <v>21</v>
      </c>
      <c r="E6" s="91">
        <f t="shared" si="0"/>
        <v>51</v>
      </c>
      <c r="F6" s="96">
        <f t="shared" si="1"/>
        <v>0.13421052631578947</v>
      </c>
    </row>
    <row r="7" spans="1:8" s="59" customFormat="1" ht="16.5" customHeight="1" thickTop="1" thickBot="1">
      <c r="A7" s="61" t="s">
        <v>69</v>
      </c>
      <c r="B7" s="62">
        <v>36</v>
      </c>
      <c r="C7" s="63">
        <v>25</v>
      </c>
      <c r="D7" s="63">
        <v>37</v>
      </c>
      <c r="E7" s="91">
        <f t="shared" si="0"/>
        <v>98</v>
      </c>
      <c r="F7" s="96">
        <f t="shared" si="1"/>
        <v>0.25789473684210529</v>
      </c>
    </row>
    <row r="8" spans="1:8" s="59" customFormat="1" ht="16.5" customHeight="1" thickTop="1" thickBot="1">
      <c r="A8" s="61" t="s">
        <v>70</v>
      </c>
      <c r="B8" s="62">
        <v>25</v>
      </c>
      <c r="C8" s="63">
        <v>16</v>
      </c>
      <c r="D8" s="63">
        <v>5</v>
      </c>
      <c r="E8" s="91">
        <f t="shared" si="0"/>
        <v>46</v>
      </c>
      <c r="F8" s="96">
        <f t="shared" si="1"/>
        <v>0.12105263157894737</v>
      </c>
    </row>
    <row r="9" spans="1:8" s="59" customFormat="1" ht="16.5" customHeight="1" thickTop="1" thickBot="1">
      <c r="A9" s="61" t="s">
        <v>13</v>
      </c>
      <c r="B9" s="62">
        <v>29</v>
      </c>
      <c r="C9" s="63">
        <v>20</v>
      </c>
      <c r="D9" s="63">
        <v>23</v>
      </c>
      <c r="E9" s="91">
        <f t="shared" si="0"/>
        <v>72</v>
      </c>
      <c r="F9" s="96">
        <f t="shared" si="1"/>
        <v>0.18947368421052632</v>
      </c>
    </row>
    <row r="10" spans="1:8" s="59" customFormat="1" ht="16.5" customHeight="1" thickTop="1" thickBot="1">
      <c r="A10" s="64" t="s">
        <v>16</v>
      </c>
      <c r="B10" s="89">
        <f>SUM(B4:B9)</f>
        <v>155</v>
      </c>
      <c r="C10" s="90">
        <f>SUM(C4:C9)</f>
        <v>95</v>
      </c>
      <c r="D10" s="90">
        <f>SUM(D4:D9)</f>
        <v>130</v>
      </c>
      <c r="E10" s="94">
        <f>SUM(E4:E9)</f>
        <v>380</v>
      </c>
      <c r="F10" s="97">
        <f>SUM(F4:F9)</f>
        <v>1</v>
      </c>
    </row>
    <row r="11" spans="1:8" s="59" customFormat="1" ht="16.5" customHeight="1" thickTop="1">
      <c r="A11" s="65" t="s">
        <v>71</v>
      </c>
      <c r="B11" s="62">
        <f>MIN(B4:B9)</f>
        <v>20</v>
      </c>
      <c r="C11" s="63">
        <f>AVERAGE(C4:C9)</f>
        <v>15.833333333333334</v>
      </c>
      <c r="D11" s="63">
        <f>MIN(D4:D9)</f>
        <v>5</v>
      </c>
      <c r="E11" s="92">
        <f>MIN(E4:E10)</f>
        <v>46</v>
      </c>
      <c r="F11" s="78"/>
    </row>
    <row r="12" spans="1:8" s="59" customFormat="1" ht="16.5" customHeight="1">
      <c r="A12" s="65" t="s">
        <v>72</v>
      </c>
      <c r="B12" s="62">
        <f>MAX(B4:B9)</f>
        <v>36</v>
      </c>
      <c r="C12" s="63">
        <f>MAX(C4:C9)</f>
        <v>25</v>
      </c>
      <c r="D12" s="63">
        <f>MAX(D4:D9)</f>
        <v>37</v>
      </c>
      <c r="E12" s="93">
        <f>MAX(E4:E9)</f>
        <v>98</v>
      </c>
      <c r="F12" s="78"/>
    </row>
    <row r="13" spans="1:8" s="59" customFormat="1" ht="16.5" customHeight="1" thickBot="1">
      <c r="A13" s="65" t="s">
        <v>17</v>
      </c>
      <c r="B13" s="62">
        <f>AVERAGE(B4:B9)</f>
        <v>25.833333333333332</v>
      </c>
      <c r="C13" s="63">
        <f>AVERAGE(C4:C9)</f>
        <v>15.833333333333334</v>
      </c>
      <c r="D13" s="63">
        <f>AVERAGE(D4:D9)</f>
        <v>21.666666666666668</v>
      </c>
      <c r="E13" s="93">
        <f>AVERAGE(E4:E9)</f>
        <v>63.333333333333336</v>
      </c>
      <c r="F13" s="78"/>
    </row>
    <row r="14" spans="1:8" s="59" customFormat="1" ht="16.5" customHeight="1" thickBot="1">
      <c r="A14" s="66" t="s">
        <v>18</v>
      </c>
      <c r="B14" s="95">
        <f>B10/$E10</f>
        <v>0.40789473684210525</v>
      </c>
      <c r="C14" s="95">
        <f t="shared" ref="C14:E14" si="2">C10/$E10</f>
        <v>0.25</v>
      </c>
      <c r="D14" s="95">
        <f t="shared" si="2"/>
        <v>0.34210526315789475</v>
      </c>
      <c r="E14" s="95">
        <f t="shared" si="2"/>
        <v>1</v>
      </c>
      <c r="F14" s="78"/>
    </row>
    <row r="15" spans="1:8" ht="13.5" thickTop="1"/>
    <row r="17" spans="1:5" ht="13.5" thickBot="1"/>
    <row r="18" spans="1:5" s="59" customFormat="1" ht="30.75" customHeight="1" thickTop="1" thickBot="1">
      <c r="A18" s="111" t="s">
        <v>73</v>
      </c>
      <c r="B18" s="67" t="s">
        <v>61</v>
      </c>
      <c r="C18" s="67" t="s">
        <v>62</v>
      </c>
      <c r="D18" s="67" t="s">
        <v>63</v>
      </c>
    </row>
    <row r="19" spans="1:5" s="59" customFormat="1" ht="30.75" customHeight="1" thickTop="1" thickBot="1">
      <c r="A19" s="112"/>
      <c r="B19" s="68">
        <v>3</v>
      </c>
      <c r="C19" s="68">
        <v>2</v>
      </c>
      <c r="D19" s="68">
        <v>5</v>
      </c>
    </row>
    <row r="20" spans="1:5" ht="13.5" thickTop="1">
      <c r="A20" s="69"/>
      <c r="B20" s="70"/>
      <c r="C20" s="70"/>
      <c r="D20" s="70"/>
    </row>
    <row r="21" spans="1:5" ht="25.5">
      <c r="A21" s="51" t="s">
        <v>74</v>
      </c>
      <c r="B21" s="70"/>
      <c r="C21" s="70"/>
      <c r="D21" s="70"/>
    </row>
    <row r="22" spans="1:5" ht="15.75" customHeight="1" thickBot="1">
      <c r="A22" s="71"/>
      <c r="B22" s="70"/>
      <c r="C22" s="70"/>
      <c r="D22" s="70"/>
    </row>
    <row r="23" spans="1:5" s="59" customFormat="1" ht="18" customHeight="1" thickTop="1" thickBot="1">
      <c r="A23" s="54"/>
      <c r="B23" s="72" t="s">
        <v>61</v>
      </c>
      <c r="C23" s="72" t="s">
        <v>62</v>
      </c>
      <c r="D23" s="72" t="s">
        <v>63</v>
      </c>
      <c r="E23" s="73" t="s">
        <v>64</v>
      </c>
    </row>
    <row r="24" spans="1:5" s="59" customFormat="1" ht="18" customHeight="1" thickTop="1" thickBot="1">
      <c r="A24" s="74" t="s">
        <v>66</v>
      </c>
      <c r="B24" s="98">
        <f>B4*B$19</f>
        <v>60</v>
      </c>
      <c r="C24" s="98">
        <f t="shared" ref="C24:D24" si="3">C4*C$19</f>
        <v>32</v>
      </c>
      <c r="D24" s="98">
        <f t="shared" si="3"/>
        <v>120</v>
      </c>
      <c r="E24" s="100">
        <f>SUM(B24:D24)</f>
        <v>212</v>
      </c>
    </row>
    <row r="25" spans="1:5" s="59" customFormat="1" ht="18" customHeight="1" thickTop="1" thickBot="1">
      <c r="A25" s="74" t="s">
        <v>67</v>
      </c>
      <c r="B25" s="98">
        <f>B5*B$19</f>
        <v>63</v>
      </c>
      <c r="C25" s="98">
        <f t="shared" ref="C25:D25" si="4">C5*C$19</f>
        <v>24</v>
      </c>
      <c r="D25" s="98">
        <f t="shared" si="4"/>
        <v>100</v>
      </c>
      <c r="E25" s="100">
        <f t="shared" ref="E25:E29" si="5">SUM(B25:D25)</f>
        <v>187</v>
      </c>
    </row>
    <row r="26" spans="1:5" s="59" customFormat="1" ht="18" customHeight="1" thickTop="1" thickBot="1">
      <c r="A26" s="74" t="s">
        <v>68</v>
      </c>
      <c r="B26" s="98">
        <f t="shared" ref="B26:D26" si="6">B6*B$19</f>
        <v>72</v>
      </c>
      <c r="C26" s="98">
        <f t="shared" si="6"/>
        <v>12</v>
      </c>
      <c r="D26" s="98">
        <f t="shared" si="6"/>
        <v>105</v>
      </c>
      <c r="E26" s="100">
        <f t="shared" si="5"/>
        <v>189</v>
      </c>
    </row>
    <row r="27" spans="1:5" s="59" customFormat="1" ht="18" customHeight="1" thickTop="1" thickBot="1">
      <c r="A27" s="74" t="s">
        <v>69</v>
      </c>
      <c r="B27" s="98">
        <f t="shared" ref="B27:D27" si="7">B7*B$19</f>
        <v>108</v>
      </c>
      <c r="C27" s="98">
        <f t="shared" si="7"/>
        <v>50</v>
      </c>
      <c r="D27" s="98">
        <f t="shared" si="7"/>
        <v>185</v>
      </c>
      <c r="E27" s="100">
        <f t="shared" si="5"/>
        <v>343</v>
      </c>
    </row>
    <row r="28" spans="1:5" s="59" customFormat="1" ht="18" customHeight="1" thickTop="1" thickBot="1">
      <c r="A28" s="74" t="s">
        <v>70</v>
      </c>
      <c r="B28" s="98">
        <f t="shared" ref="B28:D28" si="8">B8*B$19</f>
        <v>75</v>
      </c>
      <c r="C28" s="98">
        <f t="shared" si="8"/>
        <v>32</v>
      </c>
      <c r="D28" s="98">
        <f t="shared" si="8"/>
        <v>25</v>
      </c>
      <c r="E28" s="100">
        <f t="shared" si="5"/>
        <v>132</v>
      </c>
    </row>
    <row r="29" spans="1:5" s="59" customFormat="1" ht="18" customHeight="1" thickTop="1" thickBot="1">
      <c r="A29" s="74" t="s">
        <v>13</v>
      </c>
      <c r="B29" s="98">
        <f t="shared" ref="B29:D29" si="9">B9*B$19</f>
        <v>87</v>
      </c>
      <c r="C29" s="98">
        <f t="shared" si="9"/>
        <v>40</v>
      </c>
      <c r="D29" s="98">
        <f t="shared" si="9"/>
        <v>115</v>
      </c>
      <c r="E29" s="100">
        <f t="shared" si="5"/>
        <v>242</v>
      </c>
    </row>
    <row r="30" spans="1:5" s="59" customFormat="1" ht="18" customHeight="1" thickTop="1" thickBot="1">
      <c r="A30" s="67" t="s">
        <v>16</v>
      </c>
      <c r="B30" s="98">
        <f>SUM(B24:B29)</f>
        <v>465</v>
      </c>
      <c r="C30" s="99">
        <f>SUM(C24:C29)</f>
        <v>190</v>
      </c>
      <c r="D30" s="99">
        <f>SUM(D24:D29)</f>
        <v>650</v>
      </c>
      <c r="E30" s="101">
        <f>SUM(E24:E29)</f>
        <v>1305</v>
      </c>
    </row>
    <row r="31" spans="1:5" ht="13.5" thickTop="1"/>
  </sheetData>
  <mergeCells count="1">
    <mergeCell ref="A18:A19"/>
  </mergeCells>
  <printOptions horizontalCentered="1"/>
  <pageMargins left="0.59055118110236227" right="0.59055118110236227" top="0.59055118110236227" bottom="0.59055118110236227" header="0.51181102362204722" footer="0.51181102362204722"/>
  <pageSetup paperSize="9" orientation="portrait" horizontalDpi="4294967294" verticalDpi="360" r:id="rId1"/>
  <headerFooter alignWithMargins="0">
    <oddFooter>&amp;R&amp;"Arial,Italique"&amp;A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4"/>
  <sheetViews>
    <sheetView workbookViewId="0">
      <selection activeCell="B5" sqref="B5"/>
    </sheetView>
  </sheetViews>
  <sheetFormatPr baseColWidth="10" defaultRowHeight="12.75"/>
  <sheetData>
    <row r="2" spans="1:11" ht="21">
      <c r="A2" s="77" t="s">
        <v>75</v>
      </c>
    </row>
    <row r="4" spans="1:11" s="76" customFormat="1" ht="18.75" customHeight="1">
      <c r="B4" s="75">
        <v>1</v>
      </c>
      <c r="C4" s="75">
        <v>2</v>
      </c>
      <c r="D4" s="75">
        <v>3</v>
      </c>
      <c r="E4" s="75">
        <v>4</v>
      </c>
      <c r="F4" s="75">
        <v>5</v>
      </c>
      <c r="G4" s="75">
        <v>6</v>
      </c>
      <c r="H4" s="75">
        <v>7</v>
      </c>
      <c r="I4" s="75">
        <v>8</v>
      </c>
      <c r="J4" s="75">
        <v>9</v>
      </c>
      <c r="K4" s="75">
        <v>10</v>
      </c>
    </row>
    <row r="5" spans="1:11" s="76" customFormat="1" ht="18.75" customHeight="1">
      <c r="A5" s="75">
        <v>1</v>
      </c>
      <c r="B5" s="76">
        <f>$A5*B$4</f>
        <v>1</v>
      </c>
      <c r="C5" s="76">
        <f t="shared" ref="C5:K5" si="0">$A5*C$4</f>
        <v>2</v>
      </c>
      <c r="D5" s="76">
        <f t="shared" si="0"/>
        <v>3</v>
      </c>
      <c r="E5" s="76">
        <f t="shared" si="0"/>
        <v>4</v>
      </c>
      <c r="F5" s="76">
        <f t="shared" si="0"/>
        <v>5</v>
      </c>
      <c r="G5" s="76">
        <f t="shared" si="0"/>
        <v>6</v>
      </c>
      <c r="H5" s="76">
        <f t="shared" si="0"/>
        <v>7</v>
      </c>
      <c r="I5" s="76">
        <f t="shared" si="0"/>
        <v>8</v>
      </c>
      <c r="J5" s="76">
        <f t="shared" si="0"/>
        <v>9</v>
      </c>
      <c r="K5" s="76">
        <f t="shared" si="0"/>
        <v>10</v>
      </c>
    </row>
    <row r="6" spans="1:11" s="76" customFormat="1" ht="18.75" customHeight="1">
      <c r="A6" s="75">
        <v>2</v>
      </c>
      <c r="B6" s="76">
        <f t="shared" ref="B6:K14" si="1">$A6*B$4</f>
        <v>2</v>
      </c>
      <c r="C6" s="76">
        <f t="shared" si="1"/>
        <v>4</v>
      </c>
      <c r="D6" s="76">
        <f t="shared" si="1"/>
        <v>6</v>
      </c>
      <c r="E6" s="76">
        <f t="shared" si="1"/>
        <v>8</v>
      </c>
      <c r="F6" s="76">
        <f t="shared" si="1"/>
        <v>10</v>
      </c>
      <c r="G6" s="76">
        <f t="shared" si="1"/>
        <v>12</v>
      </c>
      <c r="H6" s="76">
        <f t="shared" si="1"/>
        <v>14</v>
      </c>
      <c r="I6" s="76">
        <f t="shared" si="1"/>
        <v>16</v>
      </c>
      <c r="J6" s="76">
        <f t="shared" si="1"/>
        <v>18</v>
      </c>
      <c r="K6" s="76">
        <f t="shared" si="1"/>
        <v>20</v>
      </c>
    </row>
    <row r="7" spans="1:11" s="76" customFormat="1" ht="18.75" customHeight="1">
      <c r="A7" s="75">
        <v>3</v>
      </c>
      <c r="B7" s="76">
        <f t="shared" si="1"/>
        <v>3</v>
      </c>
      <c r="C7" s="76">
        <f t="shared" si="1"/>
        <v>6</v>
      </c>
      <c r="D7" s="76">
        <f t="shared" si="1"/>
        <v>9</v>
      </c>
      <c r="E7" s="76">
        <f t="shared" si="1"/>
        <v>12</v>
      </c>
      <c r="F7" s="76">
        <f t="shared" si="1"/>
        <v>15</v>
      </c>
      <c r="G7" s="76">
        <f t="shared" si="1"/>
        <v>18</v>
      </c>
      <c r="H7" s="76">
        <f t="shared" si="1"/>
        <v>21</v>
      </c>
      <c r="I7" s="76">
        <f t="shared" si="1"/>
        <v>24</v>
      </c>
      <c r="J7" s="76">
        <f t="shared" si="1"/>
        <v>27</v>
      </c>
      <c r="K7" s="76">
        <f t="shared" si="1"/>
        <v>30</v>
      </c>
    </row>
    <row r="8" spans="1:11" s="76" customFormat="1" ht="18.75" customHeight="1">
      <c r="A8" s="75">
        <v>4</v>
      </c>
      <c r="B8" s="76">
        <f t="shared" si="1"/>
        <v>4</v>
      </c>
      <c r="C8" s="76">
        <f t="shared" si="1"/>
        <v>8</v>
      </c>
      <c r="D8" s="76">
        <f t="shared" si="1"/>
        <v>12</v>
      </c>
      <c r="E8" s="76">
        <f t="shared" si="1"/>
        <v>16</v>
      </c>
      <c r="F8" s="76">
        <f t="shared" si="1"/>
        <v>20</v>
      </c>
      <c r="G8" s="76">
        <f t="shared" si="1"/>
        <v>24</v>
      </c>
      <c r="H8" s="76">
        <f t="shared" si="1"/>
        <v>28</v>
      </c>
      <c r="I8" s="76">
        <f t="shared" si="1"/>
        <v>32</v>
      </c>
      <c r="J8" s="76">
        <f t="shared" si="1"/>
        <v>36</v>
      </c>
      <c r="K8" s="76">
        <f t="shared" si="1"/>
        <v>40</v>
      </c>
    </row>
    <row r="9" spans="1:11" s="76" customFormat="1" ht="18.75" customHeight="1">
      <c r="A9" s="75">
        <v>5</v>
      </c>
      <c r="B9" s="76">
        <f t="shared" si="1"/>
        <v>5</v>
      </c>
      <c r="C9" s="76">
        <f t="shared" si="1"/>
        <v>10</v>
      </c>
      <c r="D9" s="76">
        <f t="shared" si="1"/>
        <v>15</v>
      </c>
      <c r="E9" s="76">
        <f t="shared" si="1"/>
        <v>20</v>
      </c>
      <c r="F9" s="76">
        <f t="shared" si="1"/>
        <v>25</v>
      </c>
      <c r="G9" s="76">
        <f t="shared" si="1"/>
        <v>30</v>
      </c>
      <c r="H9" s="76">
        <f t="shared" si="1"/>
        <v>35</v>
      </c>
      <c r="I9" s="76">
        <f t="shared" si="1"/>
        <v>40</v>
      </c>
      <c r="J9" s="76">
        <f t="shared" si="1"/>
        <v>45</v>
      </c>
      <c r="K9" s="76">
        <f t="shared" si="1"/>
        <v>50</v>
      </c>
    </row>
    <row r="10" spans="1:11" s="76" customFormat="1" ht="18.75" customHeight="1">
      <c r="A10" s="75">
        <v>6</v>
      </c>
      <c r="B10" s="76">
        <f t="shared" si="1"/>
        <v>6</v>
      </c>
      <c r="C10" s="76">
        <f t="shared" si="1"/>
        <v>12</v>
      </c>
      <c r="D10" s="76">
        <f t="shared" si="1"/>
        <v>18</v>
      </c>
      <c r="E10" s="76">
        <f t="shared" si="1"/>
        <v>24</v>
      </c>
      <c r="F10" s="76">
        <f t="shared" si="1"/>
        <v>30</v>
      </c>
      <c r="G10" s="76">
        <f t="shared" si="1"/>
        <v>36</v>
      </c>
      <c r="H10" s="76">
        <f t="shared" si="1"/>
        <v>42</v>
      </c>
      <c r="I10" s="76">
        <f t="shared" si="1"/>
        <v>48</v>
      </c>
      <c r="J10" s="76">
        <f t="shared" si="1"/>
        <v>54</v>
      </c>
      <c r="K10" s="76">
        <f t="shared" si="1"/>
        <v>60</v>
      </c>
    </row>
    <row r="11" spans="1:11" s="76" customFormat="1" ht="18.75" customHeight="1">
      <c r="A11" s="75">
        <v>7</v>
      </c>
      <c r="B11" s="76">
        <f t="shared" si="1"/>
        <v>7</v>
      </c>
      <c r="C11" s="76">
        <f t="shared" si="1"/>
        <v>14</v>
      </c>
      <c r="D11" s="76">
        <f t="shared" si="1"/>
        <v>21</v>
      </c>
      <c r="E11" s="76">
        <f t="shared" si="1"/>
        <v>28</v>
      </c>
      <c r="F11" s="76">
        <f t="shared" si="1"/>
        <v>35</v>
      </c>
      <c r="G11" s="76">
        <f t="shared" si="1"/>
        <v>42</v>
      </c>
      <c r="H11" s="76">
        <f t="shared" si="1"/>
        <v>49</v>
      </c>
      <c r="I11" s="76">
        <f t="shared" si="1"/>
        <v>56</v>
      </c>
      <c r="J11" s="76">
        <f t="shared" si="1"/>
        <v>63</v>
      </c>
      <c r="K11" s="76">
        <f t="shared" si="1"/>
        <v>70</v>
      </c>
    </row>
    <row r="12" spans="1:11" s="76" customFormat="1" ht="18.75" customHeight="1">
      <c r="A12" s="75">
        <v>8</v>
      </c>
      <c r="B12" s="76">
        <f t="shared" si="1"/>
        <v>8</v>
      </c>
      <c r="C12" s="76">
        <f t="shared" si="1"/>
        <v>16</v>
      </c>
      <c r="D12" s="76">
        <f t="shared" si="1"/>
        <v>24</v>
      </c>
      <c r="E12" s="76">
        <f t="shared" si="1"/>
        <v>32</v>
      </c>
      <c r="F12" s="76">
        <f t="shared" si="1"/>
        <v>40</v>
      </c>
      <c r="G12" s="76">
        <f t="shared" si="1"/>
        <v>48</v>
      </c>
      <c r="H12" s="76">
        <f t="shared" si="1"/>
        <v>56</v>
      </c>
      <c r="I12" s="76">
        <f t="shared" si="1"/>
        <v>64</v>
      </c>
      <c r="J12" s="76">
        <f t="shared" si="1"/>
        <v>72</v>
      </c>
      <c r="K12" s="76">
        <f t="shared" si="1"/>
        <v>80</v>
      </c>
    </row>
    <row r="13" spans="1:11" s="76" customFormat="1" ht="18.75" customHeight="1">
      <c r="A13" s="75">
        <v>9</v>
      </c>
      <c r="B13" s="76">
        <f t="shared" si="1"/>
        <v>9</v>
      </c>
      <c r="C13" s="76">
        <f t="shared" si="1"/>
        <v>18</v>
      </c>
      <c r="D13" s="76">
        <f t="shared" si="1"/>
        <v>27</v>
      </c>
      <c r="E13" s="76">
        <f t="shared" si="1"/>
        <v>36</v>
      </c>
      <c r="F13" s="76">
        <f t="shared" si="1"/>
        <v>45</v>
      </c>
      <c r="G13" s="76">
        <f t="shared" si="1"/>
        <v>54</v>
      </c>
      <c r="H13" s="76">
        <f t="shared" si="1"/>
        <v>63</v>
      </c>
      <c r="I13" s="76">
        <f t="shared" si="1"/>
        <v>72</v>
      </c>
      <c r="J13" s="76">
        <f t="shared" si="1"/>
        <v>81</v>
      </c>
      <c r="K13" s="76">
        <f t="shared" si="1"/>
        <v>90</v>
      </c>
    </row>
    <row r="14" spans="1:11" s="76" customFormat="1" ht="18.75" customHeight="1">
      <c r="A14" s="75">
        <v>10</v>
      </c>
      <c r="B14" s="76">
        <f t="shared" si="1"/>
        <v>10</v>
      </c>
      <c r="C14" s="76">
        <f t="shared" si="1"/>
        <v>20</v>
      </c>
      <c r="D14" s="76">
        <f t="shared" si="1"/>
        <v>30</v>
      </c>
      <c r="E14" s="76">
        <f t="shared" si="1"/>
        <v>40</v>
      </c>
      <c r="F14" s="76">
        <f t="shared" si="1"/>
        <v>50</v>
      </c>
      <c r="G14" s="76">
        <f t="shared" si="1"/>
        <v>60</v>
      </c>
      <c r="H14" s="76">
        <f t="shared" si="1"/>
        <v>70</v>
      </c>
      <c r="I14" s="76">
        <f t="shared" si="1"/>
        <v>80</v>
      </c>
      <c r="J14" s="76">
        <f t="shared" si="1"/>
        <v>90</v>
      </c>
      <c r="K14" s="76">
        <f t="shared" si="1"/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selection activeCell="I28" sqref="I28"/>
    </sheetView>
  </sheetViews>
  <sheetFormatPr baseColWidth="10" defaultRowHeight="12.75"/>
  <cols>
    <col min="1" max="1" width="12.7109375" customWidth="1"/>
    <col min="2" max="2" width="5.7109375" customWidth="1"/>
    <col min="3" max="3" width="7.5703125" customWidth="1"/>
    <col min="4" max="4" width="6.42578125" customWidth="1"/>
    <col min="5" max="5" width="6.85546875" customWidth="1"/>
    <col min="6" max="6" width="10.42578125" customWidth="1"/>
    <col min="7" max="7" width="9.42578125" customWidth="1"/>
  </cols>
  <sheetData>
    <row r="1" spans="1:7" ht="26.25">
      <c r="A1" s="50"/>
    </row>
    <row r="3" spans="1:7" s="25" customFormat="1">
      <c r="A3" s="33"/>
      <c r="B3" s="33" t="s">
        <v>13</v>
      </c>
      <c r="C3" s="33" t="s">
        <v>14</v>
      </c>
      <c r="D3" s="33" t="s">
        <v>15</v>
      </c>
      <c r="E3" s="33" t="s">
        <v>16</v>
      </c>
      <c r="F3" s="33" t="s">
        <v>17</v>
      </c>
      <c r="G3" s="33" t="s">
        <v>18</v>
      </c>
    </row>
    <row r="4" spans="1:7" s="21" customFormat="1">
      <c r="A4" s="31" t="s">
        <v>19</v>
      </c>
      <c r="B4" s="31">
        <v>420</v>
      </c>
      <c r="C4" s="31">
        <v>550</v>
      </c>
      <c r="D4" s="31">
        <v>780</v>
      </c>
      <c r="E4" s="31"/>
      <c r="F4" s="32"/>
      <c r="G4" s="86"/>
    </row>
    <row r="5" spans="1:7" s="21" customFormat="1">
      <c r="A5" s="31" t="s">
        <v>20</v>
      </c>
      <c r="B5" s="31">
        <v>450</v>
      </c>
      <c r="C5" s="31">
        <v>600</v>
      </c>
      <c r="D5" s="31">
        <v>820</v>
      </c>
      <c r="E5" s="31"/>
      <c r="F5" s="32"/>
      <c r="G5" s="86"/>
    </row>
    <row r="6" spans="1:7" s="21" customFormat="1">
      <c r="A6" s="27" t="s">
        <v>21</v>
      </c>
      <c r="B6" s="27">
        <v>150</v>
      </c>
      <c r="C6" s="27">
        <v>220</v>
      </c>
      <c r="D6" s="27">
        <v>380</v>
      </c>
      <c r="E6" s="28"/>
      <c r="F6" s="28"/>
      <c r="G6" s="87"/>
    </row>
    <row r="7" spans="1:7" s="21" customFormat="1">
      <c r="A7" s="27" t="s">
        <v>22</v>
      </c>
      <c r="B7" s="27">
        <v>1500</v>
      </c>
      <c r="C7" s="27">
        <v>1800</v>
      </c>
      <c r="D7" s="27">
        <v>2300</v>
      </c>
      <c r="E7" s="28"/>
      <c r="F7" s="28"/>
      <c r="G7" s="87"/>
    </row>
    <row r="8" spans="1:7" s="21" customFormat="1">
      <c r="A8" s="31" t="s">
        <v>23</v>
      </c>
      <c r="B8" s="31">
        <v>260</v>
      </c>
      <c r="C8" s="31">
        <v>320</v>
      </c>
      <c r="D8" s="31">
        <v>450</v>
      </c>
      <c r="E8" s="31"/>
      <c r="F8" s="32"/>
      <c r="G8" s="86"/>
    </row>
    <row r="9" spans="1:7" s="21" customFormat="1">
      <c r="A9" s="31" t="s">
        <v>24</v>
      </c>
      <c r="B9" s="31">
        <v>125</v>
      </c>
      <c r="C9" s="31">
        <v>180</v>
      </c>
      <c r="D9" s="31">
        <v>245</v>
      </c>
      <c r="E9" s="32"/>
      <c r="F9" s="32"/>
      <c r="G9" s="86"/>
    </row>
    <row r="10" spans="1:7" s="21" customFormat="1">
      <c r="A10" s="27" t="s">
        <v>25</v>
      </c>
      <c r="B10" s="27">
        <v>210</v>
      </c>
      <c r="C10" s="27">
        <v>350</v>
      </c>
      <c r="D10" s="27">
        <v>420</v>
      </c>
      <c r="E10" s="27"/>
      <c r="F10" s="28"/>
      <c r="G10" s="87"/>
    </row>
    <row r="11" spans="1:7" s="21" customFormat="1">
      <c r="A11" s="27" t="s">
        <v>26</v>
      </c>
      <c r="B11" s="27">
        <v>220</v>
      </c>
      <c r="C11" s="27">
        <v>360</v>
      </c>
      <c r="D11" s="27">
        <v>550</v>
      </c>
      <c r="E11" s="28"/>
      <c r="F11" s="28"/>
      <c r="G11" s="87"/>
    </row>
    <row r="12" spans="1:7" s="21" customFormat="1">
      <c r="A12" s="31" t="s">
        <v>27</v>
      </c>
      <c r="B12" s="31"/>
      <c r="C12" s="31"/>
      <c r="D12" s="31"/>
      <c r="E12" s="31"/>
      <c r="F12" s="32"/>
      <c r="G12" s="86"/>
    </row>
    <row r="13" spans="1:7" s="21" customFormat="1">
      <c r="A13" s="36" t="s">
        <v>28</v>
      </c>
      <c r="B13" s="31"/>
      <c r="C13" s="31"/>
      <c r="D13" s="31"/>
      <c r="E13" s="31"/>
      <c r="F13" s="32"/>
      <c r="G13" s="86"/>
    </row>
    <row r="14" spans="1:7" s="21" customFormat="1" ht="13.5" thickBot="1">
      <c r="A14" s="29" t="s">
        <v>29</v>
      </c>
      <c r="B14" s="29"/>
      <c r="C14" s="29"/>
      <c r="D14" s="29"/>
      <c r="E14" s="29"/>
      <c r="F14" s="30"/>
      <c r="G14" s="88"/>
    </row>
    <row r="15" spans="1:7" ht="13.5" thickTop="1"/>
    <row r="17" spans="1:1">
      <c r="A17" s="26" t="s">
        <v>30</v>
      </c>
    </row>
    <row r="18" spans="1:1">
      <c r="A18" s="26" t="s">
        <v>31</v>
      </c>
    </row>
  </sheetData>
  <phoneticPr fontId="0" type="noConversion"/>
  <printOptions horizontalCentered="1" verticalCentered="1"/>
  <pageMargins left="0.78740157480314965" right="0.78740157480314965" top="0.78740157480314965" bottom="0.78740157480314965" header="0.51181102362204722" footer="0.51181102362204722"/>
  <pageSetup paperSize="9" scale="130" orientation="landscape" horizontalDpi="360" verticalDpi="360" r:id="rId1"/>
  <headerFooter alignWithMargins="0">
    <oddHeader>&amp;L&amp;"Arial,Italique"&amp;11Insérer Date système&amp;R&amp;"Arial,Italique"&amp;11Tapez votre Prénom</oddHeader>
    <oddFooter>&amp;L&amp;"Arial,Italique"&amp;11Page &amp;P&amp;R&amp;"Arial,Italique"&amp;11Nom du Fichier  et Onglet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1</vt:i4>
      </vt:variant>
    </vt:vector>
  </HeadingPairs>
  <TitlesOfParts>
    <vt:vector size="6" baseType="lpstr">
      <vt:lpstr> euro</vt:lpstr>
      <vt:lpstr>CA Fruits</vt:lpstr>
      <vt:lpstr>Comptoir  Indes </vt:lpstr>
      <vt:lpstr>Table de multiplication</vt:lpstr>
      <vt:lpstr>Touristes</vt:lpstr>
      <vt:lpstr>Touristes!france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2012-06-20T18:31:12Z</dcterms:created>
  <dcterms:modified xsi:type="dcterms:W3CDTF">2016-05-03T06:27:32Z</dcterms:modified>
</cp:coreProperties>
</file>