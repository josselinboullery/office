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3715" windowHeight="10035"/>
  </bookViews>
  <sheets>
    <sheet name="Feuil1" sheetId="1" r:id="rId1"/>
    <sheet name="Feuil2" sheetId="2" r:id="rId2"/>
    <sheet name="Feuil3" sheetId="3" r:id="rId3"/>
  </sheets>
  <calcPr calcId="144525"/>
</workbook>
</file>

<file path=xl/calcChain.xml><?xml version="1.0" encoding="utf-8"?>
<calcChain xmlns="http://schemas.openxmlformats.org/spreadsheetml/2006/main">
  <c r="J25" i="1" l="1"/>
  <c r="J24" i="1"/>
  <c r="J12" i="1" l="1"/>
  <c r="L12" i="1"/>
  <c r="L11" i="1"/>
  <c r="J11" i="1"/>
  <c r="E5" i="1"/>
  <c r="E6" i="1"/>
  <c r="E7" i="1"/>
  <c r="E8" i="1"/>
  <c r="E9" i="1"/>
  <c r="E4" i="1"/>
  <c r="E11" i="1" s="1"/>
  <c r="C11" i="1"/>
</calcChain>
</file>

<file path=xl/sharedStrings.xml><?xml version="1.0" encoding="utf-8"?>
<sst xmlns="http://schemas.openxmlformats.org/spreadsheetml/2006/main" count="39" uniqueCount="18">
  <si>
    <t>Clous</t>
  </si>
  <si>
    <t>Vis</t>
  </si>
  <si>
    <t>CLous</t>
  </si>
  <si>
    <t>Qte</t>
  </si>
  <si>
    <t>Prix</t>
  </si>
  <si>
    <t>Somme Prod</t>
  </si>
  <si>
    <t>Fonction  classique</t>
  </si>
  <si>
    <t>Usage étendu</t>
  </si>
  <si>
    <t>mois</t>
  </si>
  <si>
    <t>Ventes</t>
  </si>
  <si>
    <t>juin</t>
  </si>
  <si>
    <t>mai</t>
  </si>
  <si>
    <t>Juin</t>
  </si>
  <si>
    <t>Sommeprod</t>
  </si>
  <si>
    <t>nb.si.ens</t>
  </si>
  <si>
    <t>Somme.si.ens</t>
  </si>
  <si>
    <t>avec condition autre usage de somme prod</t>
  </si>
  <si>
    <t>Usage étendu avec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</si>
</sst>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M14" sqref="M14"/>
    </sheetView>
  </sheetViews>
  <sheetFormatPr baseColWidth="10" defaultRowHeight="15" x14ac:dyDescent="0.25"/>
  <cols>
    <col min="2" max="2" width="12.28515625" bestFit="1" customWidth="1"/>
    <col min="9" max="9" width="13.140625" bestFit="1" customWidth="1"/>
    <col min="11" max="11" width="13.42578125" bestFit="1" customWidth="1"/>
  </cols>
  <sheetData>
    <row r="1" spans="1:12" ht="23.25" x14ac:dyDescent="0.35">
      <c r="A1" s="2" t="s">
        <v>6</v>
      </c>
      <c r="B1" s="1"/>
      <c r="C1" s="1"/>
      <c r="H1" s="2" t="s">
        <v>7</v>
      </c>
      <c r="I1" s="1"/>
      <c r="K1" t="s">
        <v>16</v>
      </c>
    </row>
    <row r="3" spans="1:12" x14ac:dyDescent="0.25">
      <c r="B3" t="s">
        <v>3</v>
      </c>
      <c r="C3" t="s">
        <v>4</v>
      </c>
      <c r="I3" t="s">
        <v>8</v>
      </c>
      <c r="J3" t="s">
        <v>9</v>
      </c>
    </row>
    <row r="4" spans="1:12" x14ac:dyDescent="0.25">
      <c r="A4" t="s">
        <v>0</v>
      </c>
      <c r="B4">
        <v>10</v>
      </c>
      <c r="C4">
        <v>2</v>
      </c>
      <c r="E4">
        <f>B4*C4</f>
        <v>20</v>
      </c>
      <c r="H4" t="s">
        <v>0</v>
      </c>
      <c r="I4" t="s">
        <v>10</v>
      </c>
      <c r="J4">
        <v>10</v>
      </c>
    </row>
    <row r="5" spans="1:12" x14ac:dyDescent="0.25">
      <c r="A5" t="s">
        <v>0</v>
      </c>
      <c r="B5">
        <v>2</v>
      </c>
      <c r="C5">
        <v>2</v>
      </c>
      <c r="E5">
        <f t="shared" ref="E5:E9" si="0">B5*C5</f>
        <v>4</v>
      </c>
      <c r="H5" t="s">
        <v>0</v>
      </c>
      <c r="I5" t="s">
        <v>10</v>
      </c>
      <c r="J5">
        <v>20</v>
      </c>
    </row>
    <row r="6" spans="1:12" x14ac:dyDescent="0.25">
      <c r="A6" t="s">
        <v>0</v>
      </c>
      <c r="B6">
        <v>3</v>
      </c>
      <c r="C6">
        <v>2</v>
      </c>
      <c r="E6">
        <f t="shared" si="0"/>
        <v>6</v>
      </c>
      <c r="H6" t="s">
        <v>0</v>
      </c>
      <c r="I6" t="s">
        <v>11</v>
      </c>
      <c r="J6">
        <v>100</v>
      </c>
    </row>
    <row r="7" spans="1:12" x14ac:dyDescent="0.25">
      <c r="A7" t="s">
        <v>1</v>
      </c>
      <c r="B7">
        <v>4</v>
      </c>
      <c r="C7">
        <v>5</v>
      </c>
      <c r="E7">
        <f t="shared" si="0"/>
        <v>20</v>
      </c>
      <c r="H7" t="s">
        <v>1</v>
      </c>
      <c r="I7" t="s">
        <v>11</v>
      </c>
      <c r="J7">
        <v>30</v>
      </c>
    </row>
    <row r="8" spans="1:12" x14ac:dyDescent="0.25">
      <c r="A8" t="s">
        <v>1</v>
      </c>
      <c r="B8">
        <v>10</v>
      </c>
      <c r="C8">
        <v>5</v>
      </c>
      <c r="E8">
        <f t="shared" si="0"/>
        <v>50</v>
      </c>
      <c r="H8" t="s">
        <v>1</v>
      </c>
      <c r="I8" t="s">
        <v>12</v>
      </c>
      <c r="J8">
        <v>20</v>
      </c>
    </row>
    <row r="9" spans="1:12" x14ac:dyDescent="0.25">
      <c r="A9" t="s">
        <v>2</v>
      </c>
      <c r="B9">
        <v>1</v>
      </c>
      <c r="C9">
        <v>2</v>
      </c>
      <c r="E9">
        <f t="shared" si="0"/>
        <v>2</v>
      </c>
      <c r="H9" t="s">
        <v>2</v>
      </c>
      <c r="I9" t="s">
        <v>12</v>
      </c>
      <c r="J9">
        <v>10</v>
      </c>
    </row>
    <row r="11" spans="1:12" x14ac:dyDescent="0.25">
      <c r="B11" t="s">
        <v>5</v>
      </c>
      <c r="C11">
        <f>SUMPRODUCT(B4:B9,C4:C9)</f>
        <v>102</v>
      </c>
      <c r="E11">
        <f>SUM(E4:E10)</f>
        <v>102</v>
      </c>
      <c r="I11" s="1" t="s">
        <v>13</v>
      </c>
      <c r="J11" s="1">
        <f>SUMPRODUCT((I4:I9="Juin")*(H4:H9="clous"))</f>
        <v>3</v>
      </c>
      <c r="K11" s="1"/>
      <c r="L11" s="1">
        <f>SUMPRODUCT((I4:I9="Juin")*(H4:H9="Clous")*J4:J9)</f>
        <v>40</v>
      </c>
    </row>
    <row r="12" spans="1:12" x14ac:dyDescent="0.25">
      <c r="I12" t="s">
        <v>14</v>
      </c>
      <c r="J12">
        <f>COUNTIFS(H4:H9,"Clous",I4:I9,"Juin")</f>
        <v>3</v>
      </c>
      <c r="K12" t="s">
        <v>15</v>
      </c>
      <c r="L12">
        <f>SUMIFS(J4:J9,H4:H9,"Clous",I4:I9,"Juin")</f>
        <v>40</v>
      </c>
    </row>
    <row r="15" spans="1:12" ht="23.25" x14ac:dyDescent="0.35">
      <c r="H15" s="2" t="s">
        <v>17</v>
      </c>
      <c r="I15" s="1"/>
      <c r="J15" s="1"/>
    </row>
    <row r="16" spans="1:12" x14ac:dyDescent="0.25">
      <c r="I16" t="s">
        <v>8</v>
      </c>
      <c r="J16" t="s">
        <v>9</v>
      </c>
    </row>
    <row r="17" spans="8:12" x14ac:dyDescent="0.25">
      <c r="H17" t="s">
        <v>0</v>
      </c>
      <c r="I17" s="3">
        <v>42005</v>
      </c>
      <c r="J17">
        <v>10</v>
      </c>
    </row>
    <row r="18" spans="8:12" x14ac:dyDescent="0.25">
      <c r="H18" t="s">
        <v>0</v>
      </c>
      <c r="I18" s="3">
        <v>42126</v>
      </c>
      <c r="J18">
        <v>20</v>
      </c>
    </row>
    <row r="19" spans="8:12" x14ac:dyDescent="0.25">
      <c r="H19" t="s">
        <v>0</v>
      </c>
      <c r="I19" s="3">
        <v>42130</v>
      </c>
      <c r="J19">
        <v>100</v>
      </c>
    </row>
    <row r="20" spans="8:12" x14ac:dyDescent="0.25">
      <c r="H20" t="s">
        <v>1</v>
      </c>
      <c r="I20" s="3">
        <v>41645</v>
      </c>
      <c r="J20">
        <v>30</v>
      </c>
    </row>
    <row r="21" spans="8:12" x14ac:dyDescent="0.25">
      <c r="H21" t="s">
        <v>1</v>
      </c>
      <c r="I21" s="3">
        <v>41645</v>
      </c>
      <c r="J21">
        <v>20</v>
      </c>
    </row>
    <row r="22" spans="8:12" x14ac:dyDescent="0.25">
      <c r="H22" t="s">
        <v>2</v>
      </c>
      <c r="I22" s="3">
        <v>41645</v>
      </c>
      <c r="J22">
        <v>10</v>
      </c>
    </row>
    <row r="24" spans="8:12" x14ac:dyDescent="0.25">
      <c r="I24" s="1" t="s">
        <v>13</v>
      </c>
      <c r="J24" s="1">
        <f>SUMPRODUCT((YEAR(I17:I22)=2015)*1*(H17:H22="clous"))</f>
        <v>3</v>
      </c>
      <c r="K24" s="4"/>
      <c r="L24" s="4"/>
    </row>
    <row r="25" spans="8:12" x14ac:dyDescent="0.25">
      <c r="J25" s="1">
        <f>SUMPRODUCT((YEAR(I17:I22)=2015)*1*(H17:H22="clous")*J17:J22)</f>
        <v>130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dolfi</dc:creator>
  <cp:lastModifiedBy>dolfi</cp:lastModifiedBy>
  <dcterms:created xsi:type="dcterms:W3CDTF">2015-06-18T11:21:14Z</dcterms:created>
  <dcterms:modified xsi:type="dcterms:W3CDTF">2015-06-19T10:33:10Z</dcterms:modified>
</cp:coreProperties>
</file>