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DIVERS\"/>
    </mc:Choice>
  </mc:AlternateContent>
  <bookViews>
    <workbookView xWindow="480" yWindow="75" windowWidth="17520" windowHeight="6990" activeTab="3"/>
  </bookViews>
  <sheets>
    <sheet name="Feuil1" sheetId="3" r:id="rId1"/>
    <sheet name="bdd commandes" sheetId="1" r:id="rId2"/>
    <sheet name="TCD Commandes" sheetId="2" state="hidden" r:id="rId3"/>
    <sheet name="% dans les tcd" sheetId="5" r:id="rId4"/>
  </sheets>
  <externalReferences>
    <externalReference r:id="rId5"/>
  </externalReferences>
  <definedNames>
    <definedName name="_xlnm._FilterDatabase" localSheetId="1" hidden="1">'bdd commandes'!$A$1:$H$50</definedName>
    <definedName name="CNE">'[1]ID ETUDIANT (2)'!$A$1:$E$5</definedName>
    <definedName name="_xlnm.Criteria" localSheetId="1">'bdd commandes'!$K$16:$P$17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H35" i="1" l="1"/>
  <c r="H34" i="1"/>
  <c r="H8" i="1"/>
  <c r="H3" i="1"/>
  <c r="H47" i="1"/>
  <c r="H37" i="1"/>
  <c r="H18" i="1"/>
  <c r="H31" i="1"/>
  <c r="H48" i="1"/>
  <c r="H14" i="1"/>
  <c r="H23" i="1"/>
  <c r="H21" i="1"/>
  <c r="H17" i="1"/>
  <c r="H12" i="1"/>
  <c r="H24" i="1"/>
  <c r="H43" i="1"/>
  <c r="H22" i="1"/>
  <c r="H39" i="1"/>
  <c r="H7" i="1"/>
  <c r="H33" i="1"/>
  <c r="H19" i="1"/>
  <c r="H28" i="1"/>
  <c r="H42" i="1"/>
  <c r="H32" i="1"/>
  <c r="H13" i="1"/>
  <c r="H16" i="1"/>
  <c r="H29" i="1"/>
  <c r="H36" i="1"/>
  <c r="H50" i="1"/>
  <c r="H5" i="1"/>
  <c r="H11" i="1"/>
  <c r="H27" i="1"/>
  <c r="H9" i="1"/>
  <c r="H40" i="1"/>
  <c r="H44" i="1"/>
  <c r="H2" i="1"/>
  <c r="H46" i="1"/>
  <c r="H25" i="1"/>
  <c r="H41" i="1"/>
  <c r="H49" i="1"/>
  <c r="H30" i="1"/>
  <c r="H15" i="1"/>
  <c r="H26" i="1"/>
  <c r="H4" i="1"/>
  <c r="H45" i="1"/>
  <c r="H6" i="1"/>
  <c r="H38" i="1"/>
  <c r="H20" i="1"/>
  <c r="H10" i="1"/>
</calcChain>
</file>

<file path=xl/sharedStrings.xml><?xml version="1.0" encoding="utf-8"?>
<sst xmlns="http://schemas.openxmlformats.org/spreadsheetml/2006/main" count="331" uniqueCount="75">
  <si>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</si>
  <si>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</si>
  <si>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</si>
  <si>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</si>
  <si>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</si>
  <si>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</si>
  <si>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</si>
  <si>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</si>
  <si>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</si>
  <si>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</si>
  <si>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</si>
  <si>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</si>
  <si>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</si>
  <si>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</si>
  <si>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</si>
  <si>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</si>
  <si>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</si>
  <si>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</si>
  <si>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</si>
  <si>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</si>
  <si>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</si>
  <si>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</si>
  <si>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</si>
  <si>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</si>
  <si>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</si>
  <si>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</si>
  <si>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</si>
  <si>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</si>
  <si>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</si>
  <si>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</si>
  <si>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</si>
  <si>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</si>
  <si>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</si>
  <si>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</si>
  <si>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</si>
  <si>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</si>
  <si>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</si>
  <si>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</si>
  <si>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</si>
  <si>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</si>
  <si>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</si>
  <si>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</si>
  <si>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</si>
  <si>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</si>
  <si>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</si>
  <si>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</si>
  <si>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</si>
  <si>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</si>
  <si>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</si>
  <si>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</si>
  <si>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</si>
  <si>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</si>
  <si>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</si>
  <si>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</si>
  <si>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</si>
  <si>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</si>
  <si>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</si>
  <si>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</si>
  <si>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</si>
  <si>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Total général</t>
  </si>
  <si>
    <t>Étiquettes de lignes</t>
  </si>
  <si>
    <t>Somme de MONTANT</t>
  </si>
  <si>
    <t>Étiquettes de colonnes</t>
  </si>
  <si>
    <t>Total Somme de MONTANT</t>
  </si>
  <si>
    <t>Total Somme de MONTANT2</t>
  </si>
  <si>
    <t>Somme de MONTANT2</t>
  </si>
  <si>
    <t>Par colonne</t>
  </si>
  <si>
    <t>% du total général</t>
  </si>
  <si>
    <t>Total</t>
  </si>
  <si>
    <t>Montant</t>
  </si>
  <si>
    <t>% des ligne</t>
  </si>
  <si>
    <t>%</t>
  </si>
  <si>
    <t>Total  MONTANT</t>
  </si>
  <si>
    <t>Total MONTANT</t>
  </si>
  <si>
    <t>Total de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</si>
</sst>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3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15" xfId="1" applyFont="1" applyFill="1" applyBorder="1" applyAlignment="1">
      <alignment horizontal="center"/>
    </xf>
    <xf numFmtId="0" fontId="16" fillId="0" borderId="16" xfId="1" applyFont="1" applyFill="1" applyBorder="1" applyAlignment="1">
      <alignment horizontal="center"/>
    </xf>
    <xf numFmtId="0" fontId="17" fillId="0" borderId="17" xfId="1" applyFont="1" applyFill="1" applyBorder="1"/>
    <xf numFmtId="14" fontId="17" fillId="0" borderId="18" xfId="1" applyNumberFormat="1" applyFont="1" applyFill="1" applyBorder="1"/>
    <xf numFmtId="0" fontId="17" fillId="0" borderId="18" xfId="1" applyFont="1" applyFill="1" applyBorder="1"/>
    <xf numFmtId="164" fontId="17" fillId="0" borderId="18" xfId="3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41" applyNumberFormat="1" applyFont="1"/>
    <xf numFmtId="0" fontId="4" fillId="0" borderId="0" xfId="0" applyFont="1"/>
    <xf numFmtId="10" fontId="4" fillId="0" borderId="0" xfId="41" applyNumberFormat="1" applyFont="1"/>
    <xf numFmtId="168" fontId="4" fillId="0" borderId="0" xfId="41" applyNumberFormat="1" applyFont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0" fontId="19" fillId="0" borderId="0" xfId="41" applyNumberFormat="1" applyFont="1"/>
    <xf numFmtId="168" fontId="19" fillId="0" borderId="0" xfId="41" applyNumberFormat="1" applyFont="1"/>
    <xf numFmtId="10" fontId="15" fillId="0" borderId="0" xfId="41" applyNumberFormat="1" applyFont="1"/>
    <xf numFmtId="0" fontId="15" fillId="0" borderId="0" xfId="0" applyFont="1"/>
    <xf numFmtId="168" fontId="15" fillId="0" borderId="0" xfId="41" applyNumberFormat="1" applyFont="1"/>
    <xf numFmtId="0" fontId="20" fillId="0" borderId="0" xfId="0" applyFont="1"/>
    <xf numFmtId="43" fontId="0" fillId="0" borderId="0" xfId="42" applyFont="1"/>
    <xf numFmtId="43" fontId="20" fillId="0" borderId="0" xfId="42" applyFont="1"/>
  </cellXfs>
  <cellStyles count="43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" xfId="42" builtinId="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" xfId="41" builtinId="5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olfi" refreshedDate="42269.348393287037" createdVersion="4" refreshedVersion="4" minRefreshableVersion="3" recordCount="49">
  <cacheSource type="worksheet">
    <worksheetSource ref="A1:H50" sheet="bdd commandes"/>
  </cacheSource>
  <cacheFields count="8">
    <cacheField name="vendeurs" numFmtId="0">
      <sharedItems count="10">
        <s v="Ball"/>
        <s v="Balliard"/>
        <s v="Dupuis"/>
        <s v="Leveque"/>
        <s v="Marrou"/>
        <s v="Martin"/>
        <s v="Pellieux"/>
        <s v="Dupond"/>
        <s v="Mar"/>
        <s v="Tardi"/>
      </sharedItems>
    </cacheField>
    <cacheField name="DATE" numFmtId="14">
      <sharedItems containsSemiMixedTypes="0" containsNonDate="0" containsDate="1" containsString="0" minDate="1995-01-09T00:00:00" maxDate="1996-06-26T00:00:00"/>
    </cacheField>
    <cacheField name="CLIENT" numFmtId="0">
      <sharedItems count="7">
        <s v="Nimbus"/>
        <s v="Ifrane"/>
        <s v="Muse SA"/>
        <s v="Plein-nord"/>
        <s v="Florus"/>
        <s v="Pubcité"/>
        <s v="sieffert"/>
      </sharedItems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/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d v="1995-02-09T00:00:00"/>
    <x v="0"/>
    <x v="0"/>
    <s v="Casquettes"/>
    <n v="6"/>
    <n v="5764"/>
    <n v="34584"/>
  </r>
  <r>
    <x v="1"/>
    <d v="1996-04-17T00:00:00"/>
    <x v="1"/>
    <x v="0"/>
    <s v="Montres"/>
    <n v="25"/>
    <n v="6183"/>
    <n v="154575"/>
  </r>
  <r>
    <x v="1"/>
    <d v="1995-02-15T00:00:00"/>
    <x v="0"/>
    <x v="0"/>
    <s v="Casquettes"/>
    <n v="6"/>
    <n v="6987"/>
    <n v="41922"/>
  </r>
  <r>
    <x v="2"/>
    <d v="1996-01-29T00:00:00"/>
    <x v="2"/>
    <x v="0"/>
    <s v="Stylos"/>
    <n v="1.5"/>
    <n v="8804"/>
    <n v="13206"/>
  </r>
  <r>
    <x v="2"/>
    <d v="1995-07-12T00:00:00"/>
    <x v="3"/>
    <x v="0"/>
    <s v="Porte-clés"/>
    <n v="3.4"/>
    <n v="8367"/>
    <n v="28447.8"/>
  </r>
  <r>
    <x v="3"/>
    <d v="1995-10-13T00:00:00"/>
    <x v="3"/>
    <x v="0"/>
    <s v="Porte-clés"/>
    <n v="3.4"/>
    <n v="8227"/>
    <n v="27971.8"/>
  </r>
  <r>
    <x v="3"/>
    <d v="1995-10-16T00:00:00"/>
    <x v="3"/>
    <x v="0"/>
    <s v="Calculatrices"/>
    <n v="21"/>
    <n v="7464"/>
    <n v="156744"/>
  </r>
  <r>
    <x v="4"/>
    <d v="1995-12-13T00:00:00"/>
    <x v="1"/>
    <x v="0"/>
    <s v="Calculatrices"/>
    <n v="21"/>
    <n v="8694"/>
    <n v="182574"/>
  </r>
  <r>
    <x v="5"/>
    <d v="1995-05-31T00:00:00"/>
    <x v="4"/>
    <x v="0"/>
    <s v="Stylos"/>
    <n v="1.5"/>
    <n v="7695"/>
    <n v="11542.5"/>
  </r>
  <r>
    <x v="5"/>
    <d v="1995-06-26T00:00:00"/>
    <x v="2"/>
    <x v="0"/>
    <s v="Stylos"/>
    <n v="1.5"/>
    <n v="8639"/>
    <n v="12958.5"/>
  </r>
  <r>
    <x v="5"/>
    <d v="1995-10-16T00:00:00"/>
    <x v="0"/>
    <x v="0"/>
    <s v="Porte-clés"/>
    <n v="3.4"/>
    <n v="5336"/>
    <n v="18142.399999999998"/>
  </r>
  <r>
    <x v="5"/>
    <d v="1996-01-10T00:00:00"/>
    <x v="3"/>
    <x v="0"/>
    <s v="Calculatrices"/>
    <n v="21"/>
    <n v="8279"/>
    <n v="173859"/>
  </r>
  <r>
    <x v="6"/>
    <d v="1995-04-04T00:00:00"/>
    <x v="0"/>
    <x v="0"/>
    <s v="Casquettes"/>
    <n v="6"/>
    <n v="8489"/>
    <n v="50934"/>
  </r>
  <r>
    <x v="0"/>
    <d v="1996-06-25T00:00:00"/>
    <x v="4"/>
    <x v="1"/>
    <s v="Montres"/>
    <n v="25"/>
    <n v="7329"/>
    <n v="183225"/>
  </r>
  <r>
    <x v="0"/>
    <d v="1996-06-19T00:00:00"/>
    <x v="0"/>
    <x v="1"/>
    <s v="Calendriers"/>
    <n v="12"/>
    <n v="9924"/>
    <n v="119088"/>
  </r>
  <r>
    <x v="1"/>
    <d v="1995-08-30T00:00:00"/>
    <x v="2"/>
    <x v="1"/>
    <s v="Porte-clés"/>
    <n v="3.4"/>
    <n v="9165"/>
    <n v="31161"/>
  </r>
  <r>
    <x v="1"/>
    <d v="1995-07-17T00:00:00"/>
    <x v="5"/>
    <x v="1"/>
    <s v="Calendriers"/>
    <n v="12"/>
    <n v="6660"/>
    <n v="79920"/>
  </r>
  <r>
    <x v="1"/>
    <d v="1996-06-14T00:00:00"/>
    <x v="5"/>
    <x v="1"/>
    <s v="Stylos"/>
    <n v="1.5"/>
    <n v="8091"/>
    <n v="12136.5"/>
  </r>
  <r>
    <x v="7"/>
    <d v="1996-01-03T00:00:00"/>
    <x v="2"/>
    <x v="1"/>
    <s v="Stylos"/>
    <n v="1.5"/>
    <n v="9224"/>
    <n v="13836"/>
  </r>
  <r>
    <x v="2"/>
    <d v="1995-11-22T00:00:00"/>
    <x v="5"/>
    <x v="1"/>
    <s v="Casquettes"/>
    <n v="6"/>
    <n v="7700"/>
    <n v="46200"/>
  </r>
  <r>
    <x v="4"/>
    <d v="1995-02-17T00:00:00"/>
    <x v="2"/>
    <x v="1"/>
    <s v="Calculatrices"/>
    <n v="21"/>
    <n v="9401"/>
    <n v="197421"/>
  </r>
  <r>
    <x v="4"/>
    <d v="1995-11-14T00:00:00"/>
    <x v="0"/>
    <x v="1"/>
    <s v="Casquettes"/>
    <n v="6"/>
    <n v="8407"/>
    <n v="50442"/>
  </r>
  <r>
    <x v="5"/>
    <d v="1995-07-03T00:00:00"/>
    <x v="2"/>
    <x v="1"/>
    <s v="Calendriers"/>
    <n v="12"/>
    <n v="9062"/>
    <n v="108744"/>
  </r>
  <r>
    <x v="5"/>
    <d v="1995-08-21T00:00:00"/>
    <x v="2"/>
    <x v="1"/>
    <s v="Porte-clés"/>
    <n v="3.4"/>
    <n v="5641"/>
    <n v="19179.399999999998"/>
  </r>
  <r>
    <x v="7"/>
    <d v="1995-02-27T00:00:00"/>
    <x v="1"/>
    <x v="2"/>
    <s v="Calculatrices"/>
    <n v="21"/>
    <n v="5954"/>
    <n v="125034"/>
  </r>
  <r>
    <x v="7"/>
    <d v="1995-03-31T00:00:00"/>
    <x v="5"/>
    <x v="2"/>
    <s v="Stylos"/>
    <n v="1.5"/>
    <n v="5750"/>
    <n v="8625"/>
  </r>
  <r>
    <x v="7"/>
    <d v="1996-01-16T00:00:00"/>
    <x v="5"/>
    <x v="2"/>
    <s v="Stylos"/>
    <n v="1.5"/>
    <n v="7645"/>
    <n v="11467.5"/>
  </r>
  <r>
    <x v="7"/>
    <d v="1996-01-18T00:00:00"/>
    <x v="5"/>
    <x v="2"/>
    <s v="Stylos"/>
    <n v="1.5"/>
    <n v="8611"/>
    <n v="12916.5"/>
  </r>
  <r>
    <x v="2"/>
    <d v="1995-10-10T00:00:00"/>
    <x v="4"/>
    <x v="2"/>
    <s v="Stylos"/>
    <n v="1.5"/>
    <n v="5293"/>
    <n v="7939.5"/>
  </r>
  <r>
    <x v="3"/>
    <d v="1995-10-30T00:00:00"/>
    <x v="4"/>
    <x v="2"/>
    <s v="Calendriers"/>
    <n v="12"/>
    <n v="5463"/>
    <n v="65556"/>
  </r>
  <r>
    <x v="8"/>
    <d v="1995-03-07T00:00:00"/>
    <x v="1"/>
    <x v="2"/>
    <s v="Montres"/>
    <n v="25"/>
    <n v="7346"/>
    <n v="183650"/>
  </r>
  <r>
    <x v="4"/>
    <d v="1996-01-25T00:00:00"/>
    <x v="4"/>
    <x v="2"/>
    <s v="Porte-clés"/>
    <n v="3.4"/>
    <n v="7819"/>
    <n v="26584.6"/>
  </r>
  <r>
    <x v="4"/>
    <d v="1996-03-01T00:00:00"/>
    <x v="2"/>
    <x v="2"/>
    <s v="Montres"/>
    <n v="25"/>
    <n v="6523"/>
    <n v="163075"/>
  </r>
  <r>
    <x v="4"/>
    <d v="1995-01-09T00:00:00"/>
    <x v="3"/>
    <x v="2"/>
    <s v="Calculatrices"/>
    <n v="21"/>
    <n v="9201"/>
    <n v="193221"/>
  </r>
  <r>
    <x v="4"/>
    <d v="1996-03-05T00:00:00"/>
    <x v="5"/>
    <x v="2"/>
    <s v="Calendriers"/>
    <n v="12"/>
    <n v="7017"/>
    <n v="84204"/>
  </r>
  <r>
    <x v="5"/>
    <d v="1996-05-24T00:00:00"/>
    <x v="1"/>
    <x v="2"/>
    <s v="Calendriers"/>
    <n v="12"/>
    <n v="7349"/>
    <n v="88188"/>
  </r>
  <r>
    <x v="5"/>
    <d v="1996-05-31T00:00:00"/>
    <x v="1"/>
    <x v="2"/>
    <s v="Stylos"/>
    <n v="1.5"/>
    <n v="9628"/>
    <n v="14442"/>
  </r>
  <r>
    <x v="6"/>
    <d v="1996-01-22T00:00:00"/>
    <x v="2"/>
    <x v="2"/>
    <s v="Casquettes"/>
    <n v="6"/>
    <n v="6317"/>
    <n v="37902"/>
  </r>
  <r>
    <x v="6"/>
    <d v="1996-04-22T00:00:00"/>
    <x v="6"/>
    <x v="2"/>
    <s v="Montres"/>
    <n v="25"/>
    <n v="6728"/>
    <n v="168200"/>
  </r>
  <r>
    <x v="9"/>
    <d v="1996-05-27T00:00:00"/>
    <x v="0"/>
    <x v="2"/>
    <s v="Stylos"/>
    <n v="1.5"/>
    <n v="6852"/>
    <n v="10278"/>
  </r>
  <r>
    <x v="9"/>
    <d v="1995-06-12T00:00:00"/>
    <x v="3"/>
    <x v="2"/>
    <s v="Stylos"/>
    <n v="1.5"/>
    <n v="6213"/>
    <n v="9319.5"/>
  </r>
  <r>
    <x v="9"/>
    <d v="1996-03-15T00:00:00"/>
    <x v="5"/>
    <x v="2"/>
    <s v="Casquettes"/>
    <n v="6"/>
    <n v="7373"/>
    <n v="44238"/>
  </r>
  <r>
    <x v="7"/>
    <d v="1996-02-23T00:00:00"/>
    <x v="1"/>
    <x v="3"/>
    <s v="Calendriers"/>
    <n v="12"/>
    <n v="9886"/>
    <n v="118632"/>
  </r>
  <r>
    <x v="3"/>
    <d v="1995-12-15T00:00:00"/>
    <x v="5"/>
    <x v="3"/>
    <s v="Casquettes"/>
    <n v="6"/>
    <n v="6550"/>
    <n v="39300"/>
  </r>
  <r>
    <x v="8"/>
    <d v="1996-01-24T00:00:00"/>
    <x v="3"/>
    <x v="3"/>
    <s v="Porte-clés"/>
    <n v="3.4"/>
    <n v="7212"/>
    <n v="24520.799999999999"/>
  </r>
  <r>
    <x v="8"/>
    <d v="1996-01-29T00:00:00"/>
    <x v="3"/>
    <x v="3"/>
    <s v="Montres"/>
    <n v="25"/>
    <n v="6075"/>
    <n v="151875"/>
  </r>
  <r>
    <x v="4"/>
    <d v="1995-09-05T00:00:00"/>
    <x v="2"/>
    <x v="3"/>
    <s v="Casquettes"/>
    <n v="6"/>
    <n v="9929"/>
    <n v="59574"/>
  </r>
  <r>
    <x v="4"/>
    <d v="1995-12-28T00:00:00"/>
    <x v="5"/>
    <x v="3"/>
    <s v="Stylos"/>
    <n v="1.5"/>
    <n v="5562"/>
    <n v="8343"/>
  </r>
  <r>
    <x v="6"/>
    <d v="1995-11-09T00:00:00"/>
    <x v="3"/>
    <x v="3"/>
    <s v="Calendriers"/>
    <n v="12"/>
    <n v="5136"/>
    <n v="616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K13" firstHeaderRow="1" firstDataRow="3" firstDataCol="1"/>
  <pivotFields count="8">
    <pivotField axis="axisRow" showAll="0">
      <items count="11">
        <item x="0"/>
        <item x="1"/>
        <item x="7"/>
        <item x="2"/>
        <item x="3"/>
        <item x="8"/>
        <item x="4"/>
        <item x="5"/>
        <item x="6"/>
        <item x="9"/>
        <item t="default"/>
      </items>
    </pivotField>
    <pivotField numFmtId="14" showAll="0"/>
    <pivotField axis="axisRow" showAll="0">
      <items count="8">
        <item sd="0" x="4"/>
        <item sd="0" x="1"/>
        <item sd="0" x="2"/>
        <item sd="0" x="0"/>
        <item sd="0" x="3"/>
        <item sd="0" x="5"/>
        <item sd="0" x="6"/>
        <item t="default" sd="0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</pivotFields>
  <rowFields count="2">
    <field x="2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omme de MONTANT" fld="7" baseField="0" baseItem="0"/>
    <dataField name="Somme de MONTANT2" fld="7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>
      <selection activeCell="A3" sqref="A3:XFD13"/>
    </sheetView>
  </sheetViews>
  <sheetFormatPr baseColWidth="10" defaultRowHeight="12.75"/>
  <cols>
    <col min="1" max="1" width="21.140625" bestFit="1" customWidth="1"/>
    <col min="2" max="2" width="24" bestFit="1" customWidth="1"/>
    <col min="3" max="3" width="21.85546875" customWidth="1"/>
    <col min="4" max="4" width="20.7109375" customWidth="1"/>
    <col min="5" max="5" width="21.85546875" customWidth="1"/>
    <col min="6" max="6" width="20.7109375" bestFit="1" customWidth="1"/>
    <col min="7" max="7" width="21.85546875" bestFit="1" customWidth="1"/>
    <col min="8" max="8" width="20.7109375" bestFit="1" customWidth="1"/>
    <col min="9" max="9" width="21.85546875" bestFit="1" customWidth="1"/>
    <col min="10" max="10" width="26" bestFit="1" customWidth="1"/>
    <col min="11" max="11" width="27.140625" bestFit="1" customWidth="1"/>
  </cols>
  <sheetData>
    <row r="3" spans="1:11">
      <c r="B3" s="17" t="s">
        <v>62</v>
      </c>
    </row>
    <row r="4" spans="1:11">
      <c r="B4" t="s">
        <v>9</v>
      </c>
      <c r="D4" t="s">
        <v>13</v>
      </c>
      <c r="F4" t="s">
        <v>15</v>
      </c>
      <c r="H4" t="s">
        <v>21</v>
      </c>
      <c r="J4" t="s">
        <v>63</v>
      </c>
      <c r="K4" t="s">
        <v>64</v>
      </c>
    </row>
    <row r="5" spans="1:11">
      <c r="A5" s="17" t="s">
        <v>60</v>
      </c>
      <c r="B5" t="s">
        <v>61</v>
      </c>
      <c r="C5" t="s">
        <v>65</v>
      </c>
      <c r="D5" t="s">
        <v>61</v>
      </c>
      <c r="E5" t="s">
        <v>65</v>
      </c>
      <c r="F5" t="s">
        <v>61</v>
      </c>
      <c r="G5" t="s">
        <v>65</v>
      </c>
      <c r="H5" t="s">
        <v>61</v>
      </c>
      <c r="I5" t="s">
        <v>65</v>
      </c>
    </row>
    <row r="6" spans="1:11">
      <c r="A6" s="18" t="s">
        <v>8</v>
      </c>
      <c r="B6" s="19">
        <v>11542.5</v>
      </c>
      <c r="C6" s="20">
        <v>3.9147342559342525E-2</v>
      </c>
      <c r="D6" s="19">
        <v>183225</v>
      </c>
      <c r="E6" s="20">
        <v>0.62142272821620392</v>
      </c>
      <c r="F6" s="19">
        <v>100080.1</v>
      </c>
      <c r="G6" s="20">
        <v>0.33942992922445364</v>
      </c>
      <c r="H6" s="19"/>
      <c r="I6" s="20">
        <v>0</v>
      </c>
      <c r="J6" s="19">
        <v>294847.59999999998</v>
      </c>
      <c r="K6" s="20">
        <v>1</v>
      </c>
    </row>
    <row r="7" spans="1:11">
      <c r="A7" s="18" t="s">
        <v>14</v>
      </c>
      <c r="B7" s="19">
        <v>337149</v>
      </c>
      <c r="C7" s="20">
        <v>0.38882590719586668</v>
      </c>
      <c r="D7" s="19"/>
      <c r="E7" s="20">
        <v>0</v>
      </c>
      <c r="F7" s="19">
        <v>411314</v>
      </c>
      <c r="G7" s="20">
        <v>0.47435863429036035</v>
      </c>
      <c r="H7" s="19">
        <v>118632</v>
      </c>
      <c r="I7" s="20">
        <v>0.136815458513773</v>
      </c>
      <c r="J7" s="19">
        <v>867095</v>
      </c>
      <c r="K7" s="20">
        <v>1</v>
      </c>
    </row>
    <row r="8" spans="1:11">
      <c r="A8" s="18" t="s">
        <v>12</v>
      </c>
      <c r="B8" s="19">
        <v>26164.5</v>
      </c>
      <c r="C8" s="20">
        <v>3.9820752205783093E-2</v>
      </c>
      <c r="D8" s="19">
        <v>370341.4</v>
      </c>
      <c r="E8" s="20">
        <v>0.56363672613437288</v>
      </c>
      <c r="F8" s="19">
        <v>200977</v>
      </c>
      <c r="G8" s="20">
        <v>0.30587457494168313</v>
      </c>
      <c r="H8" s="19">
        <v>59574</v>
      </c>
      <c r="I8" s="20">
        <v>9.0667946718160933E-2</v>
      </c>
      <c r="J8" s="19">
        <v>657056.9</v>
      </c>
      <c r="K8" s="20">
        <v>1</v>
      </c>
    </row>
    <row r="9" spans="1:11">
      <c r="A9" s="18" t="s">
        <v>24</v>
      </c>
      <c r="B9" s="19">
        <v>145582.39999999999</v>
      </c>
      <c r="C9" s="20">
        <v>0.44740840541085414</v>
      </c>
      <c r="D9" s="19">
        <v>169530</v>
      </c>
      <c r="E9" s="20">
        <v>0.52100492208743709</v>
      </c>
      <c r="F9" s="19">
        <v>10278</v>
      </c>
      <c r="G9" s="20">
        <v>3.1586672501708712E-2</v>
      </c>
      <c r="H9" s="19"/>
      <c r="I9" s="20">
        <v>0</v>
      </c>
      <c r="J9" s="19">
        <v>325390.40000000002</v>
      </c>
      <c r="K9" s="20">
        <v>1</v>
      </c>
    </row>
    <row r="10" spans="1:11">
      <c r="A10" s="18" t="s">
        <v>17</v>
      </c>
      <c r="B10" s="19">
        <v>387022.6</v>
      </c>
      <c r="C10" s="20">
        <v>0.46764965637007372</v>
      </c>
      <c r="D10" s="19"/>
      <c r="E10" s="20">
        <v>0</v>
      </c>
      <c r="F10" s="19">
        <v>202540.5</v>
      </c>
      <c r="G10" s="20">
        <v>0.24473504964832266</v>
      </c>
      <c r="H10" s="19">
        <v>238027.8</v>
      </c>
      <c r="I10" s="20">
        <v>0.28761529398160374</v>
      </c>
      <c r="J10" s="19">
        <v>827590.89999999991</v>
      </c>
      <c r="K10" s="20">
        <v>1</v>
      </c>
    </row>
    <row r="11" spans="1:11">
      <c r="A11" s="18" t="s">
        <v>20</v>
      </c>
      <c r="B11" s="19"/>
      <c r="C11" s="20">
        <v>0</v>
      </c>
      <c r="D11" s="19">
        <v>138256.5</v>
      </c>
      <c r="E11" s="20">
        <v>0.39803167117939947</v>
      </c>
      <c r="F11" s="19">
        <v>161451</v>
      </c>
      <c r="G11" s="20">
        <v>0.46480716164220293</v>
      </c>
      <c r="H11" s="19">
        <v>47643</v>
      </c>
      <c r="I11" s="20">
        <v>0.1371611671783976</v>
      </c>
      <c r="J11" s="19">
        <v>347350.5</v>
      </c>
      <c r="K11" s="20">
        <v>1</v>
      </c>
    </row>
    <row r="12" spans="1:11">
      <c r="A12" s="18" t="s">
        <v>33</v>
      </c>
      <c r="B12" s="19"/>
      <c r="C12" s="20">
        <v>0</v>
      </c>
      <c r="D12" s="19"/>
      <c r="E12" s="20">
        <v>0</v>
      </c>
      <c r="F12" s="19">
        <v>168200</v>
      </c>
      <c r="G12" s="20">
        <v>1</v>
      </c>
      <c r="H12" s="19"/>
      <c r="I12" s="20">
        <v>0</v>
      </c>
      <c r="J12" s="19">
        <v>168200</v>
      </c>
      <c r="K12" s="20">
        <v>1</v>
      </c>
    </row>
    <row r="13" spans="1:11">
      <c r="A13" s="18" t="s">
        <v>59</v>
      </c>
      <c r="B13" s="19">
        <v>907461</v>
      </c>
      <c r="C13" s="20">
        <v>0.26020153568227478</v>
      </c>
      <c r="D13" s="19">
        <v>861352.9</v>
      </c>
      <c r="E13" s="20">
        <v>0.24698069376466961</v>
      </c>
      <c r="F13" s="19">
        <v>1254840.6000000001</v>
      </c>
      <c r="G13" s="20">
        <v>0.35980769548935665</v>
      </c>
      <c r="H13" s="19">
        <v>463876.8</v>
      </c>
      <c r="I13" s="20">
        <v>0.13301007506369908</v>
      </c>
      <c r="J13" s="19">
        <v>3487531.3</v>
      </c>
      <c r="K13" s="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"/>
  <sheetViews>
    <sheetView zoomScale="85" zoomScaleNormal="85" workbookViewId="0">
      <selection activeCell="E5" sqref="E5"/>
    </sheetView>
  </sheetViews>
  <sheetFormatPr baseColWidth="10" defaultRowHeight="12.75"/>
  <cols>
    <col min="1" max="1" width="12.42578125" style="1" customWidth="1"/>
    <col min="2" max="2" width="11.42578125" style="1"/>
    <col min="3" max="3" width="9.5703125" style="1" customWidth="1"/>
    <col min="4" max="4" width="12.85546875" style="1" customWidth="1"/>
    <col min="5" max="5" width="14.85546875" style="1" customWidth="1"/>
    <col min="6" max="6" width="8.42578125" style="1" customWidth="1"/>
    <col min="7" max="7" width="12.140625" style="1" customWidth="1"/>
    <col min="8" max="8" width="20.85546875" style="1" customWidth="1"/>
    <col min="9" max="10" width="11.42578125" style="1"/>
    <col min="11" max="11" width="14.5703125" style="1" bestFit="1" customWidth="1"/>
    <col min="12" max="16384" width="11.42578125" style="1"/>
  </cols>
  <sheetData>
    <row r="1" spans="1:16" ht="13.5" thickBot="1">
      <c r="A1" s="11" t="s">
        <v>58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</row>
    <row r="2" spans="1:16">
      <c r="A2" s="13" t="s">
        <v>26</v>
      </c>
      <c r="B2" s="14">
        <v>34739</v>
      </c>
      <c r="C2" s="15" t="s">
        <v>24</v>
      </c>
      <c r="D2" s="15" t="s">
        <v>9</v>
      </c>
      <c r="E2" s="15" t="s">
        <v>22</v>
      </c>
      <c r="F2" s="16">
        <v>6</v>
      </c>
      <c r="G2" s="15">
        <v>5764</v>
      </c>
      <c r="H2" s="16">
        <f t="shared" ref="H2:H33" si="0">F2*G2</f>
        <v>34584</v>
      </c>
    </row>
    <row r="3" spans="1:16">
      <c r="A3" s="13" t="s">
        <v>23</v>
      </c>
      <c r="B3" s="14">
        <v>35172</v>
      </c>
      <c r="C3" s="15" t="s">
        <v>14</v>
      </c>
      <c r="D3" s="15" t="s">
        <v>9</v>
      </c>
      <c r="E3" s="15" t="s">
        <v>27</v>
      </c>
      <c r="F3" s="16">
        <v>25</v>
      </c>
      <c r="G3" s="15">
        <v>6183</v>
      </c>
      <c r="H3" s="16">
        <f t="shared" si="0"/>
        <v>154575</v>
      </c>
    </row>
    <row r="4" spans="1:16">
      <c r="A4" s="13" t="s">
        <v>23</v>
      </c>
      <c r="B4" s="14">
        <v>34745</v>
      </c>
      <c r="C4" s="15" t="s">
        <v>24</v>
      </c>
      <c r="D4" s="15" t="s">
        <v>9</v>
      </c>
      <c r="E4" s="15" t="s">
        <v>22</v>
      </c>
      <c r="F4" s="16">
        <v>6</v>
      </c>
      <c r="G4" s="15">
        <v>6987</v>
      </c>
      <c r="H4" s="16">
        <f t="shared" si="0"/>
        <v>41922</v>
      </c>
    </row>
    <row r="5" spans="1:16">
      <c r="A5" s="13" t="s">
        <v>16</v>
      </c>
      <c r="B5" s="14">
        <v>35093</v>
      </c>
      <c r="C5" s="15" t="s">
        <v>12</v>
      </c>
      <c r="D5" s="15" t="s">
        <v>9</v>
      </c>
      <c r="E5" s="15" t="s">
        <v>10</v>
      </c>
      <c r="F5" s="16">
        <v>1.5</v>
      </c>
      <c r="G5" s="15">
        <v>8804</v>
      </c>
      <c r="H5" s="16">
        <f t="shared" si="0"/>
        <v>13206</v>
      </c>
    </row>
    <row r="6" spans="1:16">
      <c r="A6" s="13" t="s">
        <v>16</v>
      </c>
      <c r="B6" s="14">
        <v>34892</v>
      </c>
      <c r="C6" s="15" t="s">
        <v>17</v>
      </c>
      <c r="D6" s="15" t="s">
        <v>9</v>
      </c>
      <c r="E6" s="15" t="s">
        <v>18</v>
      </c>
      <c r="F6" s="16">
        <v>3.4</v>
      </c>
      <c r="G6" s="15">
        <v>8367</v>
      </c>
      <c r="H6" s="16">
        <f t="shared" si="0"/>
        <v>28447.8</v>
      </c>
    </row>
    <row r="7" spans="1:16">
      <c r="A7" s="13" t="s">
        <v>19</v>
      </c>
      <c r="B7" s="14">
        <v>34985</v>
      </c>
      <c r="C7" s="15" t="s">
        <v>17</v>
      </c>
      <c r="D7" s="15" t="s">
        <v>9</v>
      </c>
      <c r="E7" s="15" t="s">
        <v>18</v>
      </c>
      <c r="F7" s="16">
        <v>3.4</v>
      </c>
      <c r="G7" s="15">
        <v>8227</v>
      </c>
      <c r="H7" s="16">
        <f t="shared" si="0"/>
        <v>27971.8</v>
      </c>
    </row>
    <row r="8" spans="1:16">
      <c r="A8" s="13" t="s">
        <v>19</v>
      </c>
      <c r="B8" s="14">
        <v>34988</v>
      </c>
      <c r="C8" s="15" t="s">
        <v>17</v>
      </c>
      <c r="D8" s="15" t="s">
        <v>9</v>
      </c>
      <c r="E8" s="15" t="s">
        <v>25</v>
      </c>
      <c r="F8" s="16">
        <v>21</v>
      </c>
      <c r="G8" s="15">
        <v>7464</v>
      </c>
      <c r="H8" s="16">
        <f t="shared" si="0"/>
        <v>156744</v>
      </c>
    </row>
    <row r="9" spans="1:16">
      <c r="A9" s="13" t="s">
        <v>28</v>
      </c>
      <c r="B9" s="14">
        <v>35046</v>
      </c>
      <c r="C9" s="15" t="s">
        <v>14</v>
      </c>
      <c r="D9" s="15" t="s">
        <v>9</v>
      </c>
      <c r="E9" s="15" t="s">
        <v>25</v>
      </c>
      <c r="F9" s="16">
        <v>21</v>
      </c>
      <c r="G9" s="15">
        <v>8694</v>
      </c>
      <c r="H9" s="16">
        <f t="shared" si="0"/>
        <v>182574</v>
      </c>
    </row>
    <row r="10" spans="1:16">
      <c r="A10" s="13" t="s">
        <v>7</v>
      </c>
      <c r="B10" s="14">
        <v>34850</v>
      </c>
      <c r="C10" s="15" t="s">
        <v>8</v>
      </c>
      <c r="D10" s="15" t="s">
        <v>9</v>
      </c>
      <c r="E10" s="15" t="s">
        <v>10</v>
      </c>
      <c r="F10" s="16">
        <v>1.5</v>
      </c>
      <c r="G10" s="15">
        <v>7695</v>
      </c>
      <c r="H10" s="16">
        <f t="shared" si="0"/>
        <v>11542.5</v>
      </c>
    </row>
    <row r="11" spans="1:16">
      <c r="A11" s="13" t="s">
        <v>7</v>
      </c>
      <c r="B11" s="14">
        <v>34876</v>
      </c>
      <c r="C11" s="15" t="s">
        <v>12</v>
      </c>
      <c r="D11" s="15" t="s">
        <v>9</v>
      </c>
      <c r="E11" s="15" t="s">
        <v>10</v>
      </c>
      <c r="F11" s="16">
        <v>1.5</v>
      </c>
      <c r="G11" s="15">
        <v>8639</v>
      </c>
      <c r="H11" s="16">
        <f t="shared" si="0"/>
        <v>12958.5</v>
      </c>
    </row>
    <row r="12" spans="1:16">
      <c r="A12" s="13" t="s">
        <v>7</v>
      </c>
      <c r="B12" s="14">
        <v>34988</v>
      </c>
      <c r="C12" s="15" t="s">
        <v>24</v>
      </c>
      <c r="D12" s="15" t="s">
        <v>9</v>
      </c>
      <c r="E12" s="15" t="s">
        <v>18</v>
      </c>
      <c r="F12" s="16">
        <v>3.4</v>
      </c>
      <c r="G12" s="15">
        <v>5336</v>
      </c>
      <c r="H12" s="16">
        <f t="shared" si="0"/>
        <v>18142.399999999998</v>
      </c>
    </row>
    <row r="13" spans="1:16">
      <c r="A13" s="13" t="s">
        <v>7</v>
      </c>
      <c r="B13" s="14">
        <v>35074</v>
      </c>
      <c r="C13" s="15" t="s">
        <v>17</v>
      </c>
      <c r="D13" s="15" t="s">
        <v>9</v>
      </c>
      <c r="E13" s="15" t="s">
        <v>25</v>
      </c>
      <c r="F13" s="16">
        <v>21</v>
      </c>
      <c r="G13" s="15">
        <v>8279</v>
      </c>
      <c r="H13" s="16">
        <f t="shared" si="0"/>
        <v>173859</v>
      </c>
    </row>
    <row r="14" spans="1:16">
      <c r="A14" s="13" t="s">
        <v>32</v>
      </c>
      <c r="B14" s="14">
        <v>34793</v>
      </c>
      <c r="C14" s="15" t="s">
        <v>24</v>
      </c>
      <c r="D14" s="15" t="s">
        <v>9</v>
      </c>
      <c r="E14" s="15" t="s">
        <v>22</v>
      </c>
      <c r="F14" s="16">
        <v>6</v>
      </c>
      <c r="G14" s="15">
        <v>8489</v>
      </c>
      <c r="H14" s="16">
        <f t="shared" si="0"/>
        <v>50934</v>
      </c>
      <c r="K14"/>
      <c r="L14"/>
      <c r="M14"/>
      <c r="N14"/>
      <c r="O14"/>
      <c r="P14"/>
    </row>
    <row r="15" spans="1:16">
      <c r="A15" s="13" t="s">
        <v>26</v>
      </c>
      <c r="B15" s="14">
        <v>35241</v>
      </c>
      <c r="C15" s="15" t="s">
        <v>8</v>
      </c>
      <c r="D15" s="15" t="s">
        <v>13</v>
      </c>
      <c r="E15" s="15" t="s">
        <v>27</v>
      </c>
      <c r="F15" s="16">
        <v>25</v>
      </c>
      <c r="G15" s="15">
        <v>7329</v>
      </c>
      <c r="H15" s="16">
        <f t="shared" si="0"/>
        <v>183225</v>
      </c>
      <c r="K15"/>
      <c r="L15"/>
      <c r="M15"/>
      <c r="N15"/>
      <c r="O15"/>
      <c r="P15"/>
    </row>
    <row r="16" spans="1:16">
      <c r="A16" s="13" t="s">
        <v>26</v>
      </c>
      <c r="B16" s="14">
        <v>35235</v>
      </c>
      <c r="C16" s="15" t="s">
        <v>24</v>
      </c>
      <c r="D16" s="15" t="s">
        <v>13</v>
      </c>
      <c r="E16" s="15" t="s">
        <v>31</v>
      </c>
      <c r="F16" s="16">
        <v>12</v>
      </c>
      <c r="G16" s="15">
        <v>9924</v>
      </c>
      <c r="H16" s="16">
        <f t="shared" si="0"/>
        <v>119088</v>
      </c>
      <c r="K16"/>
      <c r="L16"/>
      <c r="M16"/>
      <c r="N16"/>
      <c r="O16"/>
      <c r="P16"/>
    </row>
    <row r="17" spans="1:16">
      <c r="A17" s="13" t="s">
        <v>23</v>
      </c>
      <c r="B17" s="14">
        <v>34941</v>
      </c>
      <c r="C17" s="15" t="s">
        <v>12</v>
      </c>
      <c r="D17" s="15" t="s">
        <v>13</v>
      </c>
      <c r="E17" s="15" t="s">
        <v>18</v>
      </c>
      <c r="F17" s="16">
        <v>3.4</v>
      </c>
      <c r="G17" s="15">
        <v>9165</v>
      </c>
      <c r="H17" s="16">
        <f t="shared" si="0"/>
        <v>31161</v>
      </c>
      <c r="K17"/>
      <c r="L17"/>
      <c r="M17"/>
      <c r="N17"/>
      <c r="O17"/>
      <c r="P17"/>
    </row>
    <row r="18" spans="1:16">
      <c r="A18" s="13" t="s">
        <v>23</v>
      </c>
      <c r="B18" s="14">
        <v>34897</v>
      </c>
      <c r="C18" s="15" t="s">
        <v>20</v>
      </c>
      <c r="D18" s="15" t="s">
        <v>13</v>
      </c>
      <c r="E18" s="15" t="s">
        <v>31</v>
      </c>
      <c r="F18" s="16">
        <v>12</v>
      </c>
      <c r="G18" s="15">
        <v>6660</v>
      </c>
      <c r="H18" s="16">
        <f t="shared" si="0"/>
        <v>79920</v>
      </c>
      <c r="K18"/>
      <c r="L18"/>
      <c r="M18"/>
      <c r="N18"/>
      <c r="O18"/>
      <c r="P18"/>
    </row>
    <row r="19" spans="1:16">
      <c r="A19" s="13" t="s">
        <v>23</v>
      </c>
      <c r="B19" s="14">
        <v>35230</v>
      </c>
      <c r="C19" s="15" t="s">
        <v>20</v>
      </c>
      <c r="D19" s="15" t="s">
        <v>13</v>
      </c>
      <c r="E19" s="15" t="s">
        <v>10</v>
      </c>
      <c r="F19" s="16">
        <v>1.5</v>
      </c>
      <c r="G19" s="15">
        <v>8091</v>
      </c>
      <c r="H19" s="16">
        <f t="shared" si="0"/>
        <v>12136.5</v>
      </c>
      <c r="K19"/>
      <c r="L19"/>
      <c r="M19"/>
      <c r="N19"/>
      <c r="O19"/>
      <c r="P19"/>
    </row>
    <row r="20" spans="1:16">
      <c r="A20" s="13" t="s">
        <v>11</v>
      </c>
      <c r="B20" s="14">
        <v>35067</v>
      </c>
      <c r="C20" s="15" t="s">
        <v>12</v>
      </c>
      <c r="D20" s="15" t="s">
        <v>13</v>
      </c>
      <c r="E20" s="15" t="s">
        <v>10</v>
      </c>
      <c r="F20" s="16">
        <v>1.5</v>
      </c>
      <c r="G20" s="15">
        <v>9224</v>
      </c>
      <c r="H20" s="16">
        <f t="shared" si="0"/>
        <v>13836</v>
      </c>
      <c r="K20"/>
    </row>
    <row r="21" spans="1:16">
      <c r="A21" s="13" t="s">
        <v>16</v>
      </c>
      <c r="B21" s="14">
        <v>35025</v>
      </c>
      <c r="C21" s="15" t="s">
        <v>20</v>
      </c>
      <c r="D21" s="15" t="s">
        <v>13</v>
      </c>
      <c r="E21" s="15" t="s">
        <v>22</v>
      </c>
      <c r="F21" s="16">
        <v>6</v>
      </c>
      <c r="G21" s="15">
        <v>7700</v>
      </c>
      <c r="H21" s="16">
        <f t="shared" si="0"/>
        <v>46200</v>
      </c>
      <c r="K21"/>
    </row>
    <row r="22" spans="1:16">
      <c r="A22" s="13" t="s">
        <v>28</v>
      </c>
      <c r="B22" s="14">
        <v>34747</v>
      </c>
      <c r="C22" s="15" t="s">
        <v>12</v>
      </c>
      <c r="D22" s="15" t="s">
        <v>13</v>
      </c>
      <c r="E22" s="15" t="s">
        <v>25</v>
      </c>
      <c r="F22" s="16">
        <v>21</v>
      </c>
      <c r="G22" s="15">
        <v>9401</v>
      </c>
      <c r="H22" s="16">
        <f t="shared" si="0"/>
        <v>197421</v>
      </c>
      <c r="K22"/>
    </row>
    <row r="23" spans="1:16">
      <c r="A23" s="13" t="s">
        <v>28</v>
      </c>
      <c r="B23" s="14">
        <v>35017</v>
      </c>
      <c r="C23" s="15" t="s">
        <v>24</v>
      </c>
      <c r="D23" s="15" t="s">
        <v>13</v>
      </c>
      <c r="E23" s="15" t="s">
        <v>22</v>
      </c>
      <c r="F23" s="16">
        <v>6</v>
      </c>
      <c r="G23" s="15">
        <v>8407</v>
      </c>
      <c r="H23" s="16">
        <f t="shared" si="0"/>
        <v>50442</v>
      </c>
      <c r="K23"/>
    </row>
    <row r="24" spans="1:16">
      <c r="A24" s="13" t="s">
        <v>7</v>
      </c>
      <c r="B24" s="14">
        <v>34883</v>
      </c>
      <c r="C24" s="15" t="s">
        <v>12</v>
      </c>
      <c r="D24" s="15" t="s">
        <v>13</v>
      </c>
      <c r="E24" s="15" t="s">
        <v>31</v>
      </c>
      <c r="F24" s="16">
        <v>12</v>
      </c>
      <c r="G24" s="15">
        <v>9062</v>
      </c>
      <c r="H24" s="16">
        <f t="shared" si="0"/>
        <v>108744</v>
      </c>
      <c r="K24"/>
    </row>
    <row r="25" spans="1:16">
      <c r="A25" s="13" t="s">
        <v>7</v>
      </c>
      <c r="B25" s="14">
        <v>34932</v>
      </c>
      <c r="C25" s="15" t="s">
        <v>12</v>
      </c>
      <c r="D25" s="15" t="s">
        <v>13</v>
      </c>
      <c r="E25" s="15" t="s">
        <v>18</v>
      </c>
      <c r="F25" s="16">
        <v>3.4</v>
      </c>
      <c r="G25" s="15">
        <v>5641</v>
      </c>
      <c r="H25" s="16">
        <f t="shared" si="0"/>
        <v>19179.399999999998</v>
      </c>
    </row>
    <row r="26" spans="1:16">
      <c r="A26" s="13" t="s">
        <v>11</v>
      </c>
      <c r="B26" s="14">
        <v>34757</v>
      </c>
      <c r="C26" s="15" t="s">
        <v>14</v>
      </c>
      <c r="D26" s="15" t="s">
        <v>15</v>
      </c>
      <c r="E26" s="15" t="s">
        <v>25</v>
      </c>
      <c r="F26" s="16">
        <v>21</v>
      </c>
      <c r="G26" s="15">
        <v>5954</v>
      </c>
      <c r="H26" s="16">
        <f t="shared" si="0"/>
        <v>125034</v>
      </c>
    </row>
    <row r="27" spans="1:16">
      <c r="A27" s="13" t="s">
        <v>11</v>
      </c>
      <c r="B27" s="14">
        <v>34789</v>
      </c>
      <c r="C27" s="15" t="s">
        <v>20</v>
      </c>
      <c r="D27" s="15" t="s">
        <v>15</v>
      </c>
      <c r="E27" s="15" t="s">
        <v>10</v>
      </c>
      <c r="F27" s="16">
        <v>1.5</v>
      </c>
      <c r="G27" s="15">
        <v>5750</v>
      </c>
      <c r="H27" s="16">
        <f t="shared" si="0"/>
        <v>8625</v>
      </c>
    </row>
    <row r="28" spans="1:16">
      <c r="A28" s="13" t="s">
        <v>11</v>
      </c>
      <c r="B28" s="14">
        <v>35080</v>
      </c>
      <c r="C28" s="15" t="s">
        <v>20</v>
      </c>
      <c r="D28" s="15" t="s">
        <v>15</v>
      </c>
      <c r="E28" s="15" t="s">
        <v>10</v>
      </c>
      <c r="F28" s="16">
        <v>1.5</v>
      </c>
      <c r="G28" s="15">
        <v>7645</v>
      </c>
      <c r="H28" s="16">
        <f t="shared" si="0"/>
        <v>11467.5</v>
      </c>
    </row>
    <row r="29" spans="1:16">
      <c r="A29" s="13" t="s">
        <v>11</v>
      </c>
      <c r="B29" s="14">
        <v>35082</v>
      </c>
      <c r="C29" s="15" t="s">
        <v>20</v>
      </c>
      <c r="D29" s="15" t="s">
        <v>15</v>
      </c>
      <c r="E29" s="15" t="s">
        <v>10</v>
      </c>
      <c r="F29" s="16">
        <v>1.5</v>
      </c>
      <c r="G29" s="15">
        <v>8611</v>
      </c>
      <c r="H29" s="16">
        <f t="shared" si="0"/>
        <v>12916.5</v>
      </c>
    </row>
    <row r="30" spans="1:16">
      <c r="A30" s="13" t="s">
        <v>16</v>
      </c>
      <c r="B30" s="14">
        <v>34982</v>
      </c>
      <c r="C30" s="15" t="s">
        <v>8</v>
      </c>
      <c r="D30" s="15" t="s">
        <v>15</v>
      </c>
      <c r="E30" s="15" t="s">
        <v>10</v>
      </c>
      <c r="F30" s="16">
        <v>1.5</v>
      </c>
      <c r="G30" s="15">
        <v>5293</v>
      </c>
      <c r="H30" s="16">
        <f t="shared" si="0"/>
        <v>7939.5</v>
      </c>
    </row>
    <row r="31" spans="1:16">
      <c r="A31" s="13" t="s">
        <v>19</v>
      </c>
      <c r="B31" s="14">
        <v>35002</v>
      </c>
      <c r="C31" s="15" t="s">
        <v>8</v>
      </c>
      <c r="D31" s="15" t="s">
        <v>15</v>
      </c>
      <c r="E31" s="15" t="s">
        <v>31</v>
      </c>
      <c r="F31" s="16">
        <v>12</v>
      </c>
      <c r="G31" s="15">
        <v>5463</v>
      </c>
      <c r="H31" s="16">
        <f t="shared" si="0"/>
        <v>65556</v>
      </c>
    </row>
    <row r="32" spans="1:16">
      <c r="A32" s="13" t="s">
        <v>30</v>
      </c>
      <c r="B32" s="14">
        <v>34765</v>
      </c>
      <c r="C32" s="15" t="s">
        <v>14</v>
      </c>
      <c r="D32" s="15" t="s">
        <v>15</v>
      </c>
      <c r="E32" s="15" t="s">
        <v>27</v>
      </c>
      <c r="F32" s="16">
        <v>25</v>
      </c>
      <c r="G32" s="15">
        <v>7346</v>
      </c>
      <c r="H32" s="16">
        <f t="shared" si="0"/>
        <v>183650</v>
      </c>
    </row>
    <row r="33" spans="1:8">
      <c r="A33" s="13" t="s">
        <v>28</v>
      </c>
      <c r="B33" s="14">
        <v>35089</v>
      </c>
      <c r="C33" s="15" t="s">
        <v>8</v>
      </c>
      <c r="D33" s="15" t="s">
        <v>15</v>
      </c>
      <c r="E33" s="15" t="s">
        <v>18</v>
      </c>
      <c r="F33" s="16">
        <v>3.4</v>
      </c>
      <c r="G33" s="15">
        <v>7819</v>
      </c>
      <c r="H33" s="16">
        <f t="shared" si="0"/>
        <v>26584.6</v>
      </c>
    </row>
    <row r="34" spans="1:8">
      <c r="A34" s="13" t="s">
        <v>28</v>
      </c>
      <c r="B34" s="14">
        <v>35125</v>
      </c>
      <c r="C34" s="15" t="s">
        <v>12</v>
      </c>
      <c r="D34" s="15" t="s">
        <v>15</v>
      </c>
      <c r="E34" s="15" t="s">
        <v>27</v>
      </c>
      <c r="F34" s="16">
        <v>25</v>
      </c>
      <c r="G34" s="15">
        <v>6523</v>
      </c>
      <c r="H34" s="16">
        <f t="shared" ref="H34:H65" si="1">F34*G34</f>
        <v>163075</v>
      </c>
    </row>
    <row r="35" spans="1:8">
      <c r="A35" s="13" t="s">
        <v>28</v>
      </c>
      <c r="B35" s="14">
        <v>34708</v>
      </c>
      <c r="C35" s="15" t="s">
        <v>17</v>
      </c>
      <c r="D35" s="15" t="s">
        <v>15</v>
      </c>
      <c r="E35" s="15" t="s">
        <v>25</v>
      </c>
      <c r="F35" s="16">
        <v>21</v>
      </c>
      <c r="G35" s="15">
        <v>9201</v>
      </c>
      <c r="H35" s="16">
        <f t="shared" si="1"/>
        <v>193221</v>
      </c>
    </row>
    <row r="36" spans="1:8">
      <c r="A36" s="13" t="s">
        <v>28</v>
      </c>
      <c r="B36" s="14">
        <v>35129</v>
      </c>
      <c r="C36" s="15" t="s">
        <v>20</v>
      </c>
      <c r="D36" s="15" t="s">
        <v>15</v>
      </c>
      <c r="E36" s="15" t="s">
        <v>31</v>
      </c>
      <c r="F36" s="16">
        <v>12</v>
      </c>
      <c r="G36" s="15">
        <v>7017</v>
      </c>
      <c r="H36" s="16">
        <f t="shared" si="1"/>
        <v>84204</v>
      </c>
    </row>
    <row r="37" spans="1:8">
      <c r="A37" s="13" t="s">
        <v>7</v>
      </c>
      <c r="B37" s="14">
        <v>35209</v>
      </c>
      <c r="C37" s="15" t="s">
        <v>14</v>
      </c>
      <c r="D37" s="15" t="s">
        <v>15</v>
      </c>
      <c r="E37" s="15" t="s">
        <v>31</v>
      </c>
      <c r="F37" s="16">
        <v>12</v>
      </c>
      <c r="G37" s="15">
        <v>7349</v>
      </c>
      <c r="H37" s="16">
        <f t="shared" si="1"/>
        <v>88188</v>
      </c>
    </row>
    <row r="38" spans="1:8">
      <c r="A38" s="13" t="s">
        <v>7</v>
      </c>
      <c r="B38" s="14">
        <v>35216</v>
      </c>
      <c r="C38" s="15" t="s">
        <v>14</v>
      </c>
      <c r="D38" s="15" t="s">
        <v>15</v>
      </c>
      <c r="E38" s="15" t="s">
        <v>10</v>
      </c>
      <c r="F38" s="16">
        <v>1.5</v>
      </c>
      <c r="G38" s="15">
        <v>9628</v>
      </c>
      <c r="H38" s="16">
        <f t="shared" si="1"/>
        <v>14442</v>
      </c>
    </row>
    <row r="39" spans="1:8">
      <c r="A39" s="13" t="s">
        <v>32</v>
      </c>
      <c r="B39" s="14">
        <v>35086</v>
      </c>
      <c r="C39" s="15" t="s">
        <v>12</v>
      </c>
      <c r="D39" s="15" t="s">
        <v>15</v>
      </c>
      <c r="E39" s="15" t="s">
        <v>22</v>
      </c>
      <c r="F39" s="16">
        <v>6</v>
      </c>
      <c r="G39" s="15">
        <v>6317</v>
      </c>
      <c r="H39" s="16">
        <f t="shared" si="1"/>
        <v>37902</v>
      </c>
    </row>
    <row r="40" spans="1:8">
      <c r="A40" s="13" t="s">
        <v>32</v>
      </c>
      <c r="B40" s="14">
        <v>35177</v>
      </c>
      <c r="C40" s="15" t="s">
        <v>33</v>
      </c>
      <c r="D40" s="15" t="s">
        <v>15</v>
      </c>
      <c r="E40" s="15" t="s">
        <v>27</v>
      </c>
      <c r="F40" s="16">
        <v>25</v>
      </c>
      <c r="G40" s="15">
        <v>6728</v>
      </c>
      <c r="H40" s="16">
        <f t="shared" si="1"/>
        <v>168200</v>
      </c>
    </row>
    <row r="41" spans="1:8">
      <c r="A41" s="13" t="s">
        <v>29</v>
      </c>
      <c r="B41" s="14">
        <v>35212</v>
      </c>
      <c r="C41" s="15" t="s">
        <v>24</v>
      </c>
      <c r="D41" s="15" t="s">
        <v>15</v>
      </c>
      <c r="E41" s="15" t="s">
        <v>10</v>
      </c>
      <c r="F41" s="16">
        <v>1.5</v>
      </c>
      <c r="G41" s="15">
        <v>6852</v>
      </c>
      <c r="H41" s="16">
        <f t="shared" si="1"/>
        <v>10278</v>
      </c>
    </row>
    <row r="42" spans="1:8">
      <c r="A42" s="13" t="s">
        <v>29</v>
      </c>
      <c r="B42" s="14">
        <v>34862</v>
      </c>
      <c r="C42" s="15" t="s">
        <v>17</v>
      </c>
      <c r="D42" s="15" t="s">
        <v>15</v>
      </c>
      <c r="E42" s="15" t="s">
        <v>10</v>
      </c>
      <c r="F42" s="16">
        <v>1.5</v>
      </c>
      <c r="G42" s="15">
        <v>6213</v>
      </c>
      <c r="H42" s="16">
        <f t="shared" si="1"/>
        <v>9319.5</v>
      </c>
    </row>
    <row r="43" spans="1:8">
      <c r="A43" s="13" t="s">
        <v>29</v>
      </c>
      <c r="B43" s="14">
        <v>35139</v>
      </c>
      <c r="C43" s="15" t="s">
        <v>20</v>
      </c>
      <c r="D43" s="15" t="s">
        <v>15</v>
      </c>
      <c r="E43" s="15" t="s">
        <v>22</v>
      </c>
      <c r="F43" s="16">
        <v>6</v>
      </c>
      <c r="G43" s="15">
        <v>7373</v>
      </c>
      <c r="H43" s="16">
        <f t="shared" si="1"/>
        <v>44238</v>
      </c>
    </row>
    <row r="44" spans="1:8">
      <c r="A44" s="13" t="s">
        <v>11</v>
      </c>
      <c r="B44" s="14">
        <v>35118</v>
      </c>
      <c r="C44" s="15" t="s">
        <v>14</v>
      </c>
      <c r="D44" s="15" t="s">
        <v>21</v>
      </c>
      <c r="E44" s="15" t="s">
        <v>31</v>
      </c>
      <c r="F44" s="16">
        <v>12</v>
      </c>
      <c r="G44" s="15">
        <v>9886</v>
      </c>
      <c r="H44" s="16">
        <f t="shared" si="1"/>
        <v>118632</v>
      </c>
    </row>
    <row r="45" spans="1:8">
      <c r="A45" s="13" t="s">
        <v>19</v>
      </c>
      <c r="B45" s="14">
        <v>35048</v>
      </c>
      <c r="C45" s="15" t="s">
        <v>20</v>
      </c>
      <c r="D45" s="15" t="s">
        <v>21</v>
      </c>
      <c r="E45" s="15" t="s">
        <v>22</v>
      </c>
      <c r="F45" s="16">
        <v>6</v>
      </c>
      <c r="G45" s="15">
        <v>6550</v>
      </c>
      <c r="H45" s="16">
        <f t="shared" si="1"/>
        <v>39300</v>
      </c>
    </row>
    <row r="46" spans="1:8">
      <c r="A46" s="13" t="s">
        <v>30</v>
      </c>
      <c r="B46" s="14">
        <v>35088</v>
      </c>
      <c r="C46" s="15" t="s">
        <v>17</v>
      </c>
      <c r="D46" s="15" t="s">
        <v>21</v>
      </c>
      <c r="E46" s="15" t="s">
        <v>18</v>
      </c>
      <c r="F46" s="16">
        <v>3.4</v>
      </c>
      <c r="G46" s="15">
        <v>7212</v>
      </c>
      <c r="H46" s="16">
        <f t="shared" si="1"/>
        <v>24520.799999999999</v>
      </c>
    </row>
    <row r="47" spans="1:8">
      <c r="A47" s="13" t="s">
        <v>30</v>
      </c>
      <c r="B47" s="14">
        <v>35093</v>
      </c>
      <c r="C47" s="15" t="s">
        <v>17</v>
      </c>
      <c r="D47" s="15" t="s">
        <v>21</v>
      </c>
      <c r="E47" s="15" t="s">
        <v>27</v>
      </c>
      <c r="F47" s="16">
        <v>25</v>
      </c>
      <c r="G47" s="15">
        <v>6075</v>
      </c>
      <c r="H47" s="16">
        <f t="shared" si="1"/>
        <v>151875</v>
      </c>
    </row>
    <row r="48" spans="1:8">
      <c r="A48" s="13" t="s">
        <v>28</v>
      </c>
      <c r="B48" s="14">
        <v>34947</v>
      </c>
      <c r="C48" s="15" t="s">
        <v>12</v>
      </c>
      <c r="D48" s="15" t="s">
        <v>21</v>
      </c>
      <c r="E48" s="15" t="s">
        <v>22</v>
      </c>
      <c r="F48" s="16">
        <v>6</v>
      </c>
      <c r="G48" s="15">
        <v>9929</v>
      </c>
      <c r="H48" s="16">
        <f t="shared" si="1"/>
        <v>59574</v>
      </c>
    </row>
    <row r="49" spans="1:8">
      <c r="A49" s="13" t="s">
        <v>28</v>
      </c>
      <c r="B49" s="14">
        <v>35061</v>
      </c>
      <c r="C49" s="15" t="s">
        <v>20</v>
      </c>
      <c r="D49" s="15" t="s">
        <v>21</v>
      </c>
      <c r="E49" s="15" t="s">
        <v>10</v>
      </c>
      <c r="F49" s="16">
        <v>1.5</v>
      </c>
      <c r="G49" s="15">
        <v>5562</v>
      </c>
      <c r="H49" s="16">
        <f t="shared" si="1"/>
        <v>8343</v>
      </c>
    </row>
    <row r="50" spans="1:8">
      <c r="A50" s="13" t="s">
        <v>32</v>
      </c>
      <c r="B50" s="14">
        <v>35012</v>
      </c>
      <c r="C50" s="15" t="s">
        <v>17</v>
      </c>
      <c r="D50" s="15" t="s">
        <v>21</v>
      </c>
      <c r="E50" s="15" t="s">
        <v>31</v>
      </c>
      <c r="F50" s="16">
        <v>12</v>
      </c>
      <c r="G50" s="15">
        <v>5136</v>
      </c>
      <c r="H50" s="16">
        <f t="shared" si="1"/>
        <v>61632</v>
      </c>
    </row>
  </sheetData>
  <sortState ref="A2:H50">
    <sortCondition ref="D2:D50"/>
    <sortCondition ref="A2:A50"/>
  </sortState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25"/>
      <c r="G1" s="25"/>
    </row>
    <row r="2" spans="1:7" ht="16.5" thickBot="1">
      <c r="A2" s="26" t="s">
        <v>34</v>
      </c>
      <c r="B2" s="27"/>
      <c r="C2" s="27"/>
      <c r="D2" s="28"/>
    </row>
    <row r="3" spans="1:7">
      <c r="A3" s="4" t="s">
        <v>35</v>
      </c>
      <c r="B3" s="5" t="s">
        <v>36</v>
      </c>
      <c r="C3" s="5"/>
      <c r="D3" s="6"/>
      <c r="F3" s="25" t="s">
        <v>37</v>
      </c>
      <c r="G3" s="25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sqref="A1:J1"/>
    </sheetView>
  </sheetViews>
  <sheetFormatPr baseColWidth="10" defaultRowHeight="12.75"/>
  <cols>
    <col min="1" max="1" width="17.5703125" bestFit="1" customWidth="1"/>
    <col min="2" max="2" width="12.85546875" bestFit="1" customWidth="1"/>
    <col min="3" max="3" width="8" style="21" bestFit="1" customWidth="1"/>
    <col min="4" max="4" width="12.85546875" bestFit="1" customWidth="1"/>
    <col min="5" max="5" width="8" style="21" bestFit="1" customWidth="1"/>
    <col min="6" max="6" width="14.42578125" bestFit="1" customWidth="1"/>
    <col min="7" max="7" width="8.28515625" style="21" bestFit="1" customWidth="1"/>
    <col min="8" max="8" width="12.85546875" bestFit="1" customWidth="1"/>
    <col min="9" max="9" width="8" style="21" bestFit="1" customWidth="1"/>
    <col min="10" max="10" width="17.140625" bestFit="1" customWidth="1"/>
    <col min="11" max="11" width="15" style="21" bestFit="1" customWidth="1"/>
  </cols>
  <sheetData>
    <row r="1" spans="1:15">
      <c r="A1" s="29" t="s">
        <v>66</v>
      </c>
      <c r="B1" s="29"/>
      <c r="C1" s="29"/>
      <c r="D1" s="29"/>
      <c r="E1" s="29"/>
      <c r="F1" s="29"/>
      <c r="G1" s="29"/>
      <c r="H1" s="29"/>
      <c r="I1" s="29"/>
      <c r="J1" s="29"/>
    </row>
    <row r="2" spans="1:15">
      <c r="B2" t="s">
        <v>9</v>
      </c>
      <c r="D2" t="s">
        <v>13</v>
      </c>
      <c r="F2" t="s">
        <v>15</v>
      </c>
      <c r="H2" t="s">
        <v>21</v>
      </c>
      <c r="J2" s="22" t="s">
        <v>74</v>
      </c>
      <c r="K2" s="23" t="s">
        <v>68</v>
      </c>
    </row>
    <row r="3" spans="1:15">
      <c r="A3" t="s">
        <v>60</v>
      </c>
      <c r="B3" t="s">
        <v>69</v>
      </c>
      <c r="C3" s="21" t="s">
        <v>71</v>
      </c>
      <c r="D3" t="s">
        <v>69</v>
      </c>
      <c r="E3" s="21" t="s">
        <v>71</v>
      </c>
      <c r="F3" t="s">
        <v>69</v>
      </c>
      <c r="G3" s="21" t="s">
        <v>71</v>
      </c>
      <c r="H3" t="s">
        <v>69</v>
      </c>
      <c r="I3" s="21" t="s">
        <v>71</v>
      </c>
      <c r="J3" t="s">
        <v>69</v>
      </c>
    </row>
    <row r="4" spans="1:15">
      <c r="A4" t="s">
        <v>26</v>
      </c>
      <c r="B4" s="36">
        <v>34584</v>
      </c>
      <c r="C4" s="21">
        <v>3.8110728725532006E-2</v>
      </c>
      <c r="D4" s="36">
        <v>302313</v>
      </c>
      <c r="E4" s="21">
        <v>0.35097461214793613</v>
      </c>
      <c r="F4" s="36"/>
      <c r="G4" s="21">
        <v>0</v>
      </c>
      <c r="H4" s="36"/>
      <c r="I4" s="21">
        <v>0</v>
      </c>
      <c r="J4" s="36">
        <v>336897</v>
      </c>
      <c r="K4" s="21">
        <v>9.6600423342437097E-2</v>
      </c>
    </row>
    <row r="5" spans="1:15">
      <c r="A5" t="s">
        <v>23</v>
      </c>
      <c r="B5" s="36">
        <v>196497</v>
      </c>
      <c r="C5" s="21">
        <v>0.21653492546787134</v>
      </c>
      <c r="D5" s="36">
        <v>123217.5</v>
      </c>
      <c r="E5" s="21">
        <v>0.14305112341294723</v>
      </c>
      <c r="F5" s="36"/>
      <c r="G5" s="21">
        <v>0</v>
      </c>
      <c r="H5" s="36"/>
      <c r="I5" s="21">
        <v>0</v>
      </c>
      <c r="J5" s="36">
        <v>319714.5</v>
      </c>
      <c r="K5" s="21">
        <v>9.1673585839932112E-2</v>
      </c>
    </row>
    <row r="6" spans="1:15">
      <c r="A6" t="s">
        <v>11</v>
      </c>
      <c r="B6" s="36"/>
      <c r="C6" s="21">
        <v>0</v>
      </c>
      <c r="D6" s="36">
        <v>13836</v>
      </c>
      <c r="E6" s="21">
        <v>1.6063102591284014E-2</v>
      </c>
      <c r="F6" s="36">
        <v>158043</v>
      </c>
      <c r="G6" s="21">
        <v>0.12594667402377641</v>
      </c>
      <c r="H6" s="36">
        <v>118632</v>
      </c>
      <c r="I6" s="21">
        <v>0.25574031725665092</v>
      </c>
      <c r="J6" s="36">
        <v>290511</v>
      </c>
      <c r="K6" s="21">
        <v>8.3299897552173943E-2</v>
      </c>
    </row>
    <row r="7" spans="1:15">
      <c r="A7" t="s">
        <v>16</v>
      </c>
      <c r="B7" s="36">
        <v>41653.800000000003</v>
      </c>
      <c r="C7" s="21">
        <v>4.5901476757678847E-2</v>
      </c>
      <c r="D7" s="36">
        <v>46200</v>
      </c>
      <c r="E7" s="21">
        <v>5.3636552451382005E-2</v>
      </c>
      <c r="F7" s="36">
        <v>7939.5</v>
      </c>
      <c r="G7" s="21">
        <v>6.3270984378414269E-3</v>
      </c>
      <c r="H7" s="36"/>
      <c r="I7" s="21">
        <v>0</v>
      </c>
      <c r="J7" s="36">
        <v>95793.3</v>
      </c>
      <c r="K7" s="21">
        <v>2.7467366386073729E-2</v>
      </c>
    </row>
    <row r="8" spans="1:15">
      <c r="A8" t="s">
        <v>19</v>
      </c>
      <c r="B8" s="36">
        <v>184715.8</v>
      </c>
      <c r="C8" s="21">
        <v>0.2035523289706114</v>
      </c>
      <c r="D8" s="36"/>
      <c r="E8" s="21">
        <v>0</v>
      </c>
      <c r="F8" s="36">
        <v>65556</v>
      </c>
      <c r="G8" s="21">
        <v>5.2242491994600744E-2</v>
      </c>
      <c r="H8" s="36">
        <v>39300</v>
      </c>
      <c r="I8" s="21">
        <v>8.472077068738941E-2</v>
      </c>
      <c r="J8" s="36">
        <v>289571.8</v>
      </c>
      <c r="K8" s="21">
        <v>8.303059530963923E-2</v>
      </c>
    </row>
    <row r="9" spans="1:15">
      <c r="A9" t="s">
        <v>30</v>
      </c>
      <c r="B9" s="36"/>
      <c r="C9" s="21">
        <v>0</v>
      </c>
      <c r="D9" s="36"/>
      <c r="E9" s="21">
        <v>0</v>
      </c>
      <c r="F9" s="36">
        <v>183650</v>
      </c>
      <c r="G9" s="21">
        <v>0.14635324996656945</v>
      </c>
      <c r="H9" s="36">
        <v>176395.8</v>
      </c>
      <c r="I9" s="21">
        <v>0.38026432880454464</v>
      </c>
      <c r="J9" s="36">
        <v>360045.8</v>
      </c>
      <c r="K9" s="21">
        <v>0.10323801251618875</v>
      </c>
      <c r="O9" s="36"/>
    </row>
    <row r="10" spans="1:15">
      <c r="A10" t="s">
        <v>28</v>
      </c>
      <c r="B10" s="36">
        <v>182574</v>
      </c>
      <c r="C10" s="21">
        <v>0.20119211734719178</v>
      </c>
      <c r="D10" s="36">
        <v>247863</v>
      </c>
      <c r="E10" s="21">
        <v>0.28776010390166445</v>
      </c>
      <c r="F10" s="36">
        <v>467084.6</v>
      </c>
      <c r="G10" s="21">
        <v>0.37222624132499377</v>
      </c>
      <c r="H10" s="36">
        <v>67917</v>
      </c>
      <c r="I10" s="21">
        <v>0.14641171966349686</v>
      </c>
      <c r="J10" s="36">
        <v>965438.6</v>
      </c>
      <c r="K10" s="21">
        <v>0.27682578791479234</v>
      </c>
      <c r="O10" s="36"/>
    </row>
    <row r="11" spans="1:15">
      <c r="A11" t="s">
        <v>7</v>
      </c>
      <c r="B11" s="36">
        <v>216502.39999999999</v>
      </c>
      <c r="C11" s="21">
        <v>0.23858039078263418</v>
      </c>
      <c r="D11" s="36">
        <v>127923.4</v>
      </c>
      <c r="E11" s="21">
        <v>0.14851450549478615</v>
      </c>
      <c r="F11" s="36">
        <v>102630</v>
      </c>
      <c r="G11" s="21">
        <v>8.1787280392425929E-2</v>
      </c>
      <c r="H11" s="36"/>
      <c r="I11" s="21">
        <v>0</v>
      </c>
      <c r="J11" s="36">
        <v>447055.8</v>
      </c>
      <c r="K11" s="21">
        <v>0.12818689254487839</v>
      </c>
      <c r="O11" s="36"/>
    </row>
    <row r="12" spans="1:15">
      <c r="A12" t="s">
        <v>32</v>
      </c>
      <c r="B12" s="36">
        <v>50934</v>
      </c>
      <c r="C12" s="21">
        <v>5.6128031948480428E-2</v>
      </c>
      <c r="D12" s="36"/>
      <c r="E12" s="21">
        <v>0</v>
      </c>
      <c r="F12" s="36">
        <v>206102</v>
      </c>
      <c r="G12" s="21">
        <v>0.16424556234473126</v>
      </c>
      <c r="H12" s="36">
        <v>61632</v>
      </c>
      <c r="I12" s="21">
        <v>0.13286286358791818</v>
      </c>
      <c r="J12" s="36">
        <v>318668</v>
      </c>
      <c r="K12" s="21">
        <v>9.1373516848436601E-2</v>
      </c>
      <c r="O12" s="36"/>
    </row>
    <row r="13" spans="1:15">
      <c r="A13" t="s">
        <v>29</v>
      </c>
      <c r="B13" s="36"/>
      <c r="C13" s="21">
        <v>0</v>
      </c>
      <c r="D13" s="36"/>
      <c r="E13" s="21">
        <v>0</v>
      </c>
      <c r="F13" s="36">
        <v>63835.5</v>
      </c>
      <c r="G13" s="21">
        <v>5.0871401515060956E-2</v>
      </c>
      <c r="H13" s="36"/>
      <c r="I13" s="21">
        <v>0</v>
      </c>
      <c r="J13" s="36">
        <v>63835.5</v>
      </c>
      <c r="K13" s="21">
        <v>1.8303921745447847E-2</v>
      </c>
      <c r="O13" s="36"/>
    </row>
    <row r="14" spans="1:15">
      <c r="A14" s="33" t="s">
        <v>59</v>
      </c>
      <c r="B14" s="37">
        <v>907461</v>
      </c>
      <c r="C14" s="32">
        <v>1</v>
      </c>
      <c r="D14" s="37">
        <v>861352.9</v>
      </c>
      <c r="E14" s="32">
        <v>1</v>
      </c>
      <c r="F14" s="37">
        <v>1254840.6000000001</v>
      </c>
      <c r="G14" s="32">
        <v>1</v>
      </c>
      <c r="H14" s="37">
        <v>463876.8</v>
      </c>
      <c r="I14" s="32">
        <v>1</v>
      </c>
      <c r="J14" s="37">
        <v>3487531.3</v>
      </c>
      <c r="K14" s="34">
        <v>1</v>
      </c>
      <c r="O14" s="36"/>
    </row>
    <row r="15" spans="1:15">
      <c r="O15" s="36"/>
    </row>
    <row r="16" spans="1:15">
      <c r="O16" s="36"/>
    </row>
    <row r="17" spans="1:15">
      <c r="A17" s="29" t="s">
        <v>67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O17" s="36"/>
    </row>
    <row r="18" spans="1:15">
      <c r="A18" t="s">
        <v>60</v>
      </c>
      <c r="B18" t="s">
        <v>69</v>
      </c>
      <c r="C18" s="30" t="s">
        <v>71</v>
      </c>
      <c r="D18" t="s">
        <v>69</v>
      </c>
      <c r="E18" s="30" t="s">
        <v>71</v>
      </c>
      <c r="F18" t="s">
        <v>69</v>
      </c>
      <c r="G18" s="30" t="s">
        <v>71</v>
      </c>
      <c r="H18" t="s">
        <v>69</v>
      </c>
      <c r="I18" s="30" t="s">
        <v>71</v>
      </c>
      <c r="J18" t="s">
        <v>69</v>
      </c>
      <c r="K18" s="24" t="s">
        <v>68</v>
      </c>
      <c r="O18" s="36"/>
    </row>
    <row r="19" spans="1:15">
      <c r="A19" t="s">
        <v>26</v>
      </c>
      <c r="B19" s="36">
        <v>34584</v>
      </c>
      <c r="C19" s="30">
        <v>9.9164701403540098E-3</v>
      </c>
      <c r="D19" s="36">
        <v>302313</v>
      </c>
      <c r="E19" s="30">
        <v>8.6683953202083094E-2</v>
      </c>
      <c r="F19" s="36"/>
      <c r="G19" s="30">
        <v>0</v>
      </c>
      <c r="H19" s="36"/>
      <c r="I19" s="30">
        <v>0</v>
      </c>
      <c r="J19" s="36">
        <v>336897</v>
      </c>
      <c r="K19" s="31">
        <v>9.6600423342437097E-2</v>
      </c>
      <c r="O19" s="37"/>
    </row>
    <row r="20" spans="1:15">
      <c r="A20" t="s">
        <v>23</v>
      </c>
      <c r="B20" s="36">
        <v>196497</v>
      </c>
      <c r="C20" s="30">
        <v>5.6342720135587027E-2</v>
      </c>
      <c r="D20" s="36">
        <v>123217.5</v>
      </c>
      <c r="E20" s="30">
        <v>3.5330865704345078E-2</v>
      </c>
      <c r="F20" s="36"/>
      <c r="G20" s="30">
        <v>0</v>
      </c>
      <c r="H20" s="36"/>
      <c r="I20" s="30">
        <v>0</v>
      </c>
      <c r="J20" s="36">
        <v>319714.5</v>
      </c>
      <c r="K20" s="31">
        <v>9.1673585839932112E-2</v>
      </c>
    </row>
    <row r="21" spans="1:15">
      <c r="A21" t="s">
        <v>11</v>
      </c>
      <c r="B21" s="36"/>
      <c r="C21" s="30">
        <v>0</v>
      </c>
      <c r="D21" s="36">
        <v>13836</v>
      </c>
      <c r="E21" s="30">
        <v>3.9672762220083879E-3</v>
      </c>
      <c r="F21" s="36">
        <v>158043</v>
      </c>
      <c r="G21" s="30">
        <v>4.5316582535044204E-2</v>
      </c>
      <c r="H21" s="36">
        <v>118632</v>
      </c>
      <c r="I21" s="30">
        <v>3.4016038795121356E-2</v>
      </c>
      <c r="J21" s="36">
        <v>290511</v>
      </c>
      <c r="K21" s="31">
        <v>8.3299897552173943E-2</v>
      </c>
    </row>
    <row r="22" spans="1:15">
      <c r="A22" t="s">
        <v>16</v>
      </c>
      <c r="B22" s="36">
        <v>41653.800000000003</v>
      </c>
      <c r="C22" s="30">
        <v>1.1943634742432277E-2</v>
      </c>
      <c r="D22" s="36">
        <v>46200</v>
      </c>
      <c r="E22" s="30">
        <v>1.3247192935587418E-2</v>
      </c>
      <c r="F22" s="36">
        <v>7939.5</v>
      </c>
      <c r="G22" s="30">
        <v>2.2765387080540323E-3</v>
      </c>
      <c r="H22" s="36"/>
      <c r="I22" s="30">
        <v>0</v>
      </c>
      <c r="J22" s="36">
        <v>95793.3</v>
      </c>
      <c r="K22" s="31">
        <v>2.7467366386073729E-2</v>
      </c>
    </row>
    <row r="23" spans="1:15">
      <c r="A23" t="s">
        <v>19</v>
      </c>
      <c r="B23" s="36">
        <v>184715.8</v>
      </c>
      <c r="C23" s="30">
        <v>5.296462858985667E-2</v>
      </c>
      <c r="D23" s="36"/>
      <c r="E23" s="30">
        <v>0</v>
      </c>
      <c r="F23" s="36">
        <v>65556</v>
      </c>
      <c r="G23" s="30">
        <v>1.8797250651198458E-2</v>
      </c>
      <c r="H23" s="36">
        <v>39300</v>
      </c>
      <c r="I23" s="30">
        <v>1.1268716068584102E-2</v>
      </c>
      <c r="J23" s="36">
        <v>289571.8</v>
      </c>
      <c r="K23" s="31">
        <v>8.303059530963923E-2</v>
      </c>
    </row>
    <row r="24" spans="1:15">
      <c r="A24" t="s">
        <v>30</v>
      </c>
      <c r="B24" s="36"/>
      <c r="C24" s="30">
        <v>0</v>
      </c>
      <c r="D24" s="36"/>
      <c r="E24" s="30">
        <v>0</v>
      </c>
      <c r="F24" s="36">
        <v>183650</v>
      </c>
      <c r="G24" s="30">
        <v>5.2659025597849116E-2</v>
      </c>
      <c r="H24" s="36">
        <v>176395.8</v>
      </c>
      <c r="I24" s="30">
        <v>5.0578986918339626E-2</v>
      </c>
      <c r="J24" s="36">
        <v>360045.8</v>
      </c>
      <c r="K24" s="31">
        <v>0.10323801251618875</v>
      </c>
    </row>
    <row r="25" spans="1:15">
      <c r="A25" t="s">
        <v>28</v>
      </c>
      <c r="B25" s="36">
        <v>182574</v>
      </c>
      <c r="C25" s="30">
        <v>5.2350497900907733E-2</v>
      </c>
      <c r="D25" s="36">
        <v>247863</v>
      </c>
      <c r="E25" s="30">
        <v>7.1071190099426501E-2</v>
      </c>
      <c r="F25" s="36">
        <v>467084.6</v>
      </c>
      <c r="G25" s="30">
        <v>0.13392986609181112</v>
      </c>
      <c r="H25" s="36">
        <v>67917</v>
      </c>
      <c r="I25" s="30">
        <v>1.9474233822646982E-2</v>
      </c>
      <c r="J25" s="36">
        <v>965438.6</v>
      </c>
      <c r="K25" s="31">
        <v>0.27682578791479234</v>
      </c>
    </row>
    <row r="26" spans="1:15">
      <c r="A26" t="s">
        <v>7</v>
      </c>
      <c r="B26" s="36">
        <v>216502.39999999999</v>
      </c>
      <c r="C26" s="30">
        <v>6.2078984065318643E-2</v>
      </c>
      <c r="D26" s="36">
        <v>127923.4</v>
      </c>
      <c r="E26" s="30">
        <v>3.6680215601219118E-2</v>
      </c>
      <c r="F26" s="36">
        <v>102630</v>
      </c>
      <c r="G26" s="30">
        <v>2.9427692878340621E-2</v>
      </c>
      <c r="H26" s="36"/>
      <c r="I26" s="30">
        <v>0</v>
      </c>
      <c r="J26" s="36">
        <v>447055.8</v>
      </c>
      <c r="K26" s="31">
        <v>0.12818689254487839</v>
      </c>
    </row>
    <row r="27" spans="1:15">
      <c r="A27" t="s">
        <v>32</v>
      </c>
      <c r="B27" s="36">
        <v>50934</v>
      </c>
      <c r="C27" s="30">
        <v>1.4604600107818388E-2</v>
      </c>
      <c r="D27" s="36"/>
      <c r="E27" s="30">
        <v>0</v>
      </c>
      <c r="F27" s="36">
        <v>206102</v>
      </c>
      <c r="G27" s="30">
        <v>5.9096817281611209E-2</v>
      </c>
      <c r="H27" s="36">
        <v>61632</v>
      </c>
      <c r="I27" s="30">
        <v>1.7672099459007006E-2</v>
      </c>
      <c r="J27" s="36">
        <v>318668</v>
      </c>
      <c r="K27" s="31">
        <v>9.1373516848436601E-2</v>
      </c>
    </row>
    <row r="28" spans="1:15">
      <c r="A28" t="s">
        <v>29</v>
      </c>
      <c r="B28" s="36"/>
      <c r="C28" s="30">
        <v>0</v>
      </c>
      <c r="D28" s="36"/>
      <c r="E28" s="30">
        <v>0</v>
      </c>
      <c r="F28" s="36">
        <v>63835.5</v>
      </c>
      <c r="G28" s="30">
        <v>1.8303921745447847E-2</v>
      </c>
      <c r="H28" s="36"/>
      <c r="I28" s="30">
        <v>0</v>
      </c>
      <c r="J28" s="36">
        <v>63835.5</v>
      </c>
      <c r="K28" s="31">
        <v>1.8303921745447847E-2</v>
      </c>
    </row>
    <row r="29" spans="1:15">
      <c r="A29" s="33" t="s">
        <v>59</v>
      </c>
      <c r="B29" s="37">
        <v>907461</v>
      </c>
      <c r="C29" s="32">
        <v>0.26020153568227478</v>
      </c>
      <c r="D29" s="37">
        <v>861352.9</v>
      </c>
      <c r="E29" s="32">
        <v>0.24698069376466961</v>
      </c>
      <c r="F29" s="37">
        <v>1254840.6000000001</v>
      </c>
      <c r="G29" s="32">
        <v>0.35980769548935665</v>
      </c>
      <c r="H29" s="37">
        <v>463876.8</v>
      </c>
      <c r="I29" s="32">
        <v>0.13301007506369908</v>
      </c>
      <c r="J29" s="37">
        <v>3487531.3</v>
      </c>
      <c r="K29" s="34">
        <v>1</v>
      </c>
    </row>
    <row r="32" spans="1:15">
      <c r="A32" s="29" t="s">
        <v>70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>
      <c r="B34" t="s">
        <v>9</v>
      </c>
      <c r="D34" t="s">
        <v>13</v>
      </c>
      <c r="F34" t="s">
        <v>15</v>
      </c>
      <c r="H34" t="s">
        <v>21</v>
      </c>
      <c r="J34" s="22" t="s">
        <v>73</v>
      </c>
      <c r="K34" s="23" t="s">
        <v>72</v>
      </c>
    </row>
    <row r="35" spans="1:11">
      <c r="A35" t="s">
        <v>60</v>
      </c>
      <c r="B35" t="s">
        <v>69</v>
      </c>
      <c r="C35" s="21" t="s">
        <v>71</v>
      </c>
      <c r="D35" t="s">
        <v>69</v>
      </c>
      <c r="E35" s="21" t="s">
        <v>71</v>
      </c>
      <c r="F35" t="s">
        <v>69</v>
      </c>
      <c r="G35" s="21" t="s">
        <v>71</v>
      </c>
      <c r="H35" t="s">
        <v>69</v>
      </c>
      <c r="I35" s="21" t="s">
        <v>71</v>
      </c>
      <c r="J35" t="s">
        <v>69</v>
      </c>
    </row>
    <row r="36" spans="1:11">
      <c r="A36" t="s">
        <v>8</v>
      </c>
      <c r="B36">
        <v>11542.5</v>
      </c>
      <c r="C36" s="21">
        <v>3.9147342559342525E-2</v>
      </c>
      <c r="D36">
        <v>183225</v>
      </c>
      <c r="E36" s="21">
        <v>0.62142272821620392</v>
      </c>
      <c r="F36">
        <v>100080.1</v>
      </c>
      <c r="G36" s="21">
        <v>0.33942992922445364</v>
      </c>
      <c r="I36" s="21">
        <v>0</v>
      </c>
      <c r="J36">
        <v>294847.59999999998</v>
      </c>
      <c r="K36" s="21">
        <v>1</v>
      </c>
    </row>
    <row r="37" spans="1:11">
      <c r="A37" t="s">
        <v>14</v>
      </c>
      <c r="B37">
        <v>337149</v>
      </c>
      <c r="C37" s="21">
        <v>0.38882590719586668</v>
      </c>
      <c r="E37" s="21">
        <v>0</v>
      </c>
      <c r="F37">
        <v>411314</v>
      </c>
      <c r="G37" s="21">
        <v>0.47435863429036035</v>
      </c>
      <c r="H37">
        <v>118632</v>
      </c>
      <c r="I37" s="21">
        <v>0.136815458513773</v>
      </c>
      <c r="J37">
        <v>867095</v>
      </c>
      <c r="K37" s="21">
        <v>1</v>
      </c>
    </row>
    <row r="38" spans="1:11">
      <c r="A38" t="s">
        <v>12</v>
      </c>
      <c r="B38">
        <v>26164.5</v>
      </c>
      <c r="C38" s="21">
        <v>3.9820752205783093E-2</v>
      </c>
      <c r="D38">
        <v>370341.4</v>
      </c>
      <c r="E38" s="21">
        <v>0.56363672613437288</v>
      </c>
      <c r="F38">
        <v>200977</v>
      </c>
      <c r="G38" s="21">
        <v>0.30587457494168313</v>
      </c>
      <c r="H38">
        <v>59574</v>
      </c>
      <c r="I38" s="21">
        <v>9.0667946718160933E-2</v>
      </c>
      <c r="J38">
        <v>657056.9</v>
      </c>
      <c r="K38" s="21">
        <v>1</v>
      </c>
    </row>
    <row r="39" spans="1:11">
      <c r="A39" t="s">
        <v>24</v>
      </c>
      <c r="B39">
        <v>145582.39999999999</v>
      </c>
      <c r="C39" s="21">
        <v>0.44740840541085414</v>
      </c>
      <c r="D39">
        <v>169530</v>
      </c>
      <c r="E39" s="21">
        <v>0.52100492208743709</v>
      </c>
      <c r="F39">
        <v>10278</v>
      </c>
      <c r="G39" s="21">
        <v>3.1586672501708712E-2</v>
      </c>
      <c r="I39" s="21">
        <v>0</v>
      </c>
      <c r="J39">
        <v>325390.40000000002</v>
      </c>
      <c r="K39" s="21">
        <v>1</v>
      </c>
    </row>
    <row r="40" spans="1:11">
      <c r="A40" t="s">
        <v>17</v>
      </c>
      <c r="B40">
        <v>387022.6</v>
      </c>
      <c r="C40" s="21">
        <v>0.46764965637007372</v>
      </c>
      <c r="E40" s="21">
        <v>0</v>
      </c>
      <c r="F40">
        <v>202540.5</v>
      </c>
      <c r="G40" s="21">
        <v>0.24473504964832266</v>
      </c>
      <c r="H40">
        <v>238027.8</v>
      </c>
      <c r="I40" s="21">
        <v>0.28761529398160374</v>
      </c>
      <c r="J40">
        <v>827590.89999999991</v>
      </c>
      <c r="K40" s="21">
        <v>1</v>
      </c>
    </row>
    <row r="41" spans="1:11">
      <c r="A41" t="s">
        <v>20</v>
      </c>
      <c r="C41" s="21">
        <v>0</v>
      </c>
      <c r="D41">
        <v>138256.5</v>
      </c>
      <c r="E41" s="21">
        <v>0.39803167117939947</v>
      </c>
      <c r="F41">
        <v>161451</v>
      </c>
      <c r="G41" s="21">
        <v>0.46480716164220293</v>
      </c>
      <c r="H41">
        <v>47643</v>
      </c>
      <c r="I41" s="21">
        <v>0.1371611671783976</v>
      </c>
      <c r="J41">
        <v>347350.5</v>
      </c>
      <c r="K41" s="21">
        <v>1</v>
      </c>
    </row>
    <row r="42" spans="1:11">
      <c r="A42" t="s">
        <v>33</v>
      </c>
      <c r="C42" s="21">
        <v>0</v>
      </c>
      <c r="E42" s="21">
        <v>0</v>
      </c>
      <c r="F42">
        <v>168200</v>
      </c>
      <c r="G42" s="21">
        <v>1</v>
      </c>
      <c r="I42" s="21">
        <v>0</v>
      </c>
      <c r="J42">
        <v>168200</v>
      </c>
      <c r="K42" s="21">
        <v>1</v>
      </c>
    </row>
    <row r="43" spans="1:11">
      <c r="A43" s="33" t="s">
        <v>59</v>
      </c>
      <c r="B43" s="35">
        <v>907461</v>
      </c>
      <c r="C43" s="32">
        <v>0.26020153568227478</v>
      </c>
      <c r="D43" s="35">
        <v>861352.9</v>
      </c>
      <c r="E43" s="32">
        <v>0.24698069376466961</v>
      </c>
      <c r="F43" s="35">
        <v>1254840.6000000001</v>
      </c>
      <c r="G43" s="32">
        <v>0.35980769548935665</v>
      </c>
      <c r="H43" s="35">
        <v>463876.8</v>
      </c>
      <c r="I43" s="32">
        <v>0.13301007506369908</v>
      </c>
      <c r="J43" s="35">
        <v>3487531.3</v>
      </c>
      <c r="K43" s="34">
        <v>1</v>
      </c>
    </row>
    <row r="45" spans="1:11">
      <c r="D45" s="21"/>
      <c r="F45" s="21"/>
      <c r="H45" s="21"/>
      <c r="J45" s="21"/>
    </row>
  </sheetData>
  <mergeCells count="3">
    <mergeCell ref="A1:J1"/>
    <mergeCell ref="A17:K17"/>
    <mergeCell ref="A32:K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bdd commandes</vt:lpstr>
      <vt:lpstr>TCD Commandes</vt:lpstr>
      <vt:lpstr>% dans les tcd</vt:lpstr>
      <vt:lpstr>'bdd commandes'!Criteres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dolfi</cp:lastModifiedBy>
  <cp:lastPrinted>2015-09-21T14:36:22Z</cp:lastPrinted>
  <dcterms:created xsi:type="dcterms:W3CDTF">2013-06-20T13:08:56Z</dcterms:created>
  <dcterms:modified xsi:type="dcterms:W3CDTF">2016-05-18T06:24:34Z</dcterms:modified>
</cp:coreProperties>
</file>