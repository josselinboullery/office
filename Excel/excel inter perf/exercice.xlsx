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709598D4-96FC-4FE4-9CD4-DEF8DFFF0F7C}" xr6:coauthVersionLast="45" xr6:coauthVersionMax="45" xr10:uidLastSave="{00000000-0000-0000-0000-000000000000}"/>
  <bookViews>
    <workbookView xWindow="-120" yWindow="-120" windowWidth="29040" windowHeight="15840" xr2:uid="{BD80B741-D55B-460E-9B39-A3CA077145C8}"/>
  </bookViews>
  <sheets>
    <sheet name="Janvier" sheetId="1" r:id="rId1"/>
    <sheet name="Février" sheetId="3" r:id="rId2"/>
    <sheet name="Mars" sheetId="4" r:id="rId3"/>
    <sheet name="Avril" sheetId="5" r:id="rId4"/>
    <sheet name="Mai" sheetId="6" r:id="rId5"/>
    <sheet name="Juin" sheetId="7" r:id="rId6"/>
    <sheet name="Juillet" sheetId="8" r:id="rId7"/>
    <sheet name="Aout" sheetId="9" r:id="rId8"/>
    <sheet name="Septembre" sheetId="10" r:id="rId9"/>
    <sheet name="Octobre" sheetId="11" r:id="rId10"/>
    <sheet name="Novembre" sheetId="12" r:id="rId11"/>
    <sheet name="Décembre" sheetId="13" r:id="rId12"/>
    <sheet name="RECAP" sheetId="14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3" i="1"/>
  <c r="N4" i="1"/>
  <c r="N5" i="1"/>
  <c r="N6" i="1"/>
  <c r="N7" i="1"/>
  <c r="N8" i="1"/>
  <c r="N9" i="1"/>
  <c r="N3" i="1"/>
  <c r="F5" i="14" l="1"/>
  <c r="F6" i="14"/>
  <c r="F7" i="14"/>
  <c r="F8" i="14"/>
  <c r="F9" i="14"/>
  <c r="F10" i="14"/>
  <c r="F4" i="14"/>
  <c r="B15" i="14"/>
  <c r="B14" i="14"/>
  <c r="B13" i="14"/>
  <c r="B12" i="14"/>
  <c r="B7" i="14"/>
  <c r="B4" i="14"/>
  <c r="B24" i="13"/>
  <c r="B23" i="13"/>
  <c r="B22" i="13"/>
  <c r="B19" i="13"/>
  <c r="B18" i="13"/>
  <c r="B17" i="13"/>
  <c r="E15" i="13"/>
  <c r="E14" i="13"/>
  <c r="E13" i="13"/>
  <c r="E12" i="13"/>
  <c r="J9" i="13"/>
  <c r="H9" i="13"/>
  <c r="I9" i="13" s="1"/>
  <c r="F9" i="13"/>
  <c r="D9" i="13"/>
  <c r="G9" i="13" s="1"/>
  <c r="J8" i="13"/>
  <c r="H8" i="13"/>
  <c r="I8" i="13" s="1"/>
  <c r="F8" i="13"/>
  <c r="D8" i="13"/>
  <c r="G8" i="13" s="1"/>
  <c r="J7" i="13"/>
  <c r="H7" i="13"/>
  <c r="I7" i="13" s="1"/>
  <c r="F7" i="13"/>
  <c r="D7" i="13"/>
  <c r="G7" i="13" s="1"/>
  <c r="J6" i="13"/>
  <c r="H6" i="13"/>
  <c r="I6" i="13" s="1"/>
  <c r="F6" i="13"/>
  <c r="D6" i="13"/>
  <c r="G6" i="13" s="1"/>
  <c r="J5" i="13"/>
  <c r="H5" i="13"/>
  <c r="I5" i="13" s="1"/>
  <c r="F5" i="13"/>
  <c r="D5" i="13"/>
  <c r="G5" i="13" s="1"/>
  <c r="J4" i="13"/>
  <c r="H4" i="13"/>
  <c r="I4" i="13" s="1"/>
  <c r="F4" i="13"/>
  <c r="D4" i="13"/>
  <c r="G4" i="13" s="1"/>
  <c r="J3" i="13"/>
  <c r="H3" i="13"/>
  <c r="I3" i="13" s="1"/>
  <c r="F3" i="13"/>
  <c r="D3" i="13"/>
  <c r="G3" i="13" s="1"/>
  <c r="B24" i="12"/>
  <c r="B23" i="12"/>
  <c r="B22" i="12"/>
  <c r="B19" i="12"/>
  <c r="B18" i="12"/>
  <c r="B17" i="12"/>
  <c r="E15" i="12"/>
  <c r="E14" i="12"/>
  <c r="E13" i="12"/>
  <c r="E12" i="12"/>
  <c r="J9" i="12" s="1"/>
  <c r="I9" i="12"/>
  <c r="H9" i="12"/>
  <c r="F9" i="12"/>
  <c r="D9" i="12"/>
  <c r="G9" i="12" s="1"/>
  <c r="I8" i="12"/>
  <c r="H8" i="12"/>
  <c r="F8" i="12"/>
  <c r="D8" i="12"/>
  <c r="G8" i="12" s="1"/>
  <c r="I7" i="12"/>
  <c r="H7" i="12"/>
  <c r="F7" i="12"/>
  <c r="D7" i="12"/>
  <c r="G7" i="12" s="1"/>
  <c r="I6" i="12"/>
  <c r="H6" i="12"/>
  <c r="F6" i="12"/>
  <c r="D6" i="12"/>
  <c r="G6" i="12" s="1"/>
  <c r="I5" i="12"/>
  <c r="H5" i="12"/>
  <c r="F5" i="12"/>
  <c r="D5" i="12"/>
  <c r="G5" i="12" s="1"/>
  <c r="I4" i="12"/>
  <c r="H4" i="12"/>
  <c r="F4" i="12"/>
  <c r="D4" i="12"/>
  <c r="G4" i="12" s="1"/>
  <c r="I3" i="12"/>
  <c r="H3" i="12"/>
  <c r="F3" i="12"/>
  <c r="D3" i="12"/>
  <c r="B24" i="11"/>
  <c r="B23" i="11"/>
  <c r="B22" i="11"/>
  <c r="B19" i="11"/>
  <c r="B18" i="11"/>
  <c r="B17" i="11"/>
  <c r="E15" i="11"/>
  <c r="E14" i="11"/>
  <c r="E13" i="11"/>
  <c r="E12" i="11"/>
  <c r="J9" i="11" s="1"/>
  <c r="I9" i="11"/>
  <c r="H9" i="11"/>
  <c r="F9" i="11"/>
  <c r="D9" i="11"/>
  <c r="G9" i="11" s="1"/>
  <c r="I8" i="11"/>
  <c r="H8" i="11"/>
  <c r="F8" i="11"/>
  <c r="D8" i="11"/>
  <c r="G8" i="11" s="1"/>
  <c r="I7" i="11"/>
  <c r="H7" i="11"/>
  <c r="F7" i="11"/>
  <c r="D7" i="11"/>
  <c r="G7" i="11" s="1"/>
  <c r="I6" i="11"/>
  <c r="H6" i="11"/>
  <c r="F6" i="11"/>
  <c r="D6" i="11"/>
  <c r="G6" i="11" s="1"/>
  <c r="I5" i="11"/>
  <c r="H5" i="11"/>
  <c r="F5" i="11"/>
  <c r="D5" i="11"/>
  <c r="G5" i="11" s="1"/>
  <c r="I4" i="11"/>
  <c r="H4" i="11"/>
  <c r="F4" i="11"/>
  <c r="D4" i="11"/>
  <c r="G4" i="11" s="1"/>
  <c r="I3" i="11"/>
  <c r="H3" i="11"/>
  <c r="F3" i="11"/>
  <c r="D3" i="11"/>
  <c r="B24" i="10"/>
  <c r="B23" i="10"/>
  <c r="B22" i="10"/>
  <c r="B19" i="10"/>
  <c r="B18" i="10"/>
  <c r="B17" i="10"/>
  <c r="E15" i="10"/>
  <c r="E14" i="10"/>
  <c r="E13" i="10"/>
  <c r="E12" i="10"/>
  <c r="J9" i="10"/>
  <c r="H9" i="10"/>
  <c r="I9" i="10" s="1"/>
  <c r="F9" i="10"/>
  <c r="D9" i="10"/>
  <c r="G9" i="10" s="1"/>
  <c r="J8" i="10"/>
  <c r="H8" i="10"/>
  <c r="I8" i="10" s="1"/>
  <c r="F8" i="10"/>
  <c r="D8" i="10"/>
  <c r="G8" i="10" s="1"/>
  <c r="J7" i="10"/>
  <c r="H7" i="10"/>
  <c r="I7" i="10" s="1"/>
  <c r="F7" i="10"/>
  <c r="D7" i="10"/>
  <c r="G7" i="10" s="1"/>
  <c r="J6" i="10"/>
  <c r="H6" i="10"/>
  <c r="I6" i="10" s="1"/>
  <c r="F6" i="10"/>
  <c r="D6" i="10"/>
  <c r="G6" i="10" s="1"/>
  <c r="J5" i="10"/>
  <c r="H5" i="10"/>
  <c r="I5" i="10" s="1"/>
  <c r="F5" i="10"/>
  <c r="D5" i="10"/>
  <c r="G5" i="10" s="1"/>
  <c r="J4" i="10"/>
  <c r="H4" i="10"/>
  <c r="I4" i="10" s="1"/>
  <c r="F4" i="10"/>
  <c r="D4" i="10"/>
  <c r="G4" i="10" s="1"/>
  <c r="J3" i="10"/>
  <c r="H3" i="10"/>
  <c r="I3" i="10" s="1"/>
  <c r="F3" i="10"/>
  <c r="D3" i="10"/>
  <c r="G3" i="10" s="1"/>
  <c r="B24" i="9"/>
  <c r="B23" i="9"/>
  <c r="B22" i="9"/>
  <c r="B19" i="9"/>
  <c r="B18" i="9"/>
  <c r="B17" i="9"/>
  <c r="E15" i="9"/>
  <c r="E14" i="9"/>
  <c r="E13" i="9"/>
  <c r="E12" i="9"/>
  <c r="J9" i="9" s="1"/>
  <c r="I9" i="9"/>
  <c r="H9" i="9"/>
  <c r="F9" i="9"/>
  <c r="D9" i="9"/>
  <c r="G9" i="9" s="1"/>
  <c r="I8" i="9"/>
  <c r="H8" i="9"/>
  <c r="F8" i="9"/>
  <c r="D8" i="9"/>
  <c r="G8" i="9" s="1"/>
  <c r="I7" i="9"/>
  <c r="H7" i="9"/>
  <c r="F7" i="9"/>
  <c r="D7" i="9"/>
  <c r="G7" i="9" s="1"/>
  <c r="H6" i="9"/>
  <c r="I6" i="9" s="1"/>
  <c r="F6" i="9"/>
  <c r="D6" i="9"/>
  <c r="G6" i="9" s="1"/>
  <c r="H5" i="9"/>
  <c r="I5" i="9" s="1"/>
  <c r="F5" i="9"/>
  <c r="D5" i="9"/>
  <c r="G5" i="9" s="1"/>
  <c r="I4" i="9"/>
  <c r="H4" i="9"/>
  <c r="F4" i="9"/>
  <c r="D4" i="9"/>
  <c r="G4" i="9" s="1"/>
  <c r="I3" i="9"/>
  <c r="H3" i="9"/>
  <c r="F3" i="9"/>
  <c r="D3" i="9"/>
  <c r="B24" i="8"/>
  <c r="B23" i="8"/>
  <c r="B22" i="8"/>
  <c r="B19" i="8"/>
  <c r="B18" i="8"/>
  <c r="B17" i="8"/>
  <c r="E15" i="8"/>
  <c r="E14" i="8"/>
  <c r="E13" i="8"/>
  <c r="E12" i="8"/>
  <c r="J9" i="8" s="1"/>
  <c r="I9" i="8"/>
  <c r="H9" i="8"/>
  <c r="F9" i="8"/>
  <c r="D9" i="8"/>
  <c r="G9" i="8" s="1"/>
  <c r="I8" i="8"/>
  <c r="H8" i="8"/>
  <c r="F8" i="8"/>
  <c r="D8" i="8"/>
  <c r="G8" i="8" s="1"/>
  <c r="I7" i="8"/>
  <c r="H7" i="8"/>
  <c r="F7" i="8"/>
  <c r="D7" i="8"/>
  <c r="G7" i="8" s="1"/>
  <c r="H6" i="8"/>
  <c r="I6" i="8" s="1"/>
  <c r="F6" i="8"/>
  <c r="D6" i="8"/>
  <c r="G6" i="8" s="1"/>
  <c r="I5" i="8"/>
  <c r="H5" i="8"/>
  <c r="F5" i="8"/>
  <c r="D5" i="8"/>
  <c r="G5" i="8" s="1"/>
  <c r="I4" i="8"/>
  <c r="H4" i="8"/>
  <c r="F4" i="8"/>
  <c r="D4" i="8"/>
  <c r="G4" i="8" s="1"/>
  <c r="H3" i="8"/>
  <c r="I3" i="8" s="1"/>
  <c r="F3" i="8"/>
  <c r="D3" i="8"/>
  <c r="B24" i="7"/>
  <c r="B23" i="7"/>
  <c r="B22" i="7"/>
  <c r="B19" i="7"/>
  <c r="B18" i="7"/>
  <c r="B17" i="7"/>
  <c r="E15" i="7"/>
  <c r="E14" i="7"/>
  <c r="E13" i="7"/>
  <c r="E12" i="7"/>
  <c r="J9" i="7" s="1"/>
  <c r="H9" i="7"/>
  <c r="I9" i="7" s="1"/>
  <c r="F9" i="7"/>
  <c r="D9" i="7"/>
  <c r="G9" i="7" s="1"/>
  <c r="H8" i="7"/>
  <c r="I8" i="7" s="1"/>
  <c r="F8" i="7"/>
  <c r="D8" i="7"/>
  <c r="G8" i="7" s="1"/>
  <c r="H7" i="7"/>
  <c r="I7" i="7" s="1"/>
  <c r="F7" i="7"/>
  <c r="D7" i="7"/>
  <c r="G7" i="7" s="1"/>
  <c r="H6" i="7"/>
  <c r="I6" i="7" s="1"/>
  <c r="F6" i="7"/>
  <c r="D6" i="7"/>
  <c r="G6" i="7" s="1"/>
  <c r="H5" i="7"/>
  <c r="I5" i="7" s="1"/>
  <c r="F5" i="7"/>
  <c r="D5" i="7"/>
  <c r="G5" i="7" s="1"/>
  <c r="H4" i="7"/>
  <c r="I4" i="7" s="1"/>
  <c r="F4" i="7"/>
  <c r="D4" i="7"/>
  <c r="G4" i="7" s="1"/>
  <c r="H3" i="7"/>
  <c r="I3" i="7" s="1"/>
  <c r="F3" i="7"/>
  <c r="D3" i="7"/>
  <c r="G3" i="7" s="1"/>
  <c r="B24" i="6"/>
  <c r="B23" i="6"/>
  <c r="B22" i="6"/>
  <c r="B19" i="6"/>
  <c r="B18" i="6"/>
  <c r="B17" i="6"/>
  <c r="E15" i="6"/>
  <c r="E14" i="6"/>
  <c r="E13" i="6"/>
  <c r="E12" i="6"/>
  <c r="J9" i="6" s="1"/>
  <c r="I9" i="6"/>
  <c r="H9" i="6"/>
  <c r="F9" i="6"/>
  <c r="D9" i="6"/>
  <c r="G9" i="6" s="1"/>
  <c r="I8" i="6"/>
  <c r="H8" i="6"/>
  <c r="F8" i="6"/>
  <c r="D8" i="6"/>
  <c r="G8" i="6" s="1"/>
  <c r="H7" i="6"/>
  <c r="I7" i="6" s="1"/>
  <c r="F7" i="6"/>
  <c r="D7" i="6"/>
  <c r="G7" i="6" s="1"/>
  <c r="I6" i="6"/>
  <c r="H6" i="6"/>
  <c r="F6" i="6"/>
  <c r="D6" i="6"/>
  <c r="G6" i="6" s="1"/>
  <c r="I5" i="6"/>
  <c r="H5" i="6"/>
  <c r="F5" i="6"/>
  <c r="D5" i="6"/>
  <c r="G5" i="6" s="1"/>
  <c r="I4" i="6"/>
  <c r="H4" i="6"/>
  <c r="F4" i="6"/>
  <c r="D4" i="6"/>
  <c r="G4" i="6" s="1"/>
  <c r="H3" i="6"/>
  <c r="I3" i="6" s="1"/>
  <c r="F3" i="6"/>
  <c r="D3" i="6"/>
  <c r="B24" i="5"/>
  <c r="B23" i="5"/>
  <c r="B22" i="5"/>
  <c r="B19" i="5"/>
  <c r="B18" i="5"/>
  <c r="B17" i="5"/>
  <c r="E15" i="5"/>
  <c r="E14" i="5"/>
  <c r="E13" i="5"/>
  <c r="E12" i="5"/>
  <c r="J9" i="5" s="1"/>
  <c r="I9" i="5"/>
  <c r="H9" i="5"/>
  <c r="F9" i="5"/>
  <c r="D9" i="5"/>
  <c r="G9" i="5" s="1"/>
  <c r="I8" i="5"/>
  <c r="H8" i="5"/>
  <c r="F8" i="5"/>
  <c r="D8" i="5"/>
  <c r="G8" i="5" s="1"/>
  <c r="I7" i="5"/>
  <c r="H7" i="5"/>
  <c r="F7" i="5"/>
  <c r="D7" i="5"/>
  <c r="G7" i="5" s="1"/>
  <c r="I6" i="5"/>
  <c r="H6" i="5"/>
  <c r="F6" i="5"/>
  <c r="D6" i="5"/>
  <c r="G6" i="5" s="1"/>
  <c r="I5" i="5"/>
  <c r="H5" i="5"/>
  <c r="F5" i="5"/>
  <c r="D5" i="5"/>
  <c r="G5" i="5" s="1"/>
  <c r="I4" i="5"/>
  <c r="H4" i="5"/>
  <c r="F4" i="5"/>
  <c r="D4" i="5"/>
  <c r="G4" i="5" s="1"/>
  <c r="I3" i="5"/>
  <c r="H3" i="5"/>
  <c r="F3" i="5"/>
  <c r="D3" i="5"/>
  <c r="B26" i="5" s="1"/>
  <c r="B24" i="4"/>
  <c r="B23" i="4"/>
  <c r="B22" i="4"/>
  <c r="B19" i="4"/>
  <c r="B18" i="4"/>
  <c r="B17" i="4"/>
  <c r="E15" i="4"/>
  <c r="E14" i="4"/>
  <c r="E13" i="4"/>
  <c r="E12" i="4"/>
  <c r="J9" i="4" s="1"/>
  <c r="H9" i="4"/>
  <c r="I9" i="4" s="1"/>
  <c r="F9" i="4"/>
  <c r="D9" i="4"/>
  <c r="G9" i="4" s="1"/>
  <c r="I8" i="4"/>
  <c r="H8" i="4"/>
  <c r="F8" i="4"/>
  <c r="D8" i="4"/>
  <c r="G8" i="4" s="1"/>
  <c r="I7" i="4"/>
  <c r="H7" i="4"/>
  <c r="F7" i="4"/>
  <c r="D7" i="4"/>
  <c r="G7" i="4" s="1"/>
  <c r="H6" i="4"/>
  <c r="I6" i="4" s="1"/>
  <c r="F6" i="4"/>
  <c r="D6" i="4"/>
  <c r="G6" i="4" s="1"/>
  <c r="I5" i="4"/>
  <c r="H5" i="4"/>
  <c r="F5" i="4"/>
  <c r="D5" i="4"/>
  <c r="G5" i="4" s="1"/>
  <c r="H4" i="4"/>
  <c r="I4" i="4" s="1"/>
  <c r="F4" i="4"/>
  <c r="D4" i="4"/>
  <c r="G4" i="4" s="1"/>
  <c r="I3" i="4"/>
  <c r="H3" i="4"/>
  <c r="F3" i="4"/>
  <c r="D3" i="4"/>
  <c r="B24" i="3"/>
  <c r="B23" i="3"/>
  <c r="B22" i="3"/>
  <c r="B19" i="3"/>
  <c r="B18" i="3"/>
  <c r="B17" i="3"/>
  <c r="E15" i="3"/>
  <c r="E14" i="3"/>
  <c r="E13" i="3"/>
  <c r="E12" i="3"/>
  <c r="B5" i="14" s="1"/>
  <c r="H9" i="3"/>
  <c r="I9" i="3" s="1"/>
  <c r="F9" i="3"/>
  <c r="D9" i="3"/>
  <c r="G9" i="3" s="1"/>
  <c r="H8" i="3"/>
  <c r="I8" i="3" s="1"/>
  <c r="F8" i="3"/>
  <c r="D8" i="3"/>
  <c r="G8" i="3" s="1"/>
  <c r="H7" i="3"/>
  <c r="I7" i="3" s="1"/>
  <c r="F7" i="3"/>
  <c r="D7" i="3"/>
  <c r="G7" i="3" s="1"/>
  <c r="H6" i="3"/>
  <c r="I6" i="3" s="1"/>
  <c r="F6" i="3"/>
  <c r="D6" i="3"/>
  <c r="G6" i="3" s="1"/>
  <c r="H5" i="3"/>
  <c r="I5" i="3" s="1"/>
  <c r="F5" i="3"/>
  <c r="D5" i="3"/>
  <c r="G5" i="3" s="1"/>
  <c r="H4" i="3"/>
  <c r="I4" i="3" s="1"/>
  <c r="F4" i="3"/>
  <c r="D4" i="3"/>
  <c r="G4" i="3" s="1"/>
  <c r="H3" i="3"/>
  <c r="I3" i="3" s="1"/>
  <c r="F3" i="3"/>
  <c r="D3" i="3"/>
  <c r="G3" i="3" s="1"/>
  <c r="B24" i="1"/>
  <c r="B23" i="1"/>
  <c r="B22" i="1"/>
  <c r="B19" i="1"/>
  <c r="B18" i="1"/>
  <c r="B17" i="1"/>
  <c r="J5" i="1"/>
  <c r="J7" i="1"/>
  <c r="J9" i="1"/>
  <c r="E15" i="1"/>
  <c r="E14" i="1"/>
  <c r="E13" i="1"/>
  <c r="E12" i="1"/>
  <c r="J4" i="1" s="1"/>
  <c r="I3" i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3" i="1"/>
  <c r="F4" i="1"/>
  <c r="F5" i="1"/>
  <c r="F6" i="1"/>
  <c r="F7" i="1"/>
  <c r="F8" i="1"/>
  <c r="F9" i="1"/>
  <c r="F3" i="1"/>
  <c r="D4" i="1"/>
  <c r="D5" i="1"/>
  <c r="D6" i="1"/>
  <c r="D7" i="1"/>
  <c r="D8" i="1"/>
  <c r="D9" i="1"/>
  <c r="D3" i="1"/>
  <c r="L8" i="1" l="1"/>
  <c r="M8" i="1"/>
  <c r="L6" i="1"/>
  <c r="M6" i="1"/>
  <c r="L4" i="1"/>
  <c r="M4" i="1"/>
  <c r="L9" i="1"/>
  <c r="M9" i="1"/>
  <c r="L7" i="1"/>
  <c r="M7" i="1"/>
  <c r="L5" i="1"/>
  <c r="M5" i="1"/>
  <c r="L3" i="1"/>
  <c r="M3" i="1"/>
  <c r="G8" i="1"/>
  <c r="G6" i="1"/>
  <c r="G4" i="1"/>
  <c r="G9" i="1"/>
  <c r="G7" i="1"/>
  <c r="G5" i="1"/>
  <c r="G3" i="1"/>
  <c r="B26" i="9"/>
  <c r="B11" i="14"/>
  <c r="B10" i="14"/>
  <c r="B9" i="14"/>
  <c r="J3" i="7"/>
  <c r="J4" i="7"/>
  <c r="J5" i="7"/>
  <c r="J6" i="7"/>
  <c r="J7" i="7"/>
  <c r="J8" i="7"/>
  <c r="B8" i="14"/>
  <c r="B26" i="4"/>
  <c r="F11" i="14"/>
  <c r="B6" i="14"/>
  <c r="J3" i="3"/>
  <c r="J4" i="3"/>
  <c r="J5" i="3"/>
  <c r="J6" i="3"/>
  <c r="J7" i="3"/>
  <c r="J8" i="3"/>
  <c r="J9" i="3"/>
  <c r="B26" i="6"/>
  <c r="B26" i="11"/>
  <c r="B26" i="12"/>
  <c r="B26" i="8"/>
  <c r="B20" i="13"/>
  <c r="B26" i="13"/>
  <c r="G3" i="12"/>
  <c r="J3" i="12"/>
  <c r="J4" i="12"/>
  <c r="J5" i="12"/>
  <c r="J6" i="12"/>
  <c r="J7" i="12"/>
  <c r="J8" i="12"/>
  <c r="B20" i="12"/>
  <c r="G3" i="11"/>
  <c r="B20" i="10"/>
  <c r="B26" i="10"/>
  <c r="J3" i="11"/>
  <c r="J4" i="11"/>
  <c r="J5" i="11"/>
  <c r="J6" i="11"/>
  <c r="J7" i="11"/>
  <c r="J8" i="11"/>
  <c r="B20" i="11"/>
  <c r="G3" i="9"/>
  <c r="J3" i="9"/>
  <c r="J4" i="9"/>
  <c r="J5" i="9"/>
  <c r="J6" i="9"/>
  <c r="J7" i="9"/>
  <c r="J8" i="9"/>
  <c r="B20" i="9"/>
  <c r="G3" i="8"/>
  <c r="J3" i="8"/>
  <c r="J4" i="8"/>
  <c r="J5" i="8"/>
  <c r="J6" i="8"/>
  <c r="J7" i="8"/>
  <c r="J8" i="8"/>
  <c r="B20" i="8"/>
  <c r="B20" i="7"/>
  <c r="B26" i="7"/>
  <c r="G3" i="6"/>
  <c r="J3" i="6"/>
  <c r="J4" i="6"/>
  <c r="J5" i="6"/>
  <c r="J6" i="6"/>
  <c r="J7" i="6"/>
  <c r="J8" i="6"/>
  <c r="B20" i="6"/>
  <c r="G3" i="5"/>
  <c r="J3" i="5"/>
  <c r="J4" i="5"/>
  <c r="J5" i="5"/>
  <c r="J6" i="5"/>
  <c r="J7" i="5"/>
  <c r="J8" i="5"/>
  <c r="B20" i="5"/>
  <c r="G3" i="4"/>
  <c r="J3" i="4"/>
  <c r="J4" i="4"/>
  <c r="J5" i="4"/>
  <c r="J6" i="4"/>
  <c r="J7" i="4"/>
  <c r="J8" i="4"/>
  <c r="B20" i="4"/>
  <c r="B20" i="3"/>
  <c r="B26" i="3"/>
  <c r="J3" i="1"/>
  <c r="J8" i="1"/>
  <c r="J6" i="1"/>
  <c r="B26" i="1"/>
  <c r="B20" i="1"/>
  <c r="B16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D33BC71A-BF84-4116-BCFC-3FCDDA2F3566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D69E4F1E-8208-4483-BD3D-48F6CC2ED338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20DAD1AA-BD71-49D1-88EB-0ACB58D4492F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450661C2-5328-466F-9BEA-916B7360E2CE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45260303-4687-4286-A5B0-E136BC84E5EC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6A09FB70-093B-45E2-AF00-1EC00188745F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8D8F4014-21B2-4CE6-BDB8-55C99110985A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ADA4CF79-A116-42FC-8763-49506B7B414B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D9004A08-1DAF-4E37-B3AD-345EDA51AC66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B3CCD7D7-F53A-494D-8FB5-0FA4A1AE91AB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5B20A803-CFB2-4926-803D-C2FED34C40D2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35FB3410-F8C7-4722-8993-C0C55A416830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3F3D9B70-4012-49FD-9A6E-C5A6B27DC016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E1EB0065-418F-47B5-B338-4C707508DB13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DB2F4147-CE5E-450B-9669-1852C83E5A35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33B0ED93-BC98-488D-B887-5F847899B5C1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E54582C9-286E-4B25-B45A-4DB186D677EC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0DD450AF-E7DC-46B3-97A3-A4D79774974D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ECA37F35-514D-43A5-B901-3622D45DE7C8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D5022A21-447C-4C7A-A94E-D49A873B3AF9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BDA6E2B4-2372-42D3-A0BE-8E545A342F26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87B0EB78-2099-44A9-B9B5-EE5B574DBDA8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Aubert 7</author>
  </authors>
  <commentList>
    <comment ref="G2" authorId="0" shapeId="0" xr:uid="{20E13E9E-B88E-45A9-9100-794B41AF336F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afficher visite si la personne a au moins 50 ans</t>
        </r>
      </text>
    </comment>
    <comment ref="H2" authorId="0" shapeId="0" xr:uid="{722105AF-0E0D-46C5-B09F-130DC1A484EE}">
      <text>
        <r>
          <rPr>
            <b/>
            <sz val="9"/>
            <color indexed="81"/>
            <rFont val="Tahoma"/>
            <family val="2"/>
          </rPr>
          <t>Aubert 7:</t>
        </r>
        <r>
          <rPr>
            <sz val="9"/>
            <color indexed="81"/>
            <rFont val="Tahoma"/>
            <family val="2"/>
          </rPr>
          <t xml:space="preserve">
objectif vente à 300000
afficher ok ou combien reste-t-il à atteindre ?</t>
        </r>
      </text>
    </comment>
  </commentList>
</comments>
</file>

<file path=xl/sharedStrings.xml><?xml version="1.0" encoding="utf-8"?>
<sst xmlns="http://schemas.openxmlformats.org/spreadsheetml/2006/main" count="461" uniqueCount="49">
  <si>
    <t>Noms</t>
  </si>
  <si>
    <t>SEXE</t>
  </si>
  <si>
    <t>Date de naissance</t>
  </si>
  <si>
    <t xml:space="preserve">age </t>
  </si>
  <si>
    <t>ventes</t>
  </si>
  <si>
    <t>Objectif</t>
  </si>
  <si>
    <t xml:space="preserve">Smileys </t>
  </si>
  <si>
    <t>Visite 
médicale</t>
  </si>
  <si>
    <t>Part 
en %</t>
  </si>
  <si>
    <t>Prime
2%</t>
  </si>
  <si>
    <t>Vendeur 1</t>
  </si>
  <si>
    <t>Vendeur 2</t>
  </si>
  <si>
    <t>Vendeur 3</t>
  </si>
  <si>
    <t>Vendeur 4</t>
  </si>
  <si>
    <t>Vendeur 5</t>
  </si>
  <si>
    <t>Vendeur 6</t>
  </si>
  <si>
    <t>Vendeur 7</t>
  </si>
  <si>
    <t>H</t>
  </si>
  <si>
    <t>F</t>
  </si>
  <si>
    <t>Somme</t>
  </si>
  <si>
    <t>Moyenne</t>
  </si>
  <si>
    <t>Maxi</t>
  </si>
  <si>
    <t>Mini</t>
  </si>
  <si>
    <t>Nb de vendeurs</t>
  </si>
  <si>
    <t>Nb de femmes</t>
  </si>
  <si>
    <t>Nb hommes</t>
  </si>
  <si>
    <t>Nb de pers de plus de 50 ans</t>
  </si>
  <si>
    <t>Nb vide</t>
  </si>
  <si>
    <t>Resultat hommes</t>
  </si>
  <si>
    <t>Resultat femmes</t>
  </si>
  <si>
    <t>Resultat femmes +de 50 ans</t>
  </si>
  <si>
    <t>Juillet</t>
  </si>
  <si>
    <t>Janvier</t>
  </si>
  <si>
    <t>Février</t>
  </si>
  <si>
    <t>Mars</t>
  </si>
  <si>
    <t>Avril</t>
  </si>
  <si>
    <t>Mai</t>
  </si>
  <si>
    <t>Juin</t>
  </si>
  <si>
    <t>Août</t>
  </si>
  <si>
    <t>Septembre</t>
  </si>
  <si>
    <t>Octobre</t>
  </si>
  <si>
    <t>Novembre</t>
  </si>
  <si>
    <t>Décembre</t>
  </si>
  <si>
    <t>Total</t>
  </si>
  <si>
    <t>Recap vendeur</t>
  </si>
  <si>
    <t>Afficher prime pour 
les femmes de + de 50 ans</t>
  </si>
  <si>
    <t>Afficher prime pour 
les personnes dont l'age est compris entre 40 et 60 ans</t>
  </si>
  <si>
    <t>Afficher prime pour 
les hommes ou si la vente est sup ou égal 300000</t>
  </si>
  <si>
    <t>Afficher prime pour 
les hommes ou si la vente est comprise entre 30000 et 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</si>
</sst>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B4D1DE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44" fontId="0" fillId="0" borderId="0" xfId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9" fontId="0" fillId="0" borderId="13" xfId="2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44" fontId="0" fillId="0" borderId="15" xfId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9" fontId="0" fillId="0" borderId="16" xfId="2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4" fontId="0" fillId="0" borderId="2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3">
    <cellStyle name="Monétaire" xfId="1" builtinId="4"/>
    <cellStyle name="Normal" xfId="0" builtinId="0"/>
    <cellStyle name="Pourcentage" xfId="2" builtinId="5"/>
  </cellStyles>
  <dxfs count="36"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  <dxf>
      <font>
        <b/>
        <i val="0"/>
      </font>
      <fill>
        <gradientFill>
          <stop position="0">
            <color theme="0"/>
          </stop>
          <stop position="0.5">
            <color rgb="FFFF9999"/>
          </stop>
          <stop position="1">
            <color theme="0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9"/>
      </font>
    </dxf>
    <dxf>
      <font>
        <color rgb="FFC00000"/>
      </font>
    </dxf>
  </dxfs>
  <tableStyles count="0" defaultTableStyle="TableStyleMedium2" defaultPivotStyle="PivotStyleLight16"/>
  <colors>
    <mruColors>
      <color rgb="FFB4D1DE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Janvier!$E$2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Janvier!$A$3:$A$9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Janvier!$E$3:$E$9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365000</c:v>
                </c:pt>
                <c:pt idx="2">
                  <c:v>120000</c:v>
                </c:pt>
                <c:pt idx="3">
                  <c:v>658000</c:v>
                </c:pt>
                <c:pt idx="4">
                  <c:v>350000</c:v>
                </c:pt>
                <c:pt idx="5">
                  <c:v>63000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B-4B69-91A2-9CBF98F6D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Février!$E$2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Février!$A$3:$A$9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Février!$E$3:$E$9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23461</c:v>
                </c:pt>
                <c:pt idx="2">
                  <c:v>400000</c:v>
                </c:pt>
                <c:pt idx="3">
                  <c:v>658000</c:v>
                </c:pt>
                <c:pt idx="4">
                  <c:v>45000</c:v>
                </c:pt>
                <c:pt idx="5">
                  <c:v>219447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C-4E27-8BB6-73894F692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Mars!$E$2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Mars!$A$3:$A$9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Mars!$E$3:$E$9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560000</c:v>
                </c:pt>
                <c:pt idx="2">
                  <c:v>120000</c:v>
                </c:pt>
                <c:pt idx="3">
                  <c:v>420000</c:v>
                </c:pt>
                <c:pt idx="4">
                  <c:v>350000</c:v>
                </c:pt>
                <c:pt idx="5">
                  <c:v>63000</c:v>
                </c:pt>
                <c:pt idx="6">
                  <c:v>752014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8-4F58-A48C-5905D02E7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Avril!$E$2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Avril!$A$3:$A$9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Avril!$E$3:$E$9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365000</c:v>
                </c:pt>
                <c:pt idx="2">
                  <c:v>120000</c:v>
                </c:pt>
                <c:pt idx="3">
                  <c:v>658000</c:v>
                </c:pt>
                <c:pt idx="4">
                  <c:v>350000</c:v>
                </c:pt>
                <c:pt idx="5">
                  <c:v>63000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8-4BD7-A250-C237FDEF5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Mai!$E$3:$E$9</c:f>
              <c:numCache>
                <c:formatCode>#\ ##0.00\ "€"</c:formatCode>
                <c:ptCount val="7"/>
                <c:pt idx="0">
                  <c:v>201425</c:v>
                </c:pt>
                <c:pt idx="1">
                  <c:v>365000</c:v>
                </c:pt>
                <c:pt idx="2">
                  <c:v>123457</c:v>
                </c:pt>
                <c:pt idx="3">
                  <c:v>658000</c:v>
                </c:pt>
                <c:pt idx="4">
                  <c:v>45216</c:v>
                </c:pt>
                <c:pt idx="5">
                  <c:v>63000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4-41F1-8263-1C0F60733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Juin!$E$2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Juin!$A$3:$A$9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Juin!$E$3:$E$9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365000</c:v>
                </c:pt>
                <c:pt idx="2">
                  <c:v>529634</c:v>
                </c:pt>
                <c:pt idx="3">
                  <c:v>658000</c:v>
                </c:pt>
                <c:pt idx="4">
                  <c:v>236587</c:v>
                </c:pt>
                <c:pt idx="5">
                  <c:v>63000</c:v>
                </c:pt>
                <c:pt idx="6">
                  <c:v>150246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C-43C4-B89F-5763DC83C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Juillet!$E$2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Juillet!$A$3:$A$9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Juillet!$E$3:$E$9</c:f>
              <c:numCache>
                <c:formatCode>#\ ##0.00\ "€"</c:formatCode>
                <c:ptCount val="7"/>
                <c:pt idx="0">
                  <c:v>125896</c:v>
                </c:pt>
                <c:pt idx="1">
                  <c:v>365000</c:v>
                </c:pt>
                <c:pt idx="2">
                  <c:v>120000</c:v>
                </c:pt>
                <c:pt idx="3">
                  <c:v>452698</c:v>
                </c:pt>
                <c:pt idx="4">
                  <c:v>350000</c:v>
                </c:pt>
                <c:pt idx="5">
                  <c:v>452375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0-4A14-8FC7-6408431D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Aout!$E$2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Aout!$A$3:$A$9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Aout!$E$3:$E$9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365000</c:v>
                </c:pt>
                <c:pt idx="2">
                  <c:v>456123</c:v>
                </c:pt>
                <c:pt idx="3">
                  <c:v>456456</c:v>
                </c:pt>
                <c:pt idx="4">
                  <c:v>350000</c:v>
                </c:pt>
                <c:pt idx="5">
                  <c:v>63000</c:v>
                </c:pt>
                <c:pt idx="6">
                  <c:v>789789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9-4E05-A87A-4047EBF13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Septembre!$E$2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Septembre!$A$3:$A$9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Septembre!$E$3:$E$9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365000</c:v>
                </c:pt>
                <c:pt idx="2">
                  <c:v>120000</c:v>
                </c:pt>
                <c:pt idx="3">
                  <c:v>658000</c:v>
                </c:pt>
                <c:pt idx="4">
                  <c:v>350000</c:v>
                </c:pt>
                <c:pt idx="5">
                  <c:v>63000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F-42BD-9624-D177CD9A4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Octobre!$E$2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Octobre!$A$3:$A$9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Octobre!$E$3:$E$9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365000</c:v>
                </c:pt>
                <c:pt idx="2">
                  <c:v>120000</c:v>
                </c:pt>
                <c:pt idx="3">
                  <c:v>658000</c:v>
                </c:pt>
                <c:pt idx="4">
                  <c:v>350000</c:v>
                </c:pt>
                <c:pt idx="5">
                  <c:v>63000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9-4CCB-A6E4-41F791543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Novembre!$E$2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Novembre!$A$3:$A$9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Novembre!$E$3:$E$9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365000</c:v>
                </c:pt>
                <c:pt idx="2">
                  <c:v>120000</c:v>
                </c:pt>
                <c:pt idx="3">
                  <c:v>658000</c:v>
                </c:pt>
                <c:pt idx="4">
                  <c:v>350000</c:v>
                </c:pt>
                <c:pt idx="5">
                  <c:v>63000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1-462A-ADE5-E500BE772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Décembre!$E$2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Décembre!$A$3:$A$9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Décembre!$E$3:$E$9</c:f>
              <c:numCache>
                <c:formatCode>#\ ##0.00\ "€"</c:formatCode>
                <c:ptCount val="7"/>
                <c:pt idx="0">
                  <c:v>125000</c:v>
                </c:pt>
                <c:pt idx="1">
                  <c:v>365000</c:v>
                </c:pt>
                <c:pt idx="2">
                  <c:v>120000</c:v>
                </c:pt>
                <c:pt idx="3">
                  <c:v>658000</c:v>
                </c:pt>
                <c:pt idx="4">
                  <c:v>350000</c:v>
                </c:pt>
                <c:pt idx="5">
                  <c:v>63000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1-4806-A17B-2998EAC97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749536"/>
        <c:axId val="327577408"/>
      </c:barChart>
      <c:catAx>
        <c:axId val="3777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577408"/>
        <c:crosses val="autoZero"/>
        <c:auto val="1"/>
        <c:lblAlgn val="ctr"/>
        <c:lblOffset val="100"/>
        <c:noMultiLvlLbl val="0"/>
      </c:catAx>
      <c:valAx>
        <c:axId val="3275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7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RECAP!$B$3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RECAP!$A$4:$A$15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RECAP!$B$4:$B$15</c:f>
              <c:numCache>
                <c:formatCode>_("€"* #,##0.00_);_("€"* \(#,##0.00\);_("€"* "-"??_);_(@_)</c:formatCode>
                <c:ptCount val="12"/>
                <c:pt idx="0">
                  <c:v>1841000</c:v>
                </c:pt>
                <c:pt idx="1">
                  <c:v>1630908</c:v>
                </c:pt>
                <c:pt idx="2">
                  <c:v>2390014</c:v>
                </c:pt>
                <c:pt idx="3">
                  <c:v>1841000</c:v>
                </c:pt>
                <c:pt idx="4">
                  <c:v>1616098</c:v>
                </c:pt>
                <c:pt idx="5">
                  <c:v>2127467</c:v>
                </c:pt>
                <c:pt idx="6">
                  <c:v>2025969</c:v>
                </c:pt>
                <c:pt idx="7">
                  <c:v>2605368</c:v>
                </c:pt>
                <c:pt idx="8">
                  <c:v>1841000</c:v>
                </c:pt>
                <c:pt idx="9">
                  <c:v>1841000</c:v>
                </c:pt>
                <c:pt idx="10">
                  <c:v>1841000</c:v>
                </c:pt>
                <c:pt idx="11">
                  <c:v>1841000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1-4EE5-B962-EAD4DA208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72016"/>
        <c:axId val="456277840"/>
      </c:lineChart>
      <c:catAx>
        <c:axId val="2063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6277840"/>
        <c:crosses val="autoZero"/>
        <c:auto val="1"/>
        <c:lblAlgn val="ctr"/>
        <c:lblOffset val="100"/>
        <c:noMultiLvlLbl val="0"/>
      </c:catAx>
      <c:valAx>
        <c:axId val="4562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37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RECAP!$F$3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51-4C9B-9575-2AB5598B0C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51-4C9B-9575-2AB5598B0C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51-4C9B-9575-2AB5598B0C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51-4C9B-9575-2AB5598B0C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51-4C9B-9575-2AB5598B0C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F51-4C9B-9575-2AB5598B0CD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F51-4C9B-9575-2AB5598B0CD1}"/>
              </c:ext>
            </c:extLst>
          </c:dPt>
          <c:cat>
            <c:strRef>
              <c:f>RECAP!$E$4:$E$10</c:f>
              <c:strCache>
                <c:ptCount val="7"/>
                <c:pt idx="0">
                  <c:v>Vendeur 1</c:v>
                </c:pt>
                <c:pt idx="1">
                  <c:v>Vendeur 2</c:v>
                </c:pt>
                <c:pt idx="2">
                  <c:v>Vendeur 3</c:v>
                </c:pt>
                <c:pt idx="3">
                  <c:v>Vendeur 4</c:v>
                </c:pt>
                <c:pt idx="4">
                  <c:v>Vendeur 5</c:v>
                </c:pt>
                <c:pt idx="5">
                  <c:v>Vendeur 6</c:v>
                </c:pt>
                <c:pt idx="6">
                  <c:v>Vendeur 7</c:v>
                </c:pt>
              </c:strCache>
            </c:strRef>
          </c:cat>
          <c:val>
            <c:numRef>
              <c:f>RECAP!$F$4:$F$10</c:f>
              <c:numCache>
                <c:formatCode>_("€"* #,##0.00_);_("€"* \(#,##0.00\);_("€"* "-"??_);_(@_)</c:formatCode>
                <c:ptCount val="7"/>
                <c:pt idx="0">
                  <c:v>1577321</c:v>
                </c:pt>
                <c:pt idx="1">
                  <c:v>4233461</c:v>
                </c:pt>
                <c:pt idx="2">
                  <c:v>2469214</c:v>
                </c:pt>
                <c:pt idx="3">
                  <c:v>7251154</c:v>
                </c:pt>
                <c:pt idx="4">
                  <c:v>3476803</c:v>
                </c:pt>
                <c:pt idx="5">
                  <c:v>1301822</c:v>
                </c:pt>
                <c:pt idx="6">
                  <c:v>3132049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5-4D36-9CE4-355CCFAED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5D724C-B912-4560-BF37-86F79FD25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1E8E866-F52A-4DD0-8970-5CC32C87D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C820D3D-2CFE-4A87-90B7-ED2DEDE48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12D01E-999F-4931-8704-6071AADDB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909D3A4-5263-4138-A7AD-3362FE35E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62978D3-45D7-4723-95BE-4189C4B9E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1CDBF6-98AE-4DE8-82CB-8B1A735DD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B9506DD-6F55-4F11-98EE-A82B488BC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7442E1-8536-48BB-8A41-B7B2566EC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43FDD8D-4203-4278-A529-2EE32666F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2450DF7-9292-4481-BD95-3A8D80AF3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16</xdr:row>
      <xdr:rowOff>4762</xdr:rowOff>
    </xdr:from>
    <xdr:to>
      <xdr:col>7</xdr:col>
      <xdr:colOff>0</xdr:colOff>
      <xdr:row>29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69CD52-A2A4-459B-865E-4CD4B838C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17</xdr:row>
      <xdr:rowOff>119062</xdr:rowOff>
    </xdr:from>
    <xdr:to>
      <xdr:col>5</xdr:col>
      <xdr:colOff>619125</xdr:colOff>
      <xdr:row>32</xdr:row>
      <xdr:rowOff>4762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42431CD-7E88-440B-BA39-47A632288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1</xdr:row>
      <xdr:rowOff>157162</xdr:rowOff>
    </xdr:from>
    <xdr:to>
      <xdr:col>10</xdr:col>
      <xdr:colOff>238125</xdr:colOff>
      <xdr:row>11</xdr:row>
      <xdr:rowOff>9525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3CE8FF9-AECF-47D8-906D-8E6A1938B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A795-4EB7-485E-B857-064133841D67}">
  <sheetPr>
    <tabColor theme="9" tint="0.79998168889431442"/>
    <pageSetUpPr fitToPage="1"/>
  </sheetPr>
  <dimension ref="A1:O27"/>
  <sheetViews>
    <sheetView tabSelected="1" zoomScaleNormal="100" workbookViewId="0">
      <selection activeCell="O3" sqref="O3:O9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1" width="11.42578125" style="2"/>
    <col min="12" max="12" width="22.28515625" style="2" customWidth="1"/>
    <col min="13" max="13" width="26.5703125" style="2" customWidth="1"/>
    <col min="14" max="14" width="22.140625" style="2" customWidth="1"/>
    <col min="15" max="15" width="23.85546875" style="2" customWidth="1"/>
    <col min="16" max="16384" width="11.42578125" style="2"/>
  </cols>
  <sheetData>
    <row r="1" spans="1:15" ht="15.75" thickBot="1" x14ac:dyDescent="0.3"/>
    <row r="2" spans="1:15" ht="6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  <c r="L2" s="51" t="s">
        <v>45</v>
      </c>
      <c r="M2" s="51" t="s">
        <v>46</v>
      </c>
      <c r="N2" s="51" t="s">
        <v>47</v>
      </c>
      <c r="O2" s="51" t="s">
        <v>48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6.7897881586094513E-2</v>
      </c>
      <c r="L3" s="2" t="str">
        <f ca="1">IF(AND(B3="F",D3&gt;=50),"prime","-")</f>
        <v>-</v>
      </c>
      <c r="M3" s="2" t="str">
        <f ca="1">IF(AND(D3&gt;=40,D3&lt;=60),"prime","-")</f>
        <v>-</v>
      </c>
      <c r="N3" s="2" t="str">
        <f>IF(OR(B3="H",E3&gt;=300000),"prime","-")</f>
        <v>prime</v>
      </c>
      <c r="O3" t="str">
        <f>IF(OR(B3="H",AND(E3&gt;=300000,E3&lt;=500000)),"prime","-")</f>
        <v>prime</v>
      </c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0.19826181423139599</v>
      </c>
      <c r="L4" s="2" t="str">
        <f t="shared" ref="L4:L9" ca="1" si="6">IF(AND(B4="F",D4&gt;=50),"prime","-")</f>
        <v>-</v>
      </c>
      <c r="M4" s="2" t="str">
        <f t="shared" ref="M4:M9" ca="1" si="7">IF(AND(D4&gt;=40,D4&lt;=60),"prime","-")</f>
        <v>prime</v>
      </c>
      <c r="N4" s="2" t="str">
        <f t="shared" ref="N4:N9" si="8">IF(OR(B4="H",E4&gt;=300000),"prime","-")</f>
        <v>prime</v>
      </c>
      <c r="O4" t="str">
        <f t="shared" ref="O4:O9" si="9">IF(OR(B4="H",AND(E4&gt;=300000,E4&lt;=500000)),"prime","-")</f>
        <v>prime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120000</v>
      </c>
      <c r="F5" s="17">
        <f t="shared" si="2"/>
        <v>0</v>
      </c>
      <c r="G5" s="14" t="str">
        <f t="shared" ca="1" si="3"/>
        <v>visite</v>
      </c>
      <c r="H5" s="17">
        <f t="shared" si="4"/>
        <v>-180000</v>
      </c>
      <c r="I5" s="18" t="str">
        <f t="shared" si="5"/>
        <v>L</v>
      </c>
      <c r="J5" s="19">
        <f t="shared" si="0"/>
        <v>6.5181966322650733E-2</v>
      </c>
      <c r="L5" s="2" t="str">
        <f t="shared" ca="1" si="6"/>
        <v>prime</v>
      </c>
      <c r="M5" s="2" t="str">
        <f t="shared" ca="1" si="7"/>
        <v>-</v>
      </c>
      <c r="N5" s="2" t="str">
        <f t="shared" si="8"/>
        <v>-</v>
      </c>
      <c r="O5" t="str">
        <f t="shared" si="9"/>
        <v>-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658000</v>
      </c>
      <c r="F6" s="17">
        <f t="shared" si="2"/>
        <v>13160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0.35741444866920152</v>
      </c>
      <c r="L6" s="2" t="str">
        <f t="shared" ca="1" si="6"/>
        <v>-</v>
      </c>
      <c r="M6" s="2" t="str">
        <f t="shared" ca="1" si="7"/>
        <v>-</v>
      </c>
      <c r="N6" s="2" t="str">
        <f t="shared" si="8"/>
        <v>prime</v>
      </c>
      <c r="O6" t="str">
        <f t="shared" si="9"/>
        <v>prime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350000</v>
      </c>
      <c r="F7" s="17">
        <f t="shared" si="2"/>
        <v>7000</v>
      </c>
      <c r="G7" s="14" t="str">
        <f t="shared" ca="1" si="3"/>
        <v>pause café</v>
      </c>
      <c r="H7" s="17" t="str">
        <f t="shared" si="4"/>
        <v>ok</v>
      </c>
      <c r="I7" s="18" t="str">
        <f t="shared" si="5"/>
        <v>J</v>
      </c>
      <c r="J7" s="19">
        <f t="shared" si="0"/>
        <v>0.19011406844106463</v>
      </c>
      <c r="L7" s="2" t="str">
        <f t="shared" ca="1" si="6"/>
        <v>-</v>
      </c>
      <c r="M7" s="2" t="str">
        <f t="shared" ca="1" si="7"/>
        <v>-</v>
      </c>
      <c r="N7" s="2" t="str">
        <f t="shared" si="8"/>
        <v>prime</v>
      </c>
      <c r="O7" t="str">
        <f t="shared" si="9"/>
        <v>prime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3.4220532319391636E-2</v>
      </c>
      <c r="L8" s="2" t="str">
        <f t="shared" ca="1" si="6"/>
        <v>-</v>
      </c>
      <c r="M8" s="2" t="str">
        <f t="shared" ca="1" si="7"/>
        <v>-</v>
      </c>
      <c r="N8" s="2" t="str">
        <f t="shared" si="8"/>
        <v>prime</v>
      </c>
      <c r="O8" t="str">
        <f t="shared" si="9"/>
        <v>prime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160000</v>
      </c>
      <c r="F9" s="24">
        <f t="shared" si="2"/>
        <v>0</v>
      </c>
      <c r="G9" s="21" t="str">
        <f t="shared" ca="1" si="3"/>
        <v>visite</v>
      </c>
      <c r="H9" s="24">
        <f t="shared" si="4"/>
        <v>-140000</v>
      </c>
      <c r="I9" s="25" t="str">
        <f t="shared" si="5"/>
        <v>L</v>
      </c>
      <c r="J9" s="26">
        <f t="shared" si="0"/>
        <v>8.6909288430200973E-2</v>
      </c>
      <c r="L9" s="2" t="str">
        <f t="shared" ca="1" si="6"/>
        <v>prime</v>
      </c>
      <c r="M9" s="2" t="str">
        <f t="shared" ca="1" si="7"/>
        <v>prime</v>
      </c>
      <c r="N9" s="2" t="str">
        <f t="shared" si="8"/>
        <v>-</v>
      </c>
      <c r="O9" t="str">
        <f t="shared" si="9"/>
        <v>-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1841000</v>
      </c>
    </row>
    <row r="13" spans="1:15" x14ac:dyDescent="0.25">
      <c r="A13" s="40" t="s">
        <v>20</v>
      </c>
      <c r="E13" s="27">
        <f>AVERAGE(E3:E9)</f>
        <v>263000</v>
      </c>
    </row>
    <row r="14" spans="1:15" x14ac:dyDescent="0.25">
      <c r="A14" s="40" t="s">
        <v>21</v>
      </c>
      <c r="E14" s="27">
        <f>MAX(E3:E9)</f>
        <v>658000</v>
      </c>
    </row>
    <row r="15" spans="1:15" ht="15.75" thickBot="1" x14ac:dyDescent="0.3">
      <c r="A15" s="41" t="s">
        <v>22</v>
      </c>
      <c r="E15" s="28">
        <f>MIN(E3:E9)</f>
        <v>63000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995000</v>
      </c>
    </row>
    <row r="24" spans="1:4" ht="15.75" thickBot="1" x14ac:dyDescent="0.3">
      <c r="A24" s="41" t="s">
        <v>28</v>
      </c>
      <c r="B24" s="33">
        <f>SUMIF(B3:B9,"H",E3:E9)</f>
        <v>846000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280000</v>
      </c>
    </row>
    <row r="27" spans="1:4" ht="15.75" thickTop="1" x14ac:dyDescent="0.25"/>
  </sheetData>
  <phoneticPr fontId="2" type="noConversion"/>
  <conditionalFormatting sqref="I1 I3:I1048576">
    <cfRule type="containsText" dxfId="35" priority="3" operator="containsText" text="L">
      <formula>NOT(ISERROR(SEARCH("L",I1)))</formula>
    </cfRule>
    <cfRule type="containsText" dxfId="34" priority="4" operator="containsText" text="J">
      <formula>NOT(ISERROR(SEARCH("J",I1)))</formula>
    </cfRule>
  </conditionalFormatting>
  <conditionalFormatting sqref="D3:D9">
    <cfRule type="cellIs" dxfId="33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C682-4530-4FA3-80E8-D7648777DDF2}">
  <sheetPr>
    <tabColor rgb="FFFFC000"/>
    <pageSetUpPr fitToPage="1"/>
  </sheetPr>
  <dimension ref="A1:O27"/>
  <sheetViews>
    <sheetView zoomScaleNormal="100" workbookViewId="0">
      <selection activeCell="G14" sqref="G14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7.6644421389802486E-2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23461</v>
      </c>
      <c r="F4" s="17">
        <f t="shared" ref="F4:F9" si="2">IF(E4&gt;=200000,E4*2%,0)</f>
        <v>0</v>
      </c>
      <c r="G4" s="14" t="str">
        <f t="shared" ref="G4:G9" ca="1" si="3">IF(D4&gt;=50,"visite","pause café")</f>
        <v>pause café</v>
      </c>
      <c r="H4" s="17">
        <f t="shared" ref="H4:H9" si="4">IF(E4&gt;=300000,"ok",E4-300000)</f>
        <v>-276539</v>
      </c>
      <c r="I4" s="18" t="str">
        <f t="shared" ref="I4:I9" si="5">IF(H4="ok","J","L")</f>
        <v>L</v>
      </c>
      <c r="J4" s="19">
        <f t="shared" si="0"/>
        <v>1.438523816180925E-2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400000</v>
      </c>
      <c r="F5" s="17">
        <f t="shared" si="2"/>
        <v>8000</v>
      </c>
      <c r="G5" s="14" t="str">
        <f t="shared" ca="1" si="3"/>
        <v>visite</v>
      </c>
      <c r="H5" s="17" t="str">
        <f t="shared" si="4"/>
        <v>ok</v>
      </c>
      <c r="I5" s="18" t="str">
        <f t="shared" si="5"/>
        <v>J</v>
      </c>
      <c r="J5" s="19">
        <f t="shared" si="0"/>
        <v>0.24526214844736796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658000</v>
      </c>
      <c r="F6" s="17">
        <f t="shared" si="2"/>
        <v>13160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0.4034562341959203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45000</v>
      </c>
      <c r="F7" s="17">
        <f t="shared" si="2"/>
        <v>0</v>
      </c>
      <c r="G7" s="14" t="str">
        <f t="shared" ca="1" si="3"/>
        <v>pause café</v>
      </c>
      <c r="H7" s="17">
        <f t="shared" si="4"/>
        <v>-255000</v>
      </c>
      <c r="I7" s="18" t="str">
        <f t="shared" si="5"/>
        <v>L</v>
      </c>
      <c r="J7" s="19">
        <f t="shared" si="0"/>
        <v>2.7591991700328895E-2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219447</v>
      </c>
      <c r="F8" s="17">
        <f t="shared" si="2"/>
        <v>4388.9400000000005</v>
      </c>
      <c r="G8" s="14" t="str">
        <f t="shared" ca="1" si="3"/>
        <v>pause café</v>
      </c>
      <c r="H8" s="17">
        <f t="shared" si="4"/>
        <v>-80553</v>
      </c>
      <c r="I8" s="18" t="str">
        <f t="shared" si="5"/>
        <v>L</v>
      </c>
      <c r="J8" s="19">
        <f t="shared" si="0"/>
        <v>0.13455510672582391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160000</v>
      </c>
      <c r="F9" s="24">
        <f t="shared" si="2"/>
        <v>0</v>
      </c>
      <c r="G9" s="21" t="str">
        <f t="shared" ca="1" si="3"/>
        <v>visite</v>
      </c>
      <c r="H9" s="24">
        <f t="shared" si="4"/>
        <v>-140000</v>
      </c>
      <c r="I9" s="25" t="str">
        <f t="shared" si="5"/>
        <v>L</v>
      </c>
      <c r="J9" s="26">
        <f t="shared" si="0"/>
        <v>9.8104859378947182E-2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1630908</v>
      </c>
    </row>
    <row r="13" spans="1:15" x14ac:dyDescent="0.25">
      <c r="A13" s="40" t="s">
        <v>20</v>
      </c>
      <c r="E13" s="27">
        <f>AVERAGE(E3:E9)</f>
        <v>232986.85714285713</v>
      </c>
    </row>
    <row r="14" spans="1:15" x14ac:dyDescent="0.25">
      <c r="A14" s="40" t="s">
        <v>21</v>
      </c>
      <c r="E14" s="27">
        <f>MAX(E3:E9)</f>
        <v>658000</v>
      </c>
    </row>
    <row r="15" spans="1:15" ht="15.75" thickBot="1" x14ac:dyDescent="0.3">
      <c r="A15" s="41" t="s">
        <v>22</v>
      </c>
      <c r="E15" s="28">
        <f>MIN(E3:E9)</f>
        <v>23461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628461</v>
      </c>
    </row>
    <row r="24" spans="1:4" ht="15.75" thickBot="1" x14ac:dyDescent="0.3">
      <c r="A24" s="41" t="s">
        <v>28</v>
      </c>
      <c r="B24" s="33">
        <f>SUMIF(B3:B9,"H",E3:E9)</f>
        <v>1002447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560000</v>
      </c>
    </row>
    <row r="27" spans="1:4" ht="15.75" thickTop="1" x14ac:dyDescent="0.25"/>
  </sheetData>
  <conditionalFormatting sqref="I1 I3:I1048576">
    <cfRule type="containsText" dxfId="32" priority="3" operator="containsText" text="L">
      <formula>NOT(ISERROR(SEARCH("L",I1)))</formula>
    </cfRule>
    <cfRule type="containsText" dxfId="31" priority="4" operator="containsText" text="J">
      <formula>NOT(ISERROR(SEARCH("J",I1)))</formula>
    </cfRule>
  </conditionalFormatting>
  <conditionalFormatting sqref="D3:D9">
    <cfRule type="cellIs" dxfId="30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FBF4-D488-4800-B607-1F19886CACA3}">
  <sheetPr>
    <pageSetUpPr fitToPage="1"/>
  </sheetPr>
  <dimension ref="A1:O27"/>
  <sheetViews>
    <sheetView zoomScaleNormal="100" workbookViewId="0">
      <selection activeCell="G12" sqref="G12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5.2300948864734687E-2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560000</v>
      </c>
      <c r="F4" s="17">
        <f t="shared" ref="F4:F9" si="2">IF(E4&gt;=200000,E4*2%,0)</f>
        <v>11200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0.23430825091401139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120000</v>
      </c>
      <c r="F5" s="17">
        <f t="shared" si="2"/>
        <v>0</v>
      </c>
      <c r="G5" s="14" t="str">
        <f t="shared" ca="1" si="3"/>
        <v>visite</v>
      </c>
      <c r="H5" s="17">
        <f t="shared" si="4"/>
        <v>-180000</v>
      </c>
      <c r="I5" s="18" t="str">
        <f t="shared" si="5"/>
        <v>L</v>
      </c>
      <c r="J5" s="19">
        <f t="shared" si="0"/>
        <v>5.0208910910145295E-2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420000</v>
      </c>
      <c r="F6" s="17">
        <f t="shared" si="2"/>
        <v>8400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0.17573118818550854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350000</v>
      </c>
      <c r="F7" s="17">
        <f t="shared" si="2"/>
        <v>7000</v>
      </c>
      <c r="G7" s="14" t="str">
        <f t="shared" ca="1" si="3"/>
        <v>pause café</v>
      </c>
      <c r="H7" s="17" t="str">
        <f t="shared" si="4"/>
        <v>ok</v>
      </c>
      <c r="I7" s="18" t="str">
        <f t="shared" si="5"/>
        <v>J</v>
      </c>
      <c r="J7" s="19">
        <f t="shared" si="0"/>
        <v>0.14644265682125712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2.635967822782628E-2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752014</v>
      </c>
      <c r="F9" s="24">
        <f t="shared" si="2"/>
        <v>15040.28</v>
      </c>
      <c r="G9" s="21" t="str">
        <f t="shared" ca="1" si="3"/>
        <v>visite</v>
      </c>
      <c r="H9" s="24" t="str">
        <f t="shared" si="4"/>
        <v>ok</v>
      </c>
      <c r="I9" s="25" t="str">
        <f t="shared" si="5"/>
        <v>J</v>
      </c>
      <c r="J9" s="26">
        <f t="shared" si="0"/>
        <v>0.31464836607651669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2390014</v>
      </c>
    </row>
    <row r="13" spans="1:15" x14ac:dyDescent="0.25">
      <c r="A13" s="40" t="s">
        <v>20</v>
      </c>
      <c r="E13" s="27">
        <f>AVERAGE(E3:E9)</f>
        <v>341430.57142857142</v>
      </c>
    </row>
    <row r="14" spans="1:15" x14ac:dyDescent="0.25">
      <c r="A14" s="40" t="s">
        <v>21</v>
      </c>
      <c r="E14" s="27">
        <f>MAX(E3:E9)</f>
        <v>752014</v>
      </c>
    </row>
    <row r="15" spans="1:15" ht="15.75" thickBot="1" x14ac:dyDescent="0.3">
      <c r="A15" s="41" t="s">
        <v>22</v>
      </c>
      <c r="E15" s="28">
        <f>MIN(E3:E9)</f>
        <v>63000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1782014</v>
      </c>
    </row>
    <row r="24" spans="1:4" ht="15.75" thickBot="1" x14ac:dyDescent="0.3">
      <c r="A24" s="41" t="s">
        <v>28</v>
      </c>
      <c r="B24" s="33">
        <f>SUMIF(B3:B9,"H",E3:E9)</f>
        <v>608000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872014</v>
      </c>
    </row>
    <row r="27" spans="1:4" ht="15.75" thickTop="1" x14ac:dyDescent="0.25"/>
  </sheetData>
  <conditionalFormatting sqref="I1 I3:I1048576">
    <cfRule type="containsText" dxfId="29" priority="3" operator="containsText" text="L">
      <formula>NOT(ISERROR(SEARCH("L",I1)))</formula>
    </cfRule>
    <cfRule type="containsText" dxfId="28" priority="4" operator="containsText" text="J">
      <formula>NOT(ISERROR(SEARCH("J",I1)))</formula>
    </cfRule>
  </conditionalFormatting>
  <conditionalFormatting sqref="D3:D9">
    <cfRule type="cellIs" dxfId="27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BE73-EA45-404D-AE7A-A0FEBEDE3DE0}">
  <sheetPr>
    <pageSetUpPr fitToPage="1"/>
  </sheetPr>
  <dimension ref="A1:O27"/>
  <sheetViews>
    <sheetView zoomScaleNormal="100" workbookViewId="0">
      <selection activeCell="K16" sqref="K16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6.7897881586094513E-2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0.19826181423139599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120000</v>
      </c>
      <c r="F5" s="17">
        <f t="shared" si="2"/>
        <v>0</v>
      </c>
      <c r="G5" s="14" t="str">
        <f t="shared" ca="1" si="3"/>
        <v>visite</v>
      </c>
      <c r="H5" s="17">
        <f t="shared" si="4"/>
        <v>-180000</v>
      </c>
      <c r="I5" s="18" t="str">
        <f t="shared" si="5"/>
        <v>L</v>
      </c>
      <c r="J5" s="19">
        <f t="shared" si="0"/>
        <v>6.5181966322650733E-2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658000</v>
      </c>
      <c r="F6" s="17">
        <f t="shared" si="2"/>
        <v>13160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0.35741444866920152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350000</v>
      </c>
      <c r="F7" s="17">
        <f t="shared" si="2"/>
        <v>7000</v>
      </c>
      <c r="G7" s="14" t="str">
        <f t="shared" ca="1" si="3"/>
        <v>pause café</v>
      </c>
      <c r="H7" s="17" t="str">
        <f t="shared" si="4"/>
        <v>ok</v>
      </c>
      <c r="I7" s="18" t="str">
        <f t="shared" si="5"/>
        <v>J</v>
      </c>
      <c r="J7" s="19">
        <f t="shared" si="0"/>
        <v>0.19011406844106463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3.4220532319391636E-2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160000</v>
      </c>
      <c r="F9" s="24">
        <f t="shared" si="2"/>
        <v>0</v>
      </c>
      <c r="G9" s="21" t="str">
        <f t="shared" ca="1" si="3"/>
        <v>visite</v>
      </c>
      <c r="H9" s="24">
        <f t="shared" si="4"/>
        <v>-140000</v>
      </c>
      <c r="I9" s="25" t="str">
        <f t="shared" si="5"/>
        <v>L</v>
      </c>
      <c r="J9" s="26">
        <f t="shared" si="0"/>
        <v>8.6909288430200973E-2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1841000</v>
      </c>
    </row>
    <row r="13" spans="1:15" x14ac:dyDescent="0.25">
      <c r="A13" s="40" t="s">
        <v>20</v>
      </c>
      <c r="E13" s="27">
        <f>AVERAGE(E3:E9)</f>
        <v>263000</v>
      </c>
    </row>
    <row r="14" spans="1:15" x14ac:dyDescent="0.25">
      <c r="A14" s="40" t="s">
        <v>21</v>
      </c>
      <c r="E14" s="27">
        <f>MAX(E3:E9)</f>
        <v>658000</v>
      </c>
    </row>
    <row r="15" spans="1:15" ht="15.75" thickBot="1" x14ac:dyDescent="0.3">
      <c r="A15" s="41" t="s">
        <v>22</v>
      </c>
      <c r="E15" s="28">
        <f>MIN(E3:E9)</f>
        <v>63000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995000</v>
      </c>
    </row>
    <row r="24" spans="1:4" ht="15.75" thickBot="1" x14ac:dyDescent="0.3">
      <c r="A24" s="41" t="s">
        <v>28</v>
      </c>
      <c r="B24" s="33">
        <f>SUMIF(B3:B9,"H",E3:E9)</f>
        <v>846000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280000</v>
      </c>
    </row>
    <row r="27" spans="1:4" ht="15.75" thickTop="1" x14ac:dyDescent="0.25"/>
  </sheetData>
  <conditionalFormatting sqref="I1 I3:I1048576">
    <cfRule type="containsText" dxfId="26" priority="3" operator="containsText" text="L">
      <formula>NOT(ISERROR(SEARCH("L",I1)))</formula>
    </cfRule>
    <cfRule type="containsText" dxfId="25" priority="4" operator="containsText" text="J">
      <formula>NOT(ISERROR(SEARCH("J",I1)))</formula>
    </cfRule>
  </conditionalFormatting>
  <conditionalFormatting sqref="D3:D9">
    <cfRule type="cellIs" dxfId="24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C837-B142-404E-A87F-452E9E357D14}">
  <sheetPr>
    <pageSetUpPr fitToPage="1"/>
  </sheetPr>
  <dimension ref="A1:O27"/>
  <sheetViews>
    <sheetView zoomScaleNormal="100" workbookViewId="0">
      <selection activeCell="H18" sqref="H18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201425</v>
      </c>
      <c r="F3" s="10">
        <f>IF(E3&gt;=200000,E3*2%,0)</f>
        <v>4028.5</v>
      </c>
      <c r="G3" s="7" t="str">
        <f ca="1">IF(D3&gt;=50,"visite","pause café")</f>
        <v>pause café</v>
      </c>
      <c r="H3" s="10">
        <f>IF(E3&gt;=300000,"ok",E3-300000)</f>
        <v>-98575</v>
      </c>
      <c r="I3" s="11" t="str">
        <f>IF(H3="ok","J","L")</f>
        <v>L</v>
      </c>
      <c r="J3" s="12">
        <f t="shared" ref="J3:J9" si="0">E3/$E$12</f>
        <v>0.12463662475914208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0.22585264012454689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123457</v>
      </c>
      <c r="F5" s="17">
        <f t="shared" si="2"/>
        <v>0</v>
      </c>
      <c r="G5" s="14" t="str">
        <f t="shared" ca="1" si="3"/>
        <v>visite</v>
      </c>
      <c r="H5" s="17">
        <f t="shared" si="4"/>
        <v>-176543</v>
      </c>
      <c r="I5" s="18" t="str">
        <f t="shared" si="5"/>
        <v>L</v>
      </c>
      <c r="J5" s="19">
        <f t="shared" si="0"/>
        <v>7.6392025731112839E-2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658000</v>
      </c>
      <c r="F6" s="17">
        <f t="shared" si="2"/>
        <v>13160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0.40715352658069004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45216</v>
      </c>
      <c r="F7" s="17">
        <f t="shared" si="2"/>
        <v>0</v>
      </c>
      <c r="G7" s="14" t="str">
        <f t="shared" ca="1" si="3"/>
        <v>pause café</v>
      </c>
      <c r="H7" s="17">
        <f t="shared" si="4"/>
        <v>-254784</v>
      </c>
      <c r="I7" s="18" t="str">
        <f t="shared" si="5"/>
        <v>L</v>
      </c>
      <c r="J7" s="19">
        <f t="shared" si="0"/>
        <v>2.7978501303757571E-2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3.8982784459853301E-2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160000</v>
      </c>
      <c r="F9" s="24">
        <f t="shared" si="2"/>
        <v>0</v>
      </c>
      <c r="G9" s="21" t="str">
        <f t="shared" ca="1" si="3"/>
        <v>visite</v>
      </c>
      <c r="H9" s="24">
        <f t="shared" si="4"/>
        <v>-140000</v>
      </c>
      <c r="I9" s="25" t="str">
        <f t="shared" si="5"/>
        <v>L</v>
      </c>
      <c r="J9" s="26">
        <f t="shared" si="0"/>
        <v>9.9003897040897279E-2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1616098</v>
      </c>
    </row>
    <row r="13" spans="1:15" x14ac:dyDescent="0.25">
      <c r="A13" s="40" t="s">
        <v>20</v>
      </c>
      <c r="E13" s="27">
        <f>AVERAGE(E3:E9)</f>
        <v>230871.14285714287</v>
      </c>
    </row>
    <row r="14" spans="1:15" x14ac:dyDescent="0.25">
      <c r="A14" s="40" t="s">
        <v>21</v>
      </c>
      <c r="E14" s="27">
        <f>MAX(E3:E9)</f>
        <v>658000</v>
      </c>
    </row>
    <row r="15" spans="1:15" ht="15.75" thickBot="1" x14ac:dyDescent="0.3">
      <c r="A15" s="41" t="s">
        <v>22</v>
      </c>
      <c r="E15" s="28">
        <f>MIN(E3:E9)</f>
        <v>45216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693673</v>
      </c>
    </row>
    <row r="24" spans="1:4" ht="15.75" thickBot="1" x14ac:dyDescent="0.3">
      <c r="A24" s="41" t="s">
        <v>28</v>
      </c>
      <c r="B24" s="33">
        <f>SUMIF(B3:B9,"H",E3:E9)</f>
        <v>922425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283457</v>
      </c>
    </row>
    <row r="27" spans="1:4" ht="15.75" thickTop="1" x14ac:dyDescent="0.25"/>
  </sheetData>
  <conditionalFormatting sqref="I1 I3:I1048576">
    <cfRule type="containsText" dxfId="23" priority="3" operator="containsText" text="L">
      <formula>NOT(ISERROR(SEARCH("L",I1)))</formula>
    </cfRule>
    <cfRule type="containsText" dxfId="22" priority="4" operator="containsText" text="J">
      <formula>NOT(ISERROR(SEARCH("J",I1)))</formula>
    </cfRule>
  </conditionalFormatting>
  <conditionalFormatting sqref="D3:D9">
    <cfRule type="cellIs" dxfId="21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E0F0-63CF-4D91-89A4-6C51F809FA18}">
  <sheetPr>
    <pageSetUpPr fitToPage="1"/>
  </sheetPr>
  <dimension ref="A1:O27"/>
  <sheetViews>
    <sheetView zoomScaleNormal="100" workbookViewId="0">
      <selection activeCell="H14" sqref="H14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5.8755317943827094E-2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0.17156552839597511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529634</v>
      </c>
      <c r="F5" s="17">
        <f t="shared" si="2"/>
        <v>10592.68</v>
      </c>
      <c r="G5" s="14" t="str">
        <f t="shared" ca="1" si="3"/>
        <v>visite</v>
      </c>
      <c r="H5" s="17" t="str">
        <f t="shared" si="4"/>
        <v>ok</v>
      </c>
      <c r="I5" s="18" t="str">
        <f t="shared" si="5"/>
        <v>J</v>
      </c>
      <c r="J5" s="19">
        <f t="shared" si="0"/>
        <v>0.24895051251088737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658000</v>
      </c>
      <c r="F6" s="17">
        <f t="shared" si="2"/>
        <v>13160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0.30928799365630583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236587</v>
      </c>
      <c r="F7" s="17">
        <f t="shared" si="2"/>
        <v>4731.74</v>
      </c>
      <c r="G7" s="14" t="str">
        <f t="shared" ca="1" si="3"/>
        <v>pause café</v>
      </c>
      <c r="H7" s="17">
        <f t="shared" si="4"/>
        <v>-63413</v>
      </c>
      <c r="I7" s="18" t="str">
        <f t="shared" si="5"/>
        <v>L</v>
      </c>
      <c r="J7" s="19">
        <f t="shared" si="0"/>
        <v>0.11120595525100976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2.9612680243688856E-2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150246</v>
      </c>
      <c r="F9" s="24">
        <f t="shared" si="2"/>
        <v>0</v>
      </c>
      <c r="G9" s="21" t="str">
        <f t="shared" ca="1" si="3"/>
        <v>visite</v>
      </c>
      <c r="H9" s="24">
        <f t="shared" si="4"/>
        <v>-149754</v>
      </c>
      <c r="I9" s="25" t="str">
        <f t="shared" si="5"/>
        <v>L</v>
      </c>
      <c r="J9" s="26">
        <f t="shared" si="0"/>
        <v>7.0622011998305964E-2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2127467</v>
      </c>
    </row>
    <row r="13" spans="1:15" x14ac:dyDescent="0.25">
      <c r="A13" s="40" t="s">
        <v>20</v>
      </c>
      <c r="E13" s="27">
        <f>AVERAGE(E3:E9)</f>
        <v>303923.85714285716</v>
      </c>
    </row>
    <row r="14" spans="1:15" x14ac:dyDescent="0.25">
      <c r="A14" s="40" t="s">
        <v>21</v>
      </c>
      <c r="E14" s="27">
        <f>MAX(E3:E9)</f>
        <v>658000</v>
      </c>
    </row>
    <row r="15" spans="1:15" ht="15.75" thickBot="1" x14ac:dyDescent="0.3">
      <c r="A15" s="41" t="s">
        <v>22</v>
      </c>
      <c r="E15" s="28">
        <f>MIN(E3:E9)</f>
        <v>63000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1281467</v>
      </c>
    </row>
    <row r="24" spans="1:4" ht="15.75" thickBot="1" x14ac:dyDescent="0.3">
      <c r="A24" s="41" t="s">
        <v>28</v>
      </c>
      <c r="B24" s="33">
        <f>SUMIF(B3:B9,"H",E3:E9)</f>
        <v>846000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679880</v>
      </c>
    </row>
    <row r="27" spans="1:4" ht="15.75" thickTop="1" x14ac:dyDescent="0.25"/>
  </sheetData>
  <conditionalFormatting sqref="I1 I3:I1048576">
    <cfRule type="containsText" dxfId="20" priority="3" operator="containsText" text="L">
      <formula>NOT(ISERROR(SEARCH("L",I1)))</formula>
    </cfRule>
    <cfRule type="containsText" dxfId="19" priority="4" operator="containsText" text="J">
      <formula>NOT(ISERROR(SEARCH("J",I1)))</formula>
    </cfRule>
  </conditionalFormatting>
  <conditionalFormatting sqref="D3:D9">
    <cfRule type="cellIs" dxfId="18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D72A-7915-4B20-A6E1-88BF4FDE3543}">
  <sheetPr>
    <pageSetUpPr fitToPage="1"/>
  </sheetPr>
  <dimension ref="A1:O27"/>
  <sheetViews>
    <sheetView zoomScaleNormal="100" workbookViewId="0">
      <selection activeCell="E6" sqref="E6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125896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-174104</v>
      </c>
      <c r="I3" s="11" t="str">
        <f>IF(H3="ok","J","L")</f>
        <v>L</v>
      </c>
      <c r="J3" s="12">
        <f t="shared" ref="J3:J9" si="0">E3/$E$12</f>
        <v>6.2141128516773947E-2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0.18016070334738588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120000</v>
      </c>
      <c r="F5" s="17">
        <f t="shared" si="2"/>
        <v>0</v>
      </c>
      <c r="G5" s="14" t="str">
        <f t="shared" ca="1" si="3"/>
        <v>visite</v>
      </c>
      <c r="H5" s="17">
        <f t="shared" si="4"/>
        <v>-180000</v>
      </c>
      <c r="I5" s="18" t="str">
        <f t="shared" si="5"/>
        <v>L</v>
      </c>
      <c r="J5" s="19">
        <f t="shared" si="0"/>
        <v>5.9230916169003577E-2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452698</v>
      </c>
      <c r="F6" s="17">
        <f t="shared" si="2"/>
        <v>9053.9600000000009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0.22344764406562984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350000</v>
      </c>
      <c r="F7" s="17">
        <f t="shared" si="2"/>
        <v>7000</v>
      </c>
      <c r="G7" s="14" t="str">
        <f t="shared" ca="1" si="3"/>
        <v>pause café</v>
      </c>
      <c r="H7" s="17" t="str">
        <f t="shared" si="4"/>
        <v>ok</v>
      </c>
      <c r="I7" s="18" t="str">
        <f t="shared" si="5"/>
        <v>J</v>
      </c>
      <c r="J7" s="19">
        <f t="shared" si="0"/>
        <v>0.17275683882626042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452375</v>
      </c>
      <c r="F8" s="17">
        <f t="shared" si="2"/>
        <v>9047.5</v>
      </c>
      <c r="G8" s="14" t="str">
        <f t="shared" ca="1" si="3"/>
        <v>pause café</v>
      </c>
      <c r="H8" s="17" t="str">
        <f t="shared" si="4"/>
        <v>ok</v>
      </c>
      <c r="I8" s="18" t="str">
        <f t="shared" si="5"/>
        <v>J</v>
      </c>
      <c r="J8" s="19">
        <f t="shared" si="0"/>
        <v>0.22328821418294159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160000</v>
      </c>
      <c r="F9" s="24">
        <f t="shared" si="2"/>
        <v>0</v>
      </c>
      <c r="G9" s="21" t="str">
        <f t="shared" ca="1" si="3"/>
        <v>visite</v>
      </c>
      <c r="H9" s="24">
        <f t="shared" si="4"/>
        <v>-140000</v>
      </c>
      <c r="I9" s="25" t="str">
        <f t="shared" si="5"/>
        <v>L</v>
      </c>
      <c r="J9" s="26">
        <f t="shared" si="0"/>
        <v>7.8974554892004764E-2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2025969</v>
      </c>
    </row>
    <row r="13" spans="1:15" x14ac:dyDescent="0.25">
      <c r="A13" s="40" t="s">
        <v>20</v>
      </c>
      <c r="E13" s="27">
        <f>AVERAGE(E3:E9)</f>
        <v>289424.14285714284</v>
      </c>
    </row>
    <row r="14" spans="1:15" x14ac:dyDescent="0.25">
      <c r="A14" s="40" t="s">
        <v>21</v>
      </c>
      <c r="E14" s="27">
        <f>MAX(E3:E9)</f>
        <v>452698</v>
      </c>
    </row>
    <row r="15" spans="1:15" ht="15.75" thickBot="1" x14ac:dyDescent="0.3">
      <c r="A15" s="41" t="s">
        <v>22</v>
      </c>
      <c r="E15" s="28">
        <f>MIN(E3:E9)</f>
        <v>120000</v>
      </c>
    </row>
    <row r="16" spans="1:15" ht="16.5" thickTop="1" thickBot="1" x14ac:dyDescent="0.3">
      <c r="A16" s="3"/>
    </row>
    <row r="17" spans="1:15" ht="15.75" thickTop="1" x14ac:dyDescent="0.25">
      <c r="A17" s="39" t="s">
        <v>23</v>
      </c>
      <c r="B17" s="29">
        <f>COUNTA(B3:B9)</f>
        <v>7</v>
      </c>
      <c r="O17" s="2" t="s">
        <v>31</v>
      </c>
    </row>
    <row r="18" spans="1:15" x14ac:dyDescent="0.25">
      <c r="A18" s="40" t="s">
        <v>24</v>
      </c>
      <c r="B18" s="30">
        <f>COUNTIF(B3:B9,"F")</f>
        <v>4</v>
      </c>
      <c r="D18" s="4"/>
    </row>
    <row r="19" spans="1:15" x14ac:dyDescent="0.25">
      <c r="A19" s="40" t="s">
        <v>25</v>
      </c>
      <c r="B19" s="30">
        <f>COUNTIF(B3:B9,"H")</f>
        <v>3</v>
      </c>
    </row>
    <row r="20" spans="1:15" ht="15.75" thickBot="1" x14ac:dyDescent="0.3">
      <c r="A20" s="41" t="s">
        <v>26</v>
      </c>
      <c r="B20" s="31">
        <f ca="1">COUNTIF(D3:D9,"&gt;=50")</f>
        <v>2</v>
      </c>
    </row>
    <row r="21" spans="1:15" ht="16.5" thickTop="1" thickBot="1" x14ac:dyDescent="0.3">
      <c r="A21" s="3"/>
    </row>
    <row r="22" spans="1:15" ht="15.75" thickTop="1" x14ac:dyDescent="0.25">
      <c r="A22" s="39" t="s">
        <v>27</v>
      </c>
      <c r="B22" s="29">
        <f>COUNTBLANK(B3:B9)</f>
        <v>0</v>
      </c>
    </row>
    <row r="23" spans="1:15" x14ac:dyDescent="0.25">
      <c r="A23" s="40" t="s">
        <v>29</v>
      </c>
      <c r="B23" s="32">
        <f>SUMIF(B3:B9,"F",E3:E9)</f>
        <v>995000</v>
      </c>
    </row>
    <row r="24" spans="1:15" ht="15.75" thickBot="1" x14ac:dyDescent="0.3">
      <c r="A24" s="41" t="s">
        <v>28</v>
      </c>
      <c r="B24" s="33">
        <f>SUMIF(B3:B9,"H",E3:E9)</f>
        <v>1030969</v>
      </c>
    </row>
    <row r="25" spans="1:15" ht="16.5" thickTop="1" thickBot="1" x14ac:dyDescent="0.3">
      <c r="B25" s="5"/>
    </row>
    <row r="26" spans="1:15" ht="16.5" thickTop="1" thickBot="1" x14ac:dyDescent="0.3">
      <c r="A26" s="42" t="s">
        <v>30</v>
      </c>
      <c r="B26" s="34">
        <f ca="1">SUMIFS(E3:E9,D3:D9,"&gt;=50",B3:B9,"F")</f>
        <v>280000</v>
      </c>
    </row>
    <row r="27" spans="1:15" ht="15.75" thickTop="1" x14ac:dyDescent="0.25"/>
  </sheetData>
  <conditionalFormatting sqref="I1 I3:I1048576">
    <cfRule type="containsText" dxfId="17" priority="3" operator="containsText" text="L">
      <formula>NOT(ISERROR(SEARCH("L",I1)))</formula>
    </cfRule>
    <cfRule type="containsText" dxfId="16" priority="4" operator="containsText" text="J">
      <formula>NOT(ISERROR(SEARCH("J",I1)))</formula>
    </cfRule>
  </conditionalFormatting>
  <conditionalFormatting sqref="D3:D9">
    <cfRule type="cellIs" dxfId="15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2" orientation="landscape" r:id="rId1"/>
  <headerFooter>
    <oddHeader>&amp;CTableau des ventes &amp;A&amp;R&amp;D</oddHead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1A5F-46C2-47CA-A704-E3CA4C52E259}">
  <sheetPr>
    <pageSetUpPr fitToPage="1"/>
  </sheetPr>
  <dimension ref="A1:O27"/>
  <sheetViews>
    <sheetView zoomScaleNormal="100" workbookViewId="0">
      <selection activeCell="J25" sqref="J25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4.7977867234110495E-2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0.14009537232360264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456123</v>
      </c>
      <c r="F5" s="17">
        <f t="shared" si="2"/>
        <v>9122.4600000000009</v>
      </c>
      <c r="G5" s="14" t="str">
        <f t="shared" ca="1" si="3"/>
        <v>visite</v>
      </c>
      <c r="H5" s="17" t="str">
        <f t="shared" si="4"/>
        <v>ok</v>
      </c>
      <c r="I5" s="18" t="str">
        <f t="shared" si="5"/>
        <v>J</v>
      </c>
      <c r="J5" s="19">
        <f t="shared" si="0"/>
        <v>0.17507046989139347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456456</v>
      </c>
      <c r="F6" s="17">
        <f t="shared" si="2"/>
        <v>9129.1200000000008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0.17519828292970513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350000</v>
      </c>
      <c r="F7" s="17">
        <f t="shared" si="2"/>
        <v>7000</v>
      </c>
      <c r="G7" s="14" t="str">
        <f t="shared" ca="1" si="3"/>
        <v>pause café</v>
      </c>
      <c r="H7" s="17" t="str">
        <f t="shared" si="4"/>
        <v>ok</v>
      </c>
      <c r="I7" s="18" t="str">
        <f t="shared" si="5"/>
        <v>J</v>
      </c>
      <c r="J7" s="19">
        <f t="shared" si="0"/>
        <v>0.13433802825550939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2.4180845085991692E-2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789789</v>
      </c>
      <c r="F9" s="24">
        <f t="shared" si="2"/>
        <v>15795.78</v>
      </c>
      <c r="G9" s="21" t="str">
        <f t="shared" ca="1" si="3"/>
        <v>visite</v>
      </c>
      <c r="H9" s="24" t="str">
        <f t="shared" si="4"/>
        <v>ok</v>
      </c>
      <c r="I9" s="25" t="str">
        <f t="shared" si="5"/>
        <v>J</v>
      </c>
      <c r="J9" s="26">
        <f t="shared" si="0"/>
        <v>0.30313913427968719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2605368</v>
      </c>
    </row>
    <row r="13" spans="1:15" x14ac:dyDescent="0.25">
      <c r="A13" s="40" t="s">
        <v>20</v>
      </c>
      <c r="E13" s="27">
        <f>AVERAGE(E3:E9)</f>
        <v>372195.42857142858</v>
      </c>
    </row>
    <row r="14" spans="1:15" x14ac:dyDescent="0.25">
      <c r="A14" s="40" t="s">
        <v>21</v>
      </c>
      <c r="E14" s="27">
        <f>MAX(E3:E9)</f>
        <v>789789</v>
      </c>
    </row>
    <row r="15" spans="1:15" ht="15.75" thickBot="1" x14ac:dyDescent="0.3">
      <c r="A15" s="41" t="s">
        <v>22</v>
      </c>
      <c r="E15" s="28">
        <f>MIN(E3:E9)</f>
        <v>63000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1960912</v>
      </c>
    </row>
    <row r="24" spans="1:4" ht="15.75" thickBot="1" x14ac:dyDescent="0.3">
      <c r="A24" s="41" t="s">
        <v>28</v>
      </c>
      <c r="B24" s="33">
        <f>SUMIF(B3:B9,"H",E3:E9)</f>
        <v>644456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1245912</v>
      </c>
    </row>
    <row r="27" spans="1:4" ht="15.75" thickTop="1" x14ac:dyDescent="0.25"/>
  </sheetData>
  <conditionalFormatting sqref="I1 I3:I1048576">
    <cfRule type="containsText" dxfId="14" priority="3" operator="containsText" text="L">
      <formula>NOT(ISERROR(SEARCH("L",I1)))</formula>
    </cfRule>
    <cfRule type="containsText" dxfId="13" priority="4" operator="containsText" text="J">
      <formula>NOT(ISERROR(SEARCH("J",I1)))</formula>
    </cfRule>
  </conditionalFormatting>
  <conditionalFormatting sqref="D3:D9">
    <cfRule type="cellIs" dxfId="12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0E35-3201-4F26-BD2E-EC7682869969}">
  <sheetPr>
    <pageSetUpPr fitToPage="1"/>
  </sheetPr>
  <dimension ref="A1:O27"/>
  <sheetViews>
    <sheetView zoomScaleNormal="100" workbookViewId="0">
      <selection activeCell="J8" sqref="J8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6.7897881586094513E-2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0.19826181423139599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120000</v>
      </c>
      <c r="F5" s="17">
        <f t="shared" si="2"/>
        <v>0</v>
      </c>
      <c r="G5" s="14" t="str">
        <f t="shared" ca="1" si="3"/>
        <v>visite</v>
      </c>
      <c r="H5" s="17">
        <f t="shared" si="4"/>
        <v>-180000</v>
      </c>
      <c r="I5" s="18" t="str">
        <f t="shared" si="5"/>
        <v>L</v>
      </c>
      <c r="J5" s="19">
        <f t="shared" si="0"/>
        <v>6.5181966322650733E-2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658000</v>
      </c>
      <c r="F6" s="17">
        <f t="shared" si="2"/>
        <v>13160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0.35741444866920152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350000</v>
      </c>
      <c r="F7" s="17">
        <f t="shared" si="2"/>
        <v>7000</v>
      </c>
      <c r="G7" s="14" t="str">
        <f t="shared" ca="1" si="3"/>
        <v>pause café</v>
      </c>
      <c r="H7" s="17" t="str">
        <f t="shared" si="4"/>
        <v>ok</v>
      </c>
      <c r="I7" s="18" t="str">
        <f t="shared" si="5"/>
        <v>J</v>
      </c>
      <c r="J7" s="19">
        <f t="shared" si="0"/>
        <v>0.19011406844106463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3.4220532319391636E-2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160000</v>
      </c>
      <c r="F9" s="24">
        <f t="shared" si="2"/>
        <v>0</v>
      </c>
      <c r="G9" s="21" t="str">
        <f t="shared" ca="1" si="3"/>
        <v>visite</v>
      </c>
      <c r="H9" s="24">
        <f t="shared" si="4"/>
        <v>-140000</v>
      </c>
      <c r="I9" s="25" t="str">
        <f t="shared" si="5"/>
        <v>L</v>
      </c>
      <c r="J9" s="26">
        <f t="shared" si="0"/>
        <v>8.6909288430200973E-2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1841000</v>
      </c>
    </row>
    <row r="13" spans="1:15" x14ac:dyDescent="0.25">
      <c r="A13" s="40" t="s">
        <v>20</v>
      </c>
      <c r="E13" s="27">
        <f>AVERAGE(E3:E9)</f>
        <v>263000</v>
      </c>
    </row>
    <row r="14" spans="1:15" x14ac:dyDescent="0.25">
      <c r="A14" s="40" t="s">
        <v>21</v>
      </c>
      <c r="E14" s="27">
        <f>MAX(E3:E9)</f>
        <v>658000</v>
      </c>
    </row>
    <row r="15" spans="1:15" ht="15.75" thickBot="1" x14ac:dyDescent="0.3">
      <c r="A15" s="41" t="s">
        <v>22</v>
      </c>
      <c r="E15" s="28">
        <f>MIN(E3:E9)</f>
        <v>63000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995000</v>
      </c>
    </row>
    <row r="24" spans="1:4" ht="15.75" thickBot="1" x14ac:dyDescent="0.3">
      <c r="A24" s="41" t="s">
        <v>28</v>
      </c>
      <c r="B24" s="33">
        <f>SUMIF(B3:B9,"H",E3:E9)</f>
        <v>846000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280000</v>
      </c>
    </row>
    <row r="27" spans="1:4" ht="15.75" thickTop="1" x14ac:dyDescent="0.25"/>
  </sheetData>
  <conditionalFormatting sqref="I1 I3:I1048576">
    <cfRule type="containsText" dxfId="11" priority="3" operator="containsText" text="L">
      <formula>NOT(ISERROR(SEARCH("L",I1)))</formula>
    </cfRule>
    <cfRule type="containsText" dxfId="10" priority="4" operator="containsText" text="J">
      <formula>NOT(ISERROR(SEARCH("J",I1)))</formula>
    </cfRule>
  </conditionalFormatting>
  <conditionalFormatting sqref="D3:D9">
    <cfRule type="cellIs" dxfId="9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2534-D14F-4651-9E35-CDB1578B9471}">
  <sheetPr>
    <pageSetUpPr fitToPage="1"/>
  </sheetPr>
  <dimension ref="A1:O27"/>
  <sheetViews>
    <sheetView zoomScaleNormal="100" workbookViewId="0">
      <selection activeCell="J8" sqref="J8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6.7897881586094513E-2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0.19826181423139599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120000</v>
      </c>
      <c r="F5" s="17">
        <f t="shared" si="2"/>
        <v>0</v>
      </c>
      <c r="G5" s="14" t="str">
        <f t="shared" ca="1" si="3"/>
        <v>visite</v>
      </c>
      <c r="H5" s="17">
        <f t="shared" si="4"/>
        <v>-180000</v>
      </c>
      <c r="I5" s="18" t="str">
        <f t="shared" si="5"/>
        <v>L</v>
      </c>
      <c r="J5" s="19">
        <f t="shared" si="0"/>
        <v>6.5181966322650733E-2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658000</v>
      </c>
      <c r="F6" s="17">
        <f t="shared" si="2"/>
        <v>13160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0.35741444866920152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350000</v>
      </c>
      <c r="F7" s="17">
        <f t="shared" si="2"/>
        <v>7000</v>
      </c>
      <c r="G7" s="14" t="str">
        <f t="shared" ca="1" si="3"/>
        <v>pause café</v>
      </c>
      <c r="H7" s="17" t="str">
        <f t="shared" si="4"/>
        <v>ok</v>
      </c>
      <c r="I7" s="18" t="str">
        <f t="shared" si="5"/>
        <v>J</v>
      </c>
      <c r="J7" s="19">
        <f t="shared" si="0"/>
        <v>0.19011406844106463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3.4220532319391636E-2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160000</v>
      </c>
      <c r="F9" s="24">
        <f t="shared" si="2"/>
        <v>0</v>
      </c>
      <c r="G9" s="21" t="str">
        <f t="shared" ca="1" si="3"/>
        <v>visite</v>
      </c>
      <c r="H9" s="24">
        <f t="shared" si="4"/>
        <v>-140000</v>
      </c>
      <c r="I9" s="25" t="str">
        <f t="shared" si="5"/>
        <v>L</v>
      </c>
      <c r="J9" s="26">
        <f t="shared" si="0"/>
        <v>8.6909288430200973E-2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1841000</v>
      </c>
    </row>
    <row r="13" spans="1:15" x14ac:dyDescent="0.25">
      <c r="A13" s="40" t="s">
        <v>20</v>
      </c>
      <c r="E13" s="27">
        <f>AVERAGE(E3:E9)</f>
        <v>263000</v>
      </c>
    </row>
    <row r="14" spans="1:15" x14ac:dyDescent="0.25">
      <c r="A14" s="40" t="s">
        <v>21</v>
      </c>
      <c r="E14" s="27">
        <f>MAX(E3:E9)</f>
        <v>658000</v>
      </c>
    </row>
    <row r="15" spans="1:15" ht="15.75" thickBot="1" x14ac:dyDescent="0.3">
      <c r="A15" s="41" t="s">
        <v>22</v>
      </c>
      <c r="E15" s="28">
        <f>MIN(E3:E9)</f>
        <v>63000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995000</v>
      </c>
    </row>
    <row r="24" spans="1:4" ht="15.75" thickBot="1" x14ac:dyDescent="0.3">
      <c r="A24" s="41" t="s">
        <v>28</v>
      </c>
      <c r="B24" s="33">
        <f>SUMIF(B3:B9,"H",E3:E9)</f>
        <v>846000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280000</v>
      </c>
    </row>
    <row r="27" spans="1:4" ht="15.75" thickTop="1" x14ac:dyDescent="0.25"/>
  </sheetData>
  <conditionalFormatting sqref="I1 I3:I1048576">
    <cfRule type="containsText" dxfId="8" priority="3" operator="containsText" text="L">
      <formula>NOT(ISERROR(SEARCH("L",I1)))</formula>
    </cfRule>
    <cfRule type="containsText" dxfId="7" priority="4" operator="containsText" text="J">
      <formula>NOT(ISERROR(SEARCH("J",I1)))</formula>
    </cfRule>
  </conditionalFormatting>
  <conditionalFormatting sqref="D3:D9">
    <cfRule type="cellIs" dxfId="6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A0B6-4986-4B62-A497-9C7C4F55ECCE}">
  <sheetPr>
    <pageSetUpPr fitToPage="1"/>
  </sheetPr>
  <dimension ref="A1:O27"/>
  <sheetViews>
    <sheetView zoomScaleNormal="100" workbookViewId="0">
      <selection activeCell="J8" sqref="J8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6.7897881586094513E-2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0.19826181423139599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120000</v>
      </c>
      <c r="F5" s="17">
        <f t="shared" si="2"/>
        <v>0</v>
      </c>
      <c r="G5" s="14" t="str">
        <f t="shared" ca="1" si="3"/>
        <v>visite</v>
      </c>
      <c r="H5" s="17">
        <f t="shared" si="4"/>
        <v>-180000</v>
      </c>
      <c r="I5" s="18" t="str">
        <f t="shared" si="5"/>
        <v>L</v>
      </c>
      <c r="J5" s="19">
        <f t="shared" si="0"/>
        <v>6.5181966322650733E-2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658000</v>
      </c>
      <c r="F6" s="17">
        <f t="shared" si="2"/>
        <v>13160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0.35741444866920152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350000</v>
      </c>
      <c r="F7" s="17">
        <f t="shared" si="2"/>
        <v>7000</v>
      </c>
      <c r="G7" s="14" t="str">
        <f t="shared" ca="1" si="3"/>
        <v>pause café</v>
      </c>
      <c r="H7" s="17" t="str">
        <f t="shared" si="4"/>
        <v>ok</v>
      </c>
      <c r="I7" s="18" t="str">
        <f t="shared" si="5"/>
        <v>J</v>
      </c>
      <c r="J7" s="19">
        <f t="shared" si="0"/>
        <v>0.19011406844106463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3.4220532319391636E-2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160000</v>
      </c>
      <c r="F9" s="24">
        <f t="shared" si="2"/>
        <v>0</v>
      </c>
      <c r="G9" s="21" t="str">
        <f t="shared" ca="1" si="3"/>
        <v>visite</v>
      </c>
      <c r="H9" s="24">
        <f t="shared" si="4"/>
        <v>-140000</v>
      </c>
      <c r="I9" s="25" t="str">
        <f t="shared" si="5"/>
        <v>L</v>
      </c>
      <c r="J9" s="26">
        <f t="shared" si="0"/>
        <v>8.6909288430200973E-2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1841000</v>
      </c>
    </row>
    <row r="13" spans="1:15" x14ac:dyDescent="0.25">
      <c r="A13" s="40" t="s">
        <v>20</v>
      </c>
      <c r="E13" s="27">
        <f>AVERAGE(E3:E9)</f>
        <v>263000</v>
      </c>
    </row>
    <row r="14" spans="1:15" x14ac:dyDescent="0.25">
      <c r="A14" s="40" t="s">
        <v>21</v>
      </c>
      <c r="E14" s="27">
        <f>MAX(E3:E9)</f>
        <v>658000</v>
      </c>
    </row>
    <row r="15" spans="1:15" ht="15.75" thickBot="1" x14ac:dyDescent="0.3">
      <c r="A15" s="41" t="s">
        <v>22</v>
      </c>
      <c r="E15" s="28">
        <f>MIN(E3:E9)</f>
        <v>63000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995000</v>
      </c>
    </row>
    <row r="24" spans="1:4" ht="15.75" thickBot="1" x14ac:dyDescent="0.3">
      <c r="A24" s="41" t="s">
        <v>28</v>
      </c>
      <c r="B24" s="33">
        <f>SUMIF(B3:B9,"H",E3:E9)</f>
        <v>846000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280000</v>
      </c>
    </row>
    <row r="27" spans="1:4" ht="15.75" thickTop="1" x14ac:dyDescent="0.25"/>
  </sheetData>
  <conditionalFormatting sqref="I1 I3:I1048576">
    <cfRule type="containsText" dxfId="5" priority="3" operator="containsText" text="L">
      <formula>NOT(ISERROR(SEARCH("L",I1)))</formula>
    </cfRule>
    <cfRule type="containsText" dxfId="4" priority="4" operator="containsText" text="J">
      <formula>NOT(ISERROR(SEARCH("J",I1)))</formula>
    </cfRule>
  </conditionalFormatting>
  <conditionalFormatting sqref="D3:D9">
    <cfRule type="cellIs" dxfId="3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412F-EAFF-48AC-8CBD-705E58E291ED}">
  <sheetPr>
    <pageSetUpPr fitToPage="1"/>
  </sheetPr>
  <dimension ref="A1:O27"/>
  <sheetViews>
    <sheetView zoomScaleNormal="100" workbookViewId="0">
      <selection activeCell="J8" sqref="J8"/>
    </sheetView>
  </sheetViews>
  <sheetFormatPr baseColWidth="10" defaultRowHeight="15" x14ac:dyDescent="0.25"/>
  <cols>
    <col min="1" max="1" width="26.42578125" style="2" bestFit="1" customWidth="1"/>
    <col min="2" max="2" width="12.85546875" style="2" bestFit="1" customWidth="1"/>
    <col min="3" max="3" width="17" style="2" bestFit="1" customWidth="1"/>
    <col min="4" max="4" width="11.42578125" style="2"/>
    <col min="5" max="5" width="20.85546875" style="2" customWidth="1"/>
    <col min="6" max="6" width="13.7109375" style="2" customWidth="1"/>
    <col min="7" max="7" width="14.7109375" style="2" bestFit="1" customWidth="1"/>
    <col min="8" max="8" width="12.85546875" style="2" bestFit="1" customWidth="1"/>
    <col min="9" max="16384" width="11.42578125" style="2"/>
  </cols>
  <sheetData>
    <row r="1" spans="1:15" ht="15.75" thickBot="1" x14ac:dyDescent="0.3"/>
    <row r="2" spans="1:15" ht="31.5" thickTop="1" thickBot="1" x14ac:dyDescent="0.3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7" t="s">
        <v>9</v>
      </c>
      <c r="G2" s="37" t="s">
        <v>7</v>
      </c>
      <c r="H2" s="36" t="s">
        <v>5</v>
      </c>
      <c r="I2" s="36" t="s">
        <v>6</v>
      </c>
      <c r="J2" s="38" t="s">
        <v>8</v>
      </c>
    </row>
    <row r="3" spans="1:15" ht="15.75" thickTop="1" x14ac:dyDescent="0.25">
      <c r="A3" s="6" t="s">
        <v>10</v>
      </c>
      <c r="B3" s="7" t="s">
        <v>17</v>
      </c>
      <c r="C3" s="8">
        <v>32916</v>
      </c>
      <c r="D3" s="7">
        <f ca="1">DATEDIF(C3,TODAY(),"Y")</f>
        <v>30</v>
      </c>
      <c r="E3" s="9">
        <v>125000</v>
      </c>
      <c r="F3" s="10">
        <f>IF(E3&gt;=200000,E3*2%,0)</f>
        <v>0</v>
      </c>
      <c r="G3" s="7" t="str">
        <f ca="1">IF(D3&gt;=50,"visite","pause café")</f>
        <v>pause café</v>
      </c>
      <c r="H3" s="10">
        <f>IF(E3&gt;=300000,"ok",E3-300000)</f>
        <v>-175000</v>
      </c>
      <c r="I3" s="11" t="str">
        <f>IF(H3="ok","J","L")</f>
        <v>L</v>
      </c>
      <c r="J3" s="12">
        <f t="shared" ref="J3:J9" si="0">E3/$E$12</f>
        <v>6.7897881586094513E-2</v>
      </c>
      <c r="O3"/>
    </row>
    <row r="4" spans="1:15" x14ac:dyDescent="0.25">
      <c r="A4" s="13" t="s">
        <v>11</v>
      </c>
      <c r="B4" s="14" t="s">
        <v>18</v>
      </c>
      <c r="C4" s="15">
        <v>26526</v>
      </c>
      <c r="D4" s="14">
        <f t="shared" ref="D4:D9" ca="1" si="1">DATEDIF(C4,TODAY(),"Y")</f>
        <v>48</v>
      </c>
      <c r="E4" s="16">
        <v>365000</v>
      </c>
      <c r="F4" s="17">
        <f t="shared" ref="F4:F9" si="2">IF(E4&gt;=200000,E4*2%,0)</f>
        <v>7300</v>
      </c>
      <c r="G4" s="14" t="str">
        <f t="shared" ref="G4:G9" ca="1" si="3">IF(D4&gt;=50,"visite","pause café")</f>
        <v>pause café</v>
      </c>
      <c r="H4" s="17" t="str">
        <f t="shared" ref="H4:H9" si="4">IF(E4&gt;=300000,"ok",E4-300000)</f>
        <v>ok</v>
      </c>
      <c r="I4" s="18" t="str">
        <f t="shared" ref="I4:I9" si="5">IF(H4="ok","J","L")</f>
        <v>J</v>
      </c>
      <c r="J4" s="19">
        <f t="shared" si="0"/>
        <v>0.19826181423139599</v>
      </c>
    </row>
    <row r="5" spans="1:15" x14ac:dyDescent="0.25">
      <c r="A5" s="13" t="s">
        <v>12</v>
      </c>
      <c r="B5" s="14" t="s">
        <v>18</v>
      </c>
      <c r="C5" s="15">
        <v>20576</v>
      </c>
      <c r="D5" s="14">
        <f t="shared" ca="1" si="1"/>
        <v>64</v>
      </c>
      <c r="E5" s="16">
        <v>120000</v>
      </c>
      <c r="F5" s="17">
        <f t="shared" si="2"/>
        <v>0</v>
      </c>
      <c r="G5" s="14" t="str">
        <f t="shared" ca="1" si="3"/>
        <v>visite</v>
      </c>
      <c r="H5" s="17">
        <f t="shared" si="4"/>
        <v>-180000</v>
      </c>
      <c r="I5" s="18" t="str">
        <f t="shared" si="5"/>
        <v>L</v>
      </c>
      <c r="J5" s="19">
        <f t="shared" si="0"/>
        <v>6.5181966322650733E-2</v>
      </c>
    </row>
    <row r="6" spans="1:15" x14ac:dyDescent="0.25">
      <c r="A6" s="13" t="s">
        <v>13</v>
      </c>
      <c r="B6" s="14" t="s">
        <v>17</v>
      </c>
      <c r="C6" s="15">
        <v>32721</v>
      </c>
      <c r="D6" s="14">
        <f t="shared" ca="1" si="1"/>
        <v>31</v>
      </c>
      <c r="E6" s="16">
        <v>658000</v>
      </c>
      <c r="F6" s="17">
        <f t="shared" si="2"/>
        <v>13160</v>
      </c>
      <c r="G6" s="14" t="str">
        <f t="shared" ca="1" si="3"/>
        <v>pause café</v>
      </c>
      <c r="H6" s="17" t="str">
        <f t="shared" si="4"/>
        <v>ok</v>
      </c>
      <c r="I6" s="18" t="str">
        <f t="shared" si="5"/>
        <v>J</v>
      </c>
      <c r="J6" s="19">
        <f t="shared" si="0"/>
        <v>0.35741444866920152</v>
      </c>
    </row>
    <row r="7" spans="1:15" x14ac:dyDescent="0.25">
      <c r="A7" s="13" t="s">
        <v>14</v>
      </c>
      <c r="B7" s="14" t="s">
        <v>18</v>
      </c>
      <c r="C7" s="15">
        <v>29983</v>
      </c>
      <c r="D7" s="14">
        <f t="shared" ca="1" si="1"/>
        <v>38</v>
      </c>
      <c r="E7" s="16">
        <v>350000</v>
      </c>
      <c r="F7" s="17">
        <f t="shared" si="2"/>
        <v>7000</v>
      </c>
      <c r="G7" s="14" t="str">
        <f t="shared" ca="1" si="3"/>
        <v>pause café</v>
      </c>
      <c r="H7" s="17" t="str">
        <f t="shared" si="4"/>
        <v>ok</v>
      </c>
      <c r="I7" s="18" t="str">
        <f t="shared" si="5"/>
        <v>J</v>
      </c>
      <c r="J7" s="19">
        <f t="shared" si="0"/>
        <v>0.19011406844106463</v>
      </c>
    </row>
    <row r="8" spans="1:15" x14ac:dyDescent="0.25">
      <c r="A8" s="13" t="s">
        <v>15</v>
      </c>
      <c r="B8" s="14" t="s">
        <v>17</v>
      </c>
      <c r="C8" s="15">
        <v>29921</v>
      </c>
      <c r="D8" s="14">
        <f t="shared" ca="1" si="1"/>
        <v>39</v>
      </c>
      <c r="E8" s="16">
        <v>63000</v>
      </c>
      <c r="F8" s="17">
        <f t="shared" si="2"/>
        <v>0</v>
      </c>
      <c r="G8" s="14" t="str">
        <f t="shared" ca="1" si="3"/>
        <v>pause café</v>
      </c>
      <c r="H8" s="17">
        <f t="shared" si="4"/>
        <v>-237000</v>
      </c>
      <c r="I8" s="18" t="str">
        <f t="shared" si="5"/>
        <v>L</v>
      </c>
      <c r="J8" s="19">
        <f t="shared" si="0"/>
        <v>3.4220532319391636E-2</v>
      </c>
    </row>
    <row r="9" spans="1:15" ht="15.75" thickBot="1" x14ac:dyDescent="0.3">
      <c r="A9" s="20" t="s">
        <v>16</v>
      </c>
      <c r="B9" s="21" t="s">
        <v>18</v>
      </c>
      <c r="C9" s="22">
        <v>23164</v>
      </c>
      <c r="D9" s="21">
        <f t="shared" ca="1" si="1"/>
        <v>57</v>
      </c>
      <c r="E9" s="23">
        <v>160000</v>
      </c>
      <c r="F9" s="24">
        <f t="shared" si="2"/>
        <v>0</v>
      </c>
      <c r="G9" s="21" t="str">
        <f t="shared" ca="1" si="3"/>
        <v>visite</v>
      </c>
      <c r="H9" s="24">
        <f t="shared" si="4"/>
        <v>-140000</v>
      </c>
      <c r="I9" s="25" t="str">
        <f t="shared" si="5"/>
        <v>L</v>
      </c>
      <c r="J9" s="26">
        <f t="shared" si="0"/>
        <v>8.6909288430200973E-2</v>
      </c>
    </row>
    <row r="10" spans="1:15" ht="15.75" thickTop="1" x14ac:dyDescent="0.25">
      <c r="A10" s="3"/>
    </row>
    <row r="11" spans="1:15" ht="15.75" thickBot="1" x14ac:dyDescent="0.3">
      <c r="A11" s="3"/>
    </row>
    <row r="12" spans="1:15" ht="15.75" thickTop="1" x14ac:dyDescent="0.25">
      <c r="A12" s="39" t="s">
        <v>19</v>
      </c>
      <c r="E12" s="43">
        <f>SUM(E3:E9)</f>
        <v>1841000</v>
      </c>
    </row>
    <row r="13" spans="1:15" x14ac:dyDescent="0.25">
      <c r="A13" s="40" t="s">
        <v>20</v>
      </c>
      <c r="E13" s="27">
        <f>AVERAGE(E3:E9)</f>
        <v>263000</v>
      </c>
    </row>
    <row r="14" spans="1:15" x14ac:dyDescent="0.25">
      <c r="A14" s="40" t="s">
        <v>21</v>
      </c>
      <c r="E14" s="27">
        <f>MAX(E3:E9)</f>
        <v>658000</v>
      </c>
    </row>
    <row r="15" spans="1:15" ht="15.75" thickBot="1" x14ac:dyDescent="0.3">
      <c r="A15" s="41" t="s">
        <v>22</v>
      </c>
      <c r="E15" s="28">
        <f>MIN(E3:E9)</f>
        <v>63000</v>
      </c>
    </row>
    <row r="16" spans="1:15" ht="16.5" thickTop="1" thickBot="1" x14ac:dyDescent="0.3">
      <c r="A16" s="3"/>
    </row>
    <row r="17" spans="1:4" ht="15.75" thickTop="1" x14ac:dyDescent="0.25">
      <c r="A17" s="39" t="s">
        <v>23</v>
      </c>
      <c r="B17" s="29">
        <f>COUNTA(B3:B9)</f>
        <v>7</v>
      </c>
    </row>
    <row r="18" spans="1:4" x14ac:dyDescent="0.25">
      <c r="A18" s="40" t="s">
        <v>24</v>
      </c>
      <c r="B18" s="30">
        <f>COUNTIF(B3:B9,"F")</f>
        <v>4</v>
      </c>
      <c r="D18" s="4"/>
    </row>
    <row r="19" spans="1:4" x14ac:dyDescent="0.25">
      <c r="A19" s="40" t="s">
        <v>25</v>
      </c>
      <c r="B19" s="30">
        <f>COUNTIF(B3:B9,"H")</f>
        <v>3</v>
      </c>
    </row>
    <row r="20" spans="1:4" ht="15.75" thickBot="1" x14ac:dyDescent="0.3">
      <c r="A20" s="41" t="s">
        <v>26</v>
      </c>
      <c r="B20" s="31">
        <f ca="1">COUNTIF(D3:D9,"&gt;=50")</f>
        <v>2</v>
      </c>
    </row>
    <row r="21" spans="1:4" ht="16.5" thickTop="1" thickBot="1" x14ac:dyDescent="0.3">
      <c r="A21" s="3"/>
    </row>
    <row r="22" spans="1:4" ht="15.75" thickTop="1" x14ac:dyDescent="0.25">
      <c r="A22" s="39" t="s">
        <v>27</v>
      </c>
      <c r="B22" s="29">
        <f>COUNTBLANK(B3:B9)</f>
        <v>0</v>
      </c>
    </row>
    <row r="23" spans="1:4" x14ac:dyDescent="0.25">
      <c r="A23" s="40" t="s">
        <v>29</v>
      </c>
      <c r="B23" s="32">
        <f>SUMIF(B3:B9,"F",E3:E9)</f>
        <v>995000</v>
      </c>
    </row>
    <row r="24" spans="1:4" ht="15.75" thickBot="1" x14ac:dyDescent="0.3">
      <c r="A24" s="41" t="s">
        <v>28</v>
      </c>
      <c r="B24" s="33">
        <f>SUMIF(B3:B9,"H",E3:E9)</f>
        <v>846000</v>
      </c>
    </row>
    <row r="25" spans="1:4" ht="16.5" thickTop="1" thickBot="1" x14ac:dyDescent="0.3">
      <c r="B25" s="5"/>
    </row>
    <row r="26" spans="1:4" ht="16.5" thickTop="1" thickBot="1" x14ac:dyDescent="0.3">
      <c r="A26" s="42" t="s">
        <v>30</v>
      </c>
      <c r="B26" s="34">
        <f ca="1">SUMIFS(E3:E9,D3:D9,"&gt;=50",B3:B9,"F")</f>
        <v>280000</v>
      </c>
    </row>
    <row r="27" spans="1:4" ht="15.75" thickTop="1" x14ac:dyDescent="0.25"/>
  </sheetData>
  <conditionalFormatting sqref="I1 I3:I1048576">
    <cfRule type="containsText" dxfId="2" priority="3" operator="containsText" text="L">
      <formula>NOT(ISERROR(SEARCH("L",I1)))</formula>
    </cfRule>
    <cfRule type="containsText" dxfId="1" priority="4" operator="containsText" text="J">
      <formula>NOT(ISERROR(SEARCH("J",I1)))</formula>
    </cfRule>
  </conditionalFormatting>
  <conditionalFormatting sqref="D3:D9">
    <cfRule type="cellIs" dxfId="0" priority="2" operator="greaterThan">
      <formula>50</formula>
    </cfRule>
  </conditionalFormatting>
  <conditionalFormatting sqref="E3:E9">
    <cfRule type="iconSet" priority="1">
      <iconSet iconSet="4Arrows">
        <cfvo type="percent" val="0"/>
        <cfvo type="num" val="100000"/>
        <cfvo type="num" val="200000"/>
        <cfvo type="num" val="30000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&amp;CTableau des ventes &amp;A&amp;R&amp;D</oddHead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D0AB-D5D6-496D-B8A3-34BE124F7D8B}">
  <dimension ref="A1:F17"/>
  <sheetViews>
    <sheetView workbookViewId="0">
      <selection activeCell="M12" sqref="M12"/>
    </sheetView>
  </sheetViews>
  <sheetFormatPr baseColWidth="10" defaultRowHeight="15" x14ac:dyDescent="0.25"/>
  <cols>
    <col min="1" max="1" width="11.42578125" style="1"/>
    <col min="2" max="2" width="15.28515625" style="1" bestFit="1" customWidth="1"/>
    <col min="3" max="5" width="11.42578125" style="1"/>
    <col min="6" max="6" width="15.28515625" style="1" bestFit="1" customWidth="1"/>
    <col min="7" max="16384" width="11.42578125" style="1"/>
  </cols>
  <sheetData>
    <row r="1" spans="1:6" x14ac:dyDescent="0.25">
      <c r="A1" s="50" t="s">
        <v>44</v>
      </c>
      <c r="B1" s="50"/>
    </row>
    <row r="2" spans="1:6" ht="15.75" thickBot="1" x14ac:dyDescent="0.3"/>
    <row r="3" spans="1:6" ht="15.75" thickTop="1" x14ac:dyDescent="0.25">
      <c r="A3" s="44"/>
      <c r="B3" s="45" t="s">
        <v>43</v>
      </c>
      <c r="E3" s="44"/>
      <c r="F3" s="45" t="s">
        <v>43</v>
      </c>
    </row>
    <row r="4" spans="1:6" x14ac:dyDescent="0.25">
      <c r="A4" s="46" t="s">
        <v>32</v>
      </c>
      <c r="B4" s="47">
        <f>Janvier!E12</f>
        <v>1841000</v>
      </c>
      <c r="E4" s="46" t="s">
        <v>10</v>
      </c>
      <c r="F4" s="47">
        <f>SUM(Janvier:Décembre!E3)</f>
        <v>1577321</v>
      </c>
    </row>
    <row r="5" spans="1:6" x14ac:dyDescent="0.25">
      <c r="A5" s="46" t="s">
        <v>33</v>
      </c>
      <c r="B5" s="47">
        <f>Février!E12</f>
        <v>1630908</v>
      </c>
      <c r="E5" s="46" t="s">
        <v>11</v>
      </c>
      <c r="F5" s="47">
        <f>SUM(Janvier:Décembre!E4)</f>
        <v>4233461</v>
      </c>
    </row>
    <row r="6" spans="1:6" x14ac:dyDescent="0.25">
      <c r="A6" s="46" t="s">
        <v>34</v>
      </c>
      <c r="B6" s="47">
        <f>Mars!E12</f>
        <v>2390014</v>
      </c>
      <c r="E6" s="46" t="s">
        <v>12</v>
      </c>
      <c r="F6" s="47">
        <f>SUM(Janvier:Décembre!E5)</f>
        <v>2469214</v>
      </c>
    </row>
    <row r="7" spans="1:6" x14ac:dyDescent="0.25">
      <c r="A7" s="46" t="s">
        <v>35</v>
      </c>
      <c r="B7" s="47">
        <f>Avril!E12</f>
        <v>1841000</v>
      </c>
      <c r="E7" s="46" t="s">
        <v>13</v>
      </c>
      <c r="F7" s="47">
        <f>SUM(Janvier:Décembre!E6)</f>
        <v>7251154</v>
      </c>
    </row>
    <row r="8" spans="1:6" x14ac:dyDescent="0.25">
      <c r="A8" s="46" t="s">
        <v>36</v>
      </c>
      <c r="B8" s="47">
        <f>Mai!E12</f>
        <v>1616098</v>
      </c>
      <c r="E8" s="46" t="s">
        <v>14</v>
      </c>
      <c r="F8" s="47">
        <f>SUM(Janvier:Décembre!E7)</f>
        <v>3476803</v>
      </c>
    </row>
    <row r="9" spans="1:6" x14ac:dyDescent="0.25">
      <c r="A9" s="46" t="s">
        <v>37</v>
      </c>
      <c r="B9" s="47">
        <f>Juin!E12</f>
        <v>2127467</v>
      </c>
      <c r="E9" s="46" t="s">
        <v>15</v>
      </c>
      <c r="F9" s="47">
        <f>SUM(Janvier:Décembre!E8)</f>
        <v>1301822</v>
      </c>
    </row>
    <row r="10" spans="1:6" x14ac:dyDescent="0.25">
      <c r="A10" s="46" t="s">
        <v>31</v>
      </c>
      <c r="B10" s="47">
        <f>Juillet!E12</f>
        <v>2025969</v>
      </c>
      <c r="E10" s="46" t="s">
        <v>16</v>
      </c>
      <c r="F10" s="47">
        <f>SUM(Janvier:Décembre!E9)</f>
        <v>3132049</v>
      </c>
    </row>
    <row r="11" spans="1:6" ht="15.75" thickBot="1" x14ac:dyDescent="0.3">
      <c r="A11" s="46" t="s">
        <v>38</v>
      </c>
      <c r="B11" s="47">
        <f>Aout!E12</f>
        <v>2605368</v>
      </c>
      <c r="E11" s="48" t="s">
        <v>43</v>
      </c>
      <c r="F11" s="49">
        <f>SUM(F4:F10)</f>
        <v>23441824</v>
      </c>
    </row>
    <row r="12" spans="1:6" ht="15.75" thickTop="1" x14ac:dyDescent="0.25">
      <c r="A12" s="46" t="s">
        <v>39</v>
      </c>
      <c r="B12" s="47">
        <f>Septembre!E12</f>
        <v>1841000</v>
      </c>
    </row>
    <row r="13" spans="1:6" x14ac:dyDescent="0.25">
      <c r="A13" s="46" t="s">
        <v>40</v>
      </c>
      <c r="B13" s="47">
        <f>Octobre!E12</f>
        <v>1841000</v>
      </c>
    </row>
    <row r="14" spans="1:6" x14ac:dyDescent="0.25">
      <c r="A14" s="46" t="s">
        <v>41</v>
      </c>
      <c r="B14" s="47">
        <f>Novembre!E12</f>
        <v>1841000</v>
      </c>
    </row>
    <row r="15" spans="1:6" x14ac:dyDescent="0.25">
      <c r="A15" s="46" t="s">
        <v>42</v>
      </c>
      <c r="B15" s="47">
        <f>Décembre!E12</f>
        <v>1841000</v>
      </c>
    </row>
    <row r="16" spans="1:6" ht="15.75" thickBot="1" x14ac:dyDescent="0.3">
      <c r="A16" s="48" t="s">
        <v>43</v>
      </c>
      <c r="B16" s="49">
        <f>SUM(B4:B15)</f>
        <v>23441824</v>
      </c>
    </row>
    <row r="17" ht="15.75" thickTop="1" x14ac:dyDescent="0.25"/>
  </sheetData>
  <mergeCells count="1">
    <mergeCell ref="A1:B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Janvier</vt:lpstr>
      <vt:lpstr>Février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Aubert 7</dc:creator>
  <cp:lastModifiedBy>Aubert 7</cp:lastModifiedBy>
  <cp:lastPrinted>2020-12-17T15:26:14Z</cp:lastPrinted>
  <dcterms:created xsi:type="dcterms:W3CDTF">2020-12-17T08:39:03Z</dcterms:created>
  <dcterms:modified xsi:type="dcterms:W3CDTF">2020-12-18T10:26:45Z</dcterms:modified>
</cp:coreProperties>
</file>