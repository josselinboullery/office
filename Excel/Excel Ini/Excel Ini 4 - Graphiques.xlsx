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\Exo Excel Ini\"/>
    </mc:Choice>
  </mc:AlternateContent>
  <xr:revisionPtr revIDLastSave="0" documentId="13_ncr:1_{7F55906D-6564-49D1-8F39-B5D39F281556}" xr6:coauthVersionLast="45" xr6:coauthVersionMax="45" xr10:uidLastSave="{00000000-0000-0000-0000-000000000000}"/>
  <bookViews>
    <workbookView xWindow="-21720" yWindow="9315" windowWidth="21840" windowHeight="13140" xr2:uid="{00000000-000D-0000-FFFF-FFFF00000000}"/>
  </bookViews>
  <sheets>
    <sheet name="Courbes" sheetId="4" r:id="rId1"/>
    <sheet name="Secteur" sheetId="2" r:id="rId2"/>
    <sheet name="Nuage de points" sheetId="1" r:id="rId3"/>
    <sheet name="Rada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2" l="1"/>
  <c r="B9" i="4"/>
  <c r="C9" i="4"/>
  <c r="D9" i="4"/>
  <c r="E9" i="4"/>
  <c r="B8" i="4"/>
  <c r="C8" i="4"/>
  <c r="D8" i="4"/>
  <c r="E8" i="4"/>
  <c r="B7" i="4"/>
  <c r="C7" i="4"/>
  <c r="D7" i="4"/>
  <c r="E7" i="4"/>
  <c r="B6" i="4"/>
  <c r="C6" i="4"/>
  <c r="D6" i="4"/>
  <c r="E6" i="4"/>
  <c r="F2" i="4"/>
  <c r="F3" i="4"/>
  <c r="F4" i="4"/>
  <c r="F5" i="4"/>
  <c r="F8" i="4" l="1"/>
  <c r="F6" i="4"/>
  <c r="F7" i="4"/>
  <c r="F9" i="4"/>
  <c r="B2" i="1"/>
  <c r="F10" i="3" l="1"/>
  <c r="E10" i="3"/>
  <c r="D10" i="3"/>
  <c r="C10" i="3"/>
  <c r="B10" i="3"/>
  <c r="B11" i="3"/>
  <c r="C11" i="3"/>
  <c r="D11" i="3"/>
  <c r="E11" i="3"/>
  <c r="F1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</calcChain>
</file>

<file path=xl/sharedStrings.xml><?xml version="1.0" encoding="utf-8"?>
<sst xmlns="http://schemas.openxmlformats.org/spreadsheetml/2006/main" count="42" uniqueCount="32">
  <si>
    <t>x</t>
  </si>
  <si>
    <t>F(x)=1/RACINE(ABS(COS(x*4)))</t>
  </si>
  <si>
    <t>Luc</t>
  </si>
  <si>
    <t>Pierre</t>
  </si>
  <si>
    <t>Charles</t>
  </si>
  <si>
    <t>Juliette</t>
  </si>
  <si>
    <t>Flore</t>
  </si>
  <si>
    <t>Récolte (kg)</t>
  </si>
  <si>
    <t>Nom</t>
  </si>
  <si>
    <t>Math</t>
  </si>
  <si>
    <t>Français</t>
  </si>
  <si>
    <t>Physique</t>
  </si>
  <si>
    <t>Hist/Géo</t>
  </si>
  <si>
    <t>Langue</t>
  </si>
  <si>
    <t>MANON</t>
  </si>
  <si>
    <t>CAMILLE</t>
  </si>
  <si>
    <t>LUCAS</t>
  </si>
  <si>
    <t>MAXIME</t>
  </si>
  <si>
    <t>LEA</t>
  </si>
  <si>
    <t>Moyenne</t>
  </si>
  <si>
    <t>Joël</t>
  </si>
  <si>
    <t>Élodie</t>
  </si>
  <si>
    <t>Jérôme</t>
  </si>
  <si>
    <t>Stéphanie</t>
  </si>
  <si>
    <t>Tour 1</t>
  </si>
  <si>
    <t>Tour 2</t>
  </si>
  <si>
    <t>Tour 3</t>
  </si>
  <si>
    <t>Tour 4</t>
  </si>
  <si>
    <t>Somme</t>
  </si>
  <si>
    <t>Minimum</t>
  </si>
  <si>
    <t>Maximum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</si>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</sst>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rial"/>
      <family val="2"/>
    </font>
    <font>
      <sz val="9"/>
      <color theme="6" tint="0.79998168889431442"/>
      <name val="Arial"/>
      <family val="2"/>
    </font>
    <font>
      <sz val="11"/>
      <color theme="1"/>
      <name val="Comic Sans MS"/>
      <family val="4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2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0" fillId="6" borderId="1" xfId="0" applyNumberFormat="1" applyFill="1" applyBorder="1"/>
    <xf numFmtId="2" fontId="0" fillId="7" borderId="1" xfId="0" applyNumberForma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75" zoomScaleNormal="175" workbookViewId="0">
      <selection activeCell="F8" sqref="F8"/>
    </sheetView>
  </sheetViews>
  <sheetFormatPr baseColWidth="10" defaultRowHeight="12" x14ac:dyDescent="0.2"/>
  <sheetData>
    <row r="1" spans="1:6" ht="16.5" x14ac:dyDescent="0.3">
      <c r="B1" s="6" t="s">
        <v>20</v>
      </c>
      <c r="C1" s="6" t="s">
        <v>21</v>
      </c>
      <c r="D1" s="6" t="s">
        <v>22</v>
      </c>
      <c r="E1" s="6" t="s">
        <v>23</v>
      </c>
      <c r="F1" s="8" t="s">
        <v>19</v>
      </c>
    </row>
    <row r="2" spans="1:6" x14ac:dyDescent="0.2">
      <c r="A2" s="4" t="s">
        <v>24</v>
      </c>
      <c r="B2" s="5">
        <v>53.43</v>
      </c>
      <c r="C2" s="5">
        <v>56.04</v>
      </c>
      <c r="D2" s="5">
        <v>52.46</v>
      </c>
      <c r="E2" s="5">
        <v>55.06</v>
      </c>
      <c r="F2" s="10">
        <f t="shared" ref="F2:F5" si="0">AVERAGE(B2:E2)</f>
        <v>54.247500000000002</v>
      </c>
    </row>
    <row r="3" spans="1:6" x14ac:dyDescent="0.2">
      <c r="A3" s="4" t="s">
        <v>25</v>
      </c>
      <c r="B3" s="5">
        <v>52.13</v>
      </c>
      <c r="C3" s="5">
        <v>54.8</v>
      </c>
      <c r="D3" s="5">
        <v>52.54</v>
      </c>
      <c r="E3" s="5">
        <v>55.34</v>
      </c>
      <c r="F3" s="10">
        <f t="shared" si="0"/>
        <v>53.702500000000001</v>
      </c>
    </row>
    <row r="4" spans="1:6" x14ac:dyDescent="0.2">
      <c r="A4" s="4" t="s">
        <v>26</v>
      </c>
      <c r="B4" s="5">
        <v>55.39</v>
      </c>
      <c r="C4" s="5">
        <v>53.43</v>
      </c>
      <c r="D4" s="5">
        <v>54.26</v>
      </c>
      <c r="E4" s="5">
        <v>56.45</v>
      </c>
      <c r="F4" s="10">
        <f t="shared" si="0"/>
        <v>54.882499999999993</v>
      </c>
    </row>
    <row r="5" spans="1:6" x14ac:dyDescent="0.2">
      <c r="A5" s="4" t="s">
        <v>27</v>
      </c>
      <c r="B5" s="5">
        <v>55.95</v>
      </c>
      <c r="C5" s="5">
        <v>54.02</v>
      </c>
      <c r="D5" s="5">
        <v>52.68</v>
      </c>
      <c r="E5" s="5">
        <v>54.38</v>
      </c>
      <c r="F5" s="10">
        <f t="shared" si="0"/>
        <v>54.2575</v>
      </c>
    </row>
    <row r="6" spans="1:6" x14ac:dyDescent="0.2">
      <c r="A6" s="4" t="s">
        <v>28</v>
      </c>
      <c r="B6" s="9">
        <f>SUM(B2:B5)</f>
        <v>216.89999999999998</v>
      </c>
      <c r="C6" s="9">
        <f>SUM(C2:C5)</f>
        <v>218.29000000000002</v>
      </c>
      <c r="D6" s="9">
        <f>SUM(D2:D5)</f>
        <v>211.94</v>
      </c>
      <c r="E6" s="9">
        <f>SUM(E2:E5)</f>
        <v>221.23000000000002</v>
      </c>
      <c r="F6" s="9">
        <f>SUM(F2:F5)</f>
        <v>217.08999999999997</v>
      </c>
    </row>
    <row r="7" spans="1:6" x14ac:dyDescent="0.2">
      <c r="A7" s="4" t="s">
        <v>19</v>
      </c>
      <c r="B7" s="9">
        <f>AVERAGE(B2:B5)</f>
        <v>54.224999999999994</v>
      </c>
      <c r="C7" s="9">
        <f>AVERAGE(C2:C5)</f>
        <v>54.572500000000005</v>
      </c>
      <c r="D7" s="9">
        <f>AVERAGE(D2:D5)</f>
        <v>52.984999999999999</v>
      </c>
      <c r="E7" s="9">
        <f>AVERAGE(E2:E5)</f>
        <v>55.307500000000005</v>
      </c>
      <c r="F7" s="9">
        <f>AVERAGE(F2:F5)</f>
        <v>54.272499999999994</v>
      </c>
    </row>
    <row r="8" spans="1:6" x14ac:dyDescent="0.2">
      <c r="A8" s="4" t="s">
        <v>29</v>
      </c>
      <c r="B8" s="9">
        <f>MIN(B2:B5)</f>
        <v>52.13</v>
      </c>
      <c r="C8" s="9">
        <f>MIN(C2:C5)</f>
        <v>53.43</v>
      </c>
      <c r="D8" s="9">
        <f>MIN(D2:D5)</f>
        <v>52.46</v>
      </c>
      <c r="E8" s="9">
        <f>MIN(E2:E5)</f>
        <v>54.38</v>
      </c>
      <c r="F8" s="9">
        <f>MIN(F2:F5)</f>
        <v>53.702500000000001</v>
      </c>
    </row>
    <row r="9" spans="1:6" x14ac:dyDescent="0.2">
      <c r="A9" s="4" t="s">
        <v>30</v>
      </c>
      <c r="B9" s="9">
        <f>MAX(B2:B5)</f>
        <v>55.95</v>
      </c>
      <c r="C9" s="9">
        <f>MAX(C2:C5)</f>
        <v>56.04</v>
      </c>
      <c r="D9" s="9">
        <f>MAX(D2:D5)</f>
        <v>54.26</v>
      </c>
      <c r="E9" s="9">
        <f>MAX(E2:E5)</f>
        <v>56.45</v>
      </c>
      <c r="F9" s="9">
        <f>MAX(F2:F5)</f>
        <v>54.882499999999993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160" zoomScaleNormal="160" workbookViewId="0">
      <selection activeCell="A7" sqref="A7:B7"/>
    </sheetView>
  </sheetViews>
  <sheetFormatPr baseColWidth="10" defaultRowHeight="12" x14ac:dyDescent="0.2"/>
  <sheetData>
    <row r="1" spans="1:2" x14ac:dyDescent="0.2">
      <c r="A1" s="2" t="s">
        <v>8</v>
      </c>
      <c r="B1" s="2" t="s">
        <v>7</v>
      </c>
    </row>
    <row r="2" spans="1:2" x14ac:dyDescent="0.2">
      <c r="A2" s="1" t="s">
        <v>6</v>
      </c>
      <c r="B2" s="1">
        <v>45</v>
      </c>
    </row>
    <row r="3" spans="1:2" x14ac:dyDescent="0.2">
      <c r="A3" s="1" t="s">
        <v>2</v>
      </c>
      <c r="B3" s="1">
        <v>23</v>
      </c>
    </row>
    <row r="4" spans="1:2" x14ac:dyDescent="0.2">
      <c r="A4" s="1" t="s">
        <v>3</v>
      </c>
      <c r="B4" s="1">
        <v>15</v>
      </c>
    </row>
    <row r="5" spans="1:2" x14ac:dyDescent="0.2">
      <c r="A5" s="1" t="s">
        <v>4</v>
      </c>
      <c r="B5" s="1">
        <v>32</v>
      </c>
    </row>
    <row r="6" spans="1:2" x14ac:dyDescent="0.2">
      <c r="A6" s="1" t="s">
        <v>5</v>
      </c>
      <c r="B6" s="1">
        <v>4</v>
      </c>
    </row>
    <row r="7" spans="1:2" x14ac:dyDescent="0.2">
      <c r="A7" s="11" t="s">
        <v>31</v>
      </c>
      <c r="B7" s="11">
        <f>SUM(B2:B6)</f>
        <v>119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zoomScale="175" zoomScaleNormal="175" workbookViewId="0"/>
  </sheetViews>
  <sheetFormatPr baseColWidth="10" defaultRowHeight="12" x14ac:dyDescent="0.2"/>
  <cols>
    <col min="2" max="2" width="32.140625" bestFit="1" customWidth="1"/>
  </cols>
  <sheetData>
    <row r="1" spans="1:2" ht="14.25" x14ac:dyDescent="0.2">
      <c r="A1" s="7" t="s">
        <v>0</v>
      </c>
      <c r="B1" s="7" t="s">
        <v>1</v>
      </c>
    </row>
    <row r="2" spans="1:2" x14ac:dyDescent="0.2">
      <c r="A2" s="1">
        <v>0</v>
      </c>
      <c r="B2" s="1">
        <f>1/SQRT(ABS(COS(A2*4)))</f>
        <v>1</v>
      </c>
    </row>
    <row r="3" spans="1:2" x14ac:dyDescent="0.2">
      <c r="A3" s="1">
        <v>0.1</v>
      </c>
      <c r="B3" s="1">
        <f t="shared" ref="B3:B66" si="0">1/SQRT(ABS(COS(A3*4)))</f>
        <v>1.0419714143791272</v>
      </c>
    </row>
    <row r="4" spans="1:2" x14ac:dyDescent="0.2">
      <c r="A4" s="1">
        <v>0.2</v>
      </c>
      <c r="B4" s="1">
        <f t="shared" si="0"/>
        <v>1.1980501657577782</v>
      </c>
    </row>
    <row r="5" spans="1:2" x14ac:dyDescent="0.2">
      <c r="A5" s="1">
        <v>0.3</v>
      </c>
      <c r="B5" s="1">
        <f t="shared" si="0"/>
        <v>1.6612355646723935</v>
      </c>
    </row>
    <row r="6" spans="1:2" x14ac:dyDescent="0.2">
      <c r="A6" s="1">
        <v>0.4</v>
      </c>
      <c r="B6" s="1">
        <f t="shared" si="0"/>
        <v>5.8521052288914444</v>
      </c>
    </row>
    <row r="7" spans="1:2" x14ac:dyDescent="0.2">
      <c r="A7" s="1">
        <v>0.5</v>
      </c>
      <c r="B7" s="1">
        <f t="shared" si="0"/>
        <v>1.5501606244910175</v>
      </c>
    </row>
    <row r="8" spans="1:2" x14ac:dyDescent="0.2">
      <c r="A8" s="1">
        <v>0.6</v>
      </c>
      <c r="B8" s="1">
        <f t="shared" si="0"/>
        <v>1.1645289352671109</v>
      </c>
    </row>
    <row r="9" spans="1:2" x14ac:dyDescent="0.2">
      <c r="A9" s="1">
        <v>0.7</v>
      </c>
      <c r="B9" s="1">
        <f t="shared" si="0"/>
        <v>1.0302041648618616</v>
      </c>
    </row>
    <row r="10" spans="1:2" x14ac:dyDescent="0.2">
      <c r="A10" s="1">
        <v>0.8</v>
      </c>
      <c r="B10" s="1">
        <f t="shared" si="0"/>
        <v>1.0008537040755456</v>
      </c>
    </row>
    <row r="11" spans="1:2" x14ac:dyDescent="0.2">
      <c r="A11" s="1">
        <v>0.9</v>
      </c>
      <c r="B11" s="1">
        <f t="shared" si="0"/>
        <v>1.0559959907302336</v>
      </c>
    </row>
    <row r="12" spans="1:2" x14ac:dyDescent="0.2">
      <c r="A12" s="1">
        <v>1</v>
      </c>
      <c r="B12" s="1">
        <f t="shared" si="0"/>
        <v>1.2368854661877136</v>
      </c>
    </row>
    <row r="13" spans="1:2" x14ac:dyDescent="0.2">
      <c r="A13" s="1">
        <v>1.1000000000000001</v>
      </c>
      <c r="B13" s="1">
        <f t="shared" si="0"/>
        <v>1.803829537699764</v>
      </c>
    </row>
    <row r="14" spans="1:2" x14ac:dyDescent="0.2">
      <c r="A14" s="1">
        <v>1.2</v>
      </c>
      <c r="B14" s="1">
        <f t="shared" si="0"/>
        <v>3.3806366568103687</v>
      </c>
    </row>
    <row r="15" spans="1:2" x14ac:dyDescent="0.2">
      <c r="A15" s="1">
        <v>1.3</v>
      </c>
      <c r="B15" s="1">
        <f t="shared" si="0"/>
        <v>1.460957140718407</v>
      </c>
    </row>
    <row r="16" spans="1:2" x14ac:dyDescent="0.2">
      <c r="A16" s="1">
        <v>1.4</v>
      </c>
      <c r="B16" s="1">
        <f t="shared" si="0"/>
        <v>1.1355091891410678</v>
      </c>
    </row>
    <row r="17" spans="1:2" x14ac:dyDescent="0.2">
      <c r="A17" s="1">
        <v>1.5</v>
      </c>
      <c r="B17" s="1">
        <f t="shared" si="0"/>
        <v>1.0205302183645066</v>
      </c>
    </row>
    <row r="18" spans="1:2" x14ac:dyDescent="0.2">
      <c r="A18" s="1">
        <v>1.6</v>
      </c>
      <c r="B18" s="1">
        <f t="shared" si="0"/>
        <v>1.0034250571292427</v>
      </c>
    </row>
    <row r="19" spans="1:2" x14ac:dyDescent="0.2">
      <c r="A19" s="1">
        <v>1.7</v>
      </c>
      <c r="B19" s="1">
        <f t="shared" si="0"/>
        <v>1.0724839680882945</v>
      </c>
    </row>
    <row r="20" spans="1:2" x14ac:dyDescent="0.2">
      <c r="A20" s="1">
        <v>1.8</v>
      </c>
      <c r="B20" s="1">
        <f t="shared" si="0"/>
        <v>1.2821025813713529</v>
      </c>
    </row>
    <row r="21" spans="1:2" x14ac:dyDescent="0.2">
      <c r="A21" s="1">
        <v>1.9</v>
      </c>
      <c r="B21" s="1">
        <f t="shared" si="0"/>
        <v>1.9949795964770061</v>
      </c>
    </row>
    <row r="22" spans="1:2" x14ac:dyDescent="0.2">
      <c r="A22" s="1">
        <v>2</v>
      </c>
      <c r="B22" s="1">
        <f t="shared" si="0"/>
        <v>2.6216122208843875</v>
      </c>
    </row>
    <row r="23" spans="1:2" x14ac:dyDescent="0.2">
      <c r="A23" s="1">
        <v>2.1</v>
      </c>
      <c r="B23" s="1">
        <f t="shared" si="0"/>
        <v>1.3876999833466246</v>
      </c>
    </row>
    <row r="24" spans="1:2" x14ac:dyDescent="0.2">
      <c r="A24" s="1">
        <v>2.2000000000000002</v>
      </c>
      <c r="B24" s="1">
        <f t="shared" si="0"/>
        <v>1.1103622022502395</v>
      </c>
    </row>
    <row r="25" spans="1:2" x14ac:dyDescent="0.2">
      <c r="A25" s="1">
        <v>2.2999999999999998</v>
      </c>
      <c r="B25" s="1">
        <f t="shared" si="0"/>
        <v>1.0128205926289653</v>
      </c>
    </row>
    <row r="26" spans="1:2" x14ac:dyDescent="0.2">
      <c r="A26" s="1">
        <v>2.4</v>
      </c>
      <c r="B26" s="1">
        <f t="shared" si="0"/>
        <v>1.0077451324146833</v>
      </c>
    </row>
    <row r="27" spans="1:2" x14ac:dyDescent="0.2">
      <c r="A27" s="1">
        <v>2.5</v>
      </c>
      <c r="B27" s="1">
        <f t="shared" si="0"/>
        <v>1.0916929544005933</v>
      </c>
    </row>
    <row r="28" spans="1:2" x14ac:dyDescent="0.2">
      <c r="A28" s="1">
        <v>2.6</v>
      </c>
      <c r="B28" s="1">
        <f t="shared" si="0"/>
        <v>1.3351334077256733</v>
      </c>
    </row>
    <row r="29" spans="1:2" x14ac:dyDescent="0.2">
      <c r="A29" s="1">
        <v>2.7</v>
      </c>
      <c r="B29" s="1">
        <f t="shared" si="0"/>
        <v>2.2684550560521752</v>
      </c>
    </row>
    <row r="30" spans="1:2" x14ac:dyDescent="0.2">
      <c r="A30" s="1">
        <v>2.8</v>
      </c>
      <c r="B30" s="1">
        <f t="shared" si="0"/>
        <v>2.2194572194889792</v>
      </c>
    </row>
    <row r="31" spans="1:2" x14ac:dyDescent="0.2">
      <c r="A31" s="1">
        <v>2.9</v>
      </c>
      <c r="B31" s="1">
        <f t="shared" si="0"/>
        <v>1.3265240692073925</v>
      </c>
    </row>
    <row r="32" spans="1:2" x14ac:dyDescent="0.2">
      <c r="A32" s="1">
        <v>3</v>
      </c>
      <c r="B32" s="1">
        <f t="shared" si="0"/>
        <v>1.0885950468810635</v>
      </c>
    </row>
    <row r="33" spans="1:2" x14ac:dyDescent="0.2">
      <c r="A33" s="1">
        <v>3.1</v>
      </c>
      <c r="B33" s="1">
        <f t="shared" si="0"/>
        <v>1.0069761762659069</v>
      </c>
    </row>
    <row r="34" spans="1:2" x14ac:dyDescent="0.2">
      <c r="A34" s="1">
        <v>3.2</v>
      </c>
      <c r="B34" s="1">
        <f t="shared" si="0"/>
        <v>1.0138669119774344</v>
      </c>
    </row>
    <row r="35" spans="1:2" x14ac:dyDescent="0.2">
      <c r="A35" s="1">
        <v>3.3</v>
      </c>
      <c r="B35" s="1">
        <f t="shared" si="0"/>
        <v>1.1139449903568019</v>
      </c>
    </row>
    <row r="36" spans="1:2" x14ac:dyDescent="0.2">
      <c r="A36" s="1">
        <v>3.4</v>
      </c>
      <c r="B36" s="1">
        <f t="shared" si="0"/>
        <v>1.3979466486173839</v>
      </c>
    </row>
    <row r="37" spans="1:2" x14ac:dyDescent="0.2">
      <c r="A37" s="1">
        <v>3.5</v>
      </c>
      <c r="B37" s="1">
        <f t="shared" si="0"/>
        <v>2.7043109697716106</v>
      </c>
    </row>
    <row r="38" spans="1:2" x14ac:dyDescent="0.2">
      <c r="A38" s="1">
        <v>3.6</v>
      </c>
      <c r="B38" s="1">
        <f t="shared" si="0"/>
        <v>1.9618505490014619</v>
      </c>
    </row>
    <row r="39" spans="1:2" x14ac:dyDescent="0.2">
      <c r="A39" s="1">
        <v>3.7</v>
      </c>
      <c r="B39" s="1">
        <f t="shared" si="0"/>
        <v>1.2747881604911326</v>
      </c>
    </row>
    <row r="40" spans="1:2" x14ac:dyDescent="0.2">
      <c r="A40" s="1">
        <v>3.8</v>
      </c>
      <c r="B40" s="1">
        <f t="shared" si="0"/>
        <v>1.0698173593342322</v>
      </c>
    </row>
    <row r="41" spans="1:2" x14ac:dyDescent="0.2">
      <c r="A41" s="1">
        <v>3.9</v>
      </c>
      <c r="B41" s="1">
        <f t="shared" si="0"/>
        <v>1.002923961923045</v>
      </c>
    </row>
    <row r="42" spans="1:2" x14ac:dyDescent="0.2">
      <c r="A42" s="1">
        <v>4</v>
      </c>
      <c r="B42" s="1">
        <f t="shared" si="0"/>
        <v>1.0218671635288614</v>
      </c>
    </row>
    <row r="43" spans="1:2" x14ac:dyDescent="0.2">
      <c r="A43" s="1">
        <v>4.0999999999999996</v>
      </c>
      <c r="B43" s="1">
        <f t="shared" si="0"/>
        <v>1.1396442759421086</v>
      </c>
    </row>
    <row r="44" spans="1:2" x14ac:dyDescent="0.2">
      <c r="A44" s="1">
        <v>4.2</v>
      </c>
      <c r="B44" s="1">
        <f t="shared" si="0"/>
        <v>1.4733332387859948</v>
      </c>
    </row>
    <row r="45" spans="1:2" x14ac:dyDescent="0.2">
      <c r="A45" s="1">
        <v>4.3</v>
      </c>
      <c r="B45" s="1">
        <f t="shared" si="0"/>
        <v>3.5651089523912742</v>
      </c>
    </row>
    <row r="46" spans="1:2" x14ac:dyDescent="0.2">
      <c r="A46" s="1">
        <v>4.4000000000000004</v>
      </c>
      <c r="B46" s="1">
        <f t="shared" si="0"/>
        <v>1.7796418714632851</v>
      </c>
    </row>
    <row r="47" spans="1:2" x14ac:dyDescent="0.2">
      <c r="A47" s="1">
        <v>4.5</v>
      </c>
      <c r="B47" s="1">
        <f t="shared" si="0"/>
        <v>1.2306196820253745</v>
      </c>
    </row>
    <row r="48" spans="1:2" x14ac:dyDescent="0.2">
      <c r="A48" s="1">
        <v>4.5999999999999996</v>
      </c>
      <c r="B48" s="1">
        <f t="shared" si="0"/>
        <v>1.0537178638527107</v>
      </c>
    </row>
    <row r="49" spans="1:2" x14ac:dyDescent="0.2">
      <c r="A49" s="1">
        <v>4.7</v>
      </c>
      <c r="B49" s="1">
        <f t="shared" si="0"/>
        <v>1.0006143874508324</v>
      </c>
    </row>
    <row r="50" spans="1:2" x14ac:dyDescent="0.2">
      <c r="A50" s="1">
        <v>4.8</v>
      </c>
      <c r="B50" s="1">
        <f t="shared" si="0"/>
        <v>1.031849252408148</v>
      </c>
    </row>
    <row r="51" spans="1:2" x14ac:dyDescent="0.2">
      <c r="A51" s="1">
        <v>4.9000000000000004</v>
      </c>
      <c r="B51" s="1">
        <f t="shared" si="0"/>
        <v>1.1693018859196325</v>
      </c>
    </row>
    <row r="52" spans="1:2" x14ac:dyDescent="0.2">
      <c r="A52" s="1">
        <v>5</v>
      </c>
      <c r="B52" s="1">
        <f t="shared" si="0"/>
        <v>1.5654033093604682</v>
      </c>
    </row>
    <row r="53" spans="1:2" x14ac:dyDescent="0.2">
      <c r="A53" s="1">
        <v>5.0999999999999996</v>
      </c>
      <c r="B53" s="1">
        <f t="shared" si="0"/>
        <v>7.0098511249494022</v>
      </c>
    </row>
    <row r="54" spans="1:2" x14ac:dyDescent="0.2">
      <c r="A54" s="1">
        <v>5.2</v>
      </c>
      <c r="B54" s="1">
        <f t="shared" si="0"/>
        <v>1.642673318855568</v>
      </c>
    </row>
    <row r="55" spans="1:2" x14ac:dyDescent="0.2">
      <c r="A55" s="1">
        <v>5.3</v>
      </c>
      <c r="B55" s="1">
        <f t="shared" si="0"/>
        <v>1.1926510451668908</v>
      </c>
    </row>
    <row r="56" spans="1:2" x14ac:dyDescent="0.2">
      <c r="A56" s="1">
        <v>5.4</v>
      </c>
      <c r="B56" s="1">
        <f t="shared" si="0"/>
        <v>1.0400474939446798</v>
      </c>
    </row>
    <row r="57" spans="1:2" x14ac:dyDescent="0.2">
      <c r="A57" s="1">
        <v>5.5</v>
      </c>
      <c r="B57" s="1">
        <f t="shared" si="0"/>
        <v>1.0000195873781645</v>
      </c>
    </row>
    <row r="58" spans="1:2" x14ac:dyDescent="0.2">
      <c r="A58" s="1">
        <v>5.6</v>
      </c>
      <c r="B58" s="1">
        <f t="shared" si="0"/>
        <v>1.0439470992769793</v>
      </c>
    </row>
    <row r="59" spans="1:2" x14ac:dyDescent="0.2">
      <c r="A59" s="1">
        <v>5.7</v>
      </c>
      <c r="B59" s="1">
        <f t="shared" si="0"/>
        <v>1.2035708627832122</v>
      </c>
    </row>
    <row r="60" spans="1:2" x14ac:dyDescent="0.2">
      <c r="A60" s="1">
        <v>5.8</v>
      </c>
      <c r="B60" s="1">
        <f t="shared" si="0"/>
        <v>1.680509000344441</v>
      </c>
    </row>
    <row r="61" spans="1:2" x14ac:dyDescent="0.2">
      <c r="A61" s="1">
        <v>5.9</v>
      </c>
      <c r="B61" s="1">
        <f t="shared" si="0"/>
        <v>5.1267954654023633</v>
      </c>
    </row>
    <row r="62" spans="1:2" x14ac:dyDescent="0.2">
      <c r="A62" s="1">
        <v>6</v>
      </c>
      <c r="B62" s="1">
        <f t="shared" si="0"/>
        <v>1.5354137103442722</v>
      </c>
    </row>
    <row r="63" spans="1:2" x14ac:dyDescent="0.2">
      <c r="A63" s="1">
        <v>6.1</v>
      </c>
      <c r="B63" s="1">
        <f t="shared" si="0"/>
        <v>1.1598590288827202</v>
      </c>
    </row>
    <row r="64" spans="1:2" x14ac:dyDescent="0.2">
      <c r="A64" s="1">
        <v>6.2</v>
      </c>
      <c r="B64" s="1">
        <f t="shared" si="0"/>
        <v>1.0286070877073885</v>
      </c>
    </row>
    <row r="65" spans="1:2" x14ac:dyDescent="0.2">
      <c r="A65" s="1">
        <v>6.3</v>
      </c>
      <c r="B65" s="1">
        <f t="shared" si="0"/>
        <v>1.0011324300006488</v>
      </c>
    </row>
    <row r="66" spans="1:2" x14ac:dyDescent="0.2">
      <c r="A66" s="1">
        <v>6.4</v>
      </c>
      <c r="B66" s="1">
        <f t="shared" si="0"/>
        <v>1.0583305973305419</v>
      </c>
    </row>
    <row r="67" spans="1:2" x14ac:dyDescent="0.2">
      <c r="A67" s="1">
        <v>6.5</v>
      </c>
      <c r="B67" s="1">
        <f t="shared" ref="B67:B78" si="1">1/SQRT(ABS(COS(A67*4)))</f>
        <v>1.2432971511756574</v>
      </c>
    </row>
    <row r="68" spans="1:2" x14ac:dyDescent="0.2">
      <c r="A68" s="1">
        <v>6.6</v>
      </c>
      <c r="B68" s="1">
        <f t="shared" si="1"/>
        <v>1.8291046907196438</v>
      </c>
    </row>
    <row r="69" spans="1:2" x14ac:dyDescent="0.2">
      <c r="A69" s="1">
        <v>6.7</v>
      </c>
      <c r="B69" s="1">
        <f t="shared" si="1"/>
        <v>3.2222388691610648</v>
      </c>
    </row>
    <row r="70" spans="1:2" x14ac:dyDescent="0.2">
      <c r="A70" s="1">
        <v>6.8</v>
      </c>
      <c r="B70" s="1">
        <f t="shared" si="1"/>
        <v>1.4489436007142187</v>
      </c>
    </row>
    <row r="71" spans="1:2" x14ac:dyDescent="0.2">
      <c r="A71" s="1">
        <v>6.9</v>
      </c>
      <c r="B71" s="1">
        <f t="shared" si="1"/>
        <v>1.1314627949938767</v>
      </c>
    </row>
    <row r="72" spans="1:2" x14ac:dyDescent="0.2">
      <c r="A72" s="1">
        <v>7</v>
      </c>
      <c r="B72" s="1">
        <f t="shared" si="1"/>
        <v>1.0192383309075561</v>
      </c>
    </row>
    <row r="73" spans="1:2" x14ac:dyDescent="0.2">
      <c r="A73" s="1">
        <v>7.1</v>
      </c>
      <c r="B73" s="1">
        <f t="shared" si="1"/>
        <v>1.0039662732796655</v>
      </c>
    </row>
    <row r="74" spans="1:2" x14ac:dyDescent="0.2">
      <c r="A74" s="1">
        <v>7.2</v>
      </c>
      <c r="B74" s="1">
        <f t="shared" si="1"/>
        <v>1.0752129490915474</v>
      </c>
    </row>
    <row r="75" spans="1:2" x14ac:dyDescent="0.2">
      <c r="A75" s="1">
        <v>7.3</v>
      </c>
      <c r="B75" s="1">
        <f t="shared" si="1"/>
        <v>1.2895954768766076</v>
      </c>
    </row>
    <row r="76" spans="1:2" x14ac:dyDescent="0.2">
      <c r="A76" s="1">
        <v>7.4</v>
      </c>
      <c r="B76" s="1">
        <f t="shared" si="1"/>
        <v>2.0299280348826234</v>
      </c>
    </row>
    <row r="77" spans="1:2" x14ac:dyDescent="0.2">
      <c r="A77" s="1">
        <v>7.5</v>
      </c>
      <c r="B77" s="1">
        <f t="shared" si="1"/>
        <v>2.5461581323560165</v>
      </c>
    </row>
    <row r="78" spans="1:2" x14ac:dyDescent="0.2">
      <c r="A78" s="1">
        <v>7.6</v>
      </c>
      <c r="B78" s="1">
        <f t="shared" si="1"/>
        <v>1.3777285772744743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="130" zoomScaleNormal="130" workbookViewId="0">
      <selection activeCell="C10" sqref="C10"/>
    </sheetView>
  </sheetViews>
  <sheetFormatPr baseColWidth="10" defaultRowHeight="12" x14ac:dyDescent="0.2"/>
  <sheetData>
    <row r="1" spans="1:6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">
      <c r="A2" s="11" t="s">
        <v>14</v>
      </c>
      <c r="B2" s="1">
        <v>14</v>
      </c>
      <c r="C2" s="1">
        <v>12</v>
      </c>
      <c r="D2" s="1">
        <v>12</v>
      </c>
      <c r="E2" s="1">
        <v>9</v>
      </c>
      <c r="F2" s="1">
        <v>10</v>
      </c>
    </row>
    <row r="3" spans="1:6" x14ac:dyDescent="0.2">
      <c r="A3" s="11" t="s">
        <v>15</v>
      </c>
      <c r="B3" s="1">
        <v>9</v>
      </c>
      <c r="C3" s="1">
        <v>14</v>
      </c>
      <c r="D3" s="1">
        <v>10</v>
      </c>
      <c r="E3" s="1">
        <v>6</v>
      </c>
      <c r="F3" s="1">
        <v>8</v>
      </c>
    </row>
    <row r="4" spans="1:6" x14ac:dyDescent="0.2">
      <c r="A4" s="11" t="s">
        <v>16</v>
      </c>
      <c r="B4" s="1">
        <v>14</v>
      </c>
      <c r="C4" s="1">
        <v>16</v>
      </c>
      <c r="D4" s="1">
        <v>18</v>
      </c>
      <c r="E4" s="1">
        <v>12</v>
      </c>
      <c r="F4" s="1">
        <v>12</v>
      </c>
    </row>
    <row r="5" spans="1:6" x14ac:dyDescent="0.2">
      <c r="A5" s="11" t="s">
        <v>17</v>
      </c>
      <c r="B5" s="1">
        <v>7</v>
      </c>
      <c r="C5" s="1">
        <v>9</v>
      </c>
      <c r="D5" s="1">
        <v>6</v>
      </c>
      <c r="E5" s="1">
        <v>10</v>
      </c>
      <c r="F5" s="1">
        <v>8</v>
      </c>
    </row>
    <row r="6" spans="1:6" x14ac:dyDescent="0.2">
      <c r="A6" s="11" t="s">
        <v>18</v>
      </c>
      <c r="B6" s="1">
        <v>12</v>
      </c>
      <c r="C6" s="1">
        <v>15</v>
      </c>
      <c r="D6" s="1">
        <v>12</v>
      </c>
      <c r="E6" s="1">
        <v>8</v>
      </c>
      <c r="F6" s="1">
        <v>9</v>
      </c>
    </row>
    <row r="9" spans="1:6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</row>
    <row r="10" spans="1:6" x14ac:dyDescent="0.2">
      <c r="A10" s="11" t="s">
        <v>18</v>
      </c>
      <c r="B10" s="1">
        <f>VLOOKUP($A$10,$A$2:$F$6,2,FALSE)</f>
        <v>12</v>
      </c>
      <c r="C10" s="1">
        <f>VLOOKUP($A$10,$A$2:$F$6,3,FALSE)</f>
        <v>15</v>
      </c>
      <c r="D10" s="1">
        <f>VLOOKUP($A$10,$A$2:$F$6,4,FALSE)</f>
        <v>12</v>
      </c>
      <c r="E10" s="1">
        <f>VLOOKUP($A$10,$A$2:$F$6,5,FALSE)</f>
        <v>8</v>
      </c>
      <c r="F10" s="1">
        <f>VLOOKUP($A$10,$A$2:$F$6,6,FALSE)</f>
        <v>9</v>
      </c>
    </row>
    <row r="11" spans="1:6" x14ac:dyDescent="0.2">
      <c r="A11" s="11" t="s">
        <v>19</v>
      </c>
      <c r="B11" s="1">
        <f>AVERAGE(B2:B6)</f>
        <v>11.2</v>
      </c>
      <c r="C11" s="1">
        <f>AVERAGE(C2:C6)</f>
        <v>13.2</v>
      </c>
      <c r="D11" s="1">
        <f>AVERAGE(D2:D6)</f>
        <v>11.6</v>
      </c>
      <c r="E11" s="1">
        <f>AVERAGE(E2:E6)</f>
        <v>9</v>
      </c>
      <c r="F11" s="1">
        <f>AVERAGE(F2:F6)</f>
        <v>9.4</v>
      </c>
    </row>
  </sheetData>
  <dataValidations count="1">
    <dataValidation type="list" allowBlank="1" showInputMessage="1" showErrorMessage="1" sqref="A10" xr:uid="{00000000-0002-0000-0300-000000000000}">
      <formula1>$A$2:$A$6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Courbes</vt:lpstr>
      <vt:lpstr>Secteur</vt:lpstr>
      <vt:lpstr>Nuage de points</vt:lpstr>
      <vt:lpstr>Radar</vt:lpstr>
    </vt:vector>
  </TitlesOfParts>
  <Company>CG25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format9</dc:creator>
  <cp:lastModifiedBy>Damien</cp:lastModifiedBy>
  <dcterms:created xsi:type="dcterms:W3CDTF">2017-11-16T11:58:14Z</dcterms:created>
  <dcterms:modified xsi:type="dcterms:W3CDTF">2020-10-09T15:13:19Z</dcterms:modified>
</cp:coreProperties>
</file>