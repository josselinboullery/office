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Damien\Josselin\Excel Ini\Exos supplémentaires\"/>
    </mc:Choice>
  </mc:AlternateContent>
  <xr:revisionPtr revIDLastSave="0" documentId="13_ncr:1_{160B52EC-FD43-4C08-BEF0-E330A8A39998}" xr6:coauthVersionLast="45" xr6:coauthVersionMax="45" xr10:uidLastSave="{00000000-0000-0000-0000-000000000000}"/>
  <bookViews>
    <workbookView xWindow="-21720" yWindow="9315" windowWidth="21840" windowHeight="13140" tabRatio="467" xr2:uid="{00000000-000D-0000-FFFF-FFFF00000000}"/>
  </bookViews>
  <sheets>
    <sheet name="01-2017" sheetId="3" r:id="rId1"/>
    <sheet name="Feuil1" sheetId="4" r:id="rId2"/>
    <sheet name="Feuil2" sheetId="5" r:id="rId3"/>
  </sheets>
  <definedNames>
    <definedName name="_xlnm.Print_Titles" localSheetId="0">'01-2017'!$3:$3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H7" i="3" s="1"/>
  <c r="F8" i="3"/>
  <c r="F9" i="3"/>
  <c r="F10" i="3"/>
  <c r="H10" i="3" s="1"/>
  <c r="F11" i="3"/>
  <c r="H11" i="3" s="1"/>
  <c r="F12" i="3"/>
  <c r="F13" i="3"/>
  <c r="F14" i="3"/>
  <c r="F15" i="3"/>
  <c r="H15" i="3" s="1"/>
  <c r="F16" i="3"/>
  <c r="F17" i="3"/>
  <c r="F18" i="3"/>
  <c r="F19" i="3"/>
  <c r="H19" i="3" s="1"/>
  <c r="F20" i="3"/>
  <c r="F21" i="3"/>
  <c r="F22" i="3"/>
  <c r="F23" i="3"/>
  <c r="H23" i="3" s="1"/>
  <c r="F24" i="3"/>
  <c r="F25" i="3"/>
  <c r="F26" i="3"/>
  <c r="F27" i="3"/>
  <c r="H27" i="3" s="1"/>
  <c r="L27" i="3" s="1"/>
  <c r="M27" i="3" s="1"/>
  <c r="F28" i="3"/>
  <c r="F29" i="3"/>
  <c r="F30" i="3"/>
  <c r="F31" i="3"/>
  <c r="H31" i="3" s="1"/>
  <c r="F32" i="3"/>
  <c r="F33" i="3"/>
  <c r="F34" i="3"/>
  <c r="F35" i="3"/>
  <c r="F36" i="3"/>
  <c r="F37" i="3"/>
  <c r="F38" i="3"/>
  <c r="F39" i="3"/>
  <c r="F40" i="3"/>
  <c r="F41" i="3"/>
  <c r="F42" i="3"/>
  <c r="F43" i="3"/>
  <c r="H43" i="3" s="1"/>
  <c r="L43" i="3" s="1"/>
  <c r="M43" i="3" s="1"/>
  <c r="F44" i="3"/>
  <c r="F45" i="3"/>
  <c r="F46" i="3"/>
  <c r="F47" i="3"/>
  <c r="H47" i="3" s="1"/>
  <c r="F48" i="3"/>
  <c r="F49" i="3"/>
  <c r="F50" i="3"/>
  <c r="F51" i="3"/>
  <c r="H51" i="3" s="1"/>
  <c r="F52" i="3"/>
  <c r="F53" i="3"/>
  <c r="F54" i="3"/>
  <c r="F55" i="3"/>
  <c r="H55" i="3" s="1"/>
  <c r="F56" i="3"/>
  <c r="F57" i="3"/>
  <c r="F58" i="3"/>
  <c r="F59" i="3"/>
  <c r="H59" i="3" s="1"/>
  <c r="L59" i="3" s="1"/>
  <c r="M59" i="3" s="1"/>
  <c r="F60" i="3"/>
  <c r="F61" i="3"/>
  <c r="F62" i="3"/>
  <c r="F63" i="3"/>
  <c r="F64" i="3"/>
  <c r="F65" i="3"/>
  <c r="F66" i="3"/>
  <c r="F67" i="3"/>
  <c r="F68" i="3"/>
  <c r="F69" i="3"/>
  <c r="F70" i="3"/>
  <c r="F71" i="3"/>
  <c r="H71" i="3" s="1"/>
  <c r="L71" i="3" s="1"/>
  <c r="M71" i="3" s="1"/>
  <c r="F72" i="3"/>
  <c r="F73" i="3"/>
  <c r="F74" i="3"/>
  <c r="F75" i="3"/>
  <c r="H75" i="3" s="1"/>
  <c r="F76" i="3"/>
  <c r="F77" i="3"/>
  <c r="F78" i="3"/>
  <c r="F79" i="3"/>
  <c r="H79" i="3" s="1"/>
  <c r="L79" i="3" s="1"/>
  <c r="M79" i="3" s="1"/>
  <c r="F80" i="3"/>
  <c r="F81" i="3"/>
  <c r="F82" i="3"/>
  <c r="F83" i="3"/>
  <c r="H83" i="3" s="1"/>
  <c r="F84" i="3"/>
  <c r="F85" i="3"/>
  <c r="F86" i="3"/>
  <c r="F87" i="3"/>
  <c r="H87" i="3" s="1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H103" i="3" s="1"/>
  <c r="L103" i="3" s="1"/>
  <c r="M103" i="3" s="1"/>
  <c r="F104" i="3"/>
  <c r="F105" i="3"/>
  <c r="F106" i="3"/>
  <c r="F107" i="3"/>
  <c r="H107" i="3" s="1"/>
  <c r="F108" i="3"/>
  <c r="F109" i="3"/>
  <c r="F110" i="3"/>
  <c r="F111" i="3"/>
  <c r="H111" i="3" s="1"/>
  <c r="L111" i="3" s="1"/>
  <c r="M111" i="3" s="1"/>
  <c r="F112" i="3"/>
  <c r="F113" i="3"/>
  <c r="F114" i="3"/>
  <c r="F115" i="3"/>
  <c r="H115" i="3" s="1"/>
  <c r="F116" i="3"/>
  <c r="F117" i="3"/>
  <c r="F118" i="3"/>
  <c r="F119" i="3"/>
  <c r="H119" i="3" s="1"/>
  <c r="L119" i="3" s="1"/>
  <c r="M119" i="3" s="1"/>
  <c r="F120" i="3"/>
  <c r="F121" i="3"/>
  <c r="F122" i="3"/>
  <c r="F123" i="3"/>
  <c r="H123" i="3" s="1"/>
  <c r="F124" i="3"/>
  <c r="F125" i="3"/>
  <c r="F126" i="3"/>
  <c r="F127" i="3"/>
  <c r="H127" i="3" s="1"/>
  <c r="L127" i="3" s="1"/>
  <c r="M127" i="3" s="1"/>
  <c r="F128" i="3"/>
  <c r="F129" i="3"/>
  <c r="F130" i="3"/>
  <c r="F131" i="3"/>
  <c r="H131" i="3" s="1"/>
  <c r="F132" i="3"/>
  <c r="F133" i="3"/>
  <c r="F134" i="3"/>
  <c r="F135" i="3"/>
  <c r="H135" i="3" s="1"/>
  <c r="F136" i="3"/>
  <c r="F137" i="3"/>
  <c r="F138" i="3"/>
  <c r="F139" i="3"/>
  <c r="H139" i="3" s="1"/>
  <c r="F140" i="3"/>
  <c r="F141" i="3"/>
  <c r="F142" i="3"/>
  <c r="F143" i="3"/>
  <c r="F144" i="3"/>
  <c r="F145" i="3"/>
  <c r="F146" i="3"/>
  <c r="F147" i="3"/>
  <c r="F148" i="3"/>
  <c r="F149" i="3"/>
  <c r="F150" i="3"/>
  <c r="F151" i="3"/>
  <c r="H151" i="3" s="1"/>
  <c r="F152" i="3"/>
  <c r="F153" i="3"/>
  <c r="F154" i="3"/>
  <c r="F155" i="3"/>
  <c r="H155" i="3" s="1"/>
  <c r="F156" i="3"/>
  <c r="F157" i="3"/>
  <c r="F158" i="3"/>
  <c r="I158" i="3"/>
  <c r="K158" i="3" s="1"/>
  <c r="H158" i="3"/>
  <c r="D158" i="3"/>
  <c r="I157" i="3"/>
  <c r="K157" i="3" s="1"/>
  <c r="H157" i="3"/>
  <c r="D157" i="3"/>
  <c r="I156" i="3"/>
  <c r="K156" i="3" s="1"/>
  <c r="H156" i="3"/>
  <c r="D156" i="3"/>
  <c r="I155" i="3"/>
  <c r="K155" i="3" s="1"/>
  <c r="D155" i="3"/>
  <c r="I154" i="3"/>
  <c r="K154" i="3" s="1"/>
  <c r="H154" i="3"/>
  <c r="D154" i="3"/>
  <c r="I153" i="3"/>
  <c r="K153" i="3" s="1"/>
  <c r="H153" i="3"/>
  <c r="D153" i="3"/>
  <c r="I152" i="3"/>
  <c r="K152" i="3" s="1"/>
  <c r="H152" i="3"/>
  <c r="L152" i="3" s="1"/>
  <c r="M152" i="3" s="1"/>
  <c r="D152" i="3"/>
  <c r="I151" i="3"/>
  <c r="K151" i="3" s="1"/>
  <c r="D151" i="3"/>
  <c r="I150" i="3"/>
  <c r="K150" i="3" s="1"/>
  <c r="H150" i="3"/>
  <c r="L150" i="3" s="1"/>
  <c r="M150" i="3" s="1"/>
  <c r="D150" i="3"/>
  <c r="I149" i="3"/>
  <c r="K149" i="3" s="1"/>
  <c r="H149" i="3"/>
  <c r="D149" i="3"/>
  <c r="I148" i="3"/>
  <c r="K148" i="3" s="1"/>
  <c r="H148" i="3"/>
  <c r="L148" i="3" s="1"/>
  <c r="M148" i="3" s="1"/>
  <c r="D148" i="3"/>
  <c r="K147" i="3"/>
  <c r="I147" i="3"/>
  <c r="H147" i="3"/>
  <c r="D147" i="3"/>
  <c r="I146" i="3"/>
  <c r="K146" i="3" s="1"/>
  <c r="H146" i="3"/>
  <c r="D146" i="3"/>
  <c r="I145" i="3"/>
  <c r="K145" i="3" s="1"/>
  <c r="H145" i="3"/>
  <c r="D145" i="3"/>
  <c r="I144" i="3"/>
  <c r="K144" i="3" s="1"/>
  <c r="H144" i="3"/>
  <c r="D144" i="3"/>
  <c r="I143" i="3"/>
  <c r="K143" i="3" s="1"/>
  <c r="H143" i="3"/>
  <c r="D143" i="3"/>
  <c r="I142" i="3"/>
  <c r="K142" i="3" s="1"/>
  <c r="H142" i="3"/>
  <c r="D142" i="3"/>
  <c r="I141" i="3"/>
  <c r="K141" i="3" s="1"/>
  <c r="H141" i="3"/>
  <c r="D141" i="3"/>
  <c r="I140" i="3"/>
  <c r="K140" i="3" s="1"/>
  <c r="H140" i="3"/>
  <c r="D140" i="3"/>
  <c r="I139" i="3"/>
  <c r="K139" i="3" s="1"/>
  <c r="D139" i="3"/>
  <c r="I138" i="3"/>
  <c r="K138" i="3" s="1"/>
  <c r="H138" i="3"/>
  <c r="D138" i="3"/>
  <c r="I137" i="3"/>
  <c r="K137" i="3" s="1"/>
  <c r="H137" i="3"/>
  <c r="D137" i="3"/>
  <c r="I136" i="3"/>
  <c r="K136" i="3" s="1"/>
  <c r="H136" i="3"/>
  <c r="L136" i="3" s="1"/>
  <c r="M136" i="3" s="1"/>
  <c r="D136" i="3"/>
  <c r="I135" i="3"/>
  <c r="K135" i="3" s="1"/>
  <c r="D135" i="3"/>
  <c r="I134" i="3"/>
  <c r="K134" i="3" s="1"/>
  <c r="H134" i="3"/>
  <c r="L134" i="3" s="1"/>
  <c r="M134" i="3" s="1"/>
  <c r="D134" i="3"/>
  <c r="K133" i="3"/>
  <c r="I133" i="3"/>
  <c r="H133" i="3"/>
  <c r="L133" i="3" s="1"/>
  <c r="M133" i="3" s="1"/>
  <c r="D133" i="3"/>
  <c r="I132" i="3"/>
  <c r="K132" i="3" s="1"/>
  <c r="H132" i="3"/>
  <c r="D132" i="3"/>
  <c r="I131" i="3"/>
  <c r="K131" i="3" s="1"/>
  <c r="D131" i="3"/>
  <c r="I130" i="3"/>
  <c r="K130" i="3" s="1"/>
  <c r="H130" i="3"/>
  <c r="D130" i="3"/>
  <c r="I129" i="3"/>
  <c r="K129" i="3" s="1"/>
  <c r="H129" i="3"/>
  <c r="D129" i="3"/>
  <c r="I128" i="3"/>
  <c r="K128" i="3" s="1"/>
  <c r="H128" i="3"/>
  <c r="L128" i="3" s="1"/>
  <c r="M128" i="3" s="1"/>
  <c r="D128" i="3"/>
  <c r="I127" i="3"/>
  <c r="K127" i="3" s="1"/>
  <c r="D127" i="3"/>
  <c r="I126" i="3"/>
  <c r="K126" i="3" s="1"/>
  <c r="H126" i="3"/>
  <c r="D126" i="3"/>
  <c r="I125" i="3"/>
  <c r="K125" i="3" s="1"/>
  <c r="H125" i="3"/>
  <c r="L125" i="3" s="1"/>
  <c r="M125" i="3" s="1"/>
  <c r="D125" i="3"/>
  <c r="K124" i="3"/>
  <c r="I124" i="3"/>
  <c r="H124" i="3"/>
  <c r="D124" i="3"/>
  <c r="I123" i="3"/>
  <c r="K123" i="3" s="1"/>
  <c r="D123" i="3"/>
  <c r="I122" i="3"/>
  <c r="K122" i="3" s="1"/>
  <c r="H122" i="3"/>
  <c r="D122" i="3"/>
  <c r="I121" i="3"/>
  <c r="K121" i="3" s="1"/>
  <c r="H121" i="3"/>
  <c r="D121" i="3"/>
  <c r="I120" i="3"/>
  <c r="K120" i="3" s="1"/>
  <c r="H120" i="3"/>
  <c r="D120" i="3"/>
  <c r="I119" i="3"/>
  <c r="K119" i="3" s="1"/>
  <c r="D119" i="3"/>
  <c r="I118" i="3"/>
  <c r="K118" i="3" s="1"/>
  <c r="H118" i="3"/>
  <c r="D118" i="3"/>
  <c r="I117" i="3"/>
  <c r="K117" i="3" s="1"/>
  <c r="H117" i="3"/>
  <c r="D117" i="3"/>
  <c r="I116" i="3"/>
  <c r="K116" i="3" s="1"/>
  <c r="H116" i="3"/>
  <c r="D116" i="3"/>
  <c r="I115" i="3"/>
  <c r="K115" i="3" s="1"/>
  <c r="D115" i="3"/>
  <c r="I114" i="3"/>
  <c r="K114" i="3" s="1"/>
  <c r="H114" i="3"/>
  <c r="D114" i="3"/>
  <c r="I113" i="3"/>
  <c r="K113" i="3" s="1"/>
  <c r="H113" i="3"/>
  <c r="L113" i="3" s="1"/>
  <c r="M113" i="3" s="1"/>
  <c r="D113" i="3"/>
  <c r="I112" i="3"/>
  <c r="K112" i="3" s="1"/>
  <c r="H112" i="3"/>
  <c r="D112" i="3"/>
  <c r="I111" i="3"/>
  <c r="K111" i="3" s="1"/>
  <c r="D111" i="3"/>
  <c r="I110" i="3"/>
  <c r="K110" i="3" s="1"/>
  <c r="H110" i="3"/>
  <c r="D110" i="3"/>
  <c r="I109" i="3"/>
  <c r="K109" i="3" s="1"/>
  <c r="H109" i="3"/>
  <c r="L109" i="3" s="1"/>
  <c r="M109" i="3" s="1"/>
  <c r="D109" i="3"/>
  <c r="K108" i="3"/>
  <c r="I108" i="3"/>
  <c r="H108" i="3"/>
  <c r="D108" i="3"/>
  <c r="I107" i="3"/>
  <c r="K107" i="3" s="1"/>
  <c r="D107" i="3"/>
  <c r="I106" i="3"/>
  <c r="K106" i="3" s="1"/>
  <c r="H106" i="3"/>
  <c r="D106" i="3"/>
  <c r="I105" i="3"/>
  <c r="K105" i="3" s="1"/>
  <c r="H105" i="3"/>
  <c r="D105" i="3"/>
  <c r="I104" i="3"/>
  <c r="K104" i="3" s="1"/>
  <c r="H104" i="3"/>
  <c r="D104" i="3"/>
  <c r="I103" i="3"/>
  <c r="K103" i="3" s="1"/>
  <c r="D103" i="3"/>
  <c r="I102" i="3"/>
  <c r="K102" i="3" s="1"/>
  <c r="H102" i="3"/>
  <c r="D102" i="3"/>
  <c r="I101" i="3"/>
  <c r="K101" i="3" s="1"/>
  <c r="H101" i="3"/>
  <c r="D101" i="3"/>
  <c r="I100" i="3"/>
  <c r="K100" i="3" s="1"/>
  <c r="H100" i="3"/>
  <c r="D100" i="3"/>
  <c r="I99" i="3"/>
  <c r="K99" i="3" s="1"/>
  <c r="H99" i="3"/>
  <c r="D99" i="3"/>
  <c r="I98" i="3"/>
  <c r="K98" i="3" s="1"/>
  <c r="H98" i="3"/>
  <c r="D98" i="3"/>
  <c r="I97" i="3"/>
  <c r="K97" i="3" s="1"/>
  <c r="H97" i="3"/>
  <c r="L97" i="3" s="1"/>
  <c r="M97" i="3" s="1"/>
  <c r="D97" i="3"/>
  <c r="I96" i="3"/>
  <c r="K96" i="3" s="1"/>
  <c r="H96" i="3"/>
  <c r="D96" i="3"/>
  <c r="I95" i="3"/>
  <c r="K95" i="3" s="1"/>
  <c r="H95" i="3"/>
  <c r="D95" i="3"/>
  <c r="I94" i="3"/>
  <c r="K94" i="3" s="1"/>
  <c r="H94" i="3"/>
  <c r="D94" i="3"/>
  <c r="I93" i="3"/>
  <c r="K93" i="3" s="1"/>
  <c r="H93" i="3"/>
  <c r="D93" i="3"/>
  <c r="I92" i="3"/>
  <c r="K92" i="3" s="1"/>
  <c r="H92" i="3"/>
  <c r="D92" i="3"/>
  <c r="I91" i="3"/>
  <c r="K91" i="3" s="1"/>
  <c r="H91" i="3"/>
  <c r="L91" i="3" s="1"/>
  <c r="M91" i="3" s="1"/>
  <c r="D91" i="3"/>
  <c r="I90" i="3"/>
  <c r="K90" i="3" s="1"/>
  <c r="H90" i="3"/>
  <c r="D90" i="3"/>
  <c r="I89" i="3"/>
  <c r="K89" i="3" s="1"/>
  <c r="H89" i="3"/>
  <c r="D89" i="3"/>
  <c r="I88" i="3"/>
  <c r="K88" i="3" s="1"/>
  <c r="H88" i="3"/>
  <c r="D88" i="3"/>
  <c r="I87" i="3"/>
  <c r="K87" i="3" s="1"/>
  <c r="D87" i="3"/>
  <c r="I86" i="3"/>
  <c r="K86" i="3" s="1"/>
  <c r="H86" i="3"/>
  <c r="D86" i="3"/>
  <c r="I85" i="3"/>
  <c r="K85" i="3" s="1"/>
  <c r="H85" i="3"/>
  <c r="D85" i="3"/>
  <c r="I84" i="3"/>
  <c r="K84" i="3" s="1"/>
  <c r="H84" i="3"/>
  <c r="L84" i="3" s="1"/>
  <c r="M84" i="3" s="1"/>
  <c r="D84" i="3"/>
  <c r="I83" i="3"/>
  <c r="K83" i="3" s="1"/>
  <c r="D83" i="3"/>
  <c r="I82" i="3"/>
  <c r="K82" i="3" s="1"/>
  <c r="H82" i="3"/>
  <c r="D82" i="3"/>
  <c r="I81" i="3"/>
  <c r="K81" i="3" s="1"/>
  <c r="H81" i="3"/>
  <c r="D81" i="3"/>
  <c r="I80" i="3"/>
  <c r="K80" i="3" s="1"/>
  <c r="H80" i="3"/>
  <c r="L80" i="3" s="1"/>
  <c r="M80" i="3" s="1"/>
  <c r="D80" i="3"/>
  <c r="I79" i="3"/>
  <c r="K79" i="3" s="1"/>
  <c r="D79" i="3"/>
  <c r="I78" i="3"/>
  <c r="K78" i="3" s="1"/>
  <c r="H78" i="3"/>
  <c r="D78" i="3"/>
  <c r="K77" i="3"/>
  <c r="I77" i="3"/>
  <c r="H77" i="3"/>
  <c r="L77" i="3" s="1"/>
  <c r="M77" i="3" s="1"/>
  <c r="D77" i="3"/>
  <c r="I76" i="3"/>
  <c r="K76" i="3" s="1"/>
  <c r="H76" i="3"/>
  <c r="D76" i="3"/>
  <c r="I75" i="3"/>
  <c r="K75" i="3" s="1"/>
  <c r="D75" i="3"/>
  <c r="I74" i="3"/>
  <c r="K74" i="3" s="1"/>
  <c r="H74" i="3"/>
  <c r="D74" i="3"/>
  <c r="I73" i="3"/>
  <c r="K73" i="3" s="1"/>
  <c r="H73" i="3"/>
  <c r="D73" i="3"/>
  <c r="I72" i="3"/>
  <c r="K72" i="3" s="1"/>
  <c r="H72" i="3"/>
  <c r="D72" i="3"/>
  <c r="I71" i="3"/>
  <c r="K71" i="3" s="1"/>
  <c r="D71" i="3"/>
  <c r="K70" i="3"/>
  <c r="I70" i="3"/>
  <c r="H70" i="3"/>
  <c r="D70" i="3"/>
  <c r="K69" i="3"/>
  <c r="I69" i="3"/>
  <c r="H69" i="3"/>
  <c r="D69" i="3"/>
  <c r="I68" i="3"/>
  <c r="K68" i="3" s="1"/>
  <c r="H68" i="3"/>
  <c r="D68" i="3"/>
  <c r="I67" i="3"/>
  <c r="K67" i="3" s="1"/>
  <c r="H67" i="3"/>
  <c r="D67" i="3"/>
  <c r="I66" i="3"/>
  <c r="K66" i="3" s="1"/>
  <c r="H66" i="3"/>
  <c r="D66" i="3"/>
  <c r="I65" i="3"/>
  <c r="K65" i="3" s="1"/>
  <c r="H65" i="3"/>
  <c r="L65" i="3" s="1"/>
  <c r="M65" i="3" s="1"/>
  <c r="D65" i="3"/>
  <c r="I64" i="3"/>
  <c r="K64" i="3" s="1"/>
  <c r="H64" i="3"/>
  <c r="D64" i="3"/>
  <c r="I63" i="3"/>
  <c r="K63" i="3" s="1"/>
  <c r="H63" i="3"/>
  <c r="D63" i="3"/>
  <c r="K62" i="3"/>
  <c r="I62" i="3"/>
  <c r="H62" i="3"/>
  <c r="D62" i="3"/>
  <c r="I61" i="3"/>
  <c r="K61" i="3" s="1"/>
  <c r="H61" i="3"/>
  <c r="D61" i="3"/>
  <c r="I60" i="3"/>
  <c r="K60" i="3" s="1"/>
  <c r="H60" i="3"/>
  <c r="L60" i="3" s="1"/>
  <c r="M60" i="3" s="1"/>
  <c r="D60" i="3"/>
  <c r="I59" i="3"/>
  <c r="K59" i="3" s="1"/>
  <c r="D59" i="3"/>
  <c r="I58" i="3"/>
  <c r="K58" i="3" s="1"/>
  <c r="H58" i="3"/>
  <c r="D58" i="3"/>
  <c r="I57" i="3"/>
  <c r="K57" i="3" s="1"/>
  <c r="H57" i="3"/>
  <c r="D57" i="3"/>
  <c r="I56" i="3"/>
  <c r="K56" i="3" s="1"/>
  <c r="H56" i="3"/>
  <c r="D56" i="3"/>
  <c r="I55" i="3"/>
  <c r="K55" i="3" s="1"/>
  <c r="D55" i="3"/>
  <c r="I54" i="3"/>
  <c r="K54" i="3" s="1"/>
  <c r="H54" i="3"/>
  <c r="D54" i="3"/>
  <c r="I53" i="3"/>
  <c r="K53" i="3" s="1"/>
  <c r="H53" i="3"/>
  <c r="L53" i="3" s="1"/>
  <c r="M53" i="3" s="1"/>
  <c r="D53" i="3"/>
  <c r="I52" i="3"/>
  <c r="K52" i="3" s="1"/>
  <c r="H52" i="3"/>
  <c r="D52" i="3"/>
  <c r="I51" i="3"/>
  <c r="K51" i="3" s="1"/>
  <c r="D51" i="3"/>
  <c r="I50" i="3"/>
  <c r="K50" i="3" s="1"/>
  <c r="H50" i="3"/>
  <c r="D50" i="3"/>
  <c r="I49" i="3"/>
  <c r="K49" i="3" s="1"/>
  <c r="H49" i="3"/>
  <c r="L49" i="3" s="1"/>
  <c r="M49" i="3" s="1"/>
  <c r="D49" i="3"/>
  <c r="I48" i="3"/>
  <c r="K48" i="3" s="1"/>
  <c r="H48" i="3"/>
  <c r="D48" i="3"/>
  <c r="I47" i="3"/>
  <c r="K47" i="3" s="1"/>
  <c r="D47" i="3"/>
  <c r="K46" i="3"/>
  <c r="I46" i="3"/>
  <c r="H46" i="3"/>
  <c r="D46" i="3"/>
  <c r="I45" i="3"/>
  <c r="K45" i="3" s="1"/>
  <c r="H45" i="3"/>
  <c r="D45" i="3"/>
  <c r="I44" i="3"/>
  <c r="K44" i="3" s="1"/>
  <c r="H44" i="3"/>
  <c r="L44" i="3" s="1"/>
  <c r="M44" i="3" s="1"/>
  <c r="D44" i="3"/>
  <c r="I43" i="3"/>
  <c r="K43" i="3" s="1"/>
  <c r="D43" i="3"/>
  <c r="I42" i="3"/>
  <c r="K42" i="3" s="1"/>
  <c r="H42" i="3"/>
  <c r="D42" i="3"/>
  <c r="I41" i="3"/>
  <c r="K41" i="3" s="1"/>
  <c r="H41" i="3"/>
  <c r="D41" i="3"/>
  <c r="I40" i="3"/>
  <c r="K40" i="3" s="1"/>
  <c r="H40" i="3"/>
  <c r="D40" i="3"/>
  <c r="I39" i="3"/>
  <c r="K39" i="3" s="1"/>
  <c r="H39" i="3"/>
  <c r="D39" i="3"/>
  <c r="I38" i="3"/>
  <c r="K38" i="3" s="1"/>
  <c r="H38" i="3"/>
  <c r="D38" i="3"/>
  <c r="I37" i="3"/>
  <c r="K37" i="3" s="1"/>
  <c r="H37" i="3"/>
  <c r="L37" i="3" s="1"/>
  <c r="M37" i="3" s="1"/>
  <c r="D37" i="3"/>
  <c r="I36" i="3"/>
  <c r="K36" i="3" s="1"/>
  <c r="H36" i="3"/>
  <c r="D36" i="3"/>
  <c r="I35" i="3"/>
  <c r="K35" i="3" s="1"/>
  <c r="H35" i="3"/>
  <c r="D35" i="3"/>
  <c r="K27" i="3"/>
  <c r="K4" i="3"/>
  <c r="I5" i="3"/>
  <c r="K5" i="3" s="1"/>
  <c r="I6" i="3"/>
  <c r="K6" i="3" s="1"/>
  <c r="I7" i="3"/>
  <c r="K7" i="3" s="1"/>
  <c r="I8" i="3"/>
  <c r="K8" i="3" s="1"/>
  <c r="I9" i="3"/>
  <c r="K9" i="3" s="1"/>
  <c r="I10" i="3"/>
  <c r="K10" i="3" s="1"/>
  <c r="I11" i="3"/>
  <c r="K11" i="3" s="1"/>
  <c r="I12" i="3"/>
  <c r="K12" i="3" s="1"/>
  <c r="I13" i="3"/>
  <c r="K13" i="3" s="1"/>
  <c r="I14" i="3"/>
  <c r="K14" i="3" s="1"/>
  <c r="I15" i="3"/>
  <c r="K15" i="3" s="1"/>
  <c r="I16" i="3"/>
  <c r="K16" i="3" s="1"/>
  <c r="I17" i="3"/>
  <c r="K17" i="3" s="1"/>
  <c r="I18" i="3"/>
  <c r="K18" i="3" s="1"/>
  <c r="I19" i="3"/>
  <c r="K19" i="3" s="1"/>
  <c r="I20" i="3"/>
  <c r="K20" i="3" s="1"/>
  <c r="I21" i="3"/>
  <c r="K21" i="3" s="1"/>
  <c r="I22" i="3"/>
  <c r="K22" i="3" s="1"/>
  <c r="L22" i="3" s="1"/>
  <c r="M22" i="3" s="1"/>
  <c r="I23" i="3"/>
  <c r="K23" i="3" s="1"/>
  <c r="I24" i="3"/>
  <c r="K24" i="3" s="1"/>
  <c r="L24" i="3" s="1"/>
  <c r="M24" i="3" s="1"/>
  <c r="I25" i="3"/>
  <c r="K25" i="3" s="1"/>
  <c r="I26" i="3"/>
  <c r="K26" i="3" s="1"/>
  <c r="L26" i="3" s="1"/>
  <c r="M26" i="3" s="1"/>
  <c r="I27" i="3"/>
  <c r="I28" i="3"/>
  <c r="K28" i="3" s="1"/>
  <c r="I29" i="3"/>
  <c r="K29" i="3" s="1"/>
  <c r="I30" i="3"/>
  <c r="K30" i="3" s="1"/>
  <c r="L30" i="3" s="1"/>
  <c r="M30" i="3" s="1"/>
  <c r="I31" i="3"/>
  <c r="K31" i="3" s="1"/>
  <c r="I32" i="3"/>
  <c r="K32" i="3" s="1"/>
  <c r="I33" i="3"/>
  <c r="K33" i="3" s="1"/>
  <c r="I34" i="3"/>
  <c r="K34" i="3" s="1"/>
  <c r="L34" i="3" s="1"/>
  <c r="M34" i="3" s="1"/>
  <c r="I4" i="3"/>
  <c r="H5" i="3"/>
  <c r="H6" i="3"/>
  <c r="H8" i="3"/>
  <c r="H9" i="3"/>
  <c r="H12" i="3"/>
  <c r="H13" i="3"/>
  <c r="H14" i="3"/>
  <c r="H16" i="3"/>
  <c r="H17" i="3"/>
  <c r="H18" i="3"/>
  <c r="H20" i="3"/>
  <c r="H21" i="3"/>
  <c r="H22" i="3"/>
  <c r="H24" i="3"/>
  <c r="H25" i="3"/>
  <c r="H26" i="3"/>
  <c r="H28" i="3"/>
  <c r="H29" i="3"/>
  <c r="H30" i="3"/>
  <c r="H32" i="3"/>
  <c r="H33" i="3"/>
  <c r="H34" i="3"/>
  <c r="H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4" i="3"/>
  <c r="L6" i="3" l="1"/>
  <c r="M6" i="3" s="1"/>
  <c r="L8" i="3"/>
  <c r="M8" i="3" s="1"/>
  <c r="L11" i="3"/>
  <c r="M11" i="3" s="1"/>
  <c r="L32" i="3"/>
  <c r="M32" i="3" s="1"/>
  <c r="L28" i="3"/>
  <c r="M28" i="3" s="1"/>
  <c r="L20" i="3"/>
  <c r="M20" i="3" s="1"/>
  <c r="L16" i="3"/>
  <c r="M16" i="3" s="1"/>
  <c r="L12" i="3"/>
  <c r="M12" i="3" s="1"/>
  <c r="L31" i="3"/>
  <c r="M31" i="3" s="1"/>
  <c r="L15" i="3"/>
  <c r="M15" i="3" s="1"/>
  <c r="L42" i="3"/>
  <c r="M42" i="3" s="1"/>
  <c r="L72" i="3"/>
  <c r="M72" i="3" s="1"/>
  <c r="L76" i="3"/>
  <c r="M76" i="3" s="1"/>
  <c r="L90" i="3"/>
  <c r="M90" i="3" s="1"/>
  <c r="L117" i="3"/>
  <c r="M117" i="3" s="1"/>
  <c r="L121" i="3"/>
  <c r="M121" i="3" s="1"/>
  <c r="L126" i="3"/>
  <c r="M126" i="3" s="1"/>
  <c r="L142" i="3"/>
  <c r="M142" i="3" s="1"/>
  <c r="L156" i="3"/>
  <c r="M156" i="3" s="1"/>
  <c r="L18" i="3"/>
  <c r="M18" i="3" s="1"/>
  <c r="L14" i="3"/>
  <c r="M14" i="3" s="1"/>
  <c r="L10" i="3"/>
  <c r="M10" i="3" s="1"/>
  <c r="L69" i="3"/>
  <c r="M69" i="3" s="1"/>
  <c r="L70" i="3"/>
  <c r="M70" i="3" s="1"/>
  <c r="L4" i="3"/>
  <c r="M4" i="3" s="1"/>
  <c r="L29" i="3"/>
  <c r="M29" i="3" s="1"/>
  <c r="L25" i="3"/>
  <c r="M25" i="3" s="1"/>
  <c r="L21" i="3"/>
  <c r="M21" i="3" s="1"/>
  <c r="L13" i="3"/>
  <c r="M13" i="3" s="1"/>
  <c r="L9" i="3"/>
  <c r="M9" i="3" s="1"/>
  <c r="L5" i="3"/>
  <c r="M5" i="3" s="1"/>
  <c r="L58" i="3"/>
  <c r="M58" i="3" s="1"/>
  <c r="L92" i="3"/>
  <c r="M92" i="3" s="1"/>
  <c r="L96" i="3"/>
  <c r="M96" i="3" s="1"/>
  <c r="L101" i="3"/>
  <c r="M101" i="3" s="1"/>
  <c r="L105" i="3"/>
  <c r="M105" i="3" s="1"/>
  <c r="L140" i="3"/>
  <c r="M140" i="3" s="1"/>
  <c r="L144" i="3"/>
  <c r="M144" i="3" s="1"/>
  <c r="L154" i="3"/>
  <c r="M154" i="3" s="1"/>
  <c r="L158" i="3"/>
  <c r="M158" i="3" s="1"/>
  <c r="L19" i="3"/>
  <c r="M19" i="3" s="1"/>
  <c r="L7" i="3"/>
  <c r="M7" i="3" s="1"/>
  <c r="L23" i="3"/>
  <c r="M23" i="3" s="1"/>
  <c r="L35" i="3"/>
  <c r="M35" i="3" s="1"/>
  <c r="L45" i="3"/>
  <c r="M45" i="3" s="1"/>
  <c r="L50" i="3"/>
  <c r="M50" i="3" s="1"/>
  <c r="L51" i="3"/>
  <c r="M51" i="3" s="1"/>
  <c r="L61" i="3"/>
  <c r="M61" i="3" s="1"/>
  <c r="L66" i="3"/>
  <c r="M66" i="3" s="1"/>
  <c r="L67" i="3"/>
  <c r="M67" i="3" s="1"/>
  <c r="L73" i="3"/>
  <c r="M73" i="3" s="1"/>
  <c r="L74" i="3"/>
  <c r="M74" i="3" s="1"/>
  <c r="L75" i="3"/>
  <c r="M75" i="3" s="1"/>
  <c r="L81" i="3"/>
  <c r="M81" i="3" s="1"/>
  <c r="L82" i="3"/>
  <c r="M82" i="3" s="1"/>
  <c r="L83" i="3"/>
  <c r="M83" i="3" s="1"/>
  <c r="L88" i="3"/>
  <c r="M88" i="3" s="1"/>
  <c r="L93" i="3"/>
  <c r="M93" i="3" s="1"/>
  <c r="L98" i="3"/>
  <c r="M98" i="3" s="1"/>
  <c r="L99" i="3"/>
  <c r="M99" i="3" s="1"/>
  <c r="L106" i="3"/>
  <c r="M106" i="3" s="1"/>
  <c r="L107" i="3"/>
  <c r="M107" i="3" s="1"/>
  <c r="L114" i="3"/>
  <c r="M114" i="3" s="1"/>
  <c r="L115" i="3"/>
  <c r="M115" i="3" s="1"/>
  <c r="L122" i="3"/>
  <c r="M122" i="3" s="1"/>
  <c r="L123" i="3"/>
  <c r="M123" i="3" s="1"/>
  <c r="L129" i="3"/>
  <c r="M129" i="3" s="1"/>
  <c r="L130" i="3"/>
  <c r="M130" i="3" s="1"/>
  <c r="L137" i="3"/>
  <c r="M137" i="3" s="1"/>
  <c r="L138" i="3"/>
  <c r="M138" i="3" s="1"/>
  <c r="L145" i="3"/>
  <c r="M145" i="3" s="1"/>
  <c r="L146" i="3"/>
  <c r="M146" i="3" s="1"/>
  <c r="L153" i="3"/>
  <c r="M153" i="3" s="1"/>
  <c r="L33" i="3"/>
  <c r="M33" i="3" s="1"/>
  <c r="L38" i="3"/>
  <c r="M38" i="3" s="1"/>
  <c r="L54" i="3"/>
  <c r="M54" i="3" s="1"/>
  <c r="L120" i="3"/>
  <c r="M120" i="3" s="1"/>
  <c r="L143" i="3"/>
  <c r="M143" i="3" s="1"/>
  <c r="L151" i="3"/>
  <c r="M151" i="3" s="1"/>
  <c r="L78" i="3"/>
  <c r="M78" i="3" s="1"/>
  <c r="L85" i="3"/>
  <c r="M85" i="3" s="1"/>
  <c r="L102" i="3"/>
  <c r="M102" i="3" s="1"/>
  <c r="L110" i="3"/>
  <c r="M110" i="3" s="1"/>
  <c r="L118" i="3"/>
  <c r="M118" i="3" s="1"/>
  <c r="L141" i="3"/>
  <c r="M141" i="3" s="1"/>
  <c r="L149" i="3"/>
  <c r="M149" i="3" s="1"/>
  <c r="L157" i="3"/>
  <c r="M157" i="3" s="1"/>
  <c r="L17" i="3"/>
  <c r="M17" i="3" s="1"/>
  <c r="L104" i="3"/>
  <c r="M104" i="3" s="1"/>
  <c r="L112" i="3"/>
  <c r="M112" i="3" s="1"/>
  <c r="L135" i="3"/>
  <c r="M135" i="3" s="1"/>
  <c r="L36" i="3"/>
  <c r="M36" i="3" s="1"/>
  <c r="L41" i="3"/>
  <c r="M41" i="3" s="1"/>
  <c r="L46" i="3"/>
  <c r="M46" i="3" s="1"/>
  <c r="L52" i="3"/>
  <c r="M52" i="3" s="1"/>
  <c r="L57" i="3"/>
  <c r="M57" i="3" s="1"/>
  <c r="L62" i="3"/>
  <c r="M62" i="3" s="1"/>
  <c r="L68" i="3"/>
  <c r="M68" i="3" s="1"/>
  <c r="L89" i="3"/>
  <c r="M89" i="3" s="1"/>
  <c r="L100" i="3"/>
  <c r="M100" i="3" s="1"/>
  <c r="L108" i="3"/>
  <c r="M108" i="3" s="1"/>
  <c r="L116" i="3"/>
  <c r="M116" i="3" s="1"/>
  <c r="L124" i="3"/>
  <c r="M124" i="3" s="1"/>
  <c r="L131" i="3"/>
  <c r="M131" i="3" s="1"/>
  <c r="L132" i="3"/>
  <c r="M132" i="3" s="1"/>
  <c r="L139" i="3"/>
  <c r="M139" i="3" s="1"/>
  <c r="L147" i="3"/>
  <c r="M147" i="3" s="1"/>
  <c r="L155" i="3"/>
  <c r="M155" i="3" s="1"/>
  <c r="L86" i="3"/>
  <c r="M86" i="3" s="1"/>
  <c r="L87" i="3"/>
  <c r="M87" i="3" s="1"/>
  <c r="L94" i="3"/>
  <c r="M94" i="3" s="1"/>
  <c r="L95" i="3"/>
  <c r="M95" i="3" s="1"/>
  <c r="L39" i="3"/>
  <c r="M39" i="3" s="1"/>
  <c r="L40" i="3"/>
  <c r="M40" i="3" s="1"/>
  <c r="L47" i="3"/>
  <c r="M47" i="3" s="1"/>
  <c r="L48" i="3"/>
  <c r="M48" i="3" s="1"/>
  <c r="L55" i="3"/>
  <c r="M55" i="3" s="1"/>
  <c r="L56" i="3"/>
  <c r="M56" i="3" s="1"/>
  <c r="L63" i="3"/>
  <c r="M63" i="3" s="1"/>
  <c r="L64" i="3"/>
  <c r="M64" i="3" s="1"/>
</calcChain>
</file>

<file path=xl/sharedStrings.xml><?xml version="1.0" encoding="utf-8"?>
<sst xmlns="http://schemas.openxmlformats.org/spreadsheetml/2006/main" count="14" uniqueCount="14">
  <si>
    <t>Date</t>
  </si>
  <si>
    <t>KM
du jour</t>
  </si>
  <si>
    <t>tarif livraison
unitaire</t>
  </si>
  <si>
    <t>CA</t>
  </si>
  <si>
    <t>Coût
Horaire</t>
  </si>
  <si>
    <t>Calcul de marge</t>
  </si>
  <si>
    <t>Coût Véhicule
(par km)</t>
  </si>
  <si>
    <t>Moyenne km
Par colis</t>
  </si>
  <si>
    <t>Coût Véhicule
Par colis</t>
  </si>
  <si>
    <t>Marge
par colis</t>
  </si>
  <si>
    <t>Coût Salarié
par colis</t>
  </si>
  <si>
    <t>Temps moyen
Par colis (8H /J)</t>
  </si>
  <si>
    <t>TOTAL
par colis</t>
  </si>
  <si>
    <t>Nb
de colis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</si>
</sst>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2" fontId="0" fillId="0" borderId="1" xfId="0" applyNumberFormat="1" applyBorder="1"/>
    <xf numFmtId="4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99FF99"/>
      <color rgb="FF99FF66"/>
      <color rgb="FFDA99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8"/>
  <sheetViews>
    <sheetView tabSelected="1" view="pageLayout" zoomScale="70" zoomScaleNormal="100" zoomScalePageLayoutView="70" workbookViewId="0">
      <selection activeCell="L13" sqref="K13:L13"/>
    </sheetView>
  </sheetViews>
  <sheetFormatPr baseColWidth="10" defaultColWidth="11.42578125" defaultRowHeight="15" x14ac:dyDescent="0.25"/>
  <cols>
    <col min="1" max="1" width="11.5703125" bestFit="1" customWidth="1"/>
    <col min="2" max="2" width="8.28515625" bestFit="1" customWidth="1"/>
    <col min="3" max="3" width="14" bestFit="1" customWidth="1"/>
    <col min="4" max="4" width="9.7109375" customWidth="1"/>
    <col min="5" max="5" width="8.5703125" customWidth="1"/>
    <col min="6" max="6" width="14.28515625" customWidth="1"/>
    <col min="7" max="7" width="14.85546875" bestFit="1" customWidth="1"/>
    <col min="8" max="8" width="14.85546875" customWidth="1"/>
    <col min="9" max="9" width="16.140625" customWidth="1"/>
    <col min="10" max="10" width="9.7109375" bestFit="1" customWidth="1"/>
    <col min="11" max="11" width="12.7109375" bestFit="1" customWidth="1"/>
    <col min="12" max="12" width="10.140625" customWidth="1"/>
    <col min="13" max="13" width="9.140625" bestFit="1" customWidth="1"/>
  </cols>
  <sheetData>
    <row r="1" spans="1:13" ht="23.25" x14ac:dyDescent="0.3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s="1" customFormat="1" ht="31.5" x14ac:dyDescent="0.25">
      <c r="A3" s="7" t="s">
        <v>0</v>
      </c>
      <c r="B3" s="8" t="s">
        <v>13</v>
      </c>
      <c r="C3" s="8" t="s">
        <v>2</v>
      </c>
      <c r="D3" s="8" t="s">
        <v>3</v>
      </c>
      <c r="E3" s="8" t="s">
        <v>1</v>
      </c>
      <c r="F3" s="8" t="s">
        <v>7</v>
      </c>
      <c r="G3" s="8" t="s">
        <v>6</v>
      </c>
      <c r="H3" s="9" t="s">
        <v>8</v>
      </c>
      <c r="I3" s="8" t="s">
        <v>11</v>
      </c>
      <c r="J3" s="8" t="s">
        <v>4</v>
      </c>
      <c r="K3" s="9" t="s">
        <v>10</v>
      </c>
      <c r="L3" s="8" t="s">
        <v>12</v>
      </c>
      <c r="M3" s="8" t="s">
        <v>9</v>
      </c>
    </row>
    <row r="4" spans="1:13" x14ac:dyDescent="0.25">
      <c r="A4" s="2">
        <v>43831</v>
      </c>
      <c r="B4" s="3">
        <v>25</v>
      </c>
      <c r="C4" s="4">
        <v>9.5</v>
      </c>
      <c r="D4" s="4">
        <f>B4*C4</f>
        <v>237.5</v>
      </c>
      <c r="E4" s="3">
        <v>150</v>
      </c>
      <c r="F4" s="5">
        <f>E4/B4</f>
        <v>6</v>
      </c>
      <c r="G4" s="4">
        <v>0.55000000000000004</v>
      </c>
      <c r="H4" s="6">
        <f t="shared" ref="H4:H35" si="0">G4*F4</f>
        <v>3.3000000000000003</v>
      </c>
      <c r="I4" s="5">
        <f>8/B4</f>
        <v>0.32</v>
      </c>
      <c r="J4" s="4">
        <v>18</v>
      </c>
      <c r="K4" s="4">
        <f>J4*I4</f>
        <v>5.76</v>
      </c>
      <c r="L4" s="6">
        <f>H4+K4</f>
        <v>9.06</v>
      </c>
      <c r="M4" s="6">
        <f t="shared" ref="M4:M35" si="1">C4-L4</f>
        <v>0.4399999999999995</v>
      </c>
    </row>
    <row r="5" spans="1:13" x14ac:dyDescent="0.25">
      <c r="A5" s="2">
        <v>43832</v>
      </c>
      <c r="B5" s="3">
        <v>26</v>
      </c>
      <c r="C5" s="4">
        <v>9.4</v>
      </c>
      <c r="D5" s="4">
        <f>B5*C5</f>
        <v>244.4</v>
      </c>
      <c r="E5" s="3">
        <v>175</v>
      </c>
      <c r="F5" s="5">
        <f t="shared" ref="F5:F34" si="2">E5/B5</f>
        <v>6.7307692307692308</v>
      </c>
      <c r="G5" s="4">
        <v>0.55000000000000004</v>
      </c>
      <c r="H5" s="6">
        <f t="shared" si="0"/>
        <v>3.7019230769230771</v>
      </c>
      <c r="I5" s="5">
        <f t="shared" ref="I5:I34" si="3">8/B5</f>
        <v>0.30769230769230771</v>
      </c>
      <c r="J5" s="4">
        <v>18</v>
      </c>
      <c r="K5" s="4">
        <f t="shared" ref="K5:K34" si="4">J5*I5</f>
        <v>5.5384615384615383</v>
      </c>
      <c r="L5" s="6">
        <f t="shared" ref="L5:L34" si="5">H5+K5</f>
        <v>9.240384615384615</v>
      </c>
      <c r="M5" s="6">
        <f t="shared" si="1"/>
        <v>0.15961538461538538</v>
      </c>
    </row>
    <row r="6" spans="1:13" x14ac:dyDescent="0.25">
      <c r="A6" s="2">
        <v>43833</v>
      </c>
      <c r="B6" s="3">
        <v>27</v>
      </c>
      <c r="C6" s="4">
        <v>9.3000000000000007</v>
      </c>
      <c r="D6" s="4">
        <f t="shared" ref="D6:D34" si="6">B6*C6</f>
        <v>251.10000000000002</v>
      </c>
      <c r="E6" s="3">
        <v>200</v>
      </c>
      <c r="F6" s="5">
        <f t="shared" si="2"/>
        <v>7.4074074074074074</v>
      </c>
      <c r="G6" s="4">
        <v>0.55000000000000004</v>
      </c>
      <c r="H6" s="6">
        <f t="shared" si="0"/>
        <v>4.0740740740740744</v>
      </c>
      <c r="I6" s="5">
        <f t="shared" si="3"/>
        <v>0.29629629629629628</v>
      </c>
      <c r="J6" s="4">
        <v>18</v>
      </c>
      <c r="K6" s="4">
        <f t="shared" si="4"/>
        <v>5.333333333333333</v>
      </c>
      <c r="L6" s="6">
        <f t="shared" si="5"/>
        <v>9.4074074074074083</v>
      </c>
      <c r="M6" s="6">
        <f t="shared" si="1"/>
        <v>-0.10740740740740762</v>
      </c>
    </row>
    <row r="7" spans="1:13" x14ac:dyDescent="0.25">
      <c r="A7" s="2">
        <v>43834</v>
      </c>
      <c r="B7" s="3">
        <v>28</v>
      </c>
      <c r="C7" s="4">
        <v>9.1999999999999993</v>
      </c>
      <c r="D7" s="4">
        <f t="shared" si="6"/>
        <v>257.59999999999997</v>
      </c>
      <c r="E7" s="3">
        <v>150</v>
      </c>
      <c r="F7" s="5">
        <f t="shared" si="2"/>
        <v>5.3571428571428568</v>
      </c>
      <c r="G7" s="4">
        <v>0.55000000000000004</v>
      </c>
      <c r="H7" s="6">
        <f t="shared" si="0"/>
        <v>2.9464285714285716</v>
      </c>
      <c r="I7" s="5">
        <f t="shared" si="3"/>
        <v>0.2857142857142857</v>
      </c>
      <c r="J7" s="4">
        <v>18</v>
      </c>
      <c r="K7" s="4">
        <f t="shared" si="4"/>
        <v>5.1428571428571423</v>
      </c>
      <c r="L7" s="6">
        <f t="shared" si="5"/>
        <v>8.0892857142857135</v>
      </c>
      <c r="M7" s="6">
        <f t="shared" si="1"/>
        <v>1.1107142857142858</v>
      </c>
    </row>
    <row r="8" spans="1:13" x14ac:dyDescent="0.25">
      <c r="A8" s="2">
        <v>43835</v>
      </c>
      <c r="B8" s="3">
        <v>29</v>
      </c>
      <c r="C8" s="4">
        <v>9.1</v>
      </c>
      <c r="D8" s="4">
        <f t="shared" si="6"/>
        <v>263.89999999999998</v>
      </c>
      <c r="E8" s="3">
        <v>175</v>
      </c>
      <c r="F8" s="5">
        <f t="shared" si="2"/>
        <v>6.0344827586206895</v>
      </c>
      <c r="G8" s="4">
        <v>0.55000000000000004</v>
      </c>
      <c r="H8" s="6">
        <f t="shared" si="0"/>
        <v>3.3189655172413794</v>
      </c>
      <c r="I8" s="5">
        <f t="shared" si="3"/>
        <v>0.27586206896551724</v>
      </c>
      <c r="J8" s="4">
        <v>18</v>
      </c>
      <c r="K8" s="4">
        <f t="shared" si="4"/>
        <v>4.9655172413793105</v>
      </c>
      <c r="L8" s="6">
        <f t="shared" si="5"/>
        <v>8.2844827586206904</v>
      </c>
      <c r="M8" s="6">
        <f t="shared" si="1"/>
        <v>0.81551724137930925</v>
      </c>
    </row>
    <row r="9" spans="1:13" x14ac:dyDescent="0.25">
      <c r="A9" s="2">
        <v>43836</v>
      </c>
      <c r="B9" s="3">
        <v>30</v>
      </c>
      <c r="C9" s="4">
        <v>9</v>
      </c>
      <c r="D9" s="4">
        <f t="shared" si="6"/>
        <v>270</v>
      </c>
      <c r="E9" s="3">
        <v>200</v>
      </c>
      <c r="F9" s="5">
        <f t="shared" si="2"/>
        <v>6.666666666666667</v>
      </c>
      <c r="G9" s="4">
        <v>0.55000000000000004</v>
      </c>
      <c r="H9" s="6">
        <f t="shared" si="0"/>
        <v>3.666666666666667</v>
      </c>
      <c r="I9" s="5">
        <f t="shared" si="3"/>
        <v>0.26666666666666666</v>
      </c>
      <c r="J9" s="4">
        <v>18</v>
      </c>
      <c r="K9" s="4">
        <f t="shared" si="4"/>
        <v>4.8</v>
      </c>
      <c r="L9" s="6">
        <f t="shared" si="5"/>
        <v>8.4666666666666668</v>
      </c>
      <c r="M9" s="6">
        <f t="shared" si="1"/>
        <v>0.53333333333333321</v>
      </c>
    </row>
    <row r="10" spans="1:13" x14ac:dyDescent="0.25">
      <c r="A10" s="2">
        <v>43837</v>
      </c>
      <c r="B10" s="3">
        <v>31</v>
      </c>
      <c r="C10" s="4">
        <v>8.9</v>
      </c>
      <c r="D10" s="4">
        <f t="shared" si="6"/>
        <v>275.90000000000003</v>
      </c>
      <c r="E10" s="3">
        <v>150</v>
      </c>
      <c r="F10" s="5">
        <f t="shared" si="2"/>
        <v>4.838709677419355</v>
      </c>
      <c r="G10" s="4">
        <v>0.55000000000000004</v>
      </c>
      <c r="H10" s="6">
        <f t="shared" si="0"/>
        <v>2.6612903225806455</v>
      </c>
      <c r="I10" s="5">
        <f t="shared" si="3"/>
        <v>0.25806451612903225</v>
      </c>
      <c r="J10" s="4">
        <v>18</v>
      </c>
      <c r="K10" s="4">
        <f t="shared" si="4"/>
        <v>4.6451612903225801</v>
      </c>
      <c r="L10" s="6">
        <f t="shared" si="5"/>
        <v>7.306451612903226</v>
      </c>
      <c r="M10" s="6">
        <f t="shared" si="1"/>
        <v>1.5935483870967744</v>
      </c>
    </row>
    <row r="11" spans="1:13" x14ac:dyDescent="0.25">
      <c r="A11" s="2">
        <v>43838</v>
      </c>
      <c r="B11" s="3">
        <v>32</v>
      </c>
      <c r="C11" s="4">
        <v>8.8000000000000007</v>
      </c>
      <c r="D11" s="4">
        <f t="shared" si="6"/>
        <v>281.60000000000002</v>
      </c>
      <c r="E11" s="3">
        <v>175</v>
      </c>
      <c r="F11" s="5">
        <f t="shared" si="2"/>
        <v>5.46875</v>
      </c>
      <c r="G11" s="4">
        <v>0.55000000000000004</v>
      </c>
      <c r="H11" s="6">
        <f t="shared" si="0"/>
        <v>3.0078125000000004</v>
      </c>
      <c r="I11" s="5">
        <f t="shared" si="3"/>
        <v>0.25</v>
      </c>
      <c r="J11" s="4">
        <v>18</v>
      </c>
      <c r="K11" s="4">
        <f t="shared" si="4"/>
        <v>4.5</v>
      </c>
      <c r="L11" s="6">
        <f t="shared" si="5"/>
        <v>7.5078125</v>
      </c>
      <c r="M11" s="6">
        <f t="shared" si="1"/>
        <v>1.2921875000000007</v>
      </c>
    </row>
    <row r="12" spans="1:13" x14ac:dyDescent="0.25">
      <c r="A12" s="2">
        <v>43839</v>
      </c>
      <c r="B12" s="3">
        <v>33</v>
      </c>
      <c r="C12" s="4">
        <v>8.6999999999999993</v>
      </c>
      <c r="D12" s="4">
        <f t="shared" si="6"/>
        <v>287.09999999999997</v>
      </c>
      <c r="E12" s="3">
        <v>200</v>
      </c>
      <c r="F12" s="5">
        <f t="shared" si="2"/>
        <v>6.0606060606060606</v>
      </c>
      <c r="G12" s="4">
        <v>0.55000000000000004</v>
      </c>
      <c r="H12" s="6">
        <f t="shared" si="0"/>
        <v>3.3333333333333335</v>
      </c>
      <c r="I12" s="5">
        <f t="shared" si="3"/>
        <v>0.24242424242424243</v>
      </c>
      <c r="J12" s="4">
        <v>18</v>
      </c>
      <c r="K12" s="4">
        <f t="shared" si="4"/>
        <v>4.3636363636363633</v>
      </c>
      <c r="L12" s="6">
        <f t="shared" si="5"/>
        <v>7.6969696969696972</v>
      </c>
      <c r="M12" s="6">
        <f t="shared" si="1"/>
        <v>1.0030303030303021</v>
      </c>
    </row>
    <row r="13" spans="1:13" x14ac:dyDescent="0.25">
      <c r="A13" s="2">
        <v>43840</v>
      </c>
      <c r="B13" s="3">
        <v>34</v>
      </c>
      <c r="C13" s="4">
        <v>8.6</v>
      </c>
      <c r="D13" s="4">
        <f t="shared" si="6"/>
        <v>292.39999999999998</v>
      </c>
      <c r="E13" s="3">
        <v>150</v>
      </c>
      <c r="F13" s="5">
        <f t="shared" si="2"/>
        <v>4.4117647058823533</v>
      </c>
      <c r="G13" s="4">
        <v>0.55000000000000004</v>
      </c>
      <c r="H13" s="6">
        <f t="shared" si="0"/>
        <v>2.4264705882352944</v>
      </c>
      <c r="I13" s="5">
        <f t="shared" si="3"/>
        <v>0.23529411764705882</v>
      </c>
      <c r="J13" s="4">
        <v>18</v>
      </c>
      <c r="K13" s="4">
        <f t="shared" si="4"/>
        <v>4.2352941176470589</v>
      </c>
      <c r="L13" s="6">
        <f t="shared" si="5"/>
        <v>6.6617647058823533</v>
      </c>
      <c r="M13" s="6">
        <f t="shared" si="1"/>
        <v>1.9382352941176464</v>
      </c>
    </row>
    <row r="14" spans="1:13" x14ac:dyDescent="0.25">
      <c r="A14" s="2">
        <v>43841</v>
      </c>
      <c r="B14" s="3">
        <v>35</v>
      </c>
      <c r="C14" s="4">
        <v>8.5</v>
      </c>
      <c r="D14" s="4">
        <f t="shared" si="6"/>
        <v>297.5</v>
      </c>
      <c r="E14" s="3">
        <v>175</v>
      </c>
      <c r="F14" s="5">
        <f t="shared" si="2"/>
        <v>5</v>
      </c>
      <c r="G14" s="4">
        <v>0.55000000000000004</v>
      </c>
      <c r="H14" s="6">
        <f t="shared" si="0"/>
        <v>2.75</v>
      </c>
      <c r="I14" s="5">
        <f t="shared" si="3"/>
        <v>0.22857142857142856</v>
      </c>
      <c r="J14" s="4">
        <v>18</v>
      </c>
      <c r="K14" s="4">
        <f t="shared" si="4"/>
        <v>4.1142857142857139</v>
      </c>
      <c r="L14" s="6">
        <f t="shared" si="5"/>
        <v>6.8642857142857139</v>
      </c>
      <c r="M14" s="6">
        <f t="shared" si="1"/>
        <v>1.6357142857142861</v>
      </c>
    </row>
    <row r="15" spans="1:13" x14ac:dyDescent="0.25">
      <c r="A15" s="2">
        <v>43842</v>
      </c>
      <c r="B15" s="3">
        <v>36</v>
      </c>
      <c r="C15" s="4">
        <v>8.4</v>
      </c>
      <c r="D15" s="4">
        <f t="shared" si="6"/>
        <v>302.40000000000003</v>
      </c>
      <c r="E15" s="3">
        <v>200</v>
      </c>
      <c r="F15" s="5">
        <f t="shared" si="2"/>
        <v>5.5555555555555554</v>
      </c>
      <c r="G15" s="4">
        <v>0.55000000000000004</v>
      </c>
      <c r="H15" s="6">
        <f t="shared" si="0"/>
        <v>3.0555555555555558</v>
      </c>
      <c r="I15" s="5">
        <f t="shared" si="3"/>
        <v>0.22222222222222221</v>
      </c>
      <c r="J15" s="4">
        <v>18</v>
      </c>
      <c r="K15" s="4">
        <f t="shared" si="4"/>
        <v>4</v>
      </c>
      <c r="L15" s="6">
        <f t="shared" si="5"/>
        <v>7.0555555555555554</v>
      </c>
      <c r="M15" s="6">
        <f t="shared" si="1"/>
        <v>1.344444444444445</v>
      </c>
    </row>
    <row r="16" spans="1:13" x14ac:dyDescent="0.25">
      <c r="A16" s="2">
        <v>43843</v>
      </c>
      <c r="B16" s="3">
        <v>37</v>
      </c>
      <c r="C16" s="4">
        <v>8.3000000000000007</v>
      </c>
      <c r="D16" s="4">
        <f t="shared" si="6"/>
        <v>307.10000000000002</v>
      </c>
      <c r="E16" s="3">
        <v>150</v>
      </c>
      <c r="F16" s="5">
        <f t="shared" si="2"/>
        <v>4.0540540540540544</v>
      </c>
      <c r="G16" s="4">
        <v>0.55000000000000004</v>
      </c>
      <c r="H16" s="6">
        <f t="shared" si="0"/>
        <v>2.2297297297297303</v>
      </c>
      <c r="I16" s="5">
        <f t="shared" si="3"/>
        <v>0.21621621621621623</v>
      </c>
      <c r="J16" s="4">
        <v>19</v>
      </c>
      <c r="K16" s="4">
        <f t="shared" si="4"/>
        <v>4.1081081081081088</v>
      </c>
      <c r="L16" s="6">
        <f t="shared" si="5"/>
        <v>6.3378378378378386</v>
      </c>
      <c r="M16" s="6">
        <f t="shared" si="1"/>
        <v>1.9621621621621621</v>
      </c>
    </row>
    <row r="17" spans="1:13" x14ac:dyDescent="0.25">
      <c r="A17" s="2">
        <v>43844</v>
      </c>
      <c r="B17" s="3">
        <v>38</v>
      </c>
      <c r="C17" s="4">
        <v>8.1999999999999993</v>
      </c>
      <c r="D17" s="4">
        <f t="shared" si="6"/>
        <v>311.59999999999997</v>
      </c>
      <c r="E17" s="3">
        <v>175</v>
      </c>
      <c r="F17" s="5">
        <f t="shared" si="2"/>
        <v>4.6052631578947372</v>
      </c>
      <c r="G17" s="4">
        <v>0.55000000000000004</v>
      </c>
      <c r="H17" s="6">
        <f t="shared" si="0"/>
        <v>2.5328947368421058</v>
      </c>
      <c r="I17" s="5">
        <f t="shared" si="3"/>
        <v>0.21052631578947367</v>
      </c>
      <c r="J17" s="4">
        <v>19</v>
      </c>
      <c r="K17" s="4">
        <f t="shared" si="4"/>
        <v>4</v>
      </c>
      <c r="L17" s="6">
        <f t="shared" si="5"/>
        <v>6.5328947368421062</v>
      </c>
      <c r="M17" s="6">
        <f t="shared" si="1"/>
        <v>1.6671052631578931</v>
      </c>
    </row>
    <row r="18" spans="1:13" x14ac:dyDescent="0.25">
      <c r="A18" s="2">
        <v>43845</v>
      </c>
      <c r="B18" s="3">
        <v>39</v>
      </c>
      <c r="C18" s="4">
        <v>8.1</v>
      </c>
      <c r="D18" s="4">
        <f t="shared" si="6"/>
        <v>315.89999999999998</v>
      </c>
      <c r="E18" s="3">
        <v>200</v>
      </c>
      <c r="F18" s="5">
        <f t="shared" si="2"/>
        <v>5.1282051282051286</v>
      </c>
      <c r="G18" s="4">
        <v>0.55000000000000004</v>
      </c>
      <c r="H18" s="6">
        <f t="shared" si="0"/>
        <v>2.8205128205128212</v>
      </c>
      <c r="I18" s="5">
        <f t="shared" si="3"/>
        <v>0.20512820512820512</v>
      </c>
      <c r="J18" s="4">
        <v>19</v>
      </c>
      <c r="K18" s="4">
        <f t="shared" si="4"/>
        <v>3.8974358974358974</v>
      </c>
      <c r="L18" s="6">
        <f t="shared" si="5"/>
        <v>6.717948717948719</v>
      </c>
      <c r="M18" s="6">
        <f t="shared" si="1"/>
        <v>1.3820512820512807</v>
      </c>
    </row>
    <row r="19" spans="1:13" x14ac:dyDescent="0.25">
      <c r="A19" s="2">
        <v>43846</v>
      </c>
      <c r="B19" s="3">
        <v>40</v>
      </c>
      <c r="C19" s="4">
        <v>8.0000000000000107</v>
      </c>
      <c r="D19" s="4">
        <f t="shared" si="6"/>
        <v>320.00000000000045</v>
      </c>
      <c r="E19" s="3">
        <v>150</v>
      </c>
      <c r="F19" s="5">
        <f t="shared" si="2"/>
        <v>3.75</v>
      </c>
      <c r="G19" s="4">
        <v>0.57999999999999985</v>
      </c>
      <c r="H19" s="6">
        <f t="shared" si="0"/>
        <v>2.1749999999999994</v>
      </c>
      <c r="I19" s="5">
        <f t="shared" si="3"/>
        <v>0.2</v>
      </c>
      <c r="J19" s="4">
        <v>19</v>
      </c>
      <c r="K19" s="4">
        <f t="shared" si="4"/>
        <v>3.8000000000000003</v>
      </c>
      <c r="L19" s="6">
        <f t="shared" si="5"/>
        <v>5.9749999999999996</v>
      </c>
      <c r="M19" s="6">
        <f t="shared" si="1"/>
        <v>2.025000000000011</v>
      </c>
    </row>
    <row r="20" spans="1:13" x14ac:dyDescent="0.25">
      <c r="A20" s="2">
        <v>43847</v>
      </c>
      <c r="B20" s="3">
        <v>41</v>
      </c>
      <c r="C20" s="4">
        <v>7.9000000000000101</v>
      </c>
      <c r="D20" s="4">
        <f t="shared" si="6"/>
        <v>323.90000000000043</v>
      </c>
      <c r="E20" s="3">
        <v>175</v>
      </c>
      <c r="F20" s="5">
        <f t="shared" si="2"/>
        <v>4.2682926829268295</v>
      </c>
      <c r="G20" s="4">
        <v>0.57999999999999985</v>
      </c>
      <c r="H20" s="6">
        <f t="shared" si="0"/>
        <v>2.4756097560975605</v>
      </c>
      <c r="I20" s="5">
        <f t="shared" si="3"/>
        <v>0.1951219512195122</v>
      </c>
      <c r="J20" s="4">
        <v>19</v>
      </c>
      <c r="K20" s="4">
        <f t="shared" si="4"/>
        <v>3.7073170731707319</v>
      </c>
      <c r="L20" s="6">
        <f t="shared" si="5"/>
        <v>6.1829268292682924</v>
      </c>
      <c r="M20" s="6">
        <f t="shared" si="1"/>
        <v>1.7170731707317177</v>
      </c>
    </row>
    <row r="21" spans="1:13" x14ac:dyDescent="0.25">
      <c r="A21" s="2">
        <v>43848</v>
      </c>
      <c r="B21" s="3">
        <v>42</v>
      </c>
      <c r="C21" s="4">
        <v>7.8000000000000096</v>
      </c>
      <c r="D21" s="4">
        <f t="shared" si="6"/>
        <v>327.60000000000042</v>
      </c>
      <c r="E21" s="3">
        <v>200</v>
      </c>
      <c r="F21" s="5">
        <f t="shared" si="2"/>
        <v>4.7619047619047619</v>
      </c>
      <c r="G21" s="4">
        <v>0.57999999999999985</v>
      </c>
      <c r="H21" s="6">
        <f t="shared" si="0"/>
        <v>2.761904761904761</v>
      </c>
      <c r="I21" s="5">
        <f t="shared" si="3"/>
        <v>0.19047619047619047</v>
      </c>
      <c r="J21" s="4">
        <v>19</v>
      </c>
      <c r="K21" s="4">
        <f t="shared" si="4"/>
        <v>3.6190476190476186</v>
      </c>
      <c r="L21" s="6">
        <f t="shared" si="5"/>
        <v>6.3809523809523796</v>
      </c>
      <c r="M21" s="6">
        <f t="shared" si="1"/>
        <v>1.41904761904763</v>
      </c>
    </row>
    <row r="22" spans="1:13" x14ac:dyDescent="0.25">
      <c r="A22" s="2">
        <v>43849</v>
      </c>
      <c r="B22" s="3">
        <v>43</v>
      </c>
      <c r="C22" s="4">
        <v>7.7000000000000099</v>
      </c>
      <c r="D22" s="4">
        <f t="shared" si="6"/>
        <v>331.10000000000042</v>
      </c>
      <c r="E22" s="3">
        <v>150</v>
      </c>
      <c r="F22" s="5">
        <f t="shared" si="2"/>
        <v>3.4883720930232558</v>
      </c>
      <c r="G22" s="4">
        <v>0.57999999999999985</v>
      </c>
      <c r="H22" s="6">
        <f t="shared" si="0"/>
        <v>2.023255813953488</v>
      </c>
      <c r="I22" s="5">
        <f t="shared" si="3"/>
        <v>0.18604651162790697</v>
      </c>
      <c r="J22" s="4">
        <v>19</v>
      </c>
      <c r="K22" s="4">
        <f t="shared" si="4"/>
        <v>3.5348837209302326</v>
      </c>
      <c r="L22" s="6">
        <f t="shared" si="5"/>
        <v>5.5581395348837201</v>
      </c>
      <c r="M22" s="6">
        <f t="shared" si="1"/>
        <v>2.1418604651162898</v>
      </c>
    </row>
    <row r="23" spans="1:13" x14ac:dyDescent="0.25">
      <c r="A23" s="2">
        <v>43850</v>
      </c>
      <c r="B23" s="3">
        <v>44</v>
      </c>
      <c r="C23" s="4">
        <v>7.6000000000000103</v>
      </c>
      <c r="D23" s="4">
        <f t="shared" si="6"/>
        <v>334.40000000000043</v>
      </c>
      <c r="E23" s="3">
        <v>175</v>
      </c>
      <c r="F23" s="5">
        <f t="shared" si="2"/>
        <v>3.9772727272727271</v>
      </c>
      <c r="G23" s="4">
        <v>0.57999999999999985</v>
      </c>
      <c r="H23" s="6">
        <f t="shared" si="0"/>
        <v>2.3068181818181812</v>
      </c>
      <c r="I23" s="5">
        <f t="shared" si="3"/>
        <v>0.18181818181818182</v>
      </c>
      <c r="J23" s="4">
        <v>19</v>
      </c>
      <c r="K23" s="4">
        <f t="shared" si="4"/>
        <v>3.4545454545454546</v>
      </c>
      <c r="L23" s="6">
        <f t="shared" si="5"/>
        <v>5.7613636363636358</v>
      </c>
      <c r="M23" s="6">
        <f t="shared" si="1"/>
        <v>1.8386363636363745</v>
      </c>
    </row>
    <row r="24" spans="1:13" x14ac:dyDescent="0.25">
      <c r="A24" s="2">
        <v>43851</v>
      </c>
      <c r="B24" s="3">
        <v>45</v>
      </c>
      <c r="C24" s="4">
        <v>7.5000000000000098</v>
      </c>
      <c r="D24" s="4">
        <f t="shared" si="6"/>
        <v>337.50000000000045</v>
      </c>
      <c r="E24" s="3">
        <v>200</v>
      </c>
      <c r="F24" s="5">
        <f t="shared" si="2"/>
        <v>4.4444444444444446</v>
      </c>
      <c r="G24" s="4">
        <v>0.57999999999999985</v>
      </c>
      <c r="H24" s="6">
        <f t="shared" si="0"/>
        <v>2.5777777777777771</v>
      </c>
      <c r="I24" s="5">
        <f t="shared" si="3"/>
        <v>0.17777777777777778</v>
      </c>
      <c r="J24" s="4">
        <v>19</v>
      </c>
      <c r="K24" s="4">
        <f t="shared" si="4"/>
        <v>3.3777777777777778</v>
      </c>
      <c r="L24" s="6">
        <f t="shared" si="5"/>
        <v>5.9555555555555548</v>
      </c>
      <c r="M24" s="6">
        <f t="shared" si="1"/>
        <v>1.5444444444444549</v>
      </c>
    </row>
    <row r="25" spans="1:13" x14ac:dyDescent="0.25">
      <c r="A25" s="2">
        <v>43852</v>
      </c>
      <c r="B25" s="3">
        <v>46</v>
      </c>
      <c r="C25" s="4">
        <v>7.4000000000000101</v>
      </c>
      <c r="D25" s="4">
        <f t="shared" si="6"/>
        <v>340.40000000000049</v>
      </c>
      <c r="E25" s="3">
        <v>150</v>
      </c>
      <c r="F25" s="5">
        <f t="shared" si="2"/>
        <v>3.2608695652173911</v>
      </c>
      <c r="G25" s="4">
        <v>0.57999999999999985</v>
      </c>
      <c r="H25" s="6">
        <f t="shared" si="0"/>
        <v>1.8913043478260865</v>
      </c>
      <c r="I25" s="5">
        <f t="shared" si="3"/>
        <v>0.17391304347826086</v>
      </c>
      <c r="J25" s="4">
        <v>19</v>
      </c>
      <c r="K25" s="4">
        <f t="shared" si="4"/>
        <v>3.3043478260869565</v>
      </c>
      <c r="L25" s="6">
        <f t="shared" si="5"/>
        <v>5.195652173913043</v>
      </c>
      <c r="M25" s="6">
        <f t="shared" si="1"/>
        <v>2.2043478260869671</v>
      </c>
    </row>
    <row r="26" spans="1:13" x14ac:dyDescent="0.25">
      <c r="A26" s="2">
        <v>43853</v>
      </c>
      <c r="B26" s="3">
        <v>47</v>
      </c>
      <c r="C26" s="4">
        <v>7.3000000000000096</v>
      </c>
      <c r="D26" s="4">
        <f t="shared" si="6"/>
        <v>343.10000000000048</v>
      </c>
      <c r="E26" s="3">
        <v>175</v>
      </c>
      <c r="F26" s="5">
        <f t="shared" si="2"/>
        <v>3.7234042553191489</v>
      </c>
      <c r="G26" s="4">
        <v>0.57999999999999985</v>
      </c>
      <c r="H26" s="6">
        <f t="shared" si="0"/>
        <v>2.1595744680851059</v>
      </c>
      <c r="I26" s="5">
        <f t="shared" si="3"/>
        <v>0.1702127659574468</v>
      </c>
      <c r="J26" s="4">
        <v>19</v>
      </c>
      <c r="K26" s="4">
        <f t="shared" si="4"/>
        <v>3.2340425531914891</v>
      </c>
      <c r="L26" s="6">
        <f t="shared" si="5"/>
        <v>5.3936170212765955</v>
      </c>
      <c r="M26" s="6">
        <f t="shared" si="1"/>
        <v>1.9063829787234141</v>
      </c>
    </row>
    <row r="27" spans="1:13" x14ac:dyDescent="0.25">
      <c r="A27" s="2">
        <v>43854</v>
      </c>
      <c r="B27" s="3">
        <v>48</v>
      </c>
      <c r="C27" s="4">
        <v>7.2000000000000099</v>
      </c>
      <c r="D27" s="4">
        <f t="shared" si="6"/>
        <v>345.60000000000048</v>
      </c>
      <c r="E27" s="3">
        <v>200</v>
      </c>
      <c r="F27" s="5">
        <f t="shared" si="2"/>
        <v>4.166666666666667</v>
      </c>
      <c r="G27" s="4">
        <v>0.57999999999999985</v>
      </c>
      <c r="H27" s="6">
        <f t="shared" si="0"/>
        <v>2.4166666666666661</v>
      </c>
      <c r="I27" s="5">
        <f t="shared" si="3"/>
        <v>0.16666666666666666</v>
      </c>
      <c r="J27" s="4">
        <v>19</v>
      </c>
      <c r="K27" s="4">
        <f t="shared" si="4"/>
        <v>3.1666666666666665</v>
      </c>
      <c r="L27" s="6">
        <f t="shared" si="5"/>
        <v>5.5833333333333321</v>
      </c>
      <c r="M27" s="6">
        <f t="shared" si="1"/>
        <v>1.6166666666666778</v>
      </c>
    </row>
    <row r="28" spans="1:13" x14ac:dyDescent="0.25">
      <c r="A28" s="2">
        <v>43855</v>
      </c>
      <c r="B28" s="3">
        <v>49</v>
      </c>
      <c r="C28" s="4">
        <v>7.1000000000000103</v>
      </c>
      <c r="D28" s="4">
        <f t="shared" si="6"/>
        <v>347.90000000000049</v>
      </c>
      <c r="E28" s="3">
        <v>150</v>
      </c>
      <c r="F28" s="5">
        <f t="shared" si="2"/>
        <v>3.0612244897959182</v>
      </c>
      <c r="G28" s="4">
        <v>0.57999999999999985</v>
      </c>
      <c r="H28" s="6">
        <f t="shared" si="0"/>
        <v>1.7755102040816322</v>
      </c>
      <c r="I28" s="5">
        <f t="shared" si="3"/>
        <v>0.16326530612244897</v>
      </c>
      <c r="J28" s="4">
        <v>19</v>
      </c>
      <c r="K28" s="4">
        <f t="shared" si="4"/>
        <v>3.1020408163265305</v>
      </c>
      <c r="L28" s="6">
        <f t="shared" si="5"/>
        <v>4.8775510204081627</v>
      </c>
      <c r="M28" s="6">
        <f t="shared" si="1"/>
        <v>2.2224489795918476</v>
      </c>
    </row>
    <row r="29" spans="1:13" x14ac:dyDescent="0.25">
      <c r="A29" s="2">
        <v>43856</v>
      </c>
      <c r="B29" s="3">
        <v>50</v>
      </c>
      <c r="C29" s="4">
        <v>7.0000000000000098</v>
      </c>
      <c r="D29" s="4">
        <f t="shared" si="6"/>
        <v>350.00000000000051</v>
      </c>
      <c r="E29" s="3">
        <v>175</v>
      </c>
      <c r="F29" s="5">
        <f t="shared" si="2"/>
        <v>3.5</v>
      </c>
      <c r="G29" s="4">
        <v>0.6100000000000001</v>
      </c>
      <c r="H29" s="6">
        <f t="shared" si="0"/>
        <v>2.1350000000000002</v>
      </c>
      <c r="I29" s="5">
        <f t="shared" si="3"/>
        <v>0.16</v>
      </c>
      <c r="J29" s="4">
        <v>19</v>
      </c>
      <c r="K29" s="4">
        <f t="shared" si="4"/>
        <v>3.04</v>
      </c>
      <c r="L29" s="6">
        <f t="shared" si="5"/>
        <v>5.1750000000000007</v>
      </c>
      <c r="M29" s="6">
        <f t="shared" si="1"/>
        <v>1.8250000000000091</v>
      </c>
    </row>
    <row r="30" spans="1:13" x14ac:dyDescent="0.25">
      <c r="A30" s="2">
        <v>43857</v>
      </c>
      <c r="B30" s="3">
        <v>51</v>
      </c>
      <c r="C30" s="4">
        <v>6.9000000000000101</v>
      </c>
      <c r="D30" s="4">
        <f t="shared" si="6"/>
        <v>351.90000000000049</v>
      </c>
      <c r="E30" s="3">
        <v>200</v>
      </c>
      <c r="F30" s="5">
        <f t="shared" si="2"/>
        <v>3.9215686274509802</v>
      </c>
      <c r="G30" s="4">
        <v>0.6100000000000001</v>
      </c>
      <c r="H30" s="6">
        <f t="shared" si="0"/>
        <v>2.3921568627450984</v>
      </c>
      <c r="I30" s="5">
        <f t="shared" si="3"/>
        <v>0.15686274509803921</v>
      </c>
      <c r="J30" s="4">
        <v>19</v>
      </c>
      <c r="K30" s="4">
        <f t="shared" si="4"/>
        <v>2.9803921568627452</v>
      </c>
      <c r="L30" s="6">
        <f t="shared" si="5"/>
        <v>5.3725490196078436</v>
      </c>
      <c r="M30" s="6">
        <f t="shared" si="1"/>
        <v>1.5274509803921665</v>
      </c>
    </row>
    <row r="31" spans="1:13" x14ac:dyDescent="0.25">
      <c r="A31" s="2">
        <v>43858</v>
      </c>
      <c r="B31" s="3">
        <v>52</v>
      </c>
      <c r="C31" s="4">
        <v>6.8000000000000096</v>
      </c>
      <c r="D31" s="4">
        <f t="shared" si="6"/>
        <v>353.60000000000048</v>
      </c>
      <c r="E31" s="3">
        <v>150</v>
      </c>
      <c r="F31" s="5">
        <f t="shared" si="2"/>
        <v>2.8846153846153846</v>
      </c>
      <c r="G31" s="4">
        <v>0.6100000000000001</v>
      </c>
      <c r="H31" s="6">
        <f t="shared" si="0"/>
        <v>1.7596153846153848</v>
      </c>
      <c r="I31" s="5">
        <f t="shared" si="3"/>
        <v>0.15384615384615385</v>
      </c>
      <c r="J31" s="4">
        <v>19</v>
      </c>
      <c r="K31" s="4">
        <f t="shared" si="4"/>
        <v>2.9230769230769234</v>
      </c>
      <c r="L31" s="6">
        <f t="shared" si="5"/>
        <v>4.6826923076923084</v>
      </c>
      <c r="M31" s="6">
        <f t="shared" si="1"/>
        <v>2.1173076923077012</v>
      </c>
    </row>
    <row r="32" spans="1:13" x14ac:dyDescent="0.25">
      <c r="A32" s="2">
        <v>43859</v>
      </c>
      <c r="B32" s="3">
        <v>53</v>
      </c>
      <c r="C32" s="4">
        <v>6.7000000000000099</v>
      </c>
      <c r="D32" s="4">
        <f t="shared" si="6"/>
        <v>355.10000000000053</v>
      </c>
      <c r="E32" s="3">
        <v>175</v>
      </c>
      <c r="F32" s="5">
        <f t="shared" si="2"/>
        <v>3.3018867924528301</v>
      </c>
      <c r="G32" s="4">
        <v>0.6100000000000001</v>
      </c>
      <c r="H32" s="6">
        <f t="shared" si="0"/>
        <v>2.0141509433962268</v>
      </c>
      <c r="I32" s="5">
        <f t="shared" si="3"/>
        <v>0.15094339622641509</v>
      </c>
      <c r="J32" s="4">
        <v>19</v>
      </c>
      <c r="K32" s="4">
        <f t="shared" si="4"/>
        <v>2.8679245283018866</v>
      </c>
      <c r="L32" s="6">
        <f t="shared" si="5"/>
        <v>4.8820754716981138</v>
      </c>
      <c r="M32" s="6">
        <f t="shared" si="1"/>
        <v>1.8179245283018961</v>
      </c>
    </row>
    <row r="33" spans="1:13" x14ac:dyDescent="0.25">
      <c r="A33" s="2">
        <v>43860</v>
      </c>
      <c r="B33" s="3">
        <v>54</v>
      </c>
      <c r="C33" s="4">
        <v>6.6000000000000103</v>
      </c>
      <c r="D33" s="4">
        <f t="shared" si="6"/>
        <v>356.40000000000055</v>
      </c>
      <c r="E33" s="3">
        <v>200</v>
      </c>
      <c r="F33" s="5">
        <f t="shared" si="2"/>
        <v>3.7037037037037037</v>
      </c>
      <c r="G33" s="4">
        <v>0.6100000000000001</v>
      </c>
      <c r="H33" s="6">
        <f t="shared" si="0"/>
        <v>2.2592592592592595</v>
      </c>
      <c r="I33" s="5">
        <f t="shared" si="3"/>
        <v>0.14814814814814814</v>
      </c>
      <c r="J33" s="4">
        <v>19</v>
      </c>
      <c r="K33" s="4">
        <f t="shared" si="4"/>
        <v>2.8148148148148149</v>
      </c>
      <c r="L33" s="6">
        <f t="shared" si="5"/>
        <v>5.0740740740740744</v>
      </c>
      <c r="M33" s="6">
        <f t="shared" si="1"/>
        <v>1.5259259259259359</v>
      </c>
    </row>
    <row r="34" spans="1:13" x14ac:dyDescent="0.25">
      <c r="A34" s="2">
        <v>43861</v>
      </c>
      <c r="B34" s="3">
        <v>55</v>
      </c>
      <c r="C34" s="4">
        <v>6.5000000000000098</v>
      </c>
      <c r="D34" s="4">
        <f t="shared" si="6"/>
        <v>357.50000000000051</v>
      </c>
      <c r="E34" s="3">
        <v>150</v>
      </c>
      <c r="F34" s="5">
        <f t="shared" si="2"/>
        <v>2.7272727272727271</v>
      </c>
      <c r="G34" s="4">
        <v>0.6100000000000001</v>
      </c>
      <c r="H34" s="6">
        <f t="shared" si="0"/>
        <v>1.6636363636363638</v>
      </c>
      <c r="I34" s="5">
        <f t="shared" si="3"/>
        <v>0.14545454545454545</v>
      </c>
      <c r="J34" s="4">
        <v>19</v>
      </c>
      <c r="K34" s="4">
        <f t="shared" si="4"/>
        <v>2.7636363636363637</v>
      </c>
      <c r="L34" s="6">
        <f t="shared" si="5"/>
        <v>4.4272727272727277</v>
      </c>
      <c r="M34" s="6">
        <f t="shared" si="1"/>
        <v>2.0727272727272821</v>
      </c>
    </row>
    <row r="35" spans="1:13" x14ac:dyDescent="0.25">
      <c r="A35" s="2">
        <v>43831</v>
      </c>
      <c r="B35" s="3">
        <v>25</v>
      </c>
      <c r="C35" s="4">
        <v>9.5</v>
      </c>
      <c r="D35" s="4">
        <f>B35*C35</f>
        <v>237.5</v>
      </c>
      <c r="E35" s="3">
        <v>150</v>
      </c>
      <c r="F35" s="5">
        <f>E35/B35</f>
        <v>6</v>
      </c>
      <c r="G35" s="4">
        <v>0.55000000000000004</v>
      </c>
      <c r="H35" s="6">
        <f t="shared" si="0"/>
        <v>3.3000000000000003</v>
      </c>
      <c r="I35" s="5">
        <f>8/B35</f>
        <v>0.32</v>
      </c>
      <c r="J35" s="4">
        <v>18</v>
      </c>
      <c r="K35" s="4">
        <f>J35*I35</f>
        <v>5.76</v>
      </c>
      <c r="L35" s="6">
        <f>H35+K35</f>
        <v>9.06</v>
      </c>
      <c r="M35" s="6">
        <f t="shared" si="1"/>
        <v>0.4399999999999995</v>
      </c>
    </row>
    <row r="36" spans="1:13" x14ac:dyDescent="0.25">
      <c r="A36" s="2">
        <v>43832</v>
      </c>
      <c r="B36" s="3">
        <v>26</v>
      </c>
      <c r="C36" s="4">
        <v>9.4</v>
      </c>
      <c r="D36" s="4">
        <f>B36*C36</f>
        <v>244.4</v>
      </c>
      <c r="E36" s="3">
        <v>175</v>
      </c>
      <c r="F36" s="5">
        <f t="shared" ref="F36:F65" si="7">E36/B36</f>
        <v>6.7307692307692308</v>
      </c>
      <c r="G36" s="4">
        <v>0.55000000000000004</v>
      </c>
      <c r="H36" s="6">
        <f t="shared" ref="H36:H67" si="8">G36*F36</f>
        <v>3.7019230769230771</v>
      </c>
      <c r="I36" s="5">
        <f t="shared" ref="I36:I65" si="9">8/B36</f>
        <v>0.30769230769230771</v>
      </c>
      <c r="J36" s="4">
        <v>18</v>
      </c>
      <c r="K36" s="4">
        <f t="shared" ref="K36:K65" si="10">J36*I36</f>
        <v>5.5384615384615383</v>
      </c>
      <c r="L36" s="6">
        <f t="shared" ref="L36:L65" si="11">H36+K36</f>
        <v>9.240384615384615</v>
      </c>
      <c r="M36" s="6">
        <f t="shared" ref="M36:M67" si="12">C36-L36</f>
        <v>0.15961538461538538</v>
      </c>
    </row>
    <row r="37" spans="1:13" x14ac:dyDescent="0.25">
      <c r="A37" s="2">
        <v>43833</v>
      </c>
      <c r="B37" s="3">
        <v>27</v>
      </c>
      <c r="C37" s="4">
        <v>9.3000000000000007</v>
      </c>
      <c r="D37" s="4">
        <f t="shared" ref="D37:D65" si="13">B37*C37</f>
        <v>251.10000000000002</v>
      </c>
      <c r="E37" s="3">
        <v>200</v>
      </c>
      <c r="F37" s="5">
        <f t="shared" si="7"/>
        <v>7.4074074074074074</v>
      </c>
      <c r="G37" s="4">
        <v>0.55000000000000004</v>
      </c>
      <c r="H37" s="6">
        <f t="shared" si="8"/>
        <v>4.0740740740740744</v>
      </c>
      <c r="I37" s="5">
        <f t="shared" si="9"/>
        <v>0.29629629629629628</v>
      </c>
      <c r="J37" s="4">
        <v>18</v>
      </c>
      <c r="K37" s="4">
        <f t="shared" si="10"/>
        <v>5.333333333333333</v>
      </c>
      <c r="L37" s="6">
        <f t="shared" si="11"/>
        <v>9.4074074074074083</v>
      </c>
      <c r="M37" s="6">
        <f t="shared" si="12"/>
        <v>-0.10740740740740762</v>
      </c>
    </row>
    <row r="38" spans="1:13" x14ac:dyDescent="0.25">
      <c r="A38" s="2">
        <v>43834</v>
      </c>
      <c r="B38" s="3">
        <v>28</v>
      </c>
      <c r="C38" s="4">
        <v>9.1999999999999993</v>
      </c>
      <c r="D38" s="4">
        <f t="shared" si="13"/>
        <v>257.59999999999997</v>
      </c>
      <c r="E38" s="3">
        <v>150</v>
      </c>
      <c r="F38" s="5">
        <f t="shared" si="7"/>
        <v>5.3571428571428568</v>
      </c>
      <c r="G38" s="4">
        <v>0.55000000000000004</v>
      </c>
      <c r="H38" s="6">
        <f t="shared" si="8"/>
        <v>2.9464285714285716</v>
      </c>
      <c r="I38" s="5">
        <f t="shared" si="9"/>
        <v>0.2857142857142857</v>
      </c>
      <c r="J38" s="4">
        <v>18</v>
      </c>
      <c r="K38" s="4">
        <f t="shared" si="10"/>
        <v>5.1428571428571423</v>
      </c>
      <c r="L38" s="6">
        <f t="shared" si="11"/>
        <v>8.0892857142857135</v>
      </c>
      <c r="M38" s="6">
        <f t="shared" si="12"/>
        <v>1.1107142857142858</v>
      </c>
    </row>
    <row r="39" spans="1:13" x14ac:dyDescent="0.25">
      <c r="A39" s="2">
        <v>43835</v>
      </c>
      <c r="B39" s="3">
        <v>29</v>
      </c>
      <c r="C39" s="4">
        <v>9.1</v>
      </c>
      <c r="D39" s="4">
        <f t="shared" si="13"/>
        <v>263.89999999999998</v>
      </c>
      <c r="E39" s="3">
        <v>175</v>
      </c>
      <c r="F39" s="5">
        <f t="shared" si="7"/>
        <v>6.0344827586206895</v>
      </c>
      <c r="G39" s="4">
        <v>0.55000000000000004</v>
      </c>
      <c r="H39" s="6">
        <f t="shared" si="8"/>
        <v>3.3189655172413794</v>
      </c>
      <c r="I39" s="5">
        <f t="shared" si="9"/>
        <v>0.27586206896551724</v>
      </c>
      <c r="J39" s="4">
        <v>18</v>
      </c>
      <c r="K39" s="4">
        <f t="shared" si="10"/>
        <v>4.9655172413793105</v>
      </c>
      <c r="L39" s="6">
        <f t="shared" si="11"/>
        <v>8.2844827586206904</v>
      </c>
      <c r="M39" s="6">
        <f t="shared" si="12"/>
        <v>0.81551724137930925</v>
      </c>
    </row>
    <row r="40" spans="1:13" x14ac:dyDescent="0.25">
      <c r="A40" s="2">
        <v>43836</v>
      </c>
      <c r="B40" s="3">
        <v>30</v>
      </c>
      <c r="C40" s="4">
        <v>9</v>
      </c>
      <c r="D40" s="4">
        <f t="shared" si="13"/>
        <v>270</v>
      </c>
      <c r="E40" s="3">
        <v>200</v>
      </c>
      <c r="F40" s="5">
        <f t="shared" si="7"/>
        <v>6.666666666666667</v>
      </c>
      <c r="G40" s="4">
        <v>0.55000000000000004</v>
      </c>
      <c r="H40" s="6">
        <f t="shared" si="8"/>
        <v>3.666666666666667</v>
      </c>
      <c r="I40" s="5">
        <f t="shared" si="9"/>
        <v>0.26666666666666666</v>
      </c>
      <c r="J40" s="4">
        <v>18</v>
      </c>
      <c r="K40" s="4">
        <f t="shared" si="10"/>
        <v>4.8</v>
      </c>
      <c r="L40" s="6">
        <f t="shared" si="11"/>
        <v>8.4666666666666668</v>
      </c>
      <c r="M40" s="6">
        <f t="shared" si="12"/>
        <v>0.53333333333333321</v>
      </c>
    </row>
    <row r="41" spans="1:13" x14ac:dyDescent="0.25">
      <c r="A41" s="2">
        <v>43837</v>
      </c>
      <c r="B41" s="3">
        <v>31</v>
      </c>
      <c r="C41" s="4">
        <v>8.9</v>
      </c>
      <c r="D41" s="4">
        <f t="shared" si="13"/>
        <v>275.90000000000003</v>
      </c>
      <c r="E41" s="3">
        <v>150</v>
      </c>
      <c r="F41" s="5">
        <f t="shared" si="7"/>
        <v>4.838709677419355</v>
      </c>
      <c r="G41" s="4">
        <v>0.55000000000000004</v>
      </c>
      <c r="H41" s="6">
        <f t="shared" si="8"/>
        <v>2.6612903225806455</v>
      </c>
      <c r="I41" s="5">
        <f t="shared" si="9"/>
        <v>0.25806451612903225</v>
      </c>
      <c r="J41" s="4">
        <v>18</v>
      </c>
      <c r="K41" s="4">
        <f t="shared" si="10"/>
        <v>4.6451612903225801</v>
      </c>
      <c r="L41" s="6">
        <f t="shared" si="11"/>
        <v>7.306451612903226</v>
      </c>
      <c r="M41" s="6">
        <f t="shared" si="12"/>
        <v>1.5935483870967744</v>
      </c>
    </row>
    <row r="42" spans="1:13" x14ac:dyDescent="0.25">
      <c r="A42" s="2">
        <v>43838</v>
      </c>
      <c r="B42" s="3">
        <v>32</v>
      </c>
      <c r="C42" s="4">
        <v>8.8000000000000007</v>
      </c>
      <c r="D42" s="4">
        <f t="shared" si="13"/>
        <v>281.60000000000002</v>
      </c>
      <c r="E42" s="3">
        <v>175</v>
      </c>
      <c r="F42" s="5">
        <f t="shared" si="7"/>
        <v>5.46875</v>
      </c>
      <c r="G42" s="4">
        <v>0.55000000000000004</v>
      </c>
      <c r="H42" s="6">
        <f t="shared" si="8"/>
        <v>3.0078125000000004</v>
      </c>
      <c r="I42" s="5">
        <f t="shared" si="9"/>
        <v>0.25</v>
      </c>
      <c r="J42" s="4">
        <v>18</v>
      </c>
      <c r="K42" s="4">
        <f t="shared" si="10"/>
        <v>4.5</v>
      </c>
      <c r="L42" s="6">
        <f t="shared" si="11"/>
        <v>7.5078125</v>
      </c>
      <c r="M42" s="6">
        <f t="shared" si="12"/>
        <v>1.2921875000000007</v>
      </c>
    </row>
    <row r="43" spans="1:13" x14ac:dyDescent="0.25">
      <c r="A43" s="2">
        <v>43839</v>
      </c>
      <c r="B43" s="3">
        <v>33</v>
      </c>
      <c r="C43" s="4">
        <v>8.6999999999999993</v>
      </c>
      <c r="D43" s="4">
        <f t="shared" si="13"/>
        <v>287.09999999999997</v>
      </c>
      <c r="E43" s="3">
        <v>200</v>
      </c>
      <c r="F43" s="5">
        <f t="shared" si="7"/>
        <v>6.0606060606060606</v>
      </c>
      <c r="G43" s="4">
        <v>0.55000000000000004</v>
      </c>
      <c r="H43" s="6">
        <f t="shared" si="8"/>
        <v>3.3333333333333335</v>
      </c>
      <c r="I43" s="5">
        <f t="shared" si="9"/>
        <v>0.24242424242424243</v>
      </c>
      <c r="J43" s="4">
        <v>18</v>
      </c>
      <c r="K43" s="4">
        <f t="shared" si="10"/>
        <v>4.3636363636363633</v>
      </c>
      <c r="L43" s="6">
        <f t="shared" si="11"/>
        <v>7.6969696969696972</v>
      </c>
      <c r="M43" s="6">
        <f t="shared" si="12"/>
        <v>1.0030303030303021</v>
      </c>
    </row>
    <row r="44" spans="1:13" x14ac:dyDescent="0.25">
      <c r="A44" s="2">
        <v>43840</v>
      </c>
      <c r="B44" s="3">
        <v>34</v>
      </c>
      <c r="C44" s="4">
        <v>8.6</v>
      </c>
      <c r="D44" s="4">
        <f t="shared" si="13"/>
        <v>292.39999999999998</v>
      </c>
      <c r="E44" s="3">
        <v>150</v>
      </c>
      <c r="F44" s="5">
        <f t="shared" si="7"/>
        <v>4.4117647058823533</v>
      </c>
      <c r="G44" s="4">
        <v>0.55000000000000004</v>
      </c>
      <c r="H44" s="6">
        <f t="shared" si="8"/>
        <v>2.4264705882352944</v>
      </c>
      <c r="I44" s="5">
        <f t="shared" si="9"/>
        <v>0.23529411764705882</v>
      </c>
      <c r="J44" s="4">
        <v>18</v>
      </c>
      <c r="K44" s="4">
        <f t="shared" si="10"/>
        <v>4.2352941176470589</v>
      </c>
      <c r="L44" s="6">
        <f t="shared" si="11"/>
        <v>6.6617647058823533</v>
      </c>
      <c r="M44" s="6">
        <f t="shared" si="12"/>
        <v>1.9382352941176464</v>
      </c>
    </row>
    <row r="45" spans="1:13" x14ac:dyDescent="0.25">
      <c r="A45" s="2">
        <v>43841</v>
      </c>
      <c r="B45" s="3">
        <v>35</v>
      </c>
      <c r="C45" s="4">
        <v>8.5</v>
      </c>
      <c r="D45" s="4">
        <f t="shared" si="13"/>
        <v>297.5</v>
      </c>
      <c r="E45" s="3">
        <v>175</v>
      </c>
      <c r="F45" s="5">
        <f t="shared" si="7"/>
        <v>5</v>
      </c>
      <c r="G45" s="4">
        <v>0.55000000000000004</v>
      </c>
      <c r="H45" s="6">
        <f t="shared" si="8"/>
        <v>2.75</v>
      </c>
      <c r="I45" s="5">
        <f t="shared" si="9"/>
        <v>0.22857142857142856</v>
      </c>
      <c r="J45" s="4">
        <v>18</v>
      </c>
      <c r="K45" s="4">
        <f t="shared" si="10"/>
        <v>4.1142857142857139</v>
      </c>
      <c r="L45" s="6">
        <f t="shared" si="11"/>
        <v>6.8642857142857139</v>
      </c>
      <c r="M45" s="6">
        <f t="shared" si="12"/>
        <v>1.6357142857142861</v>
      </c>
    </row>
    <row r="46" spans="1:13" x14ac:dyDescent="0.25">
      <c r="A46" s="2">
        <v>43842</v>
      </c>
      <c r="B46" s="3">
        <v>36</v>
      </c>
      <c r="C46" s="4">
        <v>8.4</v>
      </c>
      <c r="D46" s="4">
        <f t="shared" si="13"/>
        <v>302.40000000000003</v>
      </c>
      <c r="E46" s="3">
        <v>200</v>
      </c>
      <c r="F46" s="5">
        <f t="shared" si="7"/>
        <v>5.5555555555555554</v>
      </c>
      <c r="G46" s="4">
        <v>0.55000000000000004</v>
      </c>
      <c r="H46" s="6">
        <f t="shared" si="8"/>
        <v>3.0555555555555558</v>
      </c>
      <c r="I46" s="5">
        <f t="shared" si="9"/>
        <v>0.22222222222222221</v>
      </c>
      <c r="J46" s="4">
        <v>18</v>
      </c>
      <c r="K46" s="4">
        <f t="shared" si="10"/>
        <v>4</v>
      </c>
      <c r="L46" s="6">
        <f t="shared" si="11"/>
        <v>7.0555555555555554</v>
      </c>
      <c r="M46" s="6">
        <f t="shared" si="12"/>
        <v>1.344444444444445</v>
      </c>
    </row>
    <row r="47" spans="1:13" x14ac:dyDescent="0.25">
      <c r="A47" s="2">
        <v>43843</v>
      </c>
      <c r="B47" s="3">
        <v>37</v>
      </c>
      <c r="C47" s="4">
        <v>8.3000000000000007</v>
      </c>
      <c r="D47" s="4">
        <f t="shared" si="13"/>
        <v>307.10000000000002</v>
      </c>
      <c r="E47" s="3">
        <v>150</v>
      </c>
      <c r="F47" s="5">
        <f t="shared" si="7"/>
        <v>4.0540540540540544</v>
      </c>
      <c r="G47" s="4">
        <v>0.55000000000000004</v>
      </c>
      <c r="H47" s="6">
        <f t="shared" si="8"/>
        <v>2.2297297297297303</v>
      </c>
      <c r="I47" s="5">
        <f t="shared" si="9"/>
        <v>0.21621621621621623</v>
      </c>
      <c r="J47" s="4">
        <v>19</v>
      </c>
      <c r="K47" s="4">
        <f t="shared" si="10"/>
        <v>4.1081081081081088</v>
      </c>
      <c r="L47" s="6">
        <f t="shared" si="11"/>
        <v>6.3378378378378386</v>
      </c>
      <c r="M47" s="6">
        <f t="shared" si="12"/>
        <v>1.9621621621621621</v>
      </c>
    </row>
    <row r="48" spans="1:13" x14ac:dyDescent="0.25">
      <c r="A48" s="2">
        <v>43844</v>
      </c>
      <c r="B48" s="3">
        <v>38</v>
      </c>
      <c r="C48" s="4">
        <v>8.1999999999999993</v>
      </c>
      <c r="D48" s="4">
        <f t="shared" si="13"/>
        <v>311.59999999999997</v>
      </c>
      <c r="E48" s="3">
        <v>175</v>
      </c>
      <c r="F48" s="5">
        <f t="shared" si="7"/>
        <v>4.6052631578947372</v>
      </c>
      <c r="G48" s="4">
        <v>0.55000000000000004</v>
      </c>
      <c r="H48" s="6">
        <f t="shared" si="8"/>
        <v>2.5328947368421058</v>
      </c>
      <c r="I48" s="5">
        <f t="shared" si="9"/>
        <v>0.21052631578947367</v>
      </c>
      <c r="J48" s="4">
        <v>19</v>
      </c>
      <c r="K48" s="4">
        <f t="shared" si="10"/>
        <v>4</v>
      </c>
      <c r="L48" s="6">
        <f t="shared" si="11"/>
        <v>6.5328947368421062</v>
      </c>
      <c r="M48" s="6">
        <f t="shared" si="12"/>
        <v>1.6671052631578931</v>
      </c>
    </row>
    <row r="49" spans="1:13" x14ac:dyDescent="0.25">
      <c r="A49" s="2">
        <v>43845</v>
      </c>
      <c r="B49" s="3">
        <v>39</v>
      </c>
      <c r="C49" s="4">
        <v>8.1</v>
      </c>
      <c r="D49" s="4">
        <f t="shared" si="13"/>
        <v>315.89999999999998</v>
      </c>
      <c r="E49" s="3">
        <v>200</v>
      </c>
      <c r="F49" s="5">
        <f t="shared" si="7"/>
        <v>5.1282051282051286</v>
      </c>
      <c r="G49" s="4">
        <v>0.55000000000000004</v>
      </c>
      <c r="H49" s="6">
        <f t="shared" si="8"/>
        <v>2.8205128205128212</v>
      </c>
      <c r="I49" s="5">
        <f t="shared" si="9"/>
        <v>0.20512820512820512</v>
      </c>
      <c r="J49" s="4">
        <v>19</v>
      </c>
      <c r="K49" s="4">
        <f t="shared" si="10"/>
        <v>3.8974358974358974</v>
      </c>
      <c r="L49" s="6">
        <f t="shared" si="11"/>
        <v>6.717948717948719</v>
      </c>
      <c r="M49" s="6">
        <f t="shared" si="12"/>
        <v>1.3820512820512807</v>
      </c>
    </row>
    <row r="50" spans="1:13" x14ac:dyDescent="0.25">
      <c r="A50" s="2">
        <v>43846</v>
      </c>
      <c r="B50" s="3">
        <v>40</v>
      </c>
      <c r="C50" s="4">
        <v>8.0000000000000107</v>
      </c>
      <c r="D50" s="4">
        <f t="shared" si="13"/>
        <v>320.00000000000045</v>
      </c>
      <c r="E50" s="3">
        <v>150</v>
      </c>
      <c r="F50" s="5">
        <f t="shared" si="7"/>
        <v>3.75</v>
      </c>
      <c r="G50" s="4">
        <v>0.57999999999999985</v>
      </c>
      <c r="H50" s="6">
        <f t="shared" si="8"/>
        <v>2.1749999999999994</v>
      </c>
      <c r="I50" s="5">
        <f t="shared" si="9"/>
        <v>0.2</v>
      </c>
      <c r="J50" s="4">
        <v>19</v>
      </c>
      <c r="K50" s="4">
        <f t="shared" si="10"/>
        <v>3.8000000000000003</v>
      </c>
      <c r="L50" s="6">
        <f t="shared" si="11"/>
        <v>5.9749999999999996</v>
      </c>
      <c r="M50" s="6">
        <f t="shared" si="12"/>
        <v>2.025000000000011</v>
      </c>
    </row>
    <row r="51" spans="1:13" x14ac:dyDescent="0.25">
      <c r="A51" s="2">
        <v>43847</v>
      </c>
      <c r="B51" s="3">
        <v>41</v>
      </c>
      <c r="C51" s="4">
        <v>7.9000000000000101</v>
      </c>
      <c r="D51" s="4">
        <f t="shared" si="13"/>
        <v>323.90000000000043</v>
      </c>
      <c r="E51" s="3">
        <v>175</v>
      </c>
      <c r="F51" s="5">
        <f t="shared" si="7"/>
        <v>4.2682926829268295</v>
      </c>
      <c r="G51" s="4">
        <v>0.57999999999999985</v>
      </c>
      <c r="H51" s="6">
        <f t="shared" si="8"/>
        <v>2.4756097560975605</v>
      </c>
      <c r="I51" s="5">
        <f t="shared" si="9"/>
        <v>0.1951219512195122</v>
      </c>
      <c r="J51" s="4">
        <v>19</v>
      </c>
      <c r="K51" s="4">
        <f t="shared" si="10"/>
        <v>3.7073170731707319</v>
      </c>
      <c r="L51" s="6">
        <f t="shared" si="11"/>
        <v>6.1829268292682924</v>
      </c>
      <c r="M51" s="6">
        <f t="shared" si="12"/>
        <v>1.7170731707317177</v>
      </c>
    </row>
    <row r="52" spans="1:13" x14ac:dyDescent="0.25">
      <c r="A52" s="2">
        <v>43848</v>
      </c>
      <c r="B52" s="3">
        <v>42</v>
      </c>
      <c r="C52" s="4">
        <v>7.8000000000000096</v>
      </c>
      <c r="D52" s="4">
        <f t="shared" si="13"/>
        <v>327.60000000000042</v>
      </c>
      <c r="E52" s="3">
        <v>200</v>
      </c>
      <c r="F52" s="5">
        <f t="shared" si="7"/>
        <v>4.7619047619047619</v>
      </c>
      <c r="G52" s="4">
        <v>0.57999999999999985</v>
      </c>
      <c r="H52" s="6">
        <f t="shared" si="8"/>
        <v>2.761904761904761</v>
      </c>
      <c r="I52" s="5">
        <f t="shared" si="9"/>
        <v>0.19047619047619047</v>
      </c>
      <c r="J52" s="4">
        <v>19</v>
      </c>
      <c r="K52" s="4">
        <f t="shared" si="10"/>
        <v>3.6190476190476186</v>
      </c>
      <c r="L52" s="6">
        <f t="shared" si="11"/>
        <v>6.3809523809523796</v>
      </c>
      <c r="M52" s="6">
        <f t="shared" si="12"/>
        <v>1.41904761904763</v>
      </c>
    </row>
    <row r="53" spans="1:13" x14ac:dyDescent="0.25">
      <c r="A53" s="2">
        <v>43849</v>
      </c>
      <c r="B53" s="3">
        <v>43</v>
      </c>
      <c r="C53" s="4">
        <v>7.7000000000000099</v>
      </c>
      <c r="D53" s="4">
        <f t="shared" si="13"/>
        <v>331.10000000000042</v>
      </c>
      <c r="E53" s="3">
        <v>150</v>
      </c>
      <c r="F53" s="5">
        <f t="shared" si="7"/>
        <v>3.4883720930232558</v>
      </c>
      <c r="G53" s="4">
        <v>0.57999999999999985</v>
      </c>
      <c r="H53" s="6">
        <f t="shared" si="8"/>
        <v>2.023255813953488</v>
      </c>
      <c r="I53" s="5">
        <f t="shared" si="9"/>
        <v>0.18604651162790697</v>
      </c>
      <c r="J53" s="4">
        <v>19</v>
      </c>
      <c r="K53" s="4">
        <f t="shared" si="10"/>
        <v>3.5348837209302326</v>
      </c>
      <c r="L53" s="6">
        <f t="shared" si="11"/>
        <v>5.5581395348837201</v>
      </c>
      <c r="M53" s="6">
        <f t="shared" si="12"/>
        <v>2.1418604651162898</v>
      </c>
    </row>
    <row r="54" spans="1:13" x14ac:dyDescent="0.25">
      <c r="A54" s="2">
        <v>43850</v>
      </c>
      <c r="B54" s="3">
        <v>44</v>
      </c>
      <c r="C54" s="4">
        <v>7.6000000000000103</v>
      </c>
      <c r="D54" s="4">
        <f t="shared" si="13"/>
        <v>334.40000000000043</v>
      </c>
      <c r="E54" s="3">
        <v>175</v>
      </c>
      <c r="F54" s="5">
        <f t="shared" si="7"/>
        <v>3.9772727272727271</v>
      </c>
      <c r="G54" s="4">
        <v>0.57999999999999985</v>
      </c>
      <c r="H54" s="6">
        <f t="shared" si="8"/>
        <v>2.3068181818181812</v>
      </c>
      <c r="I54" s="5">
        <f t="shared" si="9"/>
        <v>0.18181818181818182</v>
      </c>
      <c r="J54" s="4">
        <v>19</v>
      </c>
      <c r="K54" s="4">
        <f t="shared" si="10"/>
        <v>3.4545454545454546</v>
      </c>
      <c r="L54" s="6">
        <f t="shared" si="11"/>
        <v>5.7613636363636358</v>
      </c>
      <c r="M54" s="6">
        <f t="shared" si="12"/>
        <v>1.8386363636363745</v>
      </c>
    </row>
    <row r="55" spans="1:13" x14ac:dyDescent="0.25">
      <c r="A55" s="2">
        <v>43851</v>
      </c>
      <c r="B55" s="3">
        <v>45</v>
      </c>
      <c r="C55" s="4">
        <v>7.5000000000000098</v>
      </c>
      <c r="D55" s="4">
        <f t="shared" si="13"/>
        <v>337.50000000000045</v>
      </c>
      <c r="E55" s="3">
        <v>200</v>
      </c>
      <c r="F55" s="5">
        <f t="shared" si="7"/>
        <v>4.4444444444444446</v>
      </c>
      <c r="G55" s="4">
        <v>0.57999999999999985</v>
      </c>
      <c r="H55" s="6">
        <f t="shared" si="8"/>
        <v>2.5777777777777771</v>
      </c>
      <c r="I55" s="5">
        <f t="shared" si="9"/>
        <v>0.17777777777777778</v>
      </c>
      <c r="J55" s="4">
        <v>19</v>
      </c>
      <c r="K55" s="4">
        <f t="shared" si="10"/>
        <v>3.3777777777777778</v>
      </c>
      <c r="L55" s="6">
        <f t="shared" si="11"/>
        <v>5.9555555555555548</v>
      </c>
      <c r="M55" s="6">
        <f t="shared" si="12"/>
        <v>1.5444444444444549</v>
      </c>
    </row>
    <row r="56" spans="1:13" x14ac:dyDescent="0.25">
      <c r="A56" s="2">
        <v>43852</v>
      </c>
      <c r="B56" s="3">
        <v>46</v>
      </c>
      <c r="C56" s="4">
        <v>7.4000000000000101</v>
      </c>
      <c r="D56" s="4">
        <f t="shared" si="13"/>
        <v>340.40000000000049</v>
      </c>
      <c r="E56" s="3">
        <v>150</v>
      </c>
      <c r="F56" s="5">
        <f t="shared" si="7"/>
        <v>3.2608695652173911</v>
      </c>
      <c r="G56" s="4">
        <v>0.57999999999999985</v>
      </c>
      <c r="H56" s="6">
        <f t="shared" si="8"/>
        <v>1.8913043478260865</v>
      </c>
      <c r="I56" s="5">
        <f t="shared" si="9"/>
        <v>0.17391304347826086</v>
      </c>
      <c r="J56" s="4">
        <v>19</v>
      </c>
      <c r="K56" s="4">
        <f t="shared" si="10"/>
        <v>3.3043478260869565</v>
      </c>
      <c r="L56" s="6">
        <f t="shared" si="11"/>
        <v>5.195652173913043</v>
      </c>
      <c r="M56" s="6">
        <f t="shared" si="12"/>
        <v>2.2043478260869671</v>
      </c>
    </row>
    <row r="57" spans="1:13" x14ac:dyDescent="0.25">
      <c r="A57" s="2">
        <v>43853</v>
      </c>
      <c r="B57" s="3">
        <v>47</v>
      </c>
      <c r="C57" s="4">
        <v>7.3000000000000096</v>
      </c>
      <c r="D57" s="4">
        <f t="shared" si="13"/>
        <v>343.10000000000048</v>
      </c>
      <c r="E57" s="3">
        <v>175</v>
      </c>
      <c r="F57" s="5">
        <f t="shared" si="7"/>
        <v>3.7234042553191489</v>
      </c>
      <c r="G57" s="4">
        <v>0.57999999999999985</v>
      </c>
      <c r="H57" s="6">
        <f t="shared" si="8"/>
        <v>2.1595744680851059</v>
      </c>
      <c r="I57" s="5">
        <f t="shared" si="9"/>
        <v>0.1702127659574468</v>
      </c>
      <c r="J57" s="4">
        <v>19</v>
      </c>
      <c r="K57" s="4">
        <f t="shared" si="10"/>
        <v>3.2340425531914891</v>
      </c>
      <c r="L57" s="6">
        <f t="shared" si="11"/>
        <v>5.3936170212765955</v>
      </c>
      <c r="M57" s="6">
        <f t="shared" si="12"/>
        <v>1.9063829787234141</v>
      </c>
    </row>
    <row r="58" spans="1:13" x14ac:dyDescent="0.25">
      <c r="A58" s="2">
        <v>43854</v>
      </c>
      <c r="B58" s="3">
        <v>48</v>
      </c>
      <c r="C58" s="4">
        <v>7.2000000000000099</v>
      </c>
      <c r="D58" s="4">
        <f t="shared" si="13"/>
        <v>345.60000000000048</v>
      </c>
      <c r="E58" s="3">
        <v>200</v>
      </c>
      <c r="F58" s="5">
        <f t="shared" si="7"/>
        <v>4.166666666666667</v>
      </c>
      <c r="G58" s="4">
        <v>0.57999999999999985</v>
      </c>
      <c r="H58" s="6">
        <f t="shared" si="8"/>
        <v>2.4166666666666661</v>
      </c>
      <c r="I58" s="5">
        <f t="shared" si="9"/>
        <v>0.16666666666666666</v>
      </c>
      <c r="J58" s="4">
        <v>19</v>
      </c>
      <c r="K58" s="4">
        <f t="shared" si="10"/>
        <v>3.1666666666666665</v>
      </c>
      <c r="L58" s="6">
        <f t="shared" si="11"/>
        <v>5.5833333333333321</v>
      </c>
      <c r="M58" s="6">
        <f t="shared" si="12"/>
        <v>1.6166666666666778</v>
      </c>
    </row>
    <row r="59" spans="1:13" x14ac:dyDescent="0.25">
      <c r="A59" s="2">
        <v>43855</v>
      </c>
      <c r="B59" s="3">
        <v>49</v>
      </c>
      <c r="C59" s="4">
        <v>7.1000000000000103</v>
      </c>
      <c r="D59" s="4">
        <f t="shared" si="13"/>
        <v>347.90000000000049</v>
      </c>
      <c r="E59" s="3">
        <v>150</v>
      </c>
      <c r="F59" s="5">
        <f t="shared" si="7"/>
        <v>3.0612244897959182</v>
      </c>
      <c r="G59" s="4">
        <v>0.57999999999999985</v>
      </c>
      <c r="H59" s="6">
        <f t="shared" si="8"/>
        <v>1.7755102040816322</v>
      </c>
      <c r="I59" s="5">
        <f t="shared" si="9"/>
        <v>0.16326530612244897</v>
      </c>
      <c r="J59" s="4">
        <v>19</v>
      </c>
      <c r="K59" s="4">
        <f t="shared" si="10"/>
        <v>3.1020408163265305</v>
      </c>
      <c r="L59" s="6">
        <f t="shared" si="11"/>
        <v>4.8775510204081627</v>
      </c>
      <c r="M59" s="6">
        <f t="shared" si="12"/>
        <v>2.2224489795918476</v>
      </c>
    </row>
    <row r="60" spans="1:13" x14ac:dyDescent="0.25">
      <c r="A60" s="2">
        <v>43856</v>
      </c>
      <c r="B60" s="3">
        <v>50</v>
      </c>
      <c r="C60" s="4">
        <v>7.0000000000000098</v>
      </c>
      <c r="D60" s="4">
        <f t="shared" si="13"/>
        <v>350.00000000000051</v>
      </c>
      <c r="E60" s="3">
        <v>175</v>
      </c>
      <c r="F60" s="5">
        <f t="shared" si="7"/>
        <v>3.5</v>
      </c>
      <c r="G60" s="4">
        <v>0.6100000000000001</v>
      </c>
      <c r="H60" s="6">
        <f t="shared" si="8"/>
        <v>2.1350000000000002</v>
      </c>
      <c r="I60" s="5">
        <f t="shared" si="9"/>
        <v>0.16</v>
      </c>
      <c r="J60" s="4">
        <v>19</v>
      </c>
      <c r="K60" s="4">
        <f t="shared" si="10"/>
        <v>3.04</v>
      </c>
      <c r="L60" s="6">
        <f t="shared" si="11"/>
        <v>5.1750000000000007</v>
      </c>
      <c r="M60" s="6">
        <f t="shared" si="12"/>
        <v>1.8250000000000091</v>
      </c>
    </row>
    <row r="61" spans="1:13" x14ac:dyDescent="0.25">
      <c r="A61" s="2">
        <v>43857</v>
      </c>
      <c r="B61" s="3">
        <v>51</v>
      </c>
      <c r="C61" s="4">
        <v>6.9000000000000101</v>
      </c>
      <c r="D61" s="4">
        <f t="shared" si="13"/>
        <v>351.90000000000049</v>
      </c>
      <c r="E61" s="3">
        <v>200</v>
      </c>
      <c r="F61" s="5">
        <f t="shared" si="7"/>
        <v>3.9215686274509802</v>
      </c>
      <c r="G61" s="4">
        <v>0.6100000000000001</v>
      </c>
      <c r="H61" s="6">
        <f t="shared" si="8"/>
        <v>2.3921568627450984</v>
      </c>
      <c r="I61" s="5">
        <f t="shared" si="9"/>
        <v>0.15686274509803921</v>
      </c>
      <c r="J61" s="4">
        <v>19</v>
      </c>
      <c r="K61" s="4">
        <f t="shared" si="10"/>
        <v>2.9803921568627452</v>
      </c>
      <c r="L61" s="6">
        <f t="shared" si="11"/>
        <v>5.3725490196078436</v>
      </c>
      <c r="M61" s="6">
        <f t="shared" si="12"/>
        <v>1.5274509803921665</v>
      </c>
    </row>
    <row r="62" spans="1:13" x14ac:dyDescent="0.25">
      <c r="A62" s="2">
        <v>43858</v>
      </c>
      <c r="B62" s="3">
        <v>52</v>
      </c>
      <c r="C62" s="4">
        <v>6.8000000000000096</v>
      </c>
      <c r="D62" s="4">
        <f t="shared" si="13"/>
        <v>353.60000000000048</v>
      </c>
      <c r="E62" s="3">
        <v>150</v>
      </c>
      <c r="F62" s="5">
        <f t="shared" si="7"/>
        <v>2.8846153846153846</v>
      </c>
      <c r="G62" s="4">
        <v>0.6100000000000001</v>
      </c>
      <c r="H62" s="6">
        <f t="shared" si="8"/>
        <v>1.7596153846153848</v>
      </c>
      <c r="I62" s="5">
        <f t="shared" si="9"/>
        <v>0.15384615384615385</v>
      </c>
      <c r="J62" s="4">
        <v>19</v>
      </c>
      <c r="K62" s="4">
        <f t="shared" si="10"/>
        <v>2.9230769230769234</v>
      </c>
      <c r="L62" s="6">
        <f t="shared" si="11"/>
        <v>4.6826923076923084</v>
      </c>
      <c r="M62" s="6">
        <f t="shared" si="12"/>
        <v>2.1173076923077012</v>
      </c>
    </row>
    <row r="63" spans="1:13" x14ac:dyDescent="0.25">
      <c r="A63" s="2">
        <v>43859</v>
      </c>
      <c r="B63" s="3">
        <v>53</v>
      </c>
      <c r="C63" s="4">
        <v>6.7000000000000099</v>
      </c>
      <c r="D63" s="4">
        <f t="shared" si="13"/>
        <v>355.10000000000053</v>
      </c>
      <c r="E63" s="3">
        <v>175</v>
      </c>
      <c r="F63" s="5">
        <f t="shared" si="7"/>
        <v>3.3018867924528301</v>
      </c>
      <c r="G63" s="4">
        <v>0.6100000000000001</v>
      </c>
      <c r="H63" s="6">
        <f t="shared" si="8"/>
        <v>2.0141509433962268</v>
      </c>
      <c r="I63" s="5">
        <f t="shared" si="9"/>
        <v>0.15094339622641509</v>
      </c>
      <c r="J63" s="4">
        <v>19</v>
      </c>
      <c r="K63" s="4">
        <f t="shared" si="10"/>
        <v>2.8679245283018866</v>
      </c>
      <c r="L63" s="6">
        <f t="shared" si="11"/>
        <v>4.8820754716981138</v>
      </c>
      <c r="M63" s="6">
        <f t="shared" si="12"/>
        <v>1.8179245283018961</v>
      </c>
    </row>
    <row r="64" spans="1:13" x14ac:dyDescent="0.25">
      <c r="A64" s="2">
        <v>43860</v>
      </c>
      <c r="B64" s="3">
        <v>54</v>
      </c>
      <c r="C64" s="4">
        <v>6.6000000000000103</v>
      </c>
      <c r="D64" s="4">
        <f t="shared" si="13"/>
        <v>356.40000000000055</v>
      </c>
      <c r="E64" s="3">
        <v>200</v>
      </c>
      <c r="F64" s="5">
        <f t="shared" si="7"/>
        <v>3.7037037037037037</v>
      </c>
      <c r="G64" s="4">
        <v>0.6100000000000001</v>
      </c>
      <c r="H64" s="6">
        <f t="shared" si="8"/>
        <v>2.2592592592592595</v>
      </c>
      <c r="I64" s="5">
        <f t="shared" si="9"/>
        <v>0.14814814814814814</v>
      </c>
      <c r="J64" s="4">
        <v>19</v>
      </c>
      <c r="K64" s="4">
        <f t="shared" si="10"/>
        <v>2.8148148148148149</v>
      </c>
      <c r="L64" s="6">
        <f t="shared" si="11"/>
        <v>5.0740740740740744</v>
      </c>
      <c r="M64" s="6">
        <f t="shared" si="12"/>
        <v>1.5259259259259359</v>
      </c>
    </row>
    <row r="65" spans="1:13" x14ac:dyDescent="0.25">
      <c r="A65" s="2">
        <v>43861</v>
      </c>
      <c r="B65" s="3">
        <v>55</v>
      </c>
      <c r="C65" s="4">
        <v>6.5000000000000098</v>
      </c>
      <c r="D65" s="4">
        <f t="shared" si="13"/>
        <v>357.50000000000051</v>
      </c>
      <c r="E65" s="3">
        <v>150</v>
      </c>
      <c r="F65" s="5">
        <f t="shared" si="7"/>
        <v>2.7272727272727271</v>
      </c>
      <c r="G65" s="4">
        <v>0.6100000000000001</v>
      </c>
      <c r="H65" s="6">
        <f t="shared" si="8"/>
        <v>1.6636363636363638</v>
      </c>
      <c r="I65" s="5">
        <f t="shared" si="9"/>
        <v>0.14545454545454545</v>
      </c>
      <c r="J65" s="4">
        <v>19</v>
      </c>
      <c r="K65" s="4">
        <f t="shared" si="10"/>
        <v>2.7636363636363637</v>
      </c>
      <c r="L65" s="6">
        <f t="shared" si="11"/>
        <v>4.4272727272727277</v>
      </c>
      <c r="M65" s="6">
        <f t="shared" si="12"/>
        <v>2.0727272727272821</v>
      </c>
    </row>
    <row r="66" spans="1:13" x14ac:dyDescent="0.25">
      <c r="A66" s="2">
        <v>43831</v>
      </c>
      <c r="B66" s="3">
        <v>25</v>
      </c>
      <c r="C66" s="4">
        <v>9.5</v>
      </c>
      <c r="D66" s="4">
        <f>B66*C66</f>
        <v>237.5</v>
      </c>
      <c r="E66" s="3">
        <v>150</v>
      </c>
      <c r="F66" s="5">
        <f>E66/B66</f>
        <v>6</v>
      </c>
      <c r="G66" s="4">
        <v>0.55000000000000004</v>
      </c>
      <c r="H66" s="6">
        <f t="shared" si="8"/>
        <v>3.3000000000000003</v>
      </c>
      <c r="I66" s="5">
        <f>8/B66</f>
        <v>0.32</v>
      </c>
      <c r="J66" s="4">
        <v>18</v>
      </c>
      <c r="K66" s="4">
        <f>J66*I66</f>
        <v>5.76</v>
      </c>
      <c r="L66" s="6">
        <f>H66+K66</f>
        <v>9.06</v>
      </c>
      <c r="M66" s="6">
        <f t="shared" si="12"/>
        <v>0.4399999999999995</v>
      </c>
    </row>
    <row r="67" spans="1:13" x14ac:dyDescent="0.25">
      <c r="A67" s="2">
        <v>43832</v>
      </c>
      <c r="B67" s="3">
        <v>26</v>
      </c>
      <c r="C67" s="4">
        <v>9.4</v>
      </c>
      <c r="D67" s="4">
        <f>B67*C67</f>
        <v>244.4</v>
      </c>
      <c r="E67" s="3">
        <v>175</v>
      </c>
      <c r="F67" s="5">
        <f t="shared" ref="F67:F96" si="14">E67/B67</f>
        <v>6.7307692307692308</v>
      </c>
      <c r="G67" s="4">
        <v>0.55000000000000004</v>
      </c>
      <c r="H67" s="6">
        <f t="shared" si="8"/>
        <v>3.7019230769230771</v>
      </c>
      <c r="I67" s="5">
        <f t="shared" ref="I67:I96" si="15">8/B67</f>
        <v>0.30769230769230771</v>
      </c>
      <c r="J67" s="4">
        <v>18</v>
      </c>
      <c r="K67" s="4">
        <f t="shared" ref="K67:K96" si="16">J67*I67</f>
        <v>5.5384615384615383</v>
      </c>
      <c r="L67" s="6">
        <f t="shared" ref="L67:L96" si="17">H67+K67</f>
        <v>9.240384615384615</v>
      </c>
      <c r="M67" s="6">
        <f t="shared" si="12"/>
        <v>0.15961538461538538</v>
      </c>
    </row>
    <row r="68" spans="1:13" x14ac:dyDescent="0.25">
      <c r="A68" s="2">
        <v>43833</v>
      </c>
      <c r="B68" s="3">
        <v>27</v>
      </c>
      <c r="C68" s="4">
        <v>9.3000000000000007</v>
      </c>
      <c r="D68" s="4">
        <f t="shared" ref="D68:D96" si="18">B68*C68</f>
        <v>251.10000000000002</v>
      </c>
      <c r="E68" s="3">
        <v>200</v>
      </c>
      <c r="F68" s="5">
        <f t="shared" si="14"/>
        <v>7.4074074074074074</v>
      </c>
      <c r="G68" s="4">
        <v>0.55000000000000004</v>
      </c>
      <c r="H68" s="6">
        <f t="shared" ref="H68:H99" si="19">G68*F68</f>
        <v>4.0740740740740744</v>
      </c>
      <c r="I68" s="5">
        <f t="shared" si="15"/>
        <v>0.29629629629629628</v>
      </c>
      <c r="J68" s="4">
        <v>18</v>
      </c>
      <c r="K68" s="4">
        <f t="shared" si="16"/>
        <v>5.333333333333333</v>
      </c>
      <c r="L68" s="6">
        <f t="shared" si="17"/>
        <v>9.4074074074074083</v>
      </c>
      <c r="M68" s="6">
        <f t="shared" ref="M68:M99" si="20">C68-L68</f>
        <v>-0.10740740740740762</v>
      </c>
    </row>
    <row r="69" spans="1:13" x14ac:dyDescent="0.25">
      <c r="A69" s="2">
        <v>43834</v>
      </c>
      <c r="B69" s="3">
        <v>28</v>
      </c>
      <c r="C69" s="4">
        <v>9.1999999999999993</v>
      </c>
      <c r="D69" s="4">
        <f t="shared" si="18"/>
        <v>257.59999999999997</v>
      </c>
      <c r="E69" s="3">
        <v>150</v>
      </c>
      <c r="F69" s="5">
        <f t="shared" si="14"/>
        <v>5.3571428571428568</v>
      </c>
      <c r="G69" s="4">
        <v>0.55000000000000004</v>
      </c>
      <c r="H69" s="6">
        <f t="shared" si="19"/>
        <v>2.9464285714285716</v>
      </c>
      <c r="I69" s="5">
        <f t="shared" si="15"/>
        <v>0.2857142857142857</v>
      </c>
      <c r="J69" s="4">
        <v>18</v>
      </c>
      <c r="K69" s="4">
        <f t="shared" si="16"/>
        <v>5.1428571428571423</v>
      </c>
      <c r="L69" s="6">
        <f t="shared" si="17"/>
        <v>8.0892857142857135</v>
      </c>
      <c r="M69" s="6">
        <f t="shared" si="20"/>
        <v>1.1107142857142858</v>
      </c>
    </row>
    <row r="70" spans="1:13" x14ac:dyDescent="0.25">
      <c r="A70" s="2">
        <v>43835</v>
      </c>
      <c r="B70" s="3">
        <v>29</v>
      </c>
      <c r="C70" s="4">
        <v>9.1</v>
      </c>
      <c r="D70" s="4">
        <f t="shared" si="18"/>
        <v>263.89999999999998</v>
      </c>
      <c r="E70" s="3">
        <v>175</v>
      </c>
      <c r="F70" s="5">
        <f t="shared" si="14"/>
        <v>6.0344827586206895</v>
      </c>
      <c r="G70" s="4">
        <v>0.55000000000000004</v>
      </c>
      <c r="H70" s="6">
        <f t="shared" si="19"/>
        <v>3.3189655172413794</v>
      </c>
      <c r="I70" s="5">
        <f t="shared" si="15"/>
        <v>0.27586206896551724</v>
      </c>
      <c r="J70" s="4">
        <v>18</v>
      </c>
      <c r="K70" s="4">
        <f t="shared" si="16"/>
        <v>4.9655172413793105</v>
      </c>
      <c r="L70" s="6">
        <f t="shared" si="17"/>
        <v>8.2844827586206904</v>
      </c>
      <c r="M70" s="6">
        <f t="shared" si="20"/>
        <v>0.81551724137930925</v>
      </c>
    </row>
    <row r="71" spans="1:13" x14ac:dyDescent="0.25">
      <c r="A71" s="2">
        <v>43836</v>
      </c>
      <c r="B71" s="3">
        <v>30</v>
      </c>
      <c r="C71" s="4">
        <v>9</v>
      </c>
      <c r="D71" s="4">
        <f t="shared" si="18"/>
        <v>270</v>
      </c>
      <c r="E71" s="3">
        <v>200</v>
      </c>
      <c r="F71" s="5">
        <f t="shared" si="14"/>
        <v>6.666666666666667</v>
      </c>
      <c r="G71" s="4">
        <v>0.55000000000000004</v>
      </c>
      <c r="H71" s="6">
        <f t="shared" si="19"/>
        <v>3.666666666666667</v>
      </c>
      <c r="I71" s="5">
        <f t="shared" si="15"/>
        <v>0.26666666666666666</v>
      </c>
      <c r="J71" s="4">
        <v>18</v>
      </c>
      <c r="K71" s="4">
        <f t="shared" si="16"/>
        <v>4.8</v>
      </c>
      <c r="L71" s="6">
        <f t="shared" si="17"/>
        <v>8.4666666666666668</v>
      </c>
      <c r="M71" s="6">
        <f t="shared" si="20"/>
        <v>0.53333333333333321</v>
      </c>
    </row>
    <row r="72" spans="1:13" x14ac:dyDescent="0.25">
      <c r="A72" s="2">
        <v>43837</v>
      </c>
      <c r="B72" s="3">
        <v>31</v>
      </c>
      <c r="C72" s="4">
        <v>8.9</v>
      </c>
      <c r="D72" s="4">
        <f t="shared" si="18"/>
        <v>275.90000000000003</v>
      </c>
      <c r="E72" s="3">
        <v>150</v>
      </c>
      <c r="F72" s="5">
        <f t="shared" si="14"/>
        <v>4.838709677419355</v>
      </c>
      <c r="G72" s="4">
        <v>0.55000000000000004</v>
      </c>
      <c r="H72" s="6">
        <f t="shared" si="19"/>
        <v>2.6612903225806455</v>
      </c>
      <c r="I72" s="5">
        <f t="shared" si="15"/>
        <v>0.25806451612903225</v>
      </c>
      <c r="J72" s="4">
        <v>18</v>
      </c>
      <c r="K72" s="4">
        <f t="shared" si="16"/>
        <v>4.6451612903225801</v>
      </c>
      <c r="L72" s="6">
        <f t="shared" si="17"/>
        <v>7.306451612903226</v>
      </c>
      <c r="M72" s="6">
        <f t="shared" si="20"/>
        <v>1.5935483870967744</v>
      </c>
    </row>
    <row r="73" spans="1:13" x14ac:dyDescent="0.25">
      <c r="A73" s="2">
        <v>43838</v>
      </c>
      <c r="B73" s="3">
        <v>32</v>
      </c>
      <c r="C73" s="4">
        <v>8.8000000000000007</v>
      </c>
      <c r="D73" s="4">
        <f t="shared" si="18"/>
        <v>281.60000000000002</v>
      </c>
      <c r="E73" s="3">
        <v>175</v>
      </c>
      <c r="F73" s="5">
        <f t="shared" si="14"/>
        <v>5.46875</v>
      </c>
      <c r="G73" s="4">
        <v>0.55000000000000004</v>
      </c>
      <c r="H73" s="6">
        <f t="shared" si="19"/>
        <v>3.0078125000000004</v>
      </c>
      <c r="I73" s="5">
        <f t="shared" si="15"/>
        <v>0.25</v>
      </c>
      <c r="J73" s="4">
        <v>18</v>
      </c>
      <c r="K73" s="4">
        <f t="shared" si="16"/>
        <v>4.5</v>
      </c>
      <c r="L73" s="6">
        <f t="shared" si="17"/>
        <v>7.5078125</v>
      </c>
      <c r="M73" s="6">
        <f t="shared" si="20"/>
        <v>1.2921875000000007</v>
      </c>
    </row>
    <row r="74" spans="1:13" x14ac:dyDescent="0.25">
      <c r="A74" s="2">
        <v>43839</v>
      </c>
      <c r="B74" s="3">
        <v>33</v>
      </c>
      <c r="C74" s="4">
        <v>8.6999999999999993</v>
      </c>
      <c r="D74" s="4">
        <f t="shared" si="18"/>
        <v>287.09999999999997</v>
      </c>
      <c r="E74" s="3">
        <v>200</v>
      </c>
      <c r="F74" s="5">
        <f t="shared" si="14"/>
        <v>6.0606060606060606</v>
      </c>
      <c r="G74" s="4">
        <v>0.55000000000000004</v>
      </c>
      <c r="H74" s="6">
        <f t="shared" si="19"/>
        <v>3.3333333333333335</v>
      </c>
      <c r="I74" s="5">
        <f t="shared" si="15"/>
        <v>0.24242424242424243</v>
      </c>
      <c r="J74" s="4">
        <v>18</v>
      </c>
      <c r="K74" s="4">
        <f t="shared" si="16"/>
        <v>4.3636363636363633</v>
      </c>
      <c r="L74" s="6">
        <f t="shared" si="17"/>
        <v>7.6969696969696972</v>
      </c>
      <c r="M74" s="6">
        <f t="shared" si="20"/>
        <v>1.0030303030303021</v>
      </c>
    </row>
    <row r="75" spans="1:13" x14ac:dyDescent="0.25">
      <c r="A75" s="2">
        <v>43840</v>
      </c>
      <c r="B75" s="3">
        <v>34</v>
      </c>
      <c r="C75" s="4">
        <v>8.6</v>
      </c>
      <c r="D75" s="4">
        <f t="shared" si="18"/>
        <v>292.39999999999998</v>
      </c>
      <c r="E75" s="3">
        <v>150</v>
      </c>
      <c r="F75" s="5">
        <f t="shared" si="14"/>
        <v>4.4117647058823533</v>
      </c>
      <c r="G75" s="4">
        <v>0.55000000000000004</v>
      </c>
      <c r="H75" s="6">
        <f t="shared" si="19"/>
        <v>2.4264705882352944</v>
      </c>
      <c r="I75" s="5">
        <f t="shared" si="15"/>
        <v>0.23529411764705882</v>
      </c>
      <c r="J75" s="4">
        <v>18</v>
      </c>
      <c r="K75" s="4">
        <f t="shared" si="16"/>
        <v>4.2352941176470589</v>
      </c>
      <c r="L75" s="6">
        <f t="shared" si="17"/>
        <v>6.6617647058823533</v>
      </c>
      <c r="M75" s="6">
        <f t="shared" si="20"/>
        <v>1.9382352941176464</v>
      </c>
    </row>
    <row r="76" spans="1:13" x14ac:dyDescent="0.25">
      <c r="A76" s="2">
        <v>43841</v>
      </c>
      <c r="B76" s="3">
        <v>35</v>
      </c>
      <c r="C76" s="4">
        <v>8.5</v>
      </c>
      <c r="D76" s="4">
        <f t="shared" si="18"/>
        <v>297.5</v>
      </c>
      <c r="E76" s="3">
        <v>175</v>
      </c>
      <c r="F76" s="5">
        <f t="shared" si="14"/>
        <v>5</v>
      </c>
      <c r="G76" s="4">
        <v>0.55000000000000004</v>
      </c>
      <c r="H76" s="6">
        <f t="shared" si="19"/>
        <v>2.75</v>
      </c>
      <c r="I76" s="5">
        <f t="shared" si="15"/>
        <v>0.22857142857142856</v>
      </c>
      <c r="J76" s="4">
        <v>18</v>
      </c>
      <c r="K76" s="4">
        <f t="shared" si="16"/>
        <v>4.1142857142857139</v>
      </c>
      <c r="L76" s="6">
        <f t="shared" si="17"/>
        <v>6.8642857142857139</v>
      </c>
      <c r="M76" s="6">
        <f t="shared" si="20"/>
        <v>1.6357142857142861</v>
      </c>
    </row>
    <row r="77" spans="1:13" x14ac:dyDescent="0.25">
      <c r="A77" s="2">
        <v>43842</v>
      </c>
      <c r="B77" s="3">
        <v>36</v>
      </c>
      <c r="C77" s="4">
        <v>8.4</v>
      </c>
      <c r="D77" s="4">
        <f t="shared" si="18"/>
        <v>302.40000000000003</v>
      </c>
      <c r="E77" s="3">
        <v>200</v>
      </c>
      <c r="F77" s="5">
        <f t="shared" si="14"/>
        <v>5.5555555555555554</v>
      </c>
      <c r="G77" s="4">
        <v>0.55000000000000004</v>
      </c>
      <c r="H77" s="6">
        <f t="shared" si="19"/>
        <v>3.0555555555555558</v>
      </c>
      <c r="I77" s="5">
        <f t="shared" si="15"/>
        <v>0.22222222222222221</v>
      </c>
      <c r="J77" s="4">
        <v>18</v>
      </c>
      <c r="K77" s="4">
        <f t="shared" si="16"/>
        <v>4</v>
      </c>
      <c r="L77" s="6">
        <f t="shared" si="17"/>
        <v>7.0555555555555554</v>
      </c>
      <c r="M77" s="6">
        <f t="shared" si="20"/>
        <v>1.344444444444445</v>
      </c>
    </row>
    <row r="78" spans="1:13" x14ac:dyDescent="0.25">
      <c r="A78" s="2">
        <v>43843</v>
      </c>
      <c r="B78" s="3">
        <v>37</v>
      </c>
      <c r="C78" s="4">
        <v>8.3000000000000007</v>
      </c>
      <c r="D78" s="4">
        <f t="shared" si="18"/>
        <v>307.10000000000002</v>
      </c>
      <c r="E78" s="3">
        <v>150</v>
      </c>
      <c r="F78" s="5">
        <f t="shared" si="14"/>
        <v>4.0540540540540544</v>
      </c>
      <c r="G78" s="4">
        <v>0.55000000000000004</v>
      </c>
      <c r="H78" s="6">
        <f t="shared" si="19"/>
        <v>2.2297297297297303</v>
      </c>
      <c r="I78" s="5">
        <f t="shared" si="15"/>
        <v>0.21621621621621623</v>
      </c>
      <c r="J78" s="4">
        <v>19</v>
      </c>
      <c r="K78" s="4">
        <f t="shared" si="16"/>
        <v>4.1081081081081088</v>
      </c>
      <c r="L78" s="6">
        <f t="shared" si="17"/>
        <v>6.3378378378378386</v>
      </c>
      <c r="M78" s="6">
        <f t="shared" si="20"/>
        <v>1.9621621621621621</v>
      </c>
    </row>
    <row r="79" spans="1:13" x14ac:dyDescent="0.25">
      <c r="A79" s="2">
        <v>43844</v>
      </c>
      <c r="B79" s="3">
        <v>38</v>
      </c>
      <c r="C79" s="4">
        <v>8.1999999999999993</v>
      </c>
      <c r="D79" s="4">
        <f t="shared" si="18"/>
        <v>311.59999999999997</v>
      </c>
      <c r="E79" s="3">
        <v>175</v>
      </c>
      <c r="F79" s="5">
        <f t="shared" si="14"/>
        <v>4.6052631578947372</v>
      </c>
      <c r="G79" s="4">
        <v>0.55000000000000004</v>
      </c>
      <c r="H79" s="6">
        <f t="shared" si="19"/>
        <v>2.5328947368421058</v>
      </c>
      <c r="I79" s="5">
        <f t="shared" si="15"/>
        <v>0.21052631578947367</v>
      </c>
      <c r="J79" s="4">
        <v>19</v>
      </c>
      <c r="K79" s="4">
        <f t="shared" si="16"/>
        <v>4</v>
      </c>
      <c r="L79" s="6">
        <f t="shared" si="17"/>
        <v>6.5328947368421062</v>
      </c>
      <c r="M79" s="6">
        <f t="shared" si="20"/>
        <v>1.6671052631578931</v>
      </c>
    </row>
    <row r="80" spans="1:13" x14ac:dyDescent="0.25">
      <c r="A80" s="2">
        <v>43845</v>
      </c>
      <c r="B80" s="3">
        <v>39</v>
      </c>
      <c r="C80" s="4">
        <v>8.1</v>
      </c>
      <c r="D80" s="4">
        <f t="shared" si="18"/>
        <v>315.89999999999998</v>
      </c>
      <c r="E80" s="3">
        <v>200</v>
      </c>
      <c r="F80" s="5">
        <f t="shared" si="14"/>
        <v>5.1282051282051286</v>
      </c>
      <c r="G80" s="4">
        <v>0.55000000000000004</v>
      </c>
      <c r="H80" s="6">
        <f t="shared" si="19"/>
        <v>2.8205128205128212</v>
      </c>
      <c r="I80" s="5">
        <f t="shared" si="15"/>
        <v>0.20512820512820512</v>
      </c>
      <c r="J80" s="4">
        <v>19</v>
      </c>
      <c r="K80" s="4">
        <f t="shared" si="16"/>
        <v>3.8974358974358974</v>
      </c>
      <c r="L80" s="6">
        <f t="shared" si="17"/>
        <v>6.717948717948719</v>
      </c>
      <c r="M80" s="6">
        <f t="shared" si="20"/>
        <v>1.3820512820512807</v>
      </c>
    </row>
    <row r="81" spans="1:13" x14ac:dyDescent="0.25">
      <c r="A81" s="2">
        <v>43846</v>
      </c>
      <c r="B81" s="3">
        <v>40</v>
      </c>
      <c r="C81" s="4">
        <v>8.0000000000000107</v>
      </c>
      <c r="D81" s="4">
        <f t="shared" si="18"/>
        <v>320.00000000000045</v>
      </c>
      <c r="E81" s="3">
        <v>150</v>
      </c>
      <c r="F81" s="5">
        <f t="shared" si="14"/>
        <v>3.75</v>
      </c>
      <c r="G81" s="4">
        <v>0.57999999999999985</v>
      </c>
      <c r="H81" s="6">
        <f t="shared" si="19"/>
        <v>2.1749999999999994</v>
      </c>
      <c r="I81" s="5">
        <f t="shared" si="15"/>
        <v>0.2</v>
      </c>
      <c r="J81" s="4">
        <v>19</v>
      </c>
      <c r="K81" s="4">
        <f t="shared" si="16"/>
        <v>3.8000000000000003</v>
      </c>
      <c r="L81" s="6">
        <f t="shared" si="17"/>
        <v>5.9749999999999996</v>
      </c>
      <c r="M81" s="6">
        <f t="shared" si="20"/>
        <v>2.025000000000011</v>
      </c>
    </row>
    <row r="82" spans="1:13" x14ac:dyDescent="0.25">
      <c r="A82" s="2">
        <v>43847</v>
      </c>
      <c r="B82" s="3">
        <v>41</v>
      </c>
      <c r="C82" s="4">
        <v>7.9000000000000101</v>
      </c>
      <c r="D82" s="4">
        <f t="shared" si="18"/>
        <v>323.90000000000043</v>
      </c>
      <c r="E82" s="3">
        <v>175</v>
      </c>
      <c r="F82" s="5">
        <f t="shared" si="14"/>
        <v>4.2682926829268295</v>
      </c>
      <c r="G82" s="4">
        <v>0.57999999999999985</v>
      </c>
      <c r="H82" s="6">
        <f t="shared" si="19"/>
        <v>2.4756097560975605</v>
      </c>
      <c r="I82" s="5">
        <f t="shared" si="15"/>
        <v>0.1951219512195122</v>
      </c>
      <c r="J82" s="4">
        <v>19</v>
      </c>
      <c r="K82" s="4">
        <f t="shared" si="16"/>
        <v>3.7073170731707319</v>
      </c>
      <c r="L82" s="6">
        <f t="shared" si="17"/>
        <v>6.1829268292682924</v>
      </c>
      <c r="M82" s="6">
        <f t="shared" si="20"/>
        <v>1.7170731707317177</v>
      </c>
    </row>
    <row r="83" spans="1:13" x14ac:dyDescent="0.25">
      <c r="A83" s="2">
        <v>43848</v>
      </c>
      <c r="B83" s="3">
        <v>42</v>
      </c>
      <c r="C83" s="4">
        <v>7.8000000000000096</v>
      </c>
      <c r="D83" s="4">
        <f t="shared" si="18"/>
        <v>327.60000000000042</v>
      </c>
      <c r="E83" s="3">
        <v>200</v>
      </c>
      <c r="F83" s="5">
        <f t="shared" si="14"/>
        <v>4.7619047619047619</v>
      </c>
      <c r="G83" s="4">
        <v>0.57999999999999985</v>
      </c>
      <c r="H83" s="6">
        <f t="shared" si="19"/>
        <v>2.761904761904761</v>
      </c>
      <c r="I83" s="5">
        <f t="shared" si="15"/>
        <v>0.19047619047619047</v>
      </c>
      <c r="J83" s="4">
        <v>19</v>
      </c>
      <c r="K83" s="4">
        <f t="shared" si="16"/>
        <v>3.6190476190476186</v>
      </c>
      <c r="L83" s="6">
        <f t="shared" si="17"/>
        <v>6.3809523809523796</v>
      </c>
      <c r="M83" s="6">
        <f t="shared" si="20"/>
        <v>1.41904761904763</v>
      </c>
    </row>
    <row r="84" spans="1:13" x14ac:dyDescent="0.25">
      <c r="A84" s="2">
        <v>43849</v>
      </c>
      <c r="B84" s="3">
        <v>43</v>
      </c>
      <c r="C84" s="4">
        <v>7.7000000000000099</v>
      </c>
      <c r="D84" s="4">
        <f t="shared" si="18"/>
        <v>331.10000000000042</v>
      </c>
      <c r="E84" s="3">
        <v>150</v>
      </c>
      <c r="F84" s="5">
        <f t="shared" si="14"/>
        <v>3.4883720930232558</v>
      </c>
      <c r="G84" s="4">
        <v>0.57999999999999985</v>
      </c>
      <c r="H84" s="6">
        <f t="shared" si="19"/>
        <v>2.023255813953488</v>
      </c>
      <c r="I84" s="5">
        <f t="shared" si="15"/>
        <v>0.18604651162790697</v>
      </c>
      <c r="J84" s="4">
        <v>19</v>
      </c>
      <c r="K84" s="4">
        <f t="shared" si="16"/>
        <v>3.5348837209302326</v>
      </c>
      <c r="L84" s="6">
        <f t="shared" si="17"/>
        <v>5.5581395348837201</v>
      </c>
      <c r="M84" s="6">
        <f t="shared" si="20"/>
        <v>2.1418604651162898</v>
      </c>
    </row>
    <row r="85" spans="1:13" x14ac:dyDescent="0.25">
      <c r="A85" s="2">
        <v>43850</v>
      </c>
      <c r="B85" s="3">
        <v>44</v>
      </c>
      <c r="C85" s="4">
        <v>7.6000000000000103</v>
      </c>
      <c r="D85" s="4">
        <f t="shared" si="18"/>
        <v>334.40000000000043</v>
      </c>
      <c r="E85" s="3">
        <v>175</v>
      </c>
      <c r="F85" s="5">
        <f t="shared" si="14"/>
        <v>3.9772727272727271</v>
      </c>
      <c r="G85" s="4">
        <v>0.57999999999999985</v>
      </c>
      <c r="H85" s="6">
        <f t="shared" si="19"/>
        <v>2.3068181818181812</v>
      </c>
      <c r="I85" s="5">
        <f t="shared" si="15"/>
        <v>0.18181818181818182</v>
      </c>
      <c r="J85" s="4">
        <v>19</v>
      </c>
      <c r="K85" s="4">
        <f t="shared" si="16"/>
        <v>3.4545454545454546</v>
      </c>
      <c r="L85" s="6">
        <f t="shared" si="17"/>
        <v>5.7613636363636358</v>
      </c>
      <c r="M85" s="6">
        <f t="shared" si="20"/>
        <v>1.8386363636363745</v>
      </c>
    </row>
    <row r="86" spans="1:13" x14ac:dyDescent="0.25">
      <c r="A86" s="2">
        <v>43851</v>
      </c>
      <c r="B86" s="3">
        <v>45</v>
      </c>
      <c r="C86" s="4">
        <v>7.5000000000000098</v>
      </c>
      <c r="D86" s="4">
        <f t="shared" si="18"/>
        <v>337.50000000000045</v>
      </c>
      <c r="E86" s="3">
        <v>200</v>
      </c>
      <c r="F86" s="5">
        <f t="shared" si="14"/>
        <v>4.4444444444444446</v>
      </c>
      <c r="G86" s="4">
        <v>0.57999999999999985</v>
      </c>
      <c r="H86" s="6">
        <f t="shared" si="19"/>
        <v>2.5777777777777771</v>
      </c>
      <c r="I86" s="5">
        <f t="shared" si="15"/>
        <v>0.17777777777777778</v>
      </c>
      <c r="J86" s="4">
        <v>19</v>
      </c>
      <c r="K86" s="4">
        <f t="shared" si="16"/>
        <v>3.3777777777777778</v>
      </c>
      <c r="L86" s="6">
        <f t="shared" si="17"/>
        <v>5.9555555555555548</v>
      </c>
      <c r="M86" s="6">
        <f t="shared" si="20"/>
        <v>1.5444444444444549</v>
      </c>
    </row>
    <row r="87" spans="1:13" x14ac:dyDescent="0.25">
      <c r="A87" s="2">
        <v>43852</v>
      </c>
      <c r="B87" s="3">
        <v>46</v>
      </c>
      <c r="C87" s="4">
        <v>7.4000000000000101</v>
      </c>
      <c r="D87" s="4">
        <f t="shared" si="18"/>
        <v>340.40000000000049</v>
      </c>
      <c r="E87" s="3">
        <v>150</v>
      </c>
      <c r="F87" s="5">
        <f t="shared" si="14"/>
        <v>3.2608695652173911</v>
      </c>
      <c r="G87" s="4">
        <v>0.57999999999999985</v>
      </c>
      <c r="H87" s="6">
        <f t="shared" si="19"/>
        <v>1.8913043478260865</v>
      </c>
      <c r="I87" s="5">
        <f t="shared" si="15"/>
        <v>0.17391304347826086</v>
      </c>
      <c r="J87" s="4">
        <v>19</v>
      </c>
      <c r="K87" s="4">
        <f t="shared" si="16"/>
        <v>3.3043478260869565</v>
      </c>
      <c r="L87" s="6">
        <f t="shared" si="17"/>
        <v>5.195652173913043</v>
      </c>
      <c r="M87" s="6">
        <f t="shared" si="20"/>
        <v>2.2043478260869671</v>
      </c>
    </row>
    <row r="88" spans="1:13" x14ac:dyDescent="0.25">
      <c r="A88" s="2">
        <v>43853</v>
      </c>
      <c r="B88" s="3">
        <v>47</v>
      </c>
      <c r="C88" s="4">
        <v>7.3000000000000096</v>
      </c>
      <c r="D88" s="4">
        <f t="shared" si="18"/>
        <v>343.10000000000048</v>
      </c>
      <c r="E88" s="3">
        <v>175</v>
      </c>
      <c r="F88" s="5">
        <f t="shared" si="14"/>
        <v>3.7234042553191489</v>
      </c>
      <c r="G88" s="4">
        <v>0.57999999999999985</v>
      </c>
      <c r="H88" s="6">
        <f t="shared" si="19"/>
        <v>2.1595744680851059</v>
      </c>
      <c r="I88" s="5">
        <f t="shared" si="15"/>
        <v>0.1702127659574468</v>
      </c>
      <c r="J88" s="4">
        <v>19</v>
      </c>
      <c r="K88" s="4">
        <f t="shared" si="16"/>
        <v>3.2340425531914891</v>
      </c>
      <c r="L88" s="6">
        <f t="shared" si="17"/>
        <v>5.3936170212765955</v>
      </c>
      <c r="M88" s="6">
        <f t="shared" si="20"/>
        <v>1.9063829787234141</v>
      </c>
    </row>
    <row r="89" spans="1:13" x14ac:dyDescent="0.25">
      <c r="A89" s="2">
        <v>43854</v>
      </c>
      <c r="B89" s="3">
        <v>48</v>
      </c>
      <c r="C89" s="4">
        <v>7.2000000000000099</v>
      </c>
      <c r="D89" s="4">
        <f t="shared" si="18"/>
        <v>345.60000000000048</v>
      </c>
      <c r="E89" s="3">
        <v>200</v>
      </c>
      <c r="F89" s="5">
        <f t="shared" si="14"/>
        <v>4.166666666666667</v>
      </c>
      <c r="G89" s="4">
        <v>0.57999999999999985</v>
      </c>
      <c r="H89" s="6">
        <f t="shared" si="19"/>
        <v>2.4166666666666661</v>
      </c>
      <c r="I89" s="5">
        <f t="shared" si="15"/>
        <v>0.16666666666666666</v>
      </c>
      <c r="J89" s="4">
        <v>19</v>
      </c>
      <c r="K89" s="4">
        <f t="shared" si="16"/>
        <v>3.1666666666666665</v>
      </c>
      <c r="L89" s="6">
        <f t="shared" si="17"/>
        <v>5.5833333333333321</v>
      </c>
      <c r="M89" s="6">
        <f t="shared" si="20"/>
        <v>1.6166666666666778</v>
      </c>
    </row>
    <row r="90" spans="1:13" x14ac:dyDescent="0.25">
      <c r="A90" s="2">
        <v>43855</v>
      </c>
      <c r="B90" s="3">
        <v>49</v>
      </c>
      <c r="C90" s="4">
        <v>7.1000000000000103</v>
      </c>
      <c r="D90" s="4">
        <f t="shared" si="18"/>
        <v>347.90000000000049</v>
      </c>
      <c r="E90" s="3">
        <v>150</v>
      </c>
      <c r="F90" s="5">
        <f t="shared" si="14"/>
        <v>3.0612244897959182</v>
      </c>
      <c r="G90" s="4">
        <v>0.57999999999999985</v>
      </c>
      <c r="H90" s="6">
        <f t="shared" si="19"/>
        <v>1.7755102040816322</v>
      </c>
      <c r="I90" s="5">
        <f t="shared" si="15"/>
        <v>0.16326530612244897</v>
      </c>
      <c r="J90" s="4">
        <v>19</v>
      </c>
      <c r="K90" s="4">
        <f t="shared" si="16"/>
        <v>3.1020408163265305</v>
      </c>
      <c r="L90" s="6">
        <f t="shared" si="17"/>
        <v>4.8775510204081627</v>
      </c>
      <c r="M90" s="6">
        <f t="shared" si="20"/>
        <v>2.2224489795918476</v>
      </c>
    </row>
    <row r="91" spans="1:13" x14ac:dyDescent="0.25">
      <c r="A91" s="2">
        <v>43856</v>
      </c>
      <c r="B91" s="3">
        <v>50</v>
      </c>
      <c r="C91" s="4">
        <v>7.0000000000000098</v>
      </c>
      <c r="D91" s="4">
        <f t="shared" si="18"/>
        <v>350.00000000000051</v>
      </c>
      <c r="E91" s="3">
        <v>175</v>
      </c>
      <c r="F91" s="5">
        <f t="shared" si="14"/>
        <v>3.5</v>
      </c>
      <c r="G91" s="4">
        <v>0.6100000000000001</v>
      </c>
      <c r="H91" s="6">
        <f t="shared" si="19"/>
        <v>2.1350000000000002</v>
      </c>
      <c r="I91" s="5">
        <f t="shared" si="15"/>
        <v>0.16</v>
      </c>
      <c r="J91" s="4">
        <v>19</v>
      </c>
      <c r="K91" s="4">
        <f t="shared" si="16"/>
        <v>3.04</v>
      </c>
      <c r="L91" s="6">
        <f t="shared" si="17"/>
        <v>5.1750000000000007</v>
      </c>
      <c r="M91" s="6">
        <f t="shared" si="20"/>
        <v>1.8250000000000091</v>
      </c>
    </row>
    <row r="92" spans="1:13" x14ac:dyDescent="0.25">
      <c r="A92" s="2">
        <v>43857</v>
      </c>
      <c r="B92" s="3">
        <v>51</v>
      </c>
      <c r="C92" s="4">
        <v>6.9000000000000101</v>
      </c>
      <c r="D92" s="4">
        <f t="shared" si="18"/>
        <v>351.90000000000049</v>
      </c>
      <c r="E92" s="3">
        <v>200</v>
      </c>
      <c r="F92" s="5">
        <f t="shared" si="14"/>
        <v>3.9215686274509802</v>
      </c>
      <c r="G92" s="4">
        <v>0.6100000000000001</v>
      </c>
      <c r="H92" s="6">
        <f t="shared" si="19"/>
        <v>2.3921568627450984</v>
      </c>
      <c r="I92" s="5">
        <f t="shared" si="15"/>
        <v>0.15686274509803921</v>
      </c>
      <c r="J92" s="4">
        <v>19</v>
      </c>
      <c r="K92" s="4">
        <f t="shared" si="16"/>
        <v>2.9803921568627452</v>
      </c>
      <c r="L92" s="6">
        <f t="shared" si="17"/>
        <v>5.3725490196078436</v>
      </c>
      <c r="M92" s="6">
        <f t="shared" si="20"/>
        <v>1.5274509803921665</v>
      </c>
    </row>
    <row r="93" spans="1:13" x14ac:dyDescent="0.25">
      <c r="A93" s="2">
        <v>43858</v>
      </c>
      <c r="B93" s="3">
        <v>52</v>
      </c>
      <c r="C93" s="4">
        <v>6.8000000000000096</v>
      </c>
      <c r="D93" s="4">
        <f t="shared" si="18"/>
        <v>353.60000000000048</v>
      </c>
      <c r="E93" s="3">
        <v>150</v>
      </c>
      <c r="F93" s="5">
        <f t="shared" si="14"/>
        <v>2.8846153846153846</v>
      </c>
      <c r="G93" s="4">
        <v>0.6100000000000001</v>
      </c>
      <c r="H93" s="6">
        <f t="shared" si="19"/>
        <v>1.7596153846153848</v>
      </c>
      <c r="I93" s="5">
        <f t="shared" si="15"/>
        <v>0.15384615384615385</v>
      </c>
      <c r="J93" s="4">
        <v>19</v>
      </c>
      <c r="K93" s="4">
        <f t="shared" si="16"/>
        <v>2.9230769230769234</v>
      </c>
      <c r="L93" s="6">
        <f t="shared" si="17"/>
        <v>4.6826923076923084</v>
      </c>
      <c r="M93" s="6">
        <f t="shared" si="20"/>
        <v>2.1173076923077012</v>
      </c>
    </row>
    <row r="94" spans="1:13" x14ac:dyDescent="0.25">
      <c r="A94" s="2">
        <v>43859</v>
      </c>
      <c r="B94" s="3">
        <v>53</v>
      </c>
      <c r="C94" s="4">
        <v>6.7000000000000099</v>
      </c>
      <c r="D94" s="4">
        <f t="shared" si="18"/>
        <v>355.10000000000053</v>
      </c>
      <c r="E94" s="3">
        <v>175</v>
      </c>
      <c r="F94" s="5">
        <f t="shared" si="14"/>
        <v>3.3018867924528301</v>
      </c>
      <c r="G94" s="4">
        <v>0.6100000000000001</v>
      </c>
      <c r="H94" s="6">
        <f t="shared" si="19"/>
        <v>2.0141509433962268</v>
      </c>
      <c r="I94" s="5">
        <f t="shared" si="15"/>
        <v>0.15094339622641509</v>
      </c>
      <c r="J94" s="4">
        <v>19</v>
      </c>
      <c r="K94" s="4">
        <f t="shared" si="16"/>
        <v>2.8679245283018866</v>
      </c>
      <c r="L94" s="6">
        <f t="shared" si="17"/>
        <v>4.8820754716981138</v>
      </c>
      <c r="M94" s="6">
        <f t="shared" si="20"/>
        <v>1.8179245283018961</v>
      </c>
    </row>
    <row r="95" spans="1:13" x14ac:dyDescent="0.25">
      <c r="A95" s="2">
        <v>43860</v>
      </c>
      <c r="B95" s="3">
        <v>54</v>
      </c>
      <c r="C95" s="4">
        <v>6.6000000000000103</v>
      </c>
      <c r="D95" s="4">
        <f t="shared" si="18"/>
        <v>356.40000000000055</v>
      </c>
      <c r="E95" s="3">
        <v>200</v>
      </c>
      <c r="F95" s="5">
        <f t="shared" si="14"/>
        <v>3.7037037037037037</v>
      </c>
      <c r="G95" s="4">
        <v>0.6100000000000001</v>
      </c>
      <c r="H95" s="6">
        <f t="shared" si="19"/>
        <v>2.2592592592592595</v>
      </c>
      <c r="I95" s="5">
        <f t="shared" si="15"/>
        <v>0.14814814814814814</v>
      </c>
      <c r="J95" s="4">
        <v>19</v>
      </c>
      <c r="K95" s="4">
        <f t="shared" si="16"/>
        <v>2.8148148148148149</v>
      </c>
      <c r="L95" s="6">
        <f t="shared" si="17"/>
        <v>5.0740740740740744</v>
      </c>
      <c r="M95" s="6">
        <f t="shared" si="20"/>
        <v>1.5259259259259359</v>
      </c>
    </row>
    <row r="96" spans="1:13" x14ac:dyDescent="0.25">
      <c r="A96" s="2">
        <v>43861</v>
      </c>
      <c r="B96" s="3">
        <v>55</v>
      </c>
      <c r="C96" s="4">
        <v>6.5000000000000098</v>
      </c>
      <c r="D96" s="4">
        <f t="shared" si="18"/>
        <v>357.50000000000051</v>
      </c>
      <c r="E96" s="3">
        <v>150</v>
      </c>
      <c r="F96" s="5">
        <f t="shared" si="14"/>
        <v>2.7272727272727271</v>
      </c>
      <c r="G96" s="4">
        <v>0.6100000000000001</v>
      </c>
      <c r="H96" s="6">
        <f t="shared" si="19"/>
        <v>1.6636363636363638</v>
      </c>
      <c r="I96" s="5">
        <f t="shared" si="15"/>
        <v>0.14545454545454545</v>
      </c>
      <c r="J96" s="4">
        <v>19</v>
      </c>
      <c r="K96" s="4">
        <f t="shared" si="16"/>
        <v>2.7636363636363637</v>
      </c>
      <c r="L96" s="6">
        <f t="shared" si="17"/>
        <v>4.4272727272727277</v>
      </c>
      <c r="M96" s="6">
        <f t="shared" si="20"/>
        <v>2.0727272727272821</v>
      </c>
    </row>
    <row r="97" spans="1:13" x14ac:dyDescent="0.25">
      <c r="A97" s="2">
        <v>43831</v>
      </c>
      <c r="B97" s="3">
        <v>25</v>
      </c>
      <c r="C97" s="4">
        <v>9.5</v>
      </c>
      <c r="D97" s="4">
        <f>B97*C97</f>
        <v>237.5</v>
      </c>
      <c r="E97" s="3">
        <v>150</v>
      </c>
      <c r="F97" s="5">
        <f>E97/B97</f>
        <v>6</v>
      </c>
      <c r="G97" s="4">
        <v>0.55000000000000004</v>
      </c>
      <c r="H97" s="6">
        <f t="shared" si="19"/>
        <v>3.3000000000000003</v>
      </c>
      <c r="I97" s="5">
        <f>8/B97</f>
        <v>0.32</v>
      </c>
      <c r="J97" s="4">
        <v>18</v>
      </c>
      <c r="K97" s="4">
        <f>J97*I97</f>
        <v>5.76</v>
      </c>
      <c r="L97" s="6">
        <f>H97+K97</f>
        <v>9.06</v>
      </c>
      <c r="M97" s="6">
        <f t="shared" si="20"/>
        <v>0.4399999999999995</v>
      </c>
    </row>
    <row r="98" spans="1:13" x14ac:dyDescent="0.25">
      <c r="A98" s="2">
        <v>43832</v>
      </c>
      <c r="B98" s="3">
        <v>26</v>
      </c>
      <c r="C98" s="4">
        <v>9.4</v>
      </c>
      <c r="D98" s="4">
        <f>B98*C98</f>
        <v>244.4</v>
      </c>
      <c r="E98" s="3">
        <v>175</v>
      </c>
      <c r="F98" s="5">
        <f t="shared" ref="F98:F127" si="21">E98/B98</f>
        <v>6.7307692307692308</v>
      </c>
      <c r="G98" s="4">
        <v>0.55000000000000004</v>
      </c>
      <c r="H98" s="6">
        <f t="shared" si="19"/>
        <v>3.7019230769230771</v>
      </c>
      <c r="I98" s="5">
        <f t="shared" ref="I98:I127" si="22">8/B98</f>
        <v>0.30769230769230771</v>
      </c>
      <c r="J98" s="4">
        <v>18</v>
      </c>
      <c r="K98" s="4">
        <f t="shared" ref="K98:K127" si="23">J98*I98</f>
        <v>5.5384615384615383</v>
      </c>
      <c r="L98" s="6">
        <f t="shared" ref="L98:L127" si="24">H98+K98</f>
        <v>9.240384615384615</v>
      </c>
      <c r="M98" s="6">
        <f t="shared" si="20"/>
        <v>0.15961538461538538</v>
      </c>
    </row>
    <row r="99" spans="1:13" x14ac:dyDescent="0.25">
      <c r="A99" s="2">
        <v>43833</v>
      </c>
      <c r="B99" s="3">
        <v>27</v>
      </c>
      <c r="C99" s="4">
        <v>9.3000000000000007</v>
      </c>
      <c r="D99" s="4">
        <f t="shared" ref="D99:D127" si="25">B99*C99</f>
        <v>251.10000000000002</v>
      </c>
      <c r="E99" s="3">
        <v>200</v>
      </c>
      <c r="F99" s="5">
        <f t="shared" si="21"/>
        <v>7.4074074074074074</v>
      </c>
      <c r="G99" s="4">
        <v>0.55000000000000004</v>
      </c>
      <c r="H99" s="6">
        <f t="shared" si="19"/>
        <v>4.0740740740740744</v>
      </c>
      <c r="I99" s="5">
        <f t="shared" si="22"/>
        <v>0.29629629629629628</v>
      </c>
      <c r="J99" s="4">
        <v>18</v>
      </c>
      <c r="K99" s="4">
        <f t="shared" si="23"/>
        <v>5.333333333333333</v>
      </c>
      <c r="L99" s="6">
        <f t="shared" si="24"/>
        <v>9.4074074074074083</v>
      </c>
      <c r="M99" s="6">
        <f t="shared" si="20"/>
        <v>-0.10740740740740762</v>
      </c>
    </row>
    <row r="100" spans="1:13" x14ac:dyDescent="0.25">
      <c r="A100" s="2">
        <v>43834</v>
      </c>
      <c r="B100" s="3">
        <v>28</v>
      </c>
      <c r="C100" s="4">
        <v>9.1999999999999993</v>
      </c>
      <c r="D100" s="4">
        <f t="shared" si="25"/>
        <v>257.59999999999997</v>
      </c>
      <c r="E100" s="3">
        <v>150</v>
      </c>
      <c r="F100" s="5">
        <f t="shared" si="21"/>
        <v>5.3571428571428568</v>
      </c>
      <c r="G100" s="4">
        <v>0.55000000000000004</v>
      </c>
      <c r="H100" s="6">
        <f t="shared" ref="H100:H131" si="26">G100*F100</f>
        <v>2.9464285714285716</v>
      </c>
      <c r="I100" s="5">
        <f t="shared" si="22"/>
        <v>0.2857142857142857</v>
      </c>
      <c r="J100" s="4">
        <v>18</v>
      </c>
      <c r="K100" s="4">
        <f t="shared" si="23"/>
        <v>5.1428571428571423</v>
      </c>
      <c r="L100" s="6">
        <f t="shared" si="24"/>
        <v>8.0892857142857135</v>
      </c>
      <c r="M100" s="6">
        <f t="shared" ref="M100:M131" si="27">C100-L100</f>
        <v>1.1107142857142858</v>
      </c>
    </row>
    <row r="101" spans="1:13" x14ac:dyDescent="0.25">
      <c r="A101" s="2">
        <v>43835</v>
      </c>
      <c r="B101" s="3">
        <v>29</v>
      </c>
      <c r="C101" s="4">
        <v>9.1</v>
      </c>
      <c r="D101" s="4">
        <f t="shared" si="25"/>
        <v>263.89999999999998</v>
      </c>
      <c r="E101" s="3">
        <v>175</v>
      </c>
      <c r="F101" s="5">
        <f t="shared" si="21"/>
        <v>6.0344827586206895</v>
      </c>
      <c r="G101" s="4">
        <v>0.55000000000000004</v>
      </c>
      <c r="H101" s="6">
        <f t="shared" si="26"/>
        <v>3.3189655172413794</v>
      </c>
      <c r="I101" s="5">
        <f t="shared" si="22"/>
        <v>0.27586206896551724</v>
      </c>
      <c r="J101" s="4">
        <v>18</v>
      </c>
      <c r="K101" s="4">
        <f t="shared" si="23"/>
        <v>4.9655172413793105</v>
      </c>
      <c r="L101" s="6">
        <f t="shared" si="24"/>
        <v>8.2844827586206904</v>
      </c>
      <c r="M101" s="6">
        <f t="shared" si="27"/>
        <v>0.81551724137930925</v>
      </c>
    </row>
    <row r="102" spans="1:13" x14ac:dyDescent="0.25">
      <c r="A102" s="2">
        <v>43836</v>
      </c>
      <c r="B102" s="3">
        <v>30</v>
      </c>
      <c r="C102" s="4">
        <v>9</v>
      </c>
      <c r="D102" s="4">
        <f t="shared" si="25"/>
        <v>270</v>
      </c>
      <c r="E102" s="3">
        <v>200</v>
      </c>
      <c r="F102" s="5">
        <f t="shared" si="21"/>
        <v>6.666666666666667</v>
      </c>
      <c r="G102" s="4">
        <v>0.55000000000000004</v>
      </c>
      <c r="H102" s="6">
        <f t="shared" si="26"/>
        <v>3.666666666666667</v>
      </c>
      <c r="I102" s="5">
        <f t="shared" si="22"/>
        <v>0.26666666666666666</v>
      </c>
      <c r="J102" s="4">
        <v>18</v>
      </c>
      <c r="K102" s="4">
        <f t="shared" si="23"/>
        <v>4.8</v>
      </c>
      <c r="L102" s="6">
        <f t="shared" si="24"/>
        <v>8.4666666666666668</v>
      </c>
      <c r="M102" s="6">
        <f t="shared" si="27"/>
        <v>0.53333333333333321</v>
      </c>
    </row>
    <row r="103" spans="1:13" x14ac:dyDescent="0.25">
      <c r="A103" s="2">
        <v>43837</v>
      </c>
      <c r="B103" s="3">
        <v>31</v>
      </c>
      <c r="C103" s="4">
        <v>8.9</v>
      </c>
      <c r="D103" s="4">
        <f t="shared" si="25"/>
        <v>275.90000000000003</v>
      </c>
      <c r="E103" s="3">
        <v>150</v>
      </c>
      <c r="F103" s="5">
        <f t="shared" si="21"/>
        <v>4.838709677419355</v>
      </c>
      <c r="G103" s="4">
        <v>0.55000000000000004</v>
      </c>
      <c r="H103" s="6">
        <f t="shared" si="26"/>
        <v>2.6612903225806455</v>
      </c>
      <c r="I103" s="5">
        <f t="shared" si="22"/>
        <v>0.25806451612903225</v>
      </c>
      <c r="J103" s="4">
        <v>18</v>
      </c>
      <c r="K103" s="4">
        <f t="shared" si="23"/>
        <v>4.6451612903225801</v>
      </c>
      <c r="L103" s="6">
        <f t="shared" si="24"/>
        <v>7.306451612903226</v>
      </c>
      <c r="M103" s="6">
        <f t="shared" si="27"/>
        <v>1.5935483870967744</v>
      </c>
    </row>
    <row r="104" spans="1:13" x14ac:dyDescent="0.25">
      <c r="A104" s="2">
        <v>43838</v>
      </c>
      <c r="B104" s="3">
        <v>32</v>
      </c>
      <c r="C104" s="4">
        <v>8.8000000000000007</v>
      </c>
      <c r="D104" s="4">
        <f t="shared" si="25"/>
        <v>281.60000000000002</v>
      </c>
      <c r="E104" s="3">
        <v>175</v>
      </c>
      <c r="F104" s="5">
        <f t="shared" si="21"/>
        <v>5.46875</v>
      </c>
      <c r="G104" s="4">
        <v>0.55000000000000004</v>
      </c>
      <c r="H104" s="6">
        <f t="shared" si="26"/>
        <v>3.0078125000000004</v>
      </c>
      <c r="I104" s="5">
        <f t="shared" si="22"/>
        <v>0.25</v>
      </c>
      <c r="J104" s="4">
        <v>18</v>
      </c>
      <c r="K104" s="4">
        <f t="shared" si="23"/>
        <v>4.5</v>
      </c>
      <c r="L104" s="6">
        <f t="shared" si="24"/>
        <v>7.5078125</v>
      </c>
      <c r="M104" s="6">
        <f t="shared" si="27"/>
        <v>1.2921875000000007</v>
      </c>
    </row>
    <row r="105" spans="1:13" x14ac:dyDescent="0.25">
      <c r="A105" s="2">
        <v>43839</v>
      </c>
      <c r="B105" s="3">
        <v>33</v>
      </c>
      <c r="C105" s="4">
        <v>8.6999999999999993</v>
      </c>
      <c r="D105" s="4">
        <f t="shared" si="25"/>
        <v>287.09999999999997</v>
      </c>
      <c r="E105" s="3">
        <v>200</v>
      </c>
      <c r="F105" s="5">
        <f t="shared" si="21"/>
        <v>6.0606060606060606</v>
      </c>
      <c r="G105" s="4">
        <v>0.55000000000000004</v>
      </c>
      <c r="H105" s="6">
        <f t="shared" si="26"/>
        <v>3.3333333333333335</v>
      </c>
      <c r="I105" s="5">
        <f t="shared" si="22"/>
        <v>0.24242424242424243</v>
      </c>
      <c r="J105" s="4">
        <v>18</v>
      </c>
      <c r="K105" s="4">
        <f t="shared" si="23"/>
        <v>4.3636363636363633</v>
      </c>
      <c r="L105" s="6">
        <f t="shared" si="24"/>
        <v>7.6969696969696972</v>
      </c>
      <c r="M105" s="6">
        <f t="shared" si="27"/>
        <v>1.0030303030303021</v>
      </c>
    </row>
    <row r="106" spans="1:13" x14ac:dyDescent="0.25">
      <c r="A106" s="2">
        <v>43840</v>
      </c>
      <c r="B106" s="3">
        <v>34</v>
      </c>
      <c r="C106" s="4">
        <v>8.6</v>
      </c>
      <c r="D106" s="4">
        <f t="shared" si="25"/>
        <v>292.39999999999998</v>
      </c>
      <c r="E106" s="3">
        <v>150</v>
      </c>
      <c r="F106" s="5">
        <f t="shared" si="21"/>
        <v>4.4117647058823533</v>
      </c>
      <c r="G106" s="4">
        <v>0.55000000000000004</v>
      </c>
      <c r="H106" s="6">
        <f t="shared" si="26"/>
        <v>2.4264705882352944</v>
      </c>
      <c r="I106" s="5">
        <f t="shared" si="22"/>
        <v>0.23529411764705882</v>
      </c>
      <c r="J106" s="4">
        <v>18</v>
      </c>
      <c r="K106" s="4">
        <f t="shared" si="23"/>
        <v>4.2352941176470589</v>
      </c>
      <c r="L106" s="6">
        <f t="shared" si="24"/>
        <v>6.6617647058823533</v>
      </c>
      <c r="M106" s="6">
        <f t="shared" si="27"/>
        <v>1.9382352941176464</v>
      </c>
    </row>
    <row r="107" spans="1:13" x14ac:dyDescent="0.25">
      <c r="A107" s="2">
        <v>43841</v>
      </c>
      <c r="B107" s="3">
        <v>35</v>
      </c>
      <c r="C107" s="4">
        <v>8.5</v>
      </c>
      <c r="D107" s="4">
        <f t="shared" si="25"/>
        <v>297.5</v>
      </c>
      <c r="E107" s="3">
        <v>175</v>
      </c>
      <c r="F107" s="5">
        <f t="shared" si="21"/>
        <v>5</v>
      </c>
      <c r="G107" s="4">
        <v>0.55000000000000004</v>
      </c>
      <c r="H107" s="6">
        <f t="shared" si="26"/>
        <v>2.75</v>
      </c>
      <c r="I107" s="5">
        <f t="shared" si="22"/>
        <v>0.22857142857142856</v>
      </c>
      <c r="J107" s="4">
        <v>18</v>
      </c>
      <c r="K107" s="4">
        <f t="shared" si="23"/>
        <v>4.1142857142857139</v>
      </c>
      <c r="L107" s="6">
        <f t="shared" si="24"/>
        <v>6.8642857142857139</v>
      </c>
      <c r="M107" s="6">
        <f t="shared" si="27"/>
        <v>1.6357142857142861</v>
      </c>
    </row>
    <row r="108" spans="1:13" x14ac:dyDescent="0.25">
      <c r="A108" s="2">
        <v>43842</v>
      </c>
      <c r="B108" s="3">
        <v>36</v>
      </c>
      <c r="C108" s="4">
        <v>8.4</v>
      </c>
      <c r="D108" s="4">
        <f t="shared" si="25"/>
        <v>302.40000000000003</v>
      </c>
      <c r="E108" s="3">
        <v>200</v>
      </c>
      <c r="F108" s="5">
        <f t="shared" si="21"/>
        <v>5.5555555555555554</v>
      </c>
      <c r="G108" s="4">
        <v>0.55000000000000004</v>
      </c>
      <c r="H108" s="6">
        <f t="shared" si="26"/>
        <v>3.0555555555555558</v>
      </c>
      <c r="I108" s="5">
        <f t="shared" si="22"/>
        <v>0.22222222222222221</v>
      </c>
      <c r="J108" s="4">
        <v>18</v>
      </c>
      <c r="K108" s="4">
        <f t="shared" si="23"/>
        <v>4</v>
      </c>
      <c r="L108" s="6">
        <f t="shared" si="24"/>
        <v>7.0555555555555554</v>
      </c>
      <c r="M108" s="6">
        <f t="shared" si="27"/>
        <v>1.344444444444445</v>
      </c>
    </row>
    <row r="109" spans="1:13" x14ac:dyDescent="0.25">
      <c r="A109" s="2">
        <v>43843</v>
      </c>
      <c r="B109" s="3">
        <v>37</v>
      </c>
      <c r="C109" s="4">
        <v>8.3000000000000007</v>
      </c>
      <c r="D109" s="4">
        <f t="shared" si="25"/>
        <v>307.10000000000002</v>
      </c>
      <c r="E109" s="3">
        <v>150</v>
      </c>
      <c r="F109" s="5">
        <f t="shared" si="21"/>
        <v>4.0540540540540544</v>
      </c>
      <c r="G109" s="4">
        <v>0.55000000000000004</v>
      </c>
      <c r="H109" s="6">
        <f t="shared" si="26"/>
        <v>2.2297297297297303</v>
      </c>
      <c r="I109" s="5">
        <f t="shared" si="22"/>
        <v>0.21621621621621623</v>
      </c>
      <c r="J109" s="4">
        <v>19</v>
      </c>
      <c r="K109" s="4">
        <f t="shared" si="23"/>
        <v>4.1081081081081088</v>
      </c>
      <c r="L109" s="6">
        <f t="shared" si="24"/>
        <v>6.3378378378378386</v>
      </c>
      <c r="M109" s="6">
        <f t="shared" si="27"/>
        <v>1.9621621621621621</v>
      </c>
    </row>
    <row r="110" spans="1:13" x14ac:dyDescent="0.25">
      <c r="A110" s="2">
        <v>43844</v>
      </c>
      <c r="B110" s="3">
        <v>38</v>
      </c>
      <c r="C110" s="4">
        <v>8.1999999999999993</v>
      </c>
      <c r="D110" s="4">
        <f t="shared" si="25"/>
        <v>311.59999999999997</v>
      </c>
      <c r="E110" s="3">
        <v>175</v>
      </c>
      <c r="F110" s="5">
        <f t="shared" si="21"/>
        <v>4.6052631578947372</v>
      </c>
      <c r="G110" s="4">
        <v>0.55000000000000004</v>
      </c>
      <c r="H110" s="6">
        <f t="shared" si="26"/>
        <v>2.5328947368421058</v>
      </c>
      <c r="I110" s="5">
        <f t="shared" si="22"/>
        <v>0.21052631578947367</v>
      </c>
      <c r="J110" s="4">
        <v>19</v>
      </c>
      <c r="K110" s="4">
        <f t="shared" si="23"/>
        <v>4</v>
      </c>
      <c r="L110" s="6">
        <f t="shared" si="24"/>
        <v>6.5328947368421062</v>
      </c>
      <c r="M110" s="6">
        <f t="shared" si="27"/>
        <v>1.6671052631578931</v>
      </c>
    </row>
    <row r="111" spans="1:13" x14ac:dyDescent="0.25">
      <c r="A111" s="2">
        <v>43845</v>
      </c>
      <c r="B111" s="3">
        <v>39</v>
      </c>
      <c r="C111" s="4">
        <v>8.1</v>
      </c>
      <c r="D111" s="4">
        <f t="shared" si="25"/>
        <v>315.89999999999998</v>
      </c>
      <c r="E111" s="3">
        <v>200</v>
      </c>
      <c r="F111" s="5">
        <f t="shared" si="21"/>
        <v>5.1282051282051286</v>
      </c>
      <c r="G111" s="4">
        <v>0.55000000000000004</v>
      </c>
      <c r="H111" s="6">
        <f t="shared" si="26"/>
        <v>2.8205128205128212</v>
      </c>
      <c r="I111" s="5">
        <f t="shared" si="22"/>
        <v>0.20512820512820512</v>
      </c>
      <c r="J111" s="4">
        <v>19</v>
      </c>
      <c r="K111" s="4">
        <f t="shared" si="23"/>
        <v>3.8974358974358974</v>
      </c>
      <c r="L111" s="6">
        <f t="shared" si="24"/>
        <v>6.717948717948719</v>
      </c>
      <c r="M111" s="6">
        <f t="shared" si="27"/>
        <v>1.3820512820512807</v>
      </c>
    </row>
    <row r="112" spans="1:13" x14ac:dyDescent="0.25">
      <c r="A112" s="2">
        <v>43846</v>
      </c>
      <c r="B112" s="3">
        <v>40</v>
      </c>
      <c r="C112" s="4">
        <v>8.0000000000000107</v>
      </c>
      <c r="D112" s="4">
        <f t="shared" si="25"/>
        <v>320.00000000000045</v>
      </c>
      <c r="E112" s="3">
        <v>150</v>
      </c>
      <c r="F112" s="5">
        <f t="shared" si="21"/>
        <v>3.75</v>
      </c>
      <c r="G112" s="4">
        <v>0.57999999999999985</v>
      </c>
      <c r="H112" s="6">
        <f t="shared" si="26"/>
        <v>2.1749999999999994</v>
      </c>
      <c r="I112" s="5">
        <f t="shared" si="22"/>
        <v>0.2</v>
      </c>
      <c r="J112" s="4">
        <v>19</v>
      </c>
      <c r="K112" s="4">
        <f t="shared" si="23"/>
        <v>3.8000000000000003</v>
      </c>
      <c r="L112" s="6">
        <f t="shared" si="24"/>
        <v>5.9749999999999996</v>
      </c>
      <c r="M112" s="6">
        <f t="shared" si="27"/>
        <v>2.025000000000011</v>
      </c>
    </row>
    <row r="113" spans="1:13" x14ac:dyDescent="0.25">
      <c r="A113" s="2">
        <v>43847</v>
      </c>
      <c r="B113" s="3">
        <v>41</v>
      </c>
      <c r="C113" s="4">
        <v>7.9000000000000101</v>
      </c>
      <c r="D113" s="4">
        <f t="shared" si="25"/>
        <v>323.90000000000043</v>
      </c>
      <c r="E113" s="3">
        <v>175</v>
      </c>
      <c r="F113" s="5">
        <f t="shared" si="21"/>
        <v>4.2682926829268295</v>
      </c>
      <c r="G113" s="4">
        <v>0.57999999999999985</v>
      </c>
      <c r="H113" s="6">
        <f t="shared" si="26"/>
        <v>2.4756097560975605</v>
      </c>
      <c r="I113" s="5">
        <f t="shared" si="22"/>
        <v>0.1951219512195122</v>
      </c>
      <c r="J113" s="4">
        <v>19</v>
      </c>
      <c r="K113" s="4">
        <f t="shared" si="23"/>
        <v>3.7073170731707319</v>
      </c>
      <c r="L113" s="6">
        <f t="shared" si="24"/>
        <v>6.1829268292682924</v>
      </c>
      <c r="M113" s="6">
        <f t="shared" si="27"/>
        <v>1.7170731707317177</v>
      </c>
    </row>
    <row r="114" spans="1:13" x14ac:dyDescent="0.25">
      <c r="A114" s="2">
        <v>43848</v>
      </c>
      <c r="B114" s="3">
        <v>42</v>
      </c>
      <c r="C114" s="4">
        <v>7.8000000000000096</v>
      </c>
      <c r="D114" s="4">
        <f t="shared" si="25"/>
        <v>327.60000000000042</v>
      </c>
      <c r="E114" s="3">
        <v>200</v>
      </c>
      <c r="F114" s="5">
        <f t="shared" si="21"/>
        <v>4.7619047619047619</v>
      </c>
      <c r="G114" s="4">
        <v>0.57999999999999985</v>
      </c>
      <c r="H114" s="6">
        <f t="shared" si="26"/>
        <v>2.761904761904761</v>
      </c>
      <c r="I114" s="5">
        <f t="shared" si="22"/>
        <v>0.19047619047619047</v>
      </c>
      <c r="J114" s="4">
        <v>19</v>
      </c>
      <c r="K114" s="4">
        <f t="shared" si="23"/>
        <v>3.6190476190476186</v>
      </c>
      <c r="L114" s="6">
        <f t="shared" si="24"/>
        <v>6.3809523809523796</v>
      </c>
      <c r="M114" s="6">
        <f t="shared" si="27"/>
        <v>1.41904761904763</v>
      </c>
    </row>
    <row r="115" spans="1:13" x14ac:dyDescent="0.25">
      <c r="A115" s="2">
        <v>43849</v>
      </c>
      <c r="B115" s="3">
        <v>43</v>
      </c>
      <c r="C115" s="4">
        <v>7.7000000000000099</v>
      </c>
      <c r="D115" s="4">
        <f t="shared" si="25"/>
        <v>331.10000000000042</v>
      </c>
      <c r="E115" s="3">
        <v>150</v>
      </c>
      <c r="F115" s="5">
        <f t="shared" si="21"/>
        <v>3.4883720930232558</v>
      </c>
      <c r="G115" s="4">
        <v>0.57999999999999985</v>
      </c>
      <c r="H115" s="6">
        <f t="shared" si="26"/>
        <v>2.023255813953488</v>
      </c>
      <c r="I115" s="5">
        <f t="shared" si="22"/>
        <v>0.18604651162790697</v>
      </c>
      <c r="J115" s="4">
        <v>19</v>
      </c>
      <c r="K115" s="4">
        <f t="shared" si="23"/>
        <v>3.5348837209302326</v>
      </c>
      <c r="L115" s="6">
        <f t="shared" si="24"/>
        <v>5.5581395348837201</v>
      </c>
      <c r="M115" s="6">
        <f t="shared" si="27"/>
        <v>2.1418604651162898</v>
      </c>
    </row>
    <row r="116" spans="1:13" x14ac:dyDescent="0.25">
      <c r="A116" s="2">
        <v>43850</v>
      </c>
      <c r="B116" s="3">
        <v>44</v>
      </c>
      <c r="C116" s="4">
        <v>7.6000000000000103</v>
      </c>
      <c r="D116" s="4">
        <f t="shared" si="25"/>
        <v>334.40000000000043</v>
      </c>
      <c r="E116" s="3">
        <v>175</v>
      </c>
      <c r="F116" s="5">
        <f t="shared" si="21"/>
        <v>3.9772727272727271</v>
      </c>
      <c r="G116" s="4">
        <v>0.57999999999999985</v>
      </c>
      <c r="H116" s="6">
        <f t="shared" si="26"/>
        <v>2.3068181818181812</v>
      </c>
      <c r="I116" s="5">
        <f t="shared" si="22"/>
        <v>0.18181818181818182</v>
      </c>
      <c r="J116" s="4">
        <v>19</v>
      </c>
      <c r="K116" s="4">
        <f t="shared" si="23"/>
        <v>3.4545454545454546</v>
      </c>
      <c r="L116" s="6">
        <f t="shared" si="24"/>
        <v>5.7613636363636358</v>
      </c>
      <c r="M116" s="6">
        <f t="shared" si="27"/>
        <v>1.8386363636363745</v>
      </c>
    </row>
    <row r="117" spans="1:13" x14ac:dyDescent="0.25">
      <c r="A117" s="2">
        <v>43851</v>
      </c>
      <c r="B117" s="3">
        <v>45</v>
      </c>
      <c r="C117" s="4">
        <v>7.5000000000000098</v>
      </c>
      <c r="D117" s="4">
        <f t="shared" si="25"/>
        <v>337.50000000000045</v>
      </c>
      <c r="E117" s="3">
        <v>200</v>
      </c>
      <c r="F117" s="5">
        <f t="shared" si="21"/>
        <v>4.4444444444444446</v>
      </c>
      <c r="G117" s="4">
        <v>0.57999999999999985</v>
      </c>
      <c r="H117" s="6">
        <f t="shared" si="26"/>
        <v>2.5777777777777771</v>
      </c>
      <c r="I117" s="5">
        <f t="shared" si="22"/>
        <v>0.17777777777777778</v>
      </c>
      <c r="J117" s="4">
        <v>19</v>
      </c>
      <c r="K117" s="4">
        <f t="shared" si="23"/>
        <v>3.3777777777777778</v>
      </c>
      <c r="L117" s="6">
        <f t="shared" si="24"/>
        <v>5.9555555555555548</v>
      </c>
      <c r="M117" s="6">
        <f t="shared" si="27"/>
        <v>1.5444444444444549</v>
      </c>
    </row>
    <row r="118" spans="1:13" x14ac:dyDescent="0.25">
      <c r="A118" s="2">
        <v>43852</v>
      </c>
      <c r="B118" s="3">
        <v>46</v>
      </c>
      <c r="C118" s="4">
        <v>7.4000000000000101</v>
      </c>
      <c r="D118" s="4">
        <f t="shared" si="25"/>
        <v>340.40000000000049</v>
      </c>
      <c r="E118" s="3">
        <v>150</v>
      </c>
      <c r="F118" s="5">
        <f t="shared" si="21"/>
        <v>3.2608695652173911</v>
      </c>
      <c r="G118" s="4">
        <v>0.57999999999999985</v>
      </c>
      <c r="H118" s="6">
        <f t="shared" si="26"/>
        <v>1.8913043478260865</v>
      </c>
      <c r="I118" s="5">
        <f t="shared" si="22"/>
        <v>0.17391304347826086</v>
      </c>
      <c r="J118" s="4">
        <v>19</v>
      </c>
      <c r="K118" s="4">
        <f t="shared" si="23"/>
        <v>3.3043478260869565</v>
      </c>
      <c r="L118" s="6">
        <f t="shared" si="24"/>
        <v>5.195652173913043</v>
      </c>
      <c r="M118" s="6">
        <f t="shared" si="27"/>
        <v>2.2043478260869671</v>
      </c>
    </row>
    <row r="119" spans="1:13" x14ac:dyDescent="0.25">
      <c r="A119" s="2">
        <v>43853</v>
      </c>
      <c r="B119" s="3">
        <v>47</v>
      </c>
      <c r="C119" s="4">
        <v>7.3000000000000096</v>
      </c>
      <c r="D119" s="4">
        <f t="shared" si="25"/>
        <v>343.10000000000048</v>
      </c>
      <c r="E119" s="3">
        <v>175</v>
      </c>
      <c r="F119" s="5">
        <f t="shared" si="21"/>
        <v>3.7234042553191489</v>
      </c>
      <c r="G119" s="4">
        <v>0.57999999999999985</v>
      </c>
      <c r="H119" s="6">
        <f t="shared" si="26"/>
        <v>2.1595744680851059</v>
      </c>
      <c r="I119" s="5">
        <f t="shared" si="22"/>
        <v>0.1702127659574468</v>
      </c>
      <c r="J119" s="4">
        <v>19</v>
      </c>
      <c r="K119" s="4">
        <f t="shared" si="23"/>
        <v>3.2340425531914891</v>
      </c>
      <c r="L119" s="6">
        <f t="shared" si="24"/>
        <v>5.3936170212765955</v>
      </c>
      <c r="M119" s="6">
        <f t="shared" si="27"/>
        <v>1.9063829787234141</v>
      </c>
    </row>
    <row r="120" spans="1:13" x14ac:dyDescent="0.25">
      <c r="A120" s="2">
        <v>43854</v>
      </c>
      <c r="B120" s="3">
        <v>48</v>
      </c>
      <c r="C120" s="4">
        <v>7.2000000000000099</v>
      </c>
      <c r="D120" s="4">
        <f t="shared" si="25"/>
        <v>345.60000000000048</v>
      </c>
      <c r="E120" s="3">
        <v>200</v>
      </c>
      <c r="F120" s="5">
        <f t="shared" si="21"/>
        <v>4.166666666666667</v>
      </c>
      <c r="G120" s="4">
        <v>0.57999999999999985</v>
      </c>
      <c r="H120" s="6">
        <f t="shared" si="26"/>
        <v>2.4166666666666661</v>
      </c>
      <c r="I120" s="5">
        <f t="shared" si="22"/>
        <v>0.16666666666666666</v>
      </c>
      <c r="J120" s="4">
        <v>19</v>
      </c>
      <c r="K120" s="4">
        <f t="shared" si="23"/>
        <v>3.1666666666666665</v>
      </c>
      <c r="L120" s="6">
        <f t="shared" si="24"/>
        <v>5.5833333333333321</v>
      </c>
      <c r="M120" s="6">
        <f t="shared" si="27"/>
        <v>1.6166666666666778</v>
      </c>
    </row>
    <row r="121" spans="1:13" x14ac:dyDescent="0.25">
      <c r="A121" s="2">
        <v>43855</v>
      </c>
      <c r="B121" s="3">
        <v>49</v>
      </c>
      <c r="C121" s="4">
        <v>7.1000000000000103</v>
      </c>
      <c r="D121" s="4">
        <f t="shared" si="25"/>
        <v>347.90000000000049</v>
      </c>
      <c r="E121" s="3">
        <v>150</v>
      </c>
      <c r="F121" s="5">
        <f t="shared" si="21"/>
        <v>3.0612244897959182</v>
      </c>
      <c r="G121" s="4">
        <v>0.57999999999999985</v>
      </c>
      <c r="H121" s="6">
        <f t="shared" si="26"/>
        <v>1.7755102040816322</v>
      </c>
      <c r="I121" s="5">
        <f t="shared" si="22"/>
        <v>0.16326530612244897</v>
      </c>
      <c r="J121" s="4">
        <v>19</v>
      </c>
      <c r="K121" s="4">
        <f t="shared" si="23"/>
        <v>3.1020408163265305</v>
      </c>
      <c r="L121" s="6">
        <f t="shared" si="24"/>
        <v>4.8775510204081627</v>
      </c>
      <c r="M121" s="6">
        <f t="shared" si="27"/>
        <v>2.2224489795918476</v>
      </c>
    </row>
    <row r="122" spans="1:13" x14ac:dyDescent="0.25">
      <c r="A122" s="2">
        <v>43856</v>
      </c>
      <c r="B122" s="3">
        <v>50</v>
      </c>
      <c r="C122" s="4">
        <v>7.0000000000000098</v>
      </c>
      <c r="D122" s="4">
        <f t="shared" si="25"/>
        <v>350.00000000000051</v>
      </c>
      <c r="E122" s="3">
        <v>175</v>
      </c>
      <c r="F122" s="5">
        <f t="shared" si="21"/>
        <v>3.5</v>
      </c>
      <c r="G122" s="4">
        <v>0.6100000000000001</v>
      </c>
      <c r="H122" s="6">
        <f t="shared" si="26"/>
        <v>2.1350000000000002</v>
      </c>
      <c r="I122" s="5">
        <f t="shared" si="22"/>
        <v>0.16</v>
      </c>
      <c r="J122" s="4">
        <v>19</v>
      </c>
      <c r="K122" s="4">
        <f t="shared" si="23"/>
        <v>3.04</v>
      </c>
      <c r="L122" s="6">
        <f t="shared" si="24"/>
        <v>5.1750000000000007</v>
      </c>
      <c r="M122" s="6">
        <f t="shared" si="27"/>
        <v>1.8250000000000091</v>
      </c>
    </row>
    <row r="123" spans="1:13" x14ac:dyDescent="0.25">
      <c r="A123" s="2">
        <v>43857</v>
      </c>
      <c r="B123" s="3">
        <v>51</v>
      </c>
      <c r="C123" s="4">
        <v>6.9000000000000101</v>
      </c>
      <c r="D123" s="4">
        <f t="shared" si="25"/>
        <v>351.90000000000049</v>
      </c>
      <c r="E123" s="3">
        <v>200</v>
      </c>
      <c r="F123" s="5">
        <f t="shared" si="21"/>
        <v>3.9215686274509802</v>
      </c>
      <c r="G123" s="4">
        <v>0.6100000000000001</v>
      </c>
      <c r="H123" s="6">
        <f t="shared" si="26"/>
        <v>2.3921568627450984</v>
      </c>
      <c r="I123" s="5">
        <f t="shared" si="22"/>
        <v>0.15686274509803921</v>
      </c>
      <c r="J123" s="4">
        <v>19</v>
      </c>
      <c r="K123" s="4">
        <f t="shared" si="23"/>
        <v>2.9803921568627452</v>
      </c>
      <c r="L123" s="6">
        <f t="shared" si="24"/>
        <v>5.3725490196078436</v>
      </c>
      <c r="M123" s="6">
        <f t="shared" si="27"/>
        <v>1.5274509803921665</v>
      </c>
    </row>
    <row r="124" spans="1:13" x14ac:dyDescent="0.25">
      <c r="A124" s="2">
        <v>43858</v>
      </c>
      <c r="B124" s="3">
        <v>52</v>
      </c>
      <c r="C124" s="4">
        <v>6.8000000000000096</v>
      </c>
      <c r="D124" s="4">
        <f t="shared" si="25"/>
        <v>353.60000000000048</v>
      </c>
      <c r="E124" s="3">
        <v>150</v>
      </c>
      <c r="F124" s="5">
        <f t="shared" si="21"/>
        <v>2.8846153846153846</v>
      </c>
      <c r="G124" s="4">
        <v>0.6100000000000001</v>
      </c>
      <c r="H124" s="6">
        <f t="shared" si="26"/>
        <v>1.7596153846153848</v>
      </c>
      <c r="I124" s="5">
        <f t="shared" si="22"/>
        <v>0.15384615384615385</v>
      </c>
      <c r="J124" s="4">
        <v>19</v>
      </c>
      <c r="K124" s="4">
        <f t="shared" si="23"/>
        <v>2.9230769230769234</v>
      </c>
      <c r="L124" s="6">
        <f t="shared" si="24"/>
        <v>4.6826923076923084</v>
      </c>
      <c r="M124" s="6">
        <f t="shared" si="27"/>
        <v>2.1173076923077012</v>
      </c>
    </row>
    <row r="125" spans="1:13" x14ac:dyDescent="0.25">
      <c r="A125" s="2">
        <v>43859</v>
      </c>
      <c r="B125" s="3">
        <v>53</v>
      </c>
      <c r="C125" s="4">
        <v>6.7000000000000099</v>
      </c>
      <c r="D125" s="4">
        <f t="shared" si="25"/>
        <v>355.10000000000053</v>
      </c>
      <c r="E125" s="3">
        <v>175</v>
      </c>
      <c r="F125" s="5">
        <f t="shared" si="21"/>
        <v>3.3018867924528301</v>
      </c>
      <c r="G125" s="4">
        <v>0.6100000000000001</v>
      </c>
      <c r="H125" s="6">
        <f t="shared" si="26"/>
        <v>2.0141509433962268</v>
      </c>
      <c r="I125" s="5">
        <f t="shared" si="22"/>
        <v>0.15094339622641509</v>
      </c>
      <c r="J125" s="4">
        <v>19</v>
      </c>
      <c r="K125" s="4">
        <f t="shared" si="23"/>
        <v>2.8679245283018866</v>
      </c>
      <c r="L125" s="6">
        <f t="shared" si="24"/>
        <v>4.8820754716981138</v>
      </c>
      <c r="M125" s="6">
        <f t="shared" si="27"/>
        <v>1.8179245283018961</v>
      </c>
    </row>
    <row r="126" spans="1:13" x14ac:dyDescent="0.25">
      <c r="A126" s="2">
        <v>43860</v>
      </c>
      <c r="B126" s="3">
        <v>54</v>
      </c>
      <c r="C126" s="4">
        <v>6.6000000000000103</v>
      </c>
      <c r="D126" s="4">
        <f t="shared" si="25"/>
        <v>356.40000000000055</v>
      </c>
      <c r="E126" s="3">
        <v>200</v>
      </c>
      <c r="F126" s="5">
        <f t="shared" si="21"/>
        <v>3.7037037037037037</v>
      </c>
      <c r="G126" s="4">
        <v>0.6100000000000001</v>
      </c>
      <c r="H126" s="6">
        <f t="shared" si="26"/>
        <v>2.2592592592592595</v>
      </c>
      <c r="I126" s="5">
        <f t="shared" si="22"/>
        <v>0.14814814814814814</v>
      </c>
      <c r="J126" s="4">
        <v>19</v>
      </c>
      <c r="K126" s="4">
        <f t="shared" si="23"/>
        <v>2.8148148148148149</v>
      </c>
      <c r="L126" s="6">
        <f t="shared" si="24"/>
        <v>5.0740740740740744</v>
      </c>
      <c r="M126" s="6">
        <f t="shared" si="27"/>
        <v>1.5259259259259359</v>
      </c>
    </row>
    <row r="127" spans="1:13" x14ac:dyDescent="0.25">
      <c r="A127" s="2">
        <v>43861</v>
      </c>
      <c r="B127" s="3">
        <v>55</v>
      </c>
      <c r="C127" s="4">
        <v>6.5000000000000098</v>
      </c>
      <c r="D127" s="4">
        <f t="shared" si="25"/>
        <v>357.50000000000051</v>
      </c>
      <c r="E127" s="3">
        <v>150</v>
      </c>
      <c r="F127" s="5">
        <f t="shared" si="21"/>
        <v>2.7272727272727271</v>
      </c>
      <c r="G127" s="4">
        <v>0.6100000000000001</v>
      </c>
      <c r="H127" s="6">
        <f t="shared" si="26"/>
        <v>1.6636363636363638</v>
      </c>
      <c r="I127" s="5">
        <f t="shared" si="22"/>
        <v>0.14545454545454545</v>
      </c>
      <c r="J127" s="4">
        <v>19</v>
      </c>
      <c r="K127" s="4">
        <f t="shared" si="23"/>
        <v>2.7636363636363637</v>
      </c>
      <c r="L127" s="6">
        <f t="shared" si="24"/>
        <v>4.4272727272727277</v>
      </c>
      <c r="M127" s="6">
        <f t="shared" si="27"/>
        <v>2.0727272727272821</v>
      </c>
    </row>
    <row r="128" spans="1:13" x14ac:dyDescent="0.25">
      <c r="A128" s="2">
        <v>43831</v>
      </c>
      <c r="B128" s="3">
        <v>25</v>
      </c>
      <c r="C128" s="4">
        <v>9.5</v>
      </c>
      <c r="D128" s="4">
        <f>B128*C128</f>
        <v>237.5</v>
      </c>
      <c r="E128" s="3">
        <v>150</v>
      </c>
      <c r="F128" s="5">
        <f>E128/B128</f>
        <v>6</v>
      </c>
      <c r="G128" s="4">
        <v>0.55000000000000004</v>
      </c>
      <c r="H128" s="6">
        <f t="shared" si="26"/>
        <v>3.3000000000000003</v>
      </c>
      <c r="I128" s="5">
        <f>8/B128</f>
        <v>0.32</v>
      </c>
      <c r="J128" s="4">
        <v>18</v>
      </c>
      <c r="K128" s="4">
        <f>J128*I128</f>
        <v>5.76</v>
      </c>
      <c r="L128" s="6">
        <f>H128+K128</f>
        <v>9.06</v>
      </c>
      <c r="M128" s="6">
        <f t="shared" si="27"/>
        <v>0.4399999999999995</v>
      </c>
    </row>
    <row r="129" spans="1:13" x14ac:dyDescent="0.25">
      <c r="A129" s="2">
        <v>43832</v>
      </c>
      <c r="B129" s="3">
        <v>26</v>
      </c>
      <c r="C129" s="4">
        <v>9.4</v>
      </c>
      <c r="D129" s="4">
        <f>B129*C129</f>
        <v>244.4</v>
      </c>
      <c r="E129" s="3">
        <v>175</v>
      </c>
      <c r="F129" s="5">
        <f t="shared" ref="F129:F158" si="28">E129/B129</f>
        <v>6.7307692307692308</v>
      </c>
      <c r="G129" s="4">
        <v>0.55000000000000004</v>
      </c>
      <c r="H129" s="6">
        <f t="shared" si="26"/>
        <v>3.7019230769230771</v>
      </c>
      <c r="I129" s="5">
        <f t="shared" ref="I129:I158" si="29">8/B129</f>
        <v>0.30769230769230771</v>
      </c>
      <c r="J129" s="4">
        <v>18</v>
      </c>
      <c r="K129" s="4">
        <f t="shared" ref="K129:K158" si="30">J129*I129</f>
        <v>5.5384615384615383</v>
      </c>
      <c r="L129" s="6">
        <f t="shared" ref="L129:L158" si="31">H129+K129</f>
        <v>9.240384615384615</v>
      </c>
      <c r="M129" s="6">
        <f t="shared" si="27"/>
        <v>0.15961538461538538</v>
      </c>
    </row>
    <row r="130" spans="1:13" x14ac:dyDescent="0.25">
      <c r="A130" s="2">
        <v>43833</v>
      </c>
      <c r="B130" s="3">
        <v>27</v>
      </c>
      <c r="C130" s="4">
        <v>9.3000000000000007</v>
      </c>
      <c r="D130" s="4">
        <f t="shared" ref="D130:D158" si="32">B130*C130</f>
        <v>251.10000000000002</v>
      </c>
      <c r="E130" s="3">
        <v>200</v>
      </c>
      <c r="F130" s="5">
        <f t="shared" si="28"/>
        <v>7.4074074074074074</v>
      </c>
      <c r="G130" s="4">
        <v>0.55000000000000004</v>
      </c>
      <c r="H130" s="6">
        <f t="shared" si="26"/>
        <v>4.0740740740740744</v>
      </c>
      <c r="I130" s="5">
        <f t="shared" si="29"/>
        <v>0.29629629629629628</v>
      </c>
      <c r="J130" s="4">
        <v>18</v>
      </c>
      <c r="K130" s="4">
        <f t="shared" si="30"/>
        <v>5.333333333333333</v>
      </c>
      <c r="L130" s="6">
        <f t="shared" si="31"/>
        <v>9.4074074074074083</v>
      </c>
      <c r="M130" s="6">
        <f t="shared" si="27"/>
        <v>-0.10740740740740762</v>
      </c>
    </row>
    <row r="131" spans="1:13" x14ac:dyDescent="0.25">
      <c r="A131" s="2">
        <v>43834</v>
      </c>
      <c r="B131" s="3">
        <v>28</v>
      </c>
      <c r="C131" s="4">
        <v>9.1999999999999993</v>
      </c>
      <c r="D131" s="4">
        <f t="shared" si="32"/>
        <v>257.59999999999997</v>
      </c>
      <c r="E131" s="3">
        <v>150</v>
      </c>
      <c r="F131" s="5">
        <f t="shared" si="28"/>
        <v>5.3571428571428568</v>
      </c>
      <c r="G131" s="4">
        <v>0.55000000000000004</v>
      </c>
      <c r="H131" s="6">
        <f t="shared" si="26"/>
        <v>2.9464285714285716</v>
      </c>
      <c r="I131" s="5">
        <f t="shared" si="29"/>
        <v>0.2857142857142857</v>
      </c>
      <c r="J131" s="4">
        <v>18</v>
      </c>
      <c r="K131" s="4">
        <f t="shared" si="30"/>
        <v>5.1428571428571423</v>
      </c>
      <c r="L131" s="6">
        <f t="shared" si="31"/>
        <v>8.0892857142857135</v>
      </c>
      <c r="M131" s="6">
        <f t="shared" si="27"/>
        <v>1.1107142857142858</v>
      </c>
    </row>
    <row r="132" spans="1:13" x14ac:dyDescent="0.25">
      <c r="A132" s="2">
        <v>43835</v>
      </c>
      <c r="B132" s="3">
        <v>29</v>
      </c>
      <c r="C132" s="4">
        <v>9.1</v>
      </c>
      <c r="D132" s="4">
        <f t="shared" si="32"/>
        <v>263.89999999999998</v>
      </c>
      <c r="E132" s="3">
        <v>175</v>
      </c>
      <c r="F132" s="5">
        <f t="shared" si="28"/>
        <v>6.0344827586206895</v>
      </c>
      <c r="G132" s="4">
        <v>0.55000000000000004</v>
      </c>
      <c r="H132" s="6">
        <f t="shared" ref="H132:H158" si="33">G132*F132</f>
        <v>3.3189655172413794</v>
      </c>
      <c r="I132" s="5">
        <f t="shared" si="29"/>
        <v>0.27586206896551724</v>
      </c>
      <c r="J132" s="4">
        <v>18</v>
      </c>
      <c r="K132" s="4">
        <f t="shared" si="30"/>
        <v>4.9655172413793105</v>
      </c>
      <c r="L132" s="6">
        <f t="shared" si="31"/>
        <v>8.2844827586206904</v>
      </c>
      <c r="M132" s="6">
        <f t="shared" ref="M132:M158" si="34">C132-L132</f>
        <v>0.81551724137930925</v>
      </c>
    </row>
    <row r="133" spans="1:13" x14ac:dyDescent="0.25">
      <c r="A133" s="2">
        <v>43836</v>
      </c>
      <c r="B133" s="3">
        <v>30</v>
      </c>
      <c r="C133" s="4">
        <v>9</v>
      </c>
      <c r="D133" s="4">
        <f t="shared" si="32"/>
        <v>270</v>
      </c>
      <c r="E133" s="3">
        <v>200</v>
      </c>
      <c r="F133" s="5">
        <f t="shared" si="28"/>
        <v>6.666666666666667</v>
      </c>
      <c r="G133" s="4">
        <v>0.55000000000000004</v>
      </c>
      <c r="H133" s="6">
        <f t="shared" si="33"/>
        <v>3.666666666666667</v>
      </c>
      <c r="I133" s="5">
        <f t="shared" si="29"/>
        <v>0.26666666666666666</v>
      </c>
      <c r="J133" s="4">
        <v>18</v>
      </c>
      <c r="K133" s="4">
        <f t="shared" si="30"/>
        <v>4.8</v>
      </c>
      <c r="L133" s="6">
        <f t="shared" si="31"/>
        <v>8.4666666666666668</v>
      </c>
      <c r="M133" s="6">
        <f t="shared" si="34"/>
        <v>0.53333333333333321</v>
      </c>
    </row>
    <row r="134" spans="1:13" x14ac:dyDescent="0.25">
      <c r="A134" s="2">
        <v>43837</v>
      </c>
      <c r="B134" s="3">
        <v>31</v>
      </c>
      <c r="C134" s="4">
        <v>8.9</v>
      </c>
      <c r="D134" s="4">
        <f t="shared" si="32"/>
        <v>275.90000000000003</v>
      </c>
      <c r="E134" s="3">
        <v>150</v>
      </c>
      <c r="F134" s="5">
        <f t="shared" si="28"/>
        <v>4.838709677419355</v>
      </c>
      <c r="G134" s="4">
        <v>0.55000000000000004</v>
      </c>
      <c r="H134" s="6">
        <f t="shared" si="33"/>
        <v>2.6612903225806455</v>
      </c>
      <c r="I134" s="5">
        <f t="shared" si="29"/>
        <v>0.25806451612903225</v>
      </c>
      <c r="J134" s="4">
        <v>18</v>
      </c>
      <c r="K134" s="4">
        <f t="shared" si="30"/>
        <v>4.6451612903225801</v>
      </c>
      <c r="L134" s="6">
        <f t="shared" si="31"/>
        <v>7.306451612903226</v>
      </c>
      <c r="M134" s="6">
        <f t="shared" si="34"/>
        <v>1.5935483870967744</v>
      </c>
    </row>
    <row r="135" spans="1:13" x14ac:dyDescent="0.25">
      <c r="A135" s="2">
        <v>43838</v>
      </c>
      <c r="B135" s="3">
        <v>32</v>
      </c>
      <c r="C135" s="4">
        <v>8.8000000000000007</v>
      </c>
      <c r="D135" s="4">
        <f t="shared" si="32"/>
        <v>281.60000000000002</v>
      </c>
      <c r="E135" s="3">
        <v>175</v>
      </c>
      <c r="F135" s="5">
        <f t="shared" si="28"/>
        <v>5.46875</v>
      </c>
      <c r="G135" s="4">
        <v>0.55000000000000004</v>
      </c>
      <c r="H135" s="6">
        <f t="shared" si="33"/>
        <v>3.0078125000000004</v>
      </c>
      <c r="I135" s="5">
        <f t="shared" si="29"/>
        <v>0.25</v>
      </c>
      <c r="J135" s="4">
        <v>18</v>
      </c>
      <c r="K135" s="4">
        <f t="shared" si="30"/>
        <v>4.5</v>
      </c>
      <c r="L135" s="6">
        <f t="shared" si="31"/>
        <v>7.5078125</v>
      </c>
      <c r="M135" s="6">
        <f t="shared" si="34"/>
        <v>1.2921875000000007</v>
      </c>
    </row>
    <row r="136" spans="1:13" x14ac:dyDescent="0.25">
      <c r="A136" s="2">
        <v>43839</v>
      </c>
      <c r="B136" s="3">
        <v>33</v>
      </c>
      <c r="C136" s="4">
        <v>8.6999999999999993</v>
      </c>
      <c r="D136" s="4">
        <f t="shared" si="32"/>
        <v>287.09999999999997</v>
      </c>
      <c r="E136" s="3">
        <v>200</v>
      </c>
      <c r="F136" s="5">
        <f t="shared" si="28"/>
        <v>6.0606060606060606</v>
      </c>
      <c r="G136" s="4">
        <v>0.55000000000000004</v>
      </c>
      <c r="H136" s="6">
        <f t="shared" si="33"/>
        <v>3.3333333333333335</v>
      </c>
      <c r="I136" s="5">
        <f t="shared" si="29"/>
        <v>0.24242424242424243</v>
      </c>
      <c r="J136" s="4">
        <v>18</v>
      </c>
      <c r="K136" s="4">
        <f t="shared" si="30"/>
        <v>4.3636363636363633</v>
      </c>
      <c r="L136" s="6">
        <f t="shared" si="31"/>
        <v>7.6969696969696972</v>
      </c>
      <c r="M136" s="6">
        <f t="shared" si="34"/>
        <v>1.0030303030303021</v>
      </c>
    </row>
    <row r="137" spans="1:13" x14ac:dyDescent="0.25">
      <c r="A137" s="2">
        <v>43840</v>
      </c>
      <c r="B137" s="3">
        <v>34</v>
      </c>
      <c r="C137" s="4">
        <v>8.6</v>
      </c>
      <c r="D137" s="4">
        <f t="shared" si="32"/>
        <v>292.39999999999998</v>
      </c>
      <c r="E137" s="3">
        <v>150</v>
      </c>
      <c r="F137" s="5">
        <f t="shared" si="28"/>
        <v>4.4117647058823533</v>
      </c>
      <c r="G137" s="4">
        <v>0.55000000000000004</v>
      </c>
      <c r="H137" s="6">
        <f t="shared" si="33"/>
        <v>2.4264705882352944</v>
      </c>
      <c r="I137" s="5">
        <f t="shared" si="29"/>
        <v>0.23529411764705882</v>
      </c>
      <c r="J137" s="4">
        <v>18</v>
      </c>
      <c r="K137" s="4">
        <f t="shared" si="30"/>
        <v>4.2352941176470589</v>
      </c>
      <c r="L137" s="6">
        <f t="shared" si="31"/>
        <v>6.6617647058823533</v>
      </c>
      <c r="M137" s="6">
        <f t="shared" si="34"/>
        <v>1.9382352941176464</v>
      </c>
    </row>
    <row r="138" spans="1:13" x14ac:dyDescent="0.25">
      <c r="A138" s="2">
        <v>43841</v>
      </c>
      <c r="B138" s="3">
        <v>35</v>
      </c>
      <c r="C138" s="4">
        <v>8.5</v>
      </c>
      <c r="D138" s="4">
        <f t="shared" si="32"/>
        <v>297.5</v>
      </c>
      <c r="E138" s="3">
        <v>175</v>
      </c>
      <c r="F138" s="5">
        <f t="shared" si="28"/>
        <v>5</v>
      </c>
      <c r="G138" s="4">
        <v>0.55000000000000004</v>
      </c>
      <c r="H138" s="6">
        <f t="shared" si="33"/>
        <v>2.75</v>
      </c>
      <c r="I138" s="5">
        <f t="shared" si="29"/>
        <v>0.22857142857142856</v>
      </c>
      <c r="J138" s="4">
        <v>18</v>
      </c>
      <c r="K138" s="4">
        <f t="shared" si="30"/>
        <v>4.1142857142857139</v>
      </c>
      <c r="L138" s="6">
        <f t="shared" si="31"/>
        <v>6.8642857142857139</v>
      </c>
      <c r="M138" s="6">
        <f t="shared" si="34"/>
        <v>1.6357142857142861</v>
      </c>
    </row>
    <row r="139" spans="1:13" x14ac:dyDescent="0.25">
      <c r="A139" s="2">
        <v>43842</v>
      </c>
      <c r="B139" s="3">
        <v>36</v>
      </c>
      <c r="C139" s="4">
        <v>8.4</v>
      </c>
      <c r="D139" s="4">
        <f t="shared" si="32"/>
        <v>302.40000000000003</v>
      </c>
      <c r="E139" s="3">
        <v>200</v>
      </c>
      <c r="F139" s="5">
        <f t="shared" si="28"/>
        <v>5.5555555555555554</v>
      </c>
      <c r="G139" s="4">
        <v>0.55000000000000004</v>
      </c>
      <c r="H139" s="6">
        <f t="shared" si="33"/>
        <v>3.0555555555555558</v>
      </c>
      <c r="I139" s="5">
        <f t="shared" si="29"/>
        <v>0.22222222222222221</v>
      </c>
      <c r="J139" s="4">
        <v>18</v>
      </c>
      <c r="K139" s="4">
        <f t="shared" si="30"/>
        <v>4</v>
      </c>
      <c r="L139" s="6">
        <f t="shared" si="31"/>
        <v>7.0555555555555554</v>
      </c>
      <c r="M139" s="6">
        <f t="shared" si="34"/>
        <v>1.344444444444445</v>
      </c>
    </row>
    <row r="140" spans="1:13" x14ac:dyDescent="0.25">
      <c r="A140" s="2">
        <v>43843</v>
      </c>
      <c r="B140" s="3">
        <v>37</v>
      </c>
      <c r="C140" s="4">
        <v>8.3000000000000007</v>
      </c>
      <c r="D140" s="4">
        <f t="shared" si="32"/>
        <v>307.10000000000002</v>
      </c>
      <c r="E140" s="3">
        <v>150</v>
      </c>
      <c r="F140" s="5">
        <f t="shared" si="28"/>
        <v>4.0540540540540544</v>
      </c>
      <c r="G140" s="4">
        <v>0.55000000000000004</v>
      </c>
      <c r="H140" s="6">
        <f t="shared" si="33"/>
        <v>2.2297297297297303</v>
      </c>
      <c r="I140" s="5">
        <f t="shared" si="29"/>
        <v>0.21621621621621623</v>
      </c>
      <c r="J140" s="4">
        <v>19</v>
      </c>
      <c r="K140" s="4">
        <f t="shared" si="30"/>
        <v>4.1081081081081088</v>
      </c>
      <c r="L140" s="6">
        <f t="shared" si="31"/>
        <v>6.3378378378378386</v>
      </c>
      <c r="M140" s="6">
        <f t="shared" si="34"/>
        <v>1.9621621621621621</v>
      </c>
    </row>
    <row r="141" spans="1:13" x14ac:dyDescent="0.25">
      <c r="A141" s="2">
        <v>43844</v>
      </c>
      <c r="B141" s="3">
        <v>38</v>
      </c>
      <c r="C141" s="4">
        <v>8.1999999999999993</v>
      </c>
      <c r="D141" s="4">
        <f t="shared" si="32"/>
        <v>311.59999999999997</v>
      </c>
      <c r="E141" s="3">
        <v>175</v>
      </c>
      <c r="F141" s="5">
        <f t="shared" si="28"/>
        <v>4.6052631578947372</v>
      </c>
      <c r="G141" s="4">
        <v>0.55000000000000004</v>
      </c>
      <c r="H141" s="6">
        <f t="shared" si="33"/>
        <v>2.5328947368421058</v>
      </c>
      <c r="I141" s="5">
        <f t="shared" si="29"/>
        <v>0.21052631578947367</v>
      </c>
      <c r="J141" s="4">
        <v>19</v>
      </c>
      <c r="K141" s="4">
        <f t="shared" si="30"/>
        <v>4</v>
      </c>
      <c r="L141" s="6">
        <f t="shared" si="31"/>
        <v>6.5328947368421062</v>
      </c>
      <c r="M141" s="6">
        <f t="shared" si="34"/>
        <v>1.6671052631578931</v>
      </c>
    </row>
    <row r="142" spans="1:13" x14ac:dyDescent="0.25">
      <c r="A142" s="2">
        <v>43845</v>
      </c>
      <c r="B142" s="3">
        <v>39</v>
      </c>
      <c r="C142" s="4">
        <v>8.1</v>
      </c>
      <c r="D142" s="4">
        <f t="shared" si="32"/>
        <v>315.89999999999998</v>
      </c>
      <c r="E142" s="3">
        <v>200</v>
      </c>
      <c r="F142" s="5">
        <f t="shared" si="28"/>
        <v>5.1282051282051286</v>
      </c>
      <c r="G142" s="4">
        <v>0.55000000000000004</v>
      </c>
      <c r="H142" s="6">
        <f t="shared" si="33"/>
        <v>2.8205128205128212</v>
      </c>
      <c r="I142" s="5">
        <f t="shared" si="29"/>
        <v>0.20512820512820512</v>
      </c>
      <c r="J142" s="4">
        <v>19</v>
      </c>
      <c r="K142" s="4">
        <f t="shared" si="30"/>
        <v>3.8974358974358974</v>
      </c>
      <c r="L142" s="6">
        <f t="shared" si="31"/>
        <v>6.717948717948719</v>
      </c>
      <c r="M142" s="6">
        <f t="shared" si="34"/>
        <v>1.3820512820512807</v>
      </c>
    </row>
    <row r="143" spans="1:13" x14ac:dyDescent="0.25">
      <c r="A143" s="2">
        <v>43846</v>
      </c>
      <c r="B143" s="3">
        <v>40</v>
      </c>
      <c r="C143" s="4">
        <v>8.0000000000000107</v>
      </c>
      <c r="D143" s="4">
        <f t="shared" si="32"/>
        <v>320.00000000000045</v>
      </c>
      <c r="E143" s="3">
        <v>150</v>
      </c>
      <c r="F143" s="5">
        <f t="shared" si="28"/>
        <v>3.75</v>
      </c>
      <c r="G143" s="4">
        <v>0.57999999999999985</v>
      </c>
      <c r="H143" s="6">
        <f t="shared" si="33"/>
        <v>2.1749999999999994</v>
      </c>
      <c r="I143" s="5">
        <f t="shared" si="29"/>
        <v>0.2</v>
      </c>
      <c r="J143" s="4">
        <v>19</v>
      </c>
      <c r="K143" s="4">
        <f t="shared" si="30"/>
        <v>3.8000000000000003</v>
      </c>
      <c r="L143" s="6">
        <f t="shared" si="31"/>
        <v>5.9749999999999996</v>
      </c>
      <c r="M143" s="6">
        <f t="shared" si="34"/>
        <v>2.025000000000011</v>
      </c>
    </row>
    <row r="144" spans="1:13" x14ac:dyDescent="0.25">
      <c r="A144" s="2">
        <v>43847</v>
      </c>
      <c r="B144" s="3">
        <v>41</v>
      </c>
      <c r="C144" s="4">
        <v>7.9000000000000101</v>
      </c>
      <c r="D144" s="4">
        <f t="shared" si="32"/>
        <v>323.90000000000043</v>
      </c>
      <c r="E144" s="3">
        <v>175</v>
      </c>
      <c r="F144" s="5">
        <f t="shared" si="28"/>
        <v>4.2682926829268295</v>
      </c>
      <c r="G144" s="4">
        <v>0.57999999999999985</v>
      </c>
      <c r="H144" s="6">
        <f t="shared" si="33"/>
        <v>2.4756097560975605</v>
      </c>
      <c r="I144" s="5">
        <f t="shared" si="29"/>
        <v>0.1951219512195122</v>
      </c>
      <c r="J144" s="4">
        <v>19</v>
      </c>
      <c r="K144" s="4">
        <f t="shared" si="30"/>
        <v>3.7073170731707319</v>
      </c>
      <c r="L144" s="6">
        <f t="shared" si="31"/>
        <v>6.1829268292682924</v>
      </c>
      <c r="M144" s="6">
        <f t="shared" si="34"/>
        <v>1.7170731707317177</v>
      </c>
    </row>
    <row r="145" spans="1:13" x14ac:dyDescent="0.25">
      <c r="A145" s="2">
        <v>43848</v>
      </c>
      <c r="B145" s="3">
        <v>42</v>
      </c>
      <c r="C145" s="4">
        <v>7.8000000000000096</v>
      </c>
      <c r="D145" s="4">
        <f t="shared" si="32"/>
        <v>327.60000000000042</v>
      </c>
      <c r="E145" s="3">
        <v>200</v>
      </c>
      <c r="F145" s="5">
        <f t="shared" si="28"/>
        <v>4.7619047619047619</v>
      </c>
      <c r="G145" s="4">
        <v>0.57999999999999985</v>
      </c>
      <c r="H145" s="6">
        <f t="shared" si="33"/>
        <v>2.761904761904761</v>
      </c>
      <c r="I145" s="5">
        <f t="shared" si="29"/>
        <v>0.19047619047619047</v>
      </c>
      <c r="J145" s="4">
        <v>19</v>
      </c>
      <c r="K145" s="4">
        <f t="shared" si="30"/>
        <v>3.6190476190476186</v>
      </c>
      <c r="L145" s="6">
        <f t="shared" si="31"/>
        <v>6.3809523809523796</v>
      </c>
      <c r="M145" s="6">
        <f t="shared" si="34"/>
        <v>1.41904761904763</v>
      </c>
    </row>
    <row r="146" spans="1:13" x14ac:dyDescent="0.25">
      <c r="A146" s="2">
        <v>43849</v>
      </c>
      <c r="B146" s="3">
        <v>43</v>
      </c>
      <c r="C146" s="4">
        <v>7.7000000000000099</v>
      </c>
      <c r="D146" s="4">
        <f t="shared" si="32"/>
        <v>331.10000000000042</v>
      </c>
      <c r="E146" s="3">
        <v>150</v>
      </c>
      <c r="F146" s="5">
        <f t="shared" si="28"/>
        <v>3.4883720930232558</v>
      </c>
      <c r="G146" s="4">
        <v>0.57999999999999985</v>
      </c>
      <c r="H146" s="6">
        <f t="shared" si="33"/>
        <v>2.023255813953488</v>
      </c>
      <c r="I146" s="5">
        <f t="shared" si="29"/>
        <v>0.18604651162790697</v>
      </c>
      <c r="J146" s="4">
        <v>19</v>
      </c>
      <c r="K146" s="4">
        <f t="shared" si="30"/>
        <v>3.5348837209302326</v>
      </c>
      <c r="L146" s="6">
        <f t="shared" si="31"/>
        <v>5.5581395348837201</v>
      </c>
      <c r="M146" s="6">
        <f t="shared" si="34"/>
        <v>2.1418604651162898</v>
      </c>
    </row>
    <row r="147" spans="1:13" x14ac:dyDescent="0.25">
      <c r="A147" s="2">
        <v>43850</v>
      </c>
      <c r="B147" s="3">
        <v>44</v>
      </c>
      <c r="C147" s="4">
        <v>7.6000000000000103</v>
      </c>
      <c r="D147" s="4">
        <f t="shared" si="32"/>
        <v>334.40000000000043</v>
      </c>
      <c r="E147" s="3">
        <v>175</v>
      </c>
      <c r="F147" s="5">
        <f t="shared" si="28"/>
        <v>3.9772727272727271</v>
      </c>
      <c r="G147" s="4">
        <v>0.57999999999999985</v>
      </c>
      <c r="H147" s="6">
        <f t="shared" si="33"/>
        <v>2.3068181818181812</v>
      </c>
      <c r="I147" s="5">
        <f t="shared" si="29"/>
        <v>0.18181818181818182</v>
      </c>
      <c r="J147" s="4">
        <v>19</v>
      </c>
      <c r="K147" s="4">
        <f t="shared" si="30"/>
        <v>3.4545454545454546</v>
      </c>
      <c r="L147" s="6">
        <f t="shared" si="31"/>
        <v>5.7613636363636358</v>
      </c>
      <c r="M147" s="6">
        <f t="shared" si="34"/>
        <v>1.8386363636363745</v>
      </c>
    </row>
    <row r="148" spans="1:13" x14ac:dyDescent="0.25">
      <c r="A148" s="2">
        <v>43851</v>
      </c>
      <c r="B148" s="3">
        <v>45</v>
      </c>
      <c r="C148" s="4">
        <v>7.5000000000000098</v>
      </c>
      <c r="D148" s="4">
        <f t="shared" si="32"/>
        <v>337.50000000000045</v>
      </c>
      <c r="E148" s="3">
        <v>200</v>
      </c>
      <c r="F148" s="5">
        <f t="shared" si="28"/>
        <v>4.4444444444444446</v>
      </c>
      <c r="G148" s="4">
        <v>0.57999999999999985</v>
      </c>
      <c r="H148" s="6">
        <f t="shared" si="33"/>
        <v>2.5777777777777771</v>
      </c>
      <c r="I148" s="5">
        <f t="shared" si="29"/>
        <v>0.17777777777777778</v>
      </c>
      <c r="J148" s="4">
        <v>19</v>
      </c>
      <c r="K148" s="4">
        <f t="shared" si="30"/>
        <v>3.3777777777777778</v>
      </c>
      <c r="L148" s="6">
        <f t="shared" si="31"/>
        <v>5.9555555555555548</v>
      </c>
      <c r="M148" s="6">
        <f t="shared" si="34"/>
        <v>1.5444444444444549</v>
      </c>
    </row>
    <row r="149" spans="1:13" x14ac:dyDescent="0.25">
      <c r="A149" s="2">
        <v>43852</v>
      </c>
      <c r="B149" s="3">
        <v>46</v>
      </c>
      <c r="C149" s="4">
        <v>7.4000000000000101</v>
      </c>
      <c r="D149" s="4">
        <f t="shared" si="32"/>
        <v>340.40000000000049</v>
      </c>
      <c r="E149" s="3">
        <v>150</v>
      </c>
      <c r="F149" s="5">
        <f t="shared" si="28"/>
        <v>3.2608695652173911</v>
      </c>
      <c r="G149" s="4">
        <v>0.57999999999999985</v>
      </c>
      <c r="H149" s="6">
        <f t="shared" si="33"/>
        <v>1.8913043478260865</v>
      </c>
      <c r="I149" s="5">
        <f t="shared" si="29"/>
        <v>0.17391304347826086</v>
      </c>
      <c r="J149" s="4">
        <v>19</v>
      </c>
      <c r="K149" s="4">
        <f t="shared" si="30"/>
        <v>3.3043478260869565</v>
      </c>
      <c r="L149" s="6">
        <f t="shared" si="31"/>
        <v>5.195652173913043</v>
      </c>
      <c r="M149" s="6">
        <f t="shared" si="34"/>
        <v>2.2043478260869671</v>
      </c>
    </row>
    <row r="150" spans="1:13" x14ac:dyDescent="0.25">
      <c r="A150" s="2">
        <v>43853</v>
      </c>
      <c r="B150" s="3">
        <v>47</v>
      </c>
      <c r="C150" s="4">
        <v>7.3000000000000096</v>
      </c>
      <c r="D150" s="4">
        <f t="shared" si="32"/>
        <v>343.10000000000048</v>
      </c>
      <c r="E150" s="3">
        <v>175</v>
      </c>
      <c r="F150" s="5">
        <f t="shared" si="28"/>
        <v>3.7234042553191489</v>
      </c>
      <c r="G150" s="4">
        <v>0.57999999999999985</v>
      </c>
      <c r="H150" s="6">
        <f t="shared" si="33"/>
        <v>2.1595744680851059</v>
      </c>
      <c r="I150" s="5">
        <f t="shared" si="29"/>
        <v>0.1702127659574468</v>
      </c>
      <c r="J150" s="4">
        <v>19</v>
      </c>
      <c r="K150" s="4">
        <f t="shared" si="30"/>
        <v>3.2340425531914891</v>
      </c>
      <c r="L150" s="6">
        <f t="shared" si="31"/>
        <v>5.3936170212765955</v>
      </c>
      <c r="M150" s="6">
        <f t="shared" si="34"/>
        <v>1.9063829787234141</v>
      </c>
    </row>
    <row r="151" spans="1:13" x14ac:dyDescent="0.25">
      <c r="A151" s="2">
        <v>43854</v>
      </c>
      <c r="B151" s="3">
        <v>48</v>
      </c>
      <c r="C151" s="4">
        <v>7.2000000000000099</v>
      </c>
      <c r="D151" s="4">
        <f t="shared" si="32"/>
        <v>345.60000000000048</v>
      </c>
      <c r="E151" s="3">
        <v>200</v>
      </c>
      <c r="F151" s="5">
        <f t="shared" si="28"/>
        <v>4.166666666666667</v>
      </c>
      <c r="G151" s="4">
        <v>0.57999999999999985</v>
      </c>
      <c r="H151" s="6">
        <f t="shared" si="33"/>
        <v>2.4166666666666661</v>
      </c>
      <c r="I151" s="5">
        <f t="shared" si="29"/>
        <v>0.16666666666666666</v>
      </c>
      <c r="J151" s="4">
        <v>19</v>
      </c>
      <c r="K151" s="4">
        <f t="shared" si="30"/>
        <v>3.1666666666666665</v>
      </c>
      <c r="L151" s="6">
        <f t="shared" si="31"/>
        <v>5.5833333333333321</v>
      </c>
      <c r="M151" s="6">
        <f t="shared" si="34"/>
        <v>1.6166666666666778</v>
      </c>
    </row>
    <row r="152" spans="1:13" x14ac:dyDescent="0.25">
      <c r="A152" s="2">
        <v>43855</v>
      </c>
      <c r="B152" s="3">
        <v>49</v>
      </c>
      <c r="C152" s="4">
        <v>7.1000000000000103</v>
      </c>
      <c r="D152" s="4">
        <f t="shared" si="32"/>
        <v>347.90000000000049</v>
      </c>
      <c r="E152" s="3">
        <v>150</v>
      </c>
      <c r="F152" s="5">
        <f t="shared" si="28"/>
        <v>3.0612244897959182</v>
      </c>
      <c r="G152" s="4">
        <v>0.57999999999999985</v>
      </c>
      <c r="H152" s="6">
        <f t="shared" si="33"/>
        <v>1.7755102040816322</v>
      </c>
      <c r="I152" s="5">
        <f t="shared" si="29"/>
        <v>0.16326530612244897</v>
      </c>
      <c r="J152" s="4">
        <v>19</v>
      </c>
      <c r="K152" s="4">
        <f t="shared" si="30"/>
        <v>3.1020408163265305</v>
      </c>
      <c r="L152" s="6">
        <f t="shared" si="31"/>
        <v>4.8775510204081627</v>
      </c>
      <c r="M152" s="6">
        <f t="shared" si="34"/>
        <v>2.2224489795918476</v>
      </c>
    </row>
    <row r="153" spans="1:13" x14ac:dyDescent="0.25">
      <c r="A153" s="2">
        <v>43856</v>
      </c>
      <c r="B153" s="3">
        <v>50</v>
      </c>
      <c r="C153" s="4">
        <v>7.0000000000000098</v>
      </c>
      <c r="D153" s="4">
        <f t="shared" si="32"/>
        <v>350.00000000000051</v>
      </c>
      <c r="E153" s="3">
        <v>175</v>
      </c>
      <c r="F153" s="5">
        <f t="shared" si="28"/>
        <v>3.5</v>
      </c>
      <c r="G153" s="4">
        <v>0.6100000000000001</v>
      </c>
      <c r="H153" s="6">
        <f t="shared" si="33"/>
        <v>2.1350000000000002</v>
      </c>
      <c r="I153" s="5">
        <f t="shared" si="29"/>
        <v>0.16</v>
      </c>
      <c r="J153" s="4">
        <v>19</v>
      </c>
      <c r="K153" s="4">
        <f t="shared" si="30"/>
        <v>3.04</v>
      </c>
      <c r="L153" s="6">
        <f t="shared" si="31"/>
        <v>5.1750000000000007</v>
      </c>
      <c r="M153" s="6">
        <f t="shared" si="34"/>
        <v>1.8250000000000091</v>
      </c>
    </row>
    <row r="154" spans="1:13" x14ac:dyDescent="0.25">
      <c r="A154" s="2">
        <v>43857</v>
      </c>
      <c r="B154" s="3">
        <v>51</v>
      </c>
      <c r="C154" s="4">
        <v>6.9000000000000101</v>
      </c>
      <c r="D154" s="4">
        <f t="shared" si="32"/>
        <v>351.90000000000049</v>
      </c>
      <c r="E154" s="3">
        <v>200</v>
      </c>
      <c r="F154" s="5">
        <f t="shared" si="28"/>
        <v>3.9215686274509802</v>
      </c>
      <c r="G154" s="4">
        <v>0.6100000000000001</v>
      </c>
      <c r="H154" s="6">
        <f t="shared" si="33"/>
        <v>2.3921568627450984</v>
      </c>
      <c r="I154" s="5">
        <f t="shared" si="29"/>
        <v>0.15686274509803921</v>
      </c>
      <c r="J154" s="4">
        <v>19</v>
      </c>
      <c r="K154" s="4">
        <f t="shared" si="30"/>
        <v>2.9803921568627452</v>
      </c>
      <c r="L154" s="6">
        <f t="shared" si="31"/>
        <v>5.3725490196078436</v>
      </c>
      <c r="M154" s="6">
        <f t="shared" si="34"/>
        <v>1.5274509803921665</v>
      </c>
    </row>
    <row r="155" spans="1:13" x14ac:dyDescent="0.25">
      <c r="A155" s="2">
        <v>43858</v>
      </c>
      <c r="B155" s="3">
        <v>52</v>
      </c>
      <c r="C155" s="4">
        <v>6.8000000000000096</v>
      </c>
      <c r="D155" s="4">
        <f t="shared" si="32"/>
        <v>353.60000000000048</v>
      </c>
      <c r="E155" s="3">
        <v>150</v>
      </c>
      <c r="F155" s="5">
        <f t="shared" si="28"/>
        <v>2.8846153846153846</v>
      </c>
      <c r="G155" s="4">
        <v>0.6100000000000001</v>
      </c>
      <c r="H155" s="6">
        <f t="shared" si="33"/>
        <v>1.7596153846153848</v>
      </c>
      <c r="I155" s="5">
        <f t="shared" si="29"/>
        <v>0.15384615384615385</v>
      </c>
      <c r="J155" s="4">
        <v>19</v>
      </c>
      <c r="K155" s="4">
        <f t="shared" si="30"/>
        <v>2.9230769230769234</v>
      </c>
      <c r="L155" s="6">
        <f t="shared" si="31"/>
        <v>4.6826923076923084</v>
      </c>
      <c r="M155" s="6">
        <f t="shared" si="34"/>
        <v>2.1173076923077012</v>
      </c>
    </row>
    <row r="156" spans="1:13" x14ac:dyDescent="0.25">
      <c r="A156" s="2">
        <v>43859</v>
      </c>
      <c r="B156" s="3">
        <v>53</v>
      </c>
      <c r="C156" s="4">
        <v>6.7000000000000099</v>
      </c>
      <c r="D156" s="4">
        <f t="shared" si="32"/>
        <v>355.10000000000053</v>
      </c>
      <c r="E156" s="3">
        <v>175</v>
      </c>
      <c r="F156" s="5">
        <f t="shared" si="28"/>
        <v>3.3018867924528301</v>
      </c>
      <c r="G156" s="4">
        <v>0.6100000000000001</v>
      </c>
      <c r="H156" s="6">
        <f t="shared" si="33"/>
        <v>2.0141509433962268</v>
      </c>
      <c r="I156" s="5">
        <f t="shared" si="29"/>
        <v>0.15094339622641509</v>
      </c>
      <c r="J156" s="4">
        <v>19</v>
      </c>
      <c r="K156" s="4">
        <f t="shared" si="30"/>
        <v>2.8679245283018866</v>
      </c>
      <c r="L156" s="6">
        <f t="shared" si="31"/>
        <v>4.8820754716981138</v>
      </c>
      <c r="M156" s="6">
        <f t="shared" si="34"/>
        <v>1.8179245283018961</v>
      </c>
    </row>
    <row r="157" spans="1:13" x14ac:dyDescent="0.25">
      <c r="A157" s="2">
        <v>43860</v>
      </c>
      <c r="B157" s="3">
        <v>54</v>
      </c>
      <c r="C157" s="4">
        <v>6.6000000000000103</v>
      </c>
      <c r="D157" s="4">
        <f t="shared" si="32"/>
        <v>356.40000000000055</v>
      </c>
      <c r="E157" s="3">
        <v>200</v>
      </c>
      <c r="F157" s="5">
        <f t="shared" si="28"/>
        <v>3.7037037037037037</v>
      </c>
      <c r="G157" s="4">
        <v>0.6100000000000001</v>
      </c>
      <c r="H157" s="6">
        <f t="shared" si="33"/>
        <v>2.2592592592592595</v>
      </c>
      <c r="I157" s="5">
        <f t="shared" si="29"/>
        <v>0.14814814814814814</v>
      </c>
      <c r="J157" s="4">
        <v>19</v>
      </c>
      <c r="K157" s="4">
        <f t="shared" si="30"/>
        <v>2.8148148148148149</v>
      </c>
      <c r="L157" s="6">
        <f t="shared" si="31"/>
        <v>5.0740740740740744</v>
      </c>
      <c r="M157" s="6">
        <f t="shared" si="34"/>
        <v>1.5259259259259359</v>
      </c>
    </row>
    <row r="158" spans="1:13" x14ac:dyDescent="0.25">
      <c r="A158" s="2">
        <v>43861</v>
      </c>
      <c r="B158" s="3">
        <v>55</v>
      </c>
      <c r="C158" s="4">
        <v>6.5000000000000098</v>
      </c>
      <c r="D158" s="4">
        <f t="shared" si="32"/>
        <v>357.50000000000051</v>
      </c>
      <c r="E158" s="3">
        <v>150</v>
      </c>
      <c r="F158" s="5">
        <f t="shared" si="28"/>
        <v>2.7272727272727271</v>
      </c>
      <c r="G158" s="4">
        <v>0.6100000000000001</v>
      </c>
      <c r="H158" s="6">
        <f t="shared" si="33"/>
        <v>1.6636363636363638</v>
      </c>
      <c r="I158" s="5">
        <f t="shared" si="29"/>
        <v>0.14545454545454545</v>
      </c>
      <c r="J158" s="4">
        <v>19</v>
      </c>
      <c r="K158" s="4">
        <f t="shared" si="30"/>
        <v>2.7636363636363637</v>
      </c>
      <c r="L158" s="6">
        <f t="shared" si="31"/>
        <v>4.4272727272727277</v>
      </c>
      <c r="M158" s="6">
        <f t="shared" si="34"/>
        <v>2.0727272727272821</v>
      </c>
    </row>
  </sheetData>
  <mergeCells count="1">
    <mergeCell ref="A1:M1"/>
  </mergeCells>
  <pageMargins left="0.23622047244094491" right="0.23622047244094491" top="0.74803149606299213" bottom="0.91640624999999998" header="0.31496062992125984" footer="0.31496062992125984"/>
  <pageSetup paperSize="9" scale="92" fitToHeight="0" orientation="landscape" r:id="rId1"/>
  <headerFooter>
    <oddHeader>&amp;L&amp;"Aharoni,Gras italique"&amp;16&amp;K04+000GIROUX&amp;C&amp;Z&amp;F
feuille de calcul : &amp;A&amp;Rimprimé le &amp;D à &amp;T</oddHeader>
    <oddFooter>&amp;L&amp;G&amp;RPage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01-2017</vt:lpstr>
      <vt:lpstr>Feuil1</vt:lpstr>
      <vt:lpstr>Feuil2</vt:lpstr>
      <vt:lpstr>'01-2017'!Impression_des_titres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Damien</cp:lastModifiedBy>
  <cp:lastPrinted>2020-09-21T19:37:27Z</cp:lastPrinted>
  <dcterms:created xsi:type="dcterms:W3CDTF">2017-01-08T13:28:55Z</dcterms:created>
  <dcterms:modified xsi:type="dcterms:W3CDTF">2020-10-09T15:23:04Z</dcterms:modified>
</cp:coreProperties>
</file>