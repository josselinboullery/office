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955001CE-5ED6-44E2-8E1F-E19201A7C461}" xr6:coauthVersionLast="45" xr6:coauthVersionMax="45" xr10:uidLastSave="{00000000-0000-0000-0000-000000000000}"/>
  <bookViews>
    <workbookView xWindow="-120" yWindow="-120" windowWidth="24240" windowHeight="13290" tabRatio="495" xr2:uid="{00000000-000D-0000-FFFF-FFFF00000000}"/>
  </bookViews>
  <sheets>
    <sheet name="01-2017" sheetId="3" r:id="rId1"/>
    <sheet name="01-2017 (2)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7" l="1"/>
  <c r="L4" i="7"/>
  <c r="K4" i="7"/>
  <c r="I4" i="7"/>
  <c r="H4" i="7"/>
  <c r="F4" i="7"/>
  <c r="D4" i="7"/>
</calcChain>
</file>

<file path=xl/sharedStrings.xml><?xml version="1.0" encoding="utf-8"?>
<sst xmlns="http://schemas.openxmlformats.org/spreadsheetml/2006/main" count="28" uniqueCount="14">
  <si>
    <t>Date</t>
  </si>
  <si>
    <t>KM
du jour</t>
  </si>
  <si>
    <t>tarif livraison
unitaire</t>
  </si>
  <si>
    <t>CA</t>
  </si>
  <si>
    <t>Coût
Horaire</t>
  </si>
  <si>
    <t>Calcul de marge</t>
  </si>
  <si>
    <t>Coût Véhicule
(par km)</t>
  </si>
  <si>
    <t>Moyenne km
Par colis</t>
  </si>
  <si>
    <t>Coût Véhicule
Par colis</t>
  </si>
  <si>
    <t>Marge
par colis</t>
  </si>
  <si>
    <t>Coût Salarié
par colis</t>
  </si>
  <si>
    <t>Temps moyen
Par colis (8H /J)</t>
  </si>
  <si>
    <t>TOTAL
par colis</t>
  </si>
  <si>
    <t>Nb
de colis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</si>
</sst>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14" fontId="0" fillId="0" borderId="1" xfId="0" applyNumberFormat="1" applyBorder="1"/>
    <xf numFmtId="0" fontId="0" fillId="0" borderId="1" xfId="0" applyBorder="1"/>
    <xf numFmtId="44" fontId="0" fillId="0" borderId="1" xfId="1" applyFont="1" applyBorder="1"/>
    <xf numFmtId="2" fontId="0" fillId="0" borderId="1" xfId="0" applyNumberFormat="1" applyBorder="1"/>
    <xf numFmtId="44" fontId="0" fillId="0" borderId="1" xfId="0" applyNumberFormat="1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colors>
    <mruColors>
      <color rgb="FF99FF99"/>
      <color rgb="FF99FF66"/>
      <color rgb="FFDA99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zoomScale="85" zoomScaleNormal="85" zoomScalePageLayoutView="25" workbookViewId="0">
      <selection sqref="A1:M1"/>
    </sheetView>
  </sheetViews>
  <sheetFormatPr baseColWidth="10" defaultColWidth="11.42578125" defaultRowHeight="15" x14ac:dyDescent="0.25"/>
  <cols>
    <col min="1" max="1" width="11.5703125" bestFit="1" customWidth="1"/>
    <col min="2" max="2" width="8.28515625" bestFit="1" customWidth="1"/>
    <col min="3" max="3" width="14" bestFit="1" customWidth="1"/>
    <col min="4" max="4" width="9.7109375" customWidth="1"/>
    <col min="5" max="5" width="8.5703125" bestFit="1" customWidth="1"/>
    <col min="6" max="6" width="14.28515625" bestFit="1" customWidth="1"/>
    <col min="7" max="8" width="14.85546875" bestFit="1" customWidth="1"/>
    <col min="9" max="9" width="16.140625" bestFit="1" customWidth="1"/>
    <col min="10" max="10" width="9.7109375" bestFit="1" customWidth="1"/>
    <col min="11" max="11" width="12.7109375" bestFit="1" customWidth="1"/>
    <col min="12" max="12" width="10.140625" customWidth="1"/>
    <col min="13" max="13" width="9.140625" bestFit="1" customWidth="1"/>
  </cols>
  <sheetData>
    <row r="1" spans="1:13" ht="23.25" x14ac:dyDescent="0.35">
      <c r="A1" s="10" t="s">
        <v>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3" spans="1:13" s="1" customFormat="1" ht="31.5" x14ac:dyDescent="0.25">
      <c r="A3" s="7" t="s">
        <v>0</v>
      </c>
      <c r="B3" s="8" t="s">
        <v>13</v>
      </c>
      <c r="C3" s="8" t="s">
        <v>2</v>
      </c>
      <c r="D3" s="8" t="s">
        <v>3</v>
      </c>
      <c r="E3" s="8" t="s">
        <v>1</v>
      </c>
      <c r="F3" s="8" t="s">
        <v>7</v>
      </c>
      <c r="G3" s="8" t="s">
        <v>6</v>
      </c>
      <c r="H3" s="9" t="s">
        <v>8</v>
      </c>
      <c r="I3" s="8" t="s">
        <v>11</v>
      </c>
      <c r="J3" s="8" t="s">
        <v>4</v>
      </c>
      <c r="K3" s="9" t="s">
        <v>10</v>
      </c>
      <c r="L3" s="8" t="s">
        <v>12</v>
      </c>
      <c r="M3" s="8" t="s">
        <v>9</v>
      </c>
    </row>
    <row r="4" spans="1:13" x14ac:dyDescent="0.25">
      <c r="A4" s="2">
        <v>43831</v>
      </c>
      <c r="B4" s="3">
        <v>25</v>
      </c>
      <c r="C4" s="4">
        <v>9.5</v>
      </c>
      <c r="D4" s="4"/>
      <c r="E4" s="3">
        <v>150</v>
      </c>
      <c r="F4" s="5"/>
      <c r="G4" s="4">
        <v>0.55000000000000004</v>
      </c>
      <c r="H4" s="6"/>
      <c r="I4" s="5"/>
      <c r="J4" s="4">
        <v>18</v>
      </c>
      <c r="K4" s="4"/>
      <c r="L4" s="6"/>
      <c r="M4" s="6"/>
    </row>
    <row r="5" spans="1:13" x14ac:dyDescent="0.25">
      <c r="A5" s="2"/>
      <c r="B5" s="3"/>
      <c r="C5" s="4">
        <v>9.4</v>
      </c>
      <c r="D5" s="4"/>
      <c r="E5" s="3">
        <v>175</v>
      </c>
      <c r="F5" s="5"/>
      <c r="G5" s="4"/>
      <c r="H5" s="6"/>
      <c r="I5" s="5"/>
      <c r="J5" s="4"/>
      <c r="K5" s="4"/>
      <c r="L5" s="6"/>
      <c r="M5" s="6"/>
    </row>
    <row r="6" spans="1:13" x14ac:dyDescent="0.25">
      <c r="A6" s="2"/>
      <c r="B6" s="3"/>
      <c r="C6" s="4"/>
      <c r="D6" s="4"/>
      <c r="E6" s="3">
        <v>200</v>
      </c>
      <c r="F6" s="5"/>
      <c r="G6" s="4"/>
      <c r="H6" s="6"/>
      <c r="I6" s="5"/>
      <c r="J6" s="4"/>
      <c r="K6" s="4"/>
      <c r="L6" s="6"/>
      <c r="M6" s="6"/>
    </row>
    <row r="7" spans="1:13" x14ac:dyDescent="0.25">
      <c r="A7" s="2"/>
      <c r="B7" s="3"/>
      <c r="C7" s="4"/>
      <c r="D7" s="4"/>
      <c r="E7" s="3"/>
      <c r="F7" s="5"/>
      <c r="G7" s="4"/>
      <c r="H7" s="6"/>
      <c r="I7" s="5"/>
      <c r="J7" s="4"/>
      <c r="K7" s="4"/>
      <c r="L7" s="6"/>
      <c r="M7" s="6"/>
    </row>
    <row r="8" spans="1:13" x14ac:dyDescent="0.25">
      <c r="A8" s="2"/>
      <c r="B8" s="3"/>
      <c r="C8" s="4"/>
      <c r="D8" s="4"/>
      <c r="E8" s="3"/>
      <c r="F8" s="5"/>
      <c r="G8" s="4"/>
      <c r="H8" s="6"/>
      <c r="I8" s="5"/>
      <c r="J8" s="4"/>
      <c r="K8" s="4"/>
      <c r="L8" s="6"/>
      <c r="M8" s="6"/>
    </row>
    <row r="9" spans="1:13" x14ac:dyDescent="0.25">
      <c r="A9" s="2"/>
      <c r="B9" s="3"/>
      <c r="C9" s="4"/>
      <c r="D9" s="4"/>
      <c r="E9" s="3"/>
      <c r="F9" s="5"/>
      <c r="G9" s="4"/>
      <c r="H9" s="6"/>
      <c r="I9" s="5"/>
      <c r="J9" s="4"/>
      <c r="K9" s="4"/>
      <c r="L9" s="6"/>
      <c r="M9" s="6"/>
    </row>
    <row r="10" spans="1:13" x14ac:dyDescent="0.25">
      <c r="A10" s="2"/>
      <c r="B10" s="3"/>
      <c r="C10" s="4"/>
      <c r="D10" s="4"/>
      <c r="E10" s="3"/>
      <c r="F10" s="5"/>
      <c r="G10" s="4"/>
      <c r="H10" s="6"/>
      <c r="I10" s="5"/>
      <c r="J10" s="4"/>
      <c r="K10" s="4"/>
      <c r="L10" s="6"/>
      <c r="M10" s="6"/>
    </row>
    <row r="11" spans="1:13" x14ac:dyDescent="0.25">
      <c r="A11" s="2"/>
      <c r="B11" s="3"/>
      <c r="C11" s="4"/>
      <c r="D11" s="4"/>
      <c r="E11" s="3"/>
      <c r="F11" s="5"/>
      <c r="G11" s="4"/>
      <c r="H11" s="6"/>
      <c r="I11" s="5"/>
      <c r="J11" s="4"/>
      <c r="K11" s="4"/>
      <c r="L11" s="6"/>
      <c r="M11" s="6"/>
    </row>
    <row r="12" spans="1:13" x14ac:dyDescent="0.25">
      <c r="A12" s="2"/>
      <c r="B12" s="3"/>
      <c r="C12" s="4"/>
      <c r="D12" s="4"/>
      <c r="E12" s="3"/>
      <c r="F12" s="5"/>
      <c r="G12" s="4"/>
      <c r="H12" s="6"/>
      <c r="I12" s="5"/>
      <c r="J12" s="4"/>
      <c r="K12" s="4"/>
      <c r="L12" s="6"/>
      <c r="M12" s="6"/>
    </row>
    <row r="13" spans="1:13" x14ac:dyDescent="0.25">
      <c r="A13" s="2"/>
      <c r="B13" s="3"/>
      <c r="C13" s="4"/>
      <c r="D13" s="4"/>
      <c r="E13" s="3"/>
      <c r="F13" s="5"/>
      <c r="G13" s="4"/>
      <c r="H13" s="6"/>
      <c r="I13" s="5"/>
      <c r="J13" s="4"/>
      <c r="K13" s="4"/>
      <c r="L13" s="6"/>
      <c r="M13" s="6"/>
    </row>
    <row r="14" spans="1:13" x14ac:dyDescent="0.25">
      <c r="A14" s="2"/>
      <c r="B14" s="3"/>
      <c r="C14" s="4"/>
      <c r="D14" s="4"/>
      <c r="E14" s="3"/>
      <c r="F14" s="5"/>
      <c r="G14" s="4"/>
      <c r="H14" s="6"/>
      <c r="I14" s="5"/>
      <c r="J14" s="4"/>
      <c r="K14" s="4"/>
      <c r="L14" s="6"/>
      <c r="M14" s="6"/>
    </row>
    <row r="15" spans="1:13" x14ac:dyDescent="0.25">
      <c r="A15" s="2"/>
      <c r="B15" s="3"/>
      <c r="C15" s="4"/>
      <c r="D15" s="4"/>
      <c r="E15" s="3"/>
      <c r="F15" s="5"/>
      <c r="G15" s="4"/>
      <c r="H15" s="6"/>
      <c r="I15" s="5"/>
      <c r="J15" s="4"/>
      <c r="K15" s="4"/>
      <c r="L15" s="6"/>
      <c r="M15" s="6"/>
    </row>
    <row r="16" spans="1:13" x14ac:dyDescent="0.25">
      <c r="A16" s="2"/>
      <c r="B16" s="3"/>
      <c r="C16" s="4"/>
      <c r="D16" s="4"/>
      <c r="E16" s="3"/>
      <c r="F16" s="5"/>
      <c r="G16" s="4"/>
      <c r="H16" s="6"/>
      <c r="I16" s="5"/>
      <c r="J16" s="4">
        <v>19</v>
      </c>
      <c r="K16" s="4"/>
      <c r="L16" s="6"/>
      <c r="M16" s="6"/>
    </row>
    <row r="17" spans="1:13" x14ac:dyDescent="0.25">
      <c r="A17" s="2"/>
      <c r="B17" s="3"/>
      <c r="C17" s="4"/>
      <c r="D17" s="4"/>
      <c r="E17" s="3"/>
      <c r="F17" s="5"/>
      <c r="G17" s="4"/>
      <c r="H17" s="6"/>
      <c r="I17" s="5"/>
      <c r="J17" s="4"/>
      <c r="K17" s="4"/>
      <c r="L17" s="6"/>
      <c r="M17" s="6"/>
    </row>
    <row r="18" spans="1:13" x14ac:dyDescent="0.25">
      <c r="A18" s="2"/>
      <c r="B18" s="3"/>
      <c r="C18" s="4"/>
      <c r="D18" s="4"/>
      <c r="E18" s="3"/>
      <c r="F18" s="5"/>
      <c r="G18" s="4"/>
      <c r="H18" s="6"/>
      <c r="I18" s="5"/>
      <c r="J18" s="4"/>
      <c r="K18" s="4"/>
      <c r="L18" s="6"/>
      <c r="M18" s="6"/>
    </row>
    <row r="19" spans="1:13" x14ac:dyDescent="0.25">
      <c r="A19" s="2"/>
      <c r="B19" s="3"/>
      <c r="C19" s="4"/>
      <c r="D19" s="4"/>
      <c r="E19" s="3"/>
      <c r="F19" s="5"/>
      <c r="G19" s="4">
        <v>0.57999999999999985</v>
      </c>
      <c r="H19" s="6"/>
      <c r="I19" s="5"/>
      <c r="J19" s="4"/>
      <c r="K19" s="4"/>
      <c r="L19" s="6"/>
      <c r="M19" s="6"/>
    </row>
    <row r="20" spans="1:13" x14ac:dyDescent="0.25">
      <c r="A20" s="2"/>
      <c r="B20" s="3"/>
      <c r="C20" s="4"/>
      <c r="D20" s="4"/>
      <c r="E20" s="3"/>
      <c r="F20" s="5"/>
      <c r="G20" s="4"/>
      <c r="H20" s="6"/>
      <c r="I20" s="5"/>
      <c r="J20" s="4"/>
      <c r="K20" s="4"/>
      <c r="L20" s="6"/>
      <c r="M20" s="6"/>
    </row>
    <row r="21" spans="1:13" x14ac:dyDescent="0.25">
      <c r="A21" s="2"/>
      <c r="B21" s="3"/>
      <c r="C21" s="4"/>
      <c r="D21" s="4"/>
      <c r="E21" s="3"/>
      <c r="F21" s="5"/>
      <c r="G21" s="4"/>
      <c r="H21" s="6"/>
      <c r="I21" s="5"/>
      <c r="J21" s="4"/>
      <c r="K21" s="4"/>
      <c r="L21" s="6"/>
      <c r="M21" s="6"/>
    </row>
    <row r="22" spans="1:13" x14ac:dyDescent="0.25">
      <c r="A22" s="2"/>
      <c r="B22" s="3"/>
      <c r="C22" s="4"/>
      <c r="D22" s="4"/>
      <c r="E22" s="3"/>
      <c r="F22" s="5"/>
      <c r="G22" s="4"/>
      <c r="H22" s="6"/>
      <c r="I22" s="5"/>
      <c r="J22" s="4"/>
      <c r="K22" s="4"/>
      <c r="L22" s="6"/>
      <c r="M22" s="6"/>
    </row>
    <row r="23" spans="1:13" x14ac:dyDescent="0.25">
      <c r="A23" s="2"/>
      <c r="B23" s="3"/>
      <c r="C23" s="4"/>
      <c r="D23" s="4"/>
      <c r="E23" s="3"/>
      <c r="F23" s="5"/>
      <c r="G23" s="4"/>
      <c r="H23" s="6"/>
      <c r="I23" s="5"/>
      <c r="J23" s="4"/>
      <c r="K23" s="4"/>
      <c r="L23" s="6"/>
      <c r="M23" s="6"/>
    </row>
    <row r="24" spans="1:13" x14ac:dyDescent="0.25">
      <c r="A24" s="2"/>
      <c r="B24" s="3"/>
      <c r="C24" s="4"/>
      <c r="D24" s="4"/>
      <c r="E24" s="3"/>
      <c r="F24" s="5"/>
      <c r="G24" s="4"/>
      <c r="H24" s="6"/>
      <c r="I24" s="5"/>
      <c r="J24" s="4"/>
      <c r="K24" s="4"/>
      <c r="L24" s="6"/>
      <c r="M24" s="6"/>
    </row>
    <row r="25" spans="1:13" x14ac:dyDescent="0.25">
      <c r="A25" s="2"/>
      <c r="B25" s="3"/>
      <c r="C25" s="4"/>
      <c r="D25" s="4"/>
      <c r="E25" s="3"/>
      <c r="F25" s="5"/>
      <c r="G25" s="4"/>
      <c r="H25" s="6"/>
      <c r="I25" s="5"/>
      <c r="J25" s="4"/>
      <c r="K25" s="4"/>
      <c r="L25" s="6"/>
      <c r="M25" s="6"/>
    </row>
    <row r="26" spans="1:13" x14ac:dyDescent="0.25">
      <c r="A26" s="2"/>
      <c r="B26" s="3"/>
      <c r="C26" s="4"/>
      <c r="D26" s="4"/>
      <c r="E26" s="3"/>
      <c r="F26" s="5"/>
      <c r="G26" s="4"/>
      <c r="H26" s="6"/>
      <c r="I26" s="5"/>
      <c r="J26" s="4"/>
      <c r="K26" s="4"/>
      <c r="L26" s="6"/>
      <c r="M26" s="6"/>
    </row>
    <row r="27" spans="1:13" x14ac:dyDescent="0.25">
      <c r="A27" s="2"/>
      <c r="B27" s="3"/>
      <c r="C27" s="4"/>
      <c r="D27" s="4"/>
      <c r="E27" s="3"/>
      <c r="F27" s="5"/>
      <c r="G27" s="4"/>
      <c r="H27" s="6"/>
      <c r="I27" s="5"/>
      <c r="J27" s="4"/>
      <c r="K27" s="4"/>
      <c r="L27" s="6"/>
      <c r="M27" s="6"/>
    </row>
    <row r="28" spans="1:13" x14ac:dyDescent="0.25">
      <c r="A28" s="2"/>
      <c r="B28" s="3"/>
      <c r="C28" s="4"/>
      <c r="D28" s="4"/>
      <c r="E28" s="3"/>
      <c r="F28" s="5"/>
      <c r="G28" s="4"/>
      <c r="H28" s="6"/>
      <c r="I28" s="5"/>
      <c r="J28" s="4"/>
      <c r="K28" s="4"/>
      <c r="L28" s="6"/>
      <c r="M28" s="6"/>
    </row>
    <row r="29" spans="1:13" x14ac:dyDescent="0.25">
      <c r="A29" s="2"/>
      <c r="B29" s="3"/>
      <c r="C29" s="4"/>
      <c r="D29" s="4"/>
      <c r="E29" s="3"/>
      <c r="F29" s="5"/>
      <c r="G29" s="4">
        <v>0.6100000000000001</v>
      </c>
      <c r="H29" s="6"/>
      <c r="I29" s="5"/>
      <c r="J29" s="4"/>
      <c r="K29" s="4"/>
      <c r="L29" s="6"/>
      <c r="M29" s="6"/>
    </row>
    <row r="30" spans="1:13" x14ac:dyDescent="0.25">
      <c r="A30" s="2"/>
      <c r="B30" s="3"/>
      <c r="C30" s="4"/>
      <c r="D30" s="4"/>
      <c r="E30" s="3"/>
      <c r="F30" s="5"/>
      <c r="G30" s="4"/>
      <c r="H30" s="6"/>
      <c r="I30" s="5"/>
      <c r="J30" s="4"/>
      <c r="K30" s="4"/>
      <c r="L30" s="6"/>
      <c r="M30" s="6"/>
    </row>
    <row r="31" spans="1:13" x14ac:dyDescent="0.25">
      <c r="A31" s="2"/>
      <c r="B31" s="3"/>
      <c r="C31" s="4"/>
      <c r="D31" s="4"/>
      <c r="E31" s="3"/>
      <c r="F31" s="5"/>
      <c r="G31" s="4"/>
      <c r="H31" s="6"/>
      <c r="I31" s="5"/>
      <c r="J31" s="4"/>
      <c r="K31" s="4"/>
      <c r="L31" s="6"/>
      <c r="M31" s="6"/>
    </row>
    <row r="32" spans="1:13" x14ac:dyDescent="0.25">
      <c r="A32" s="2"/>
      <c r="B32" s="3"/>
      <c r="C32" s="4"/>
      <c r="D32" s="4"/>
      <c r="E32" s="3"/>
      <c r="F32" s="5"/>
      <c r="G32" s="4"/>
      <c r="H32" s="6"/>
      <c r="I32" s="5"/>
      <c r="J32" s="4"/>
      <c r="K32" s="4"/>
      <c r="L32" s="6"/>
      <c r="M32" s="6"/>
    </row>
    <row r="33" spans="1:13" x14ac:dyDescent="0.25">
      <c r="A33" s="2"/>
      <c r="B33" s="3"/>
      <c r="C33" s="4"/>
      <c r="D33" s="4"/>
      <c r="E33" s="3"/>
      <c r="F33" s="5"/>
      <c r="G33" s="4"/>
      <c r="H33" s="6"/>
      <c r="I33" s="5"/>
      <c r="J33" s="4"/>
      <c r="K33" s="4"/>
      <c r="L33" s="6"/>
      <c r="M33" s="6"/>
    </row>
    <row r="34" spans="1:13" x14ac:dyDescent="0.25">
      <c r="A34" s="2"/>
      <c r="B34" s="3"/>
      <c r="C34" s="4"/>
      <c r="D34" s="4"/>
      <c r="E34" s="3"/>
      <c r="F34" s="5"/>
      <c r="G34" s="4"/>
      <c r="H34" s="6"/>
      <c r="I34" s="5"/>
      <c r="J34" s="4"/>
      <c r="K34" s="4"/>
      <c r="L34" s="6"/>
      <c r="M34" s="6"/>
    </row>
  </sheetData>
  <mergeCells count="1">
    <mergeCell ref="A1:M1"/>
  </mergeCells>
  <pageMargins left="0.70866141732283472" right="0.70866141732283472" top="0.74803149606299213" bottom="0.74803149606299213" header="0.31496062992125984" footer="0.31496062992125984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1D360-40E3-4605-AFB7-AC2CD091AEB5}">
  <dimension ref="A1:M34"/>
  <sheetViews>
    <sheetView zoomScale="85" zoomScaleNormal="85" zoomScalePageLayoutView="25" workbookViewId="0">
      <selection activeCell="L5" sqref="L5"/>
    </sheetView>
  </sheetViews>
  <sheetFormatPr baseColWidth="10" defaultColWidth="11.42578125" defaultRowHeight="15" x14ac:dyDescent="0.25"/>
  <cols>
    <col min="1" max="1" width="11.5703125" bestFit="1" customWidth="1"/>
    <col min="2" max="2" width="8.28515625" bestFit="1" customWidth="1"/>
    <col min="3" max="3" width="14" bestFit="1" customWidth="1"/>
    <col min="4" max="4" width="9.7109375" customWidth="1"/>
    <col min="5" max="5" width="8.5703125" bestFit="1" customWidth="1"/>
    <col min="6" max="6" width="14.28515625" bestFit="1" customWidth="1"/>
    <col min="7" max="8" width="14.85546875" bestFit="1" customWidth="1"/>
    <col min="9" max="9" width="16.140625" bestFit="1" customWidth="1"/>
    <col min="10" max="10" width="9.7109375" bestFit="1" customWidth="1"/>
    <col min="11" max="11" width="12.7109375" bestFit="1" customWidth="1"/>
    <col min="12" max="12" width="10.140625" customWidth="1"/>
    <col min="13" max="13" width="9.140625" bestFit="1" customWidth="1"/>
  </cols>
  <sheetData>
    <row r="1" spans="1:13" ht="23.25" x14ac:dyDescent="0.35">
      <c r="A1" s="10" t="s">
        <v>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3" spans="1:13" s="1" customFormat="1" ht="31.5" x14ac:dyDescent="0.25">
      <c r="A3" s="7" t="s">
        <v>0</v>
      </c>
      <c r="B3" s="8" t="s">
        <v>13</v>
      </c>
      <c r="C3" s="8" t="s">
        <v>2</v>
      </c>
      <c r="D3" s="8" t="s">
        <v>3</v>
      </c>
      <c r="E3" s="8" t="s">
        <v>1</v>
      </c>
      <c r="F3" s="8" t="s">
        <v>7</v>
      </c>
      <c r="G3" s="8" t="s">
        <v>6</v>
      </c>
      <c r="H3" s="9" t="s">
        <v>8</v>
      </c>
      <c r="I3" s="8" t="s">
        <v>11</v>
      </c>
      <c r="J3" s="8" t="s">
        <v>4</v>
      </c>
      <c r="K3" s="9" t="s">
        <v>10</v>
      </c>
      <c r="L3" s="8" t="s">
        <v>12</v>
      </c>
      <c r="M3" s="8" t="s">
        <v>9</v>
      </c>
    </row>
    <row r="4" spans="1:13" x14ac:dyDescent="0.25">
      <c r="A4" s="2">
        <v>43831</v>
      </c>
      <c r="B4" s="3">
        <v>25</v>
      </c>
      <c r="C4" s="4">
        <v>9.5</v>
      </c>
      <c r="D4" s="4">
        <f>B4*C4</f>
        <v>237.5</v>
      </c>
      <c r="E4" s="3">
        <v>150</v>
      </c>
      <c r="F4" s="5">
        <f>E4/B4</f>
        <v>6</v>
      </c>
      <c r="G4" s="4">
        <v>0.55000000000000004</v>
      </c>
      <c r="H4" s="6">
        <f>G4*F4</f>
        <v>3.3000000000000003</v>
      </c>
      <c r="I4" s="5">
        <f>8/B4</f>
        <v>0.32</v>
      </c>
      <c r="J4" s="4">
        <v>18</v>
      </c>
      <c r="K4" s="4">
        <f>J4*I4</f>
        <v>5.76</v>
      </c>
      <c r="L4" s="6">
        <f>K4+H4</f>
        <v>9.06</v>
      </c>
      <c r="M4" s="6">
        <f>C4-L4</f>
        <v>0.4399999999999995</v>
      </c>
    </row>
    <row r="5" spans="1:13" x14ac:dyDescent="0.25">
      <c r="A5" s="2">
        <v>43832</v>
      </c>
      <c r="B5" s="3">
        <v>26</v>
      </c>
      <c r="C5" s="4">
        <v>9.4</v>
      </c>
      <c r="D5" s="4"/>
      <c r="E5" s="3">
        <v>175</v>
      </c>
      <c r="F5" s="5"/>
      <c r="G5" s="4">
        <v>0.55000000000000004</v>
      </c>
      <c r="H5" s="6"/>
      <c r="I5" s="5"/>
      <c r="J5" s="4">
        <v>18</v>
      </c>
      <c r="K5" s="4"/>
      <c r="L5" s="6"/>
      <c r="M5" s="6"/>
    </row>
    <row r="6" spans="1:13" x14ac:dyDescent="0.25">
      <c r="A6" s="2">
        <v>43833</v>
      </c>
      <c r="B6" s="3">
        <v>27</v>
      </c>
      <c r="C6" s="4">
        <v>9.3000000000000007</v>
      </c>
      <c r="D6" s="4"/>
      <c r="E6" s="3">
        <v>200</v>
      </c>
      <c r="F6" s="5"/>
      <c r="G6" s="4">
        <v>0.55000000000000004</v>
      </c>
      <c r="H6" s="6"/>
      <c r="I6" s="5"/>
      <c r="J6" s="4">
        <v>18</v>
      </c>
      <c r="K6" s="4"/>
      <c r="L6" s="6"/>
      <c r="M6" s="6"/>
    </row>
    <row r="7" spans="1:13" x14ac:dyDescent="0.25">
      <c r="A7" s="2">
        <v>43834</v>
      </c>
      <c r="B7" s="3">
        <v>28</v>
      </c>
      <c r="C7" s="4">
        <v>9.1999999999999993</v>
      </c>
      <c r="D7" s="4"/>
      <c r="E7" s="3">
        <v>150</v>
      </c>
      <c r="F7" s="5"/>
      <c r="G7" s="4">
        <v>0.55000000000000004</v>
      </c>
      <c r="H7" s="6"/>
      <c r="I7" s="5"/>
      <c r="J7" s="4">
        <v>18</v>
      </c>
      <c r="K7" s="4"/>
      <c r="L7" s="6"/>
      <c r="M7" s="6"/>
    </row>
    <row r="8" spans="1:13" x14ac:dyDescent="0.25">
      <c r="A8" s="2">
        <v>43835</v>
      </c>
      <c r="B8" s="3">
        <v>29</v>
      </c>
      <c r="C8" s="4">
        <v>9.1</v>
      </c>
      <c r="D8" s="4"/>
      <c r="E8" s="3">
        <v>175</v>
      </c>
      <c r="F8" s="5"/>
      <c r="G8" s="4">
        <v>0.55000000000000004</v>
      </c>
      <c r="H8" s="6"/>
      <c r="I8" s="5"/>
      <c r="J8" s="4">
        <v>18</v>
      </c>
      <c r="K8" s="4"/>
      <c r="L8" s="6"/>
      <c r="M8" s="6"/>
    </row>
    <row r="9" spans="1:13" x14ac:dyDescent="0.25">
      <c r="A9" s="2">
        <v>43836</v>
      </c>
      <c r="B9" s="3">
        <v>30</v>
      </c>
      <c r="C9" s="4">
        <v>9</v>
      </c>
      <c r="D9" s="4"/>
      <c r="E9" s="3">
        <v>200</v>
      </c>
      <c r="F9" s="5"/>
      <c r="G9" s="4">
        <v>0.55000000000000004</v>
      </c>
      <c r="H9" s="6"/>
      <c r="I9" s="5"/>
      <c r="J9" s="4">
        <v>18</v>
      </c>
      <c r="K9" s="4"/>
      <c r="L9" s="6"/>
      <c r="M9" s="6"/>
    </row>
    <row r="10" spans="1:13" x14ac:dyDescent="0.25">
      <c r="A10" s="2">
        <v>43837</v>
      </c>
      <c r="B10" s="3">
        <v>31</v>
      </c>
      <c r="C10" s="4">
        <v>8.9</v>
      </c>
      <c r="D10" s="4"/>
      <c r="E10" s="3">
        <v>150</v>
      </c>
      <c r="F10" s="5"/>
      <c r="G10" s="4">
        <v>0.55000000000000004</v>
      </c>
      <c r="H10" s="6"/>
      <c r="I10" s="5"/>
      <c r="J10" s="4">
        <v>18</v>
      </c>
      <c r="K10" s="4"/>
      <c r="L10" s="6"/>
      <c r="M10" s="6"/>
    </row>
    <row r="11" spans="1:13" x14ac:dyDescent="0.25">
      <c r="A11" s="2">
        <v>43838</v>
      </c>
      <c r="B11" s="3">
        <v>32</v>
      </c>
      <c r="C11" s="4">
        <v>8.8000000000000007</v>
      </c>
      <c r="D11" s="4"/>
      <c r="E11" s="3">
        <v>175</v>
      </c>
      <c r="F11" s="5"/>
      <c r="G11" s="4">
        <v>0.55000000000000004</v>
      </c>
      <c r="H11" s="6"/>
      <c r="I11" s="5"/>
      <c r="J11" s="4">
        <v>18</v>
      </c>
      <c r="K11" s="4"/>
      <c r="L11" s="6"/>
      <c r="M11" s="6"/>
    </row>
    <row r="12" spans="1:13" x14ac:dyDescent="0.25">
      <c r="A12" s="2">
        <v>43839</v>
      </c>
      <c r="B12" s="3">
        <v>33</v>
      </c>
      <c r="C12" s="4">
        <v>8.6999999999999993</v>
      </c>
      <c r="D12" s="4"/>
      <c r="E12" s="3">
        <v>200</v>
      </c>
      <c r="F12" s="5"/>
      <c r="G12" s="4">
        <v>0.55000000000000004</v>
      </c>
      <c r="H12" s="6"/>
      <c r="I12" s="5"/>
      <c r="J12" s="4">
        <v>18</v>
      </c>
      <c r="K12" s="4"/>
      <c r="L12" s="6"/>
      <c r="M12" s="6"/>
    </row>
    <row r="13" spans="1:13" x14ac:dyDescent="0.25">
      <c r="A13" s="2">
        <v>43840</v>
      </c>
      <c r="B13" s="3">
        <v>34</v>
      </c>
      <c r="C13" s="4">
        <v>8.6</v>
      </c>
      <c r="D13" s="4"/>
      <c r="E13" s="3">
        <v>150</v>
      </c>
      <c r="F13" s="5"/>
      <c r="G13" s="4">
        <v>0.55000000000000004</v>
      </c>
      <c r="H13" s="6"/>
      <c r="I13" s="5"/>
      <c r="J13" s="4">
        <v>18</v>
      </c>
      <c r="K13" s="4"/>
      <c r="L13" s="6"/>
      <c r="M13" s="6"/>
    </row>
    <row r="14" spans="1:13" x14ac:dyDescent="0.25">
      <c r="A14" s="2">
        <v>43841</v>
      </c>
      <c r="B14" s="3">
        <v>35</v>
      </c>
      <c r="C14" s="4">
        <v>8.5</v>
      </c>
      <c r="D14" s="4"/>
      <c r="E14" s="3">
        <v>175</v>
      </c>
      <c r="F14" s="5"/>
      <c r="G14" s="4">
        <v>0.55000000000000004</v>
      </c>
      <c r="H14" s="6"/>
      <c r="I14" s="5"/>
      <c r="J14" s="4">
        <v>18</v>
      </c>
      <c r="K14" s="4"/>
      <c r="L14" s="6"/>
      <c r="M14" s="6"/>
    </row>
    <row r="15" spans="1:13" x14ac:dyDescent="0.25">
      <c r="A15" s="2">
        <v>43842</v>
      </c>
      <c r="B15" s="3">
        <v>36</v>
      </c>
      <c r="C15" s="4">
        <v>8.4</v>
      </c>
      <c r="D15" s="4"/>
      <c r="E15" s="3">
        <v>200</v>
      </c>
      <c r="F15" s="5"/>
      <c r="G15" s="4">
        <v>0.55000000000000004</v>
      </c>
      <c r="H15" s="6"/>
      <c r="I15" s="5"/>
      <c r="J15" s="4">
        <v>18</v>
      </c>
      <c r="K15" s="4"/>
      <c r="L15" s="6"/>
      <c r="M15" s="6"/>
    </row>
    <row r="16" spans="1:13" x14ac:dyDescent="0.25">
      <c r="A16" s="2">
        <v>43843</v>
      </c>
      <c r="B16" s="3">
        <v>37</v>
      </c>
      <c r="C16" s="4">
        <v>8.3000000000000007</v>
      </c>
      <c r="D16" s="4"/>
      <c r="E16" s="3">
        <v>150</v>
      </c>
      <c r="F16" s="5"/>
      <c r="G16" s="4">
        <v>0.55000000000000004</v>
      </c>
      <c r="H16" s="6"/>
      <c r="I16" s="5"/>
      <c r="J16" s="4">
        <v>19</v>
      </c>
      <c r="K16" s="4"/>
      <c r="L16" s="6"/>
      <c r="M16" s="6"/>
    </row>
    <row r="17" spans="1:13" x14ac:dyDescent="0.25">
      <c r="A17" s="2">
        <v>43844</v>
      </c>
      <c r="B17" s="3">
        <v>38</v>
      </c>
      <c r="C17" s="4">
        <v>8.1999999999999993</v>
      </c>
      <c r="D17" s="4"/>
      <c r="E17" s="3">
        <v>175</v>
      </c>
      <c r="F17" s="5"/>
      <c r="G17" s="4">
        <v>0.55000000000000004</v>
      </c>
      <c r="H17" s="6"/>
      <c r="I17" s="5"/>
      <c r="J17" s="4">
        <v>19</v>
      </c>
      <c r="K17" s="4"/>
      <c r="L17" s="6"/>
      <c r="M17" s="6"/>
    </row>
    <row r="18" spans="1:13" x14ac:dyDescent="0.25">
      <c r="A18" s="2">
        <v>43845</v>
      </c>
      <c r="B18" s="3">
        <v>39</v>
      </c>
      <c r="C18" s="4">
        <v>8.1</v>
      </c>
      <c r="D18" s="4"/>
      <c r="E18" s="3">
        <v>200</v>
      </c>
      <c r="F18" s="5"/>
      <c r="G18" s="4">
        <v>0.55000000000000004</v>
      </c>
      <c r="H18" s="6"/>
      <c r="I18" s="5"/>
      <c r="J18" s="4">
        <v>19</v>
      </c>
      <c r="K18" s="4"/>
      <c r="L18" s="6"/>
      <c r="M18" s="6"/>
    </row>
    <row r="19" spans="1:13" x14ac:dyDescent="0.25">
      <c r="A19" s="2">
        <v>43846</v>
      </c>
      <c r="B19" s="3">
        <v>40</v>
      </c>
      <c r="C19" s="4">
        <v>8.0000000000000107</v>
      </c>
      <c r="D19" s="4"/>
      <c r="E19" s="3">
        <v>150</v>
      </c>
      <c r="F19" s="5"/>
      <c r="G19" s="4">
        <v>0.57999999999999985</v>
      </c>
      <c r="H19" s="6"/>
      <c r="I19" s="5"/>
      <c r="J19" s="4">
        <v>19</v>
      </c>
      <c r="K19" s="4"/>
      <c r="L19" s="6"/>
      <c r="M19" s="6"/>
    </row>
    <row r="20" spans="1:13" x14ac:dyDescent="0.25">
      <c r="A20" s="2">
        <v>43847</v>
      </c>
      <c r="B20" s="3">
        <v>41</v>
      </c>
      <c r="C20" s="4">
        <v>7.9000000000000101</v>
      </c>
      <c r="D20" s="4"/>
      <c r="E20" s="3">
        <v>175</v>
      </c>
      <c r="F20" s="5"/>
      <c r="G20" s="4">
        <v>0.57999999999999985</v>
      </c>
      <c r="H20" s="6"/>
      <c r="I20" s="5"/>
      <c r="J20" s="4">
        <v>19</v>
      </c>
      <c r="K20" s="4"/>
      <c r="L20" s="6"/>
      <c r="M20" s="6"/>
    </row>
    <row r="21" spans="1:13" x14ac:dyDescent="0.25">
      <c r="A21" s="2">
        <v>43848</v>
      </c>
      <c r="B21" s="3">
        <v>42</v>
      </c>
      <c r="C21" s="4">
        <v>7.8000000000000096</v>
      </c>
      <c r="D21" s="4"/>
      <c r="E21" s="3">
        <v>200</v>
      </c>
      <c r="F21" s="5"/>
      <c r="G21" s="4">
        <v>0.57999999999999985</v>
      </c>
      <c r="H21" s="6"/>
      <c r="I21" s="5"/>
      <c r="J21" s="4">
        <v>19</v>
      </c>
      <c r="K21" s="4"/>
      <c r="L21" s="6"/>
      <c r="M21" s="6"/>
    </row>
    <row r="22" spans="1:13" x14ac:dyDescent="0.25">
      <c r="A22" s="2">
        <v>43849</v>
      </c>
      <c r="B22" s="3">
        <v>43</v>
      </c>
      <c r="C22" s="4">
        <v>7.7000000000000099</v>
      </c>
      <c r="D22" s="4"/>
      <c r="E22" s="3">
        <v>150</v>
      </c>
      <c r="F22" s="5"/>
      <c r="G22" s="4">
        <v>0.57999999999999985</v>
      </c>
      <c r="H22" s="6"/>
      <c r="I22" s="5"/>
      <c r="J22" s="4">
        <v>19</v>
      </c>
      <c r="K22" s="4"/>
      <c r="L22" s="6"/>
      <c r="M22" s="6"/>
    </row>
    <row r="23" spans="1:13" x14ac:dyDescent="0.25">
      <c r="A23" s="2">
        <v>43850</v>
      </c>
      <c r="B23" s="3">
        <v>44</v>
      </c>
      <c r="C23" s="4">
        <v>7.6000000000000103</v>
      </c>
      <c r="D23" s="4"/>
      <c r="E23" s="3">
        <v>175</v>
      </c>
      <c r="F23" s="5"/>
      <c r="G23" s="4">
        <v>0.57999999999999985</v>
      </c>
      <c r="H23" s="6"/>
      <c r="I23" s="5"/>
      <c r="J23" s="4">
        <v>19</v>
      </c>
      <c r="K23" s="4"/>
      <c r="L23" s="6"/>
      <c r="M23" s="6"/>
    </row>
    <row r="24" spans="1:13" x14ac:dyDescent="0.25">
      <c r="A24" s="2">
        <v>43851</v>
      </c>
      <c r="B24" s="3">
        <v>45</v>
      </c>
      <c r="C24" s="4">
        <v>7.5000000000000098</v>
      </c>
      <c r="D24" s="4"/>
      <c r="E24" s="3">
        <v>200</v>
      </c>
      <c r="F24" s="5"/>
      <c r="G24" s="4">
        <v>0.57999999999999985</v>
      </c>
      <c r="H24" s="6"/>
      <c r="I24" s="5"/>
      <c r="J24" s="4">
        <v>19</v>
      </c>
      <c r="K24" s="4"/>
      <c r="L24" s="6"/>
      <c r="M24" s="6"/>
    </row>
    <row r="25" spans="1:13" x14ac:dyDescent="0.25">
      <c r="A25" s="2">
        <v>43852</v>
      </c>
      <c r="B25" s="3">
        <v>46</v>
      </c>
      <c r="C25" s="4">
        <v>7.4000000000000101</v>
      </c>
      <c r="D25" s="4"/>
      <c r="E25" s="3">
        <v>150</v>
      </c>
      <c r="F25" s="5"/>
      <c r="G25" s="4">
        <v>0.57999999999999985</v>
      </c>
      <c r="H25" s="6"/>
      <c r="I25" s="5"/>
      <c r="J25" s="4">
        <v>19</v>
      </c>
      <c r="K25" s="4"/>
      <c r="L25" s="6"/>
      <c r="M25" s="6"/>
    </row>
    <row r="26" spans="1:13" x14ac:dyDescent="0.25">
      <c r="A26" s="2">
        <v>43853</v>
      </c>
      <c r="B26" s="3">
        <v>47</v>
      </c>
      <c r="C26" s="4">
        <v>7.3000000000000096</v>
      </c>
      <c r="D26" s="4"/>
      <c r="E26" s="3">
        <v>175</v>
      </c>
      <c r="F26" s="5"/>
      <c r="G26" s="4">
        <v>0.57999999999999985</v>
      </c>
      <c r="H26" s="6"/>
      <c r="I26" s="5"/>
      <c r="J26" s="4">
        <v>19</v>
      </c>
      <c r="K26" s="4"/>
      <c r="L26" s="6"/>
      <c r="M26" s="6"/>
    </row>
    <row r="27" spans="1:13" x14ac:dyDescent="0.25">
      <c r="A27" s="2">
        <v>43854</v>
      </c>
      <c r="B27" s="3">
        <v>48</v>
      </c>
      <c r="C27" s="4">
        <v>7.2000000000000099</v>
      </c>
      <c r="D27" s="4"/>
      <c r="E27" s="3">
        <v>200</v>
      </c>
      <c r="F27" s="5"/>
      <c r="G27" s="4">
        <v>0.57999999999999985</v>
      </c>
      <c r="H27" s="6"/>
      <c r="I27" s="5"/>
      <c r="J27" s="4">
        <v>19</v>
      </c>
      <c r="K27" s="4"/>
      <c r="L27" s="6"/>
      <c r="M27" s="6"/>
    </row>
    <row r="28" spans="1:13" x14ac:dyDescent="0.25">
      <c r="A28" s="2">
        <v>43855</v>
      </c>
      <c r="B28" s="3">
        <v>49</v>
      </c>
      <c r="C28" s="4">
        <v>7.1000000000000103</v>
      </c>
      <c r="D28" s="4"/>
      <c r="E28" s="3">
        <v>150</v>
      </c>
      <c r="F28" s="5"/>
      <c r="G28" s="4">
        <v>0.57999999999999985</v>
      </c>
      <c r="H28" s="6"/>
      <c r="I28" s="5"/>
      <c r="J28" s="4">
        <v>19</v>
      </c>
      <c r="K28" s="4"/>
      <c r="L28" s="6"/>
      <c r="M28" s="6"/>
    </row>
    <row r="29" spans="1:13" x14ac:dyDescent="0.25">
      <c r="A29" s="2">
        <v>43856</v>
      </c>
      <c r="B29" s="3">
        <v>50</v>
      </c>
      <c r="C29" s="4">
        <v>7.0000000000000098</v>
      </c>
      <c r="D29" s="4"/>
      <c r="E29" s="3">
        <v>175</v>
      </c>
      <c r="F29" s="5"/>
      <c r="G29" s="4">
        <v>0.6100000000000001</v>
      </c>
      <c r="H29" s="6"/>
      <c r="I29" s="5"/>
      <c r="J29" s="4">
        <v>19</v>
      </c>
      <c r="K29" s="4"/>
      <c r="L29" s="6"/>
      <c r="M29" s="6"/>
    </row>
    <row r="30" spans="1:13" x14ac:dyDescent="0.25">
      <c r="A30" s="2">
        <v>43857</v>
      </c>
      <c r="B30" s="3">
        <v>51</v>
      </c>
      <c r="C30" s="4">
        <v>6.9000000000000101</v>
      </c>
      <c r="D30" s="4"/>
      <c r="E30" s="3">
        <v>200</v>
      </c>
      <c r="F30" s="5"/>
      <c r="G30" s="4">
        <v>0.6100000000000001</v>
      </c>
      <c r="H30" s="6"/>
      <c r="I30" s="5"/>
      <c r="J30" s="4">
        <v>19</v>
      </c>
      <c r="K30" s="4"/>
      <c r="L30" s="6"/>
      <c r="M30" s="6"/>
    </row>
    <row r="31" spans="1:13" x14ac:dyDescent="0.25">
      <c r="A31" s="2">
        <v>43858</v>
      </c>
      <c r="B31" s="3">
        <v>52</v>
      </c>
      <c r="C31" s="4">
        <v>6.8000000000000096</v>
      </c>
      <c r="D31" s="4"/>
      <c r="E31" s="3">
        <v>150</v>
      </c>
      <c r="F31" s="5"/>
      <c r="G31" s="4">
        <v>0.6100000000000001</v>
      </c>
      <c r="H31" s="6"/>
      <c r="I31" s="5"/>
      <c r="J31" s="4">
        <v>19</v>
      </c>
      <c r="K31" s="4"/>
      <c r="L31" s="6"/>
      <c r="M31" s="6"/>
    </row>
    <row r="32" spans="1:13" x14ac:dyDescent="0.25">
      <c r="A32" s="2">
        <v>43859</v>
      </c>
      <c r="B32" s="3">
        <v>53</v>
      </c>
      <c r="C32" s="4">
        <v>6.7000000000000099</v>
      </c>
      <c r="D32" s="4"/>
      <c r="E32" s="3">
        <v>175</v>
      </c>
      <c r="F32" s="5"/>
      <c r="G32" s="4">
        <v>0.6100000000000001</v>
      </c>
      <c r="H32" s="6"/>
      <c r="I32" s="5"/>
      <c r="J32" s="4">
        <v>19</v>
      </c>
      <c r="K32" s="4"/>
      <c r="L32" s="6"/>
      <c r="M32" s="6"/>
    </row>
    <row r="33" spans="1:13" x14ac:dyDescent="0.25">
      <c r="A33" s="2">
        <v>43860</v>
      </c>
      <c r="B33" s="3">
        <v>54</v>
      </c>
      <c r="C33" s="4">
        <v>6.6000000000000103</v>
      </c>
      <c r="D33" s="4"/>
      <c r="E33" s="3">
        <v>200</v>
      </c>
      <c r="F33" s="5"/>
      <c r="G33" s="4">
        <v>0.6100000000000001</v>
      </c>
      <c r="H33" s="6"/>
      <c r="I33" s="5"/>
      <c r="J33" s="4">
        <v>19</v>
      </c>
      <c r="K33" s="4"/>
      <c r="L33" s="6"/>
      <c r="M33" s="6"/>
    </row>
    <row r="34" spans="1:13" x14ac:dyDescent="0.25">
      <c r="A34" s="2">
        <v>43861</v>
      </c>
      <c r="B34" s="3">
        <v>55</v>
      </c>
      <c r="C34" s="4">
        <v>6.5000000000000098</v>
      </c>
      <c r="D34" s="4"/>
      <c r="E34" s="3">
        <v>150</v>
      </c>
      <c r="F34" s="5"/>
      <c r="G34" s="4">
        <v>0.6100000000000001</v>
      </c>
      <c r="H34" s="6"/>
      <c r="I34" s="5"/>
      <c r="J34" s="4">
        <v>19</v>
      </c>
      <c r="K34" s="4"/>
      <c r="L34" s="6"/>
      <c r="M34" s="6"/>
    </row>
  </sheetData>
  <mergeCells count="1">
    <mergeCell ref="A1:M1"/>
  </mergeCells>
  <pageMargins left="0.70866141732283472" right="0.70866141732283472" top="0.74803149606299213" bottom="0.74803149606299213" header="0.31496062992125984" footer="0.31496062992125984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01-2017</vt:lpstr>
      <vt:lpstr>01-2017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Samuel</cp:lastModifiedBy>
  <cp:lastPrinted>2020-09-21T21:11:25Z</cp:lastPrinted>
  <dcterms:created xsi:type="dcterms:W3CDTF">2017-01-08T13:28:55Z</dcterms:created>
  <dcterms:modified xsi:type="dcterms:W3CDTF">2020-09-21T21:38:31Z</dcterms:modified>
</cp:coreProperties>
</file>