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F60276D0-F6B5-471E-9507-82980BEE9DBF}" xr6:coauthVersionLast="45" xr6:coauthVersionMax="45" xr10:uidLastSave="{00000000-0000-0000-0000-000000000000}"/>
  <bookViews>
    <workbookView xWindow="-120" yWindow="-120" windowWidth="24240" windowHeight="13290" xr2:uid="{00000000-000D-0000-FFFF-FFFF00000000}"/>
  </bookViews>
  <sheets>
    <sheet name="Moyenne pondérée" sheetId="1" r:id="rId1"/>
    <sheet name="Feuil2" sheetId="2" r:id="rId2"/>
    <sheet name="Test - SI(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C11" i="3"/>
  <c r="D11" i="3"/>
  <c r="E11" i="3"/>
  <c r="F11" i="3"/>
  <c r="B10" i="3"/>
  <c r="C10" i="3"/>
  <c r="D10" i="3"/>
  <c r="E10" i="3"/>
  <c r="F10" i="3"/>
  <c r="B9" i="3"/>
  <c r="C9" i="3"/>
  <c r="D9" i="3"/>
  <c r="E9" i="3"/>
  <c r="F9" i="3"/>
  <c r="G5" i="3"/>
  <c r="H5" i="3" s="1"/>
  <c r="G6" i="3"/>
  <c r="H6" i="3" s="1"/>
  <c r="G7" i="3"/>
  <c r="G8" i="3"/>
  <c r="H8" i="3" s="1"/>
  <c r="G4" i="3"/>
  <c r="F3" i="2"/>
  <c r="F4" i="2"/>
  <c r="E3" i="2"/>
  <c r="E4" i="2"/>
  <c r="D3" i="2"/>
  <c r="D4" i="2"/>
  <c r="H7" i="3" l="1"/>
  <c r="G9" i="3"/>
  <c r="G10" i="3"/>
  <c r="G11" i="3"/>
</calcChain>
</file>

<file path=xl/sharedStrings.xml><?xml version="1.0" encoding="utf-8"?>
<sst xmlns="http://schemas.openxmlformats.org/spreadsheetml/2006/main" count="64" uniqueCount="35">
  <si>
    <t>Nom</t>
  </si>
  <si>
    <t>Math</t>
  </si>
  <si>
    <t>Français</t>
  </si>
  <si>
    <t>Physique</t>
  </si>
  <si>
    <t>Hist/Géo</t>
  </si>
  <si>
    <t>Langue</t>
  </si>
  <si>
    <t>Moyenne</t>
  </si>
  <si>
    <t>LEA</t>
  </si>
  <si>
    <t>LUCAS</t>
  </si>
  <si>
    <t>MANON</t>
  </si>
  <si>
    <t>MAXIME</t>
  </si>
  <si>
    <t>CAMILLE</t>
  </si>
  <si>
    <t>Examen</t>
  </si>
  <si>
    <t>Coefficients</t>
  </si>
  <si>
    <t>Minimum</t>
  </si>
  <si>
    <t>Maximum</t>
  </si>
  <si>
    <t>Moyenne
Pondérée</t>
  </si>
  <si>
    <t>Commercial</t>
  </si>
  <si>
    <t>Objectif</t>
  </si>
  <si>
    <t>Réalisé</t>
  </si>
  <si>
    <t>Prime?</t>
  </si>
  <si>
    <t>Jules</t>
  </si>
  <si>
    <t>Pierre</t>
  </si>
  <si>
    <t>Lucien</t>
  </si>
  <si>
    <t>=C2&gt;B2</t>
  </si>
  <si>
    <t>=C2&gt;=B2</t>
  </si>
  <si>
    <t>Est-ce que Jules a la prime ?</t>
  </si>
  <si>
    <t>Pourquoi ?</t>
  </si>
  <si>
    <t>"réalisé est sup à obj"</t>
  </si>
  <si>
    <t>&lt;=    &gt;=    &lt;&gt;</t>
  </si>
  <si>
    <t>&lt;       &gt;       =</t>
  </si>
  <si>
    <t>=SI(C2&gt;=B2;150;0)</t>
  </si>
  <si>
    <t>Admission</t>
  </si>
  <si>
    <t>=SI(G4&gt;=10;"Admis";"Recalé")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</si>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</sst>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2" fontId="0" fillId="0" borderId="1" xfId="0" applyNumberFormat="1" applyBorder="1"/>
    <xf numFmtId="0" fontId="0" fillId="0" borderId="0" xfId="0" applyAlignment="1"/>
    <xf numFmtId="0" fontId="0" fillId="4" borderId="1" xfId="0" applyFill="1" applyBorder="1"/>
    <xf numFmtId="2" fontId="0" fillId="4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5" borderId="1" xfId="0" quotePrefix="1" applyFill="1" applyBorder="1"/>
    <xf numFmtId="0" fontId="0" fillId="6" borderId="1" xfId="0" quotePrefix="1" applyFill="1" applyBorder="1"/>
    <xf numFmtId="0" fontId="4" fillId="7" borderId="1" xfId="0" quotePrefix="1" applyFont="1" applyFill="1" applyBorder="1"/>
    <xf numFmtId="0" fontId="0" fillId="8" borderId="1" xfId="0" applyFill="1" applyBorder="1"/>
    <xf numFmtId="0" fontId="0" fillId="8" borderId="1" xfId="0" quotePrefix="1" applyFill="1" applyBorder="1"/>
    <xf numFmtId="2" fontId="0" fillId="0" borderId="1" xfId="0" quotePrefix="1" applyNumberFormat="1" applyBorder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30" zoomScaleNormal="130" workbookViewId="0">
      <selection sqref="A1:G1"/>
    </sheetView>
  </sheetViews>
  <sheetFormatPr baseColWidth="10" defaultRowHeight="15" x14ac:dyDescent="0.25"/>
  <cols>
    <col min="1" max="6" width="9.42578125" customWidth="1"/>
    <col min="7" max="7" width="9.7109375" bestFit="1" customWidth="1"/>
  </cols>
  <sheetData>
    <row r="1" spans="1:7" ht="23.25" x14ac:dyDescent="0.35">
      <c r="A1" s="17" t="s">
        <v>12</v>
      </c>
      <c r="B1" s="17"/>
      <c r="C1" s="17"/>
      <c r="D1" s="17"/>
      <c r="E1" s="17"/>
      <c r="F1" s="17"/>
      <c r="G1" s="17"/>
    </row>
    <row r="3" spans="1:7" ht="30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16</v>
      </c>
    </row>
    <row r="4" spans="1:7" x14ac:dyDescent="0.25">
      <c r="A4" s="1" t="s">
        <v>9</v>
      </c>
      <c r="B4" s="1">
        <v>14</v>
      </c>
      <c r="C4" s="1">
        <v>12</v>
      </c>
      <c r="D4" s="1">
        <v>12</v>
      </c>
      <c r="E4" s="1">
        <v>9</v>
      </c>
      <c r="F4" s="1">
        <v>10</v>
      </c>
      <c r="G4" s="3"/>
    </row>
    <row r="5" spans="1:7" x14ac:dyDescent="0.25">
      <c r="A5" s="1" t="s">
        <v>11</v>
      </c>
      <c r="B5" s="1">
        <v>9</v>
      </c>
      <c r="C5" s="1">
        <v>14</v>
      </c>
      <c r="D5" s="1">
        <v>10</v>
      </c>
      <c r="E5" s="1">
        <v>6</v>
      </c>
      <c r="F5" s="1">
        <v>8</v>
      </c>
      <c r="G5" s="3"/>
    </row>
    <row r="6" spans="1:7" x14ac:dyDescent="0.25">
      <c r="A6" s="1" t="s">
        <v>8</v>
      </c>
      <c r="B6" s="1">
        <v>14</v>
      </c>
      <c r="C6" s="1">
        <v>16</v>
      </c>
      <c r="D6" s="1">
        <v>18</v>
      </c>
      <c r="E6" s="1">
        <v>12</v>
      </c>
      <c r="F6" s="1">
        <v>12</v>
      </c>
      <c r="G6" s="3"/>
    </row>
    <row r="7" spans="1:7" x14ac:dyDescent="0.25">
      <c r="A7" s="1" t="s">
        <v>10</v>
      </c>
      <c r="B7" s="1">
        <v>7</v>
      </c>
      <c r="C7" s="1">
        <v>9</v>
      </c>
      <c r="D7" s="1">
        <v>6</v>
      </c>
      <c r="E7" s="1">
        <v>10</v>
      </c>
      <c r="F7" s="1">
        <v>8</v>
      </c>
      <c r="G7" s="3"/>
    </row>
    <row r="8" spans="1:7" x14ac:dyDescent="0.25">
      <c r="A8" s="1" t="s">
        <v>7</v>
      </c>
      <c r="B8" s="1">
        <v>12</v>
      </c>
      <c r="C8" s="1">
        <v>15</v>
      </c>
      <c r="D8" s="1">
        <v>12</v>
      </c>
      <c r="E8" s="1">
        <v>8</v>
      </c>
      <c r="F8" s="1">
        <v>9</v>
      </c>
      <c r="G8" s="3"/>
    </row>
    <row r="9" spans="1:7" x14ac:dyDescent="0.25">
      <c r="A9" s="5" t="s">
        <v>6</v>
      </c>
      <c r="B9" s="5"/>
      <c r="C9" s="5"/>
      <c r="D9" s="5"/>
      <c r="E9" s="5"/>
      <c r="F9" s="5"/>
      <c r="G9" s="6"/>
    </row>
    <row r="10" spans="1:7" x14ac:dyDescent="0.25">
      <c r="A10" s="5" t="s">
        <v>14</v>
      </c>
      <c r="B10" s="5"/>
      <c r="C10" s="5"/>
      <c r="D10" s="5"/>
      <c r="E10" s="5"/>
      <c r="F10" s="5"/>
      <c r="G10" s="6"/>
    </row>
    <row r="11" spans="1:7" x14ac:dyDescent="0.25">
      <c r="A11" s="5" t="s">
        <v>15</v>
      </c>
      <c r="B11" s="5"/>
      <c r="C11" s="5"/>
      <c r="D11" s="5"/>
      <c r="E11" s="5"/>
      <c r="F11" s="5"/>
      <c r="G11" s="6"/>
    </row>
    <row r="13" spans="1:7" x14ac:dyDescent="0.25">
      <c r="A13" s="18" t="s">
        <v>13</v>
      </c>
      <c r="B13" s="18"/>
      <c r="C13" s="18"/>
      <c r="D13" s="18"/>
      <c r="E13" s="18"/>
      <c r="F13" s="4"/>
    </row>
    <row r="14" spans="1:7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34</v>
      </c>
    </row>
    <row r="15" spans="1:7" x14ac:dyDescent="0.25">
      <c r="A15" s="1">
        <v>5</v>
      </c>
      <c r="B15" s="1">
        <v>3</v>
      </c>
      <c r="C15" s="1">
        <v>5</v>
      </c>
      <c r="D15" s="1">
        <v>2</v>
      </c>
      <c r="E15" s="1">
        <v>2</v>
      </c>
      <c r="F15" s="1"/>
    </row>
  </sheetData>
  <mergeCells count="2">
    <mergeCell ref="A1:G1"/>
    <mergeCell ref="A13:E13"/>
  </mergeCells>
  <printOptions horizontalCentered="1" verticalCentered="1" headings="1"/>
  <pageMargins left="0.70866141732283472" right="0.70866141732283472" top="0.74803149606299213" bottom="0.74803149606299213" header="0.31496062992125984" footer="0.31496062992125984"/>
  <pageSetup paperSize="9" scale="1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CD9A-EFF5-41A2-995B-3F0FBF5C3E66}">
  <dimension ref="A1:F7"/>
  <sheetViews>
    <sheetView zoomScale="205" zoomScaleNormal="205" workbookViewId="0">
      <selection activeCell="D9" sqref="D9"/>
    </sheetView>
  </sheetViews>
  <sheetFormatPr baseColWidth="10" defaultRowHeight="15" x14ac:dyDescent="0.25"/>
  <cols>
    <col min="6" max="6" width="19.85546875" customWidth="1"/>
  </cols>
  <sheetData>
    <row r="1" spans="1:6" x14ac:dyDescent="0.25">
      <c r="A1" s="5" t="s">
        <v>17</v>
      </c>
      <c r="B1" s="5" t="s">
        <v>18</v>
      </c>
      <c r="C1" s="5" t="s">
        <v>19</v>
      </c>
      <c r="D1" s="9" t="s">
        <v>20</v>
      </c>
      <c r="E1" s="10" t="s">
        <v>20</v>
      </c>
      <c r="F1" s="14" t="s">
        <v>20</v>
      </c>
    </row>
    <row r="2" spans="1:6" x14ac:dyDescent="0.25">
      <c r="A2" s="5" t="s">
        <v>21</v>
      </c>
      <c r="B2" s="5">
        <v>3550</v>
      </c>
      <c r="C2" s="5">
        <v>3750</v>
      </c>
      <c r="D2" s="11" t="s">
        <v>24</v>
      </c>
      <c r="E2" s="12" t="s">
        <v>25</v>
      </c>
      <c r="F2" s="15" t="s">
        <v>31</v>
      </c>
    </row>
    <row r="3" spans="1:6" x14ac:dyDescent="0.25">
      <c r="A3" s="5" t="s">
        <v>22</v>
      </c>
      <c r="B3" s="5">
        <v>3400</v>
      </c>
      <c r="C3" s="5">
        <v>3300</v>
      </c>
      <c r="D3" s="11" t="b">
        <f t="shared" ref="D3:D4" si="0">C3&gt;B3</f>
        <v>0</v>
      </c>
      <c r="E3" s="10" t="b">
        <f t="shared" ref="E3:E4" si="1">C3&gt;=B3</f>
        <v>0</v>
      </c>
      <c r="F3" s="14">
        <f t="shared" ref="F3:F4" si="2">IF(C3&gt;=B3,150,0)</f>
        <v>0</v>
      </c>
    </row>
    <row r="4" spans="1:6" x14ac:dyDescent="0.25">
      <c r="A4" s="5" t="s">
        <v>23</v>
      </c>
      <c r="B4" s="5">
        <v>3700</v>
      </c>
      <c r="C4" s="5">
        <v>3700</v>
      </c>
      <c r="D4" s="13" t="b">
        <f t="shared" si="0"/>
        <v>0</v>
      </c>
      <c r="E4" s="10" t="b">
        <f t="shared" si="1"/>
        <v>1</v>
      </c>
      <c r="F4" s="14">
        <f t="shared" si="2"/>
        <v>150</v>
      </c>
    </row>
    <row r="5" spans="1:6" x14ac:dyDescent="0.25">
      <c r="A5" t="s">
        <v>30</v>
      </c>
      <c r="D5" t="s">
        <v>26</v>
      </c>
    </row>
    <row r="6" spans="1:6" x14ac:dyDescent="0.25">
      <c r="A6" t="s">
        <v>29</v>
      </c>
      <c r="D6" t="s">
        <v>27</v>
      </c>
    </row>
    <row r="7" spans="1:6" x14ac:dyDescent="0.25">
      <c r="D7" t="s">
        <v>28</v>
      </c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B701-B314-4505-ACD9-4EF319FFDD79}">
  <dimension ref="A1:H15"/>
  <sheetViews>
    <sheetView zoomScale="130" zoomScaleNormal="130" workbookViewId="0">
      <selection activeCell="G4" sqref="G4"/>
    </sheetView>
  </sheetViews>
  <sheetFormatPr baseColWidth="10" defaultRowHeight="15" x14ac:dyDescent="0.25"/>
  <cols>
    <col min="1" max="6" width="9.42578125" customWidth="1"/>
    <col min="7" max="7" width="9.7109375" bestFit="1" customWidth="1"/>
  </cols>
  <sheetData>
    <row r="1" spans="1:8" ht="23.25" x14ac:dyDescent="0.35">
      <c r="A1" s="17" t="s">
        <v>12</v>
      </c>
      <c r="B1" s="17"/>
      <c r="C1" s="17"/>
      <c r="D1" s="17"/>
      <c r="E1" s="17"/>
      <c r="F1" s="17"/>
      <c r="G1" s="17"/>
    </row>
    <row r="3" spans="1:8" ht="30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16</v>
      </c>
      <c r="H3" s="8" t="s">
        <v>32</v>
      </c>
    </row>
    <row r="4" spans="1:8" x14ac:dyDescent="0.25">
      <c r="A4" s="1" t="s">
        <v>9</v>
      </c>
      <c r="B4" s="1">
        <v>14</v>
      </c>
      <c r="C4" s="1">
        <v>12</v>
      </c>
      <c r="D4" s="1">
        <v>12</v>
      </c>
      <c r="E4" s="1">
        <v>9</v>
      </c>
      <c r="F4" s="1">
        <v>10</v>
      </c>
      <c r="G4" s="3">
        <f>SUMPRODUCT(B4:F4,$A$15:$E$15)/SUM($A$15:$E$15)</f>
        <v>12</v>
      </c>
      <c r="H4" s="16" t="s">
        <v>33</v>
      </c>
    </row>
    <row r="5" spans="1:8" x14ac:dyDescent="0.25">
      <c r="A5" s="1" t="s">
        <v>11</v>
      </c>
      <c r="B5" s="1">
        <v>9</v>
      </c>
      <c r="C5" s="1">
        <v>14</v>
      </c>
      <c r="D5" s="1">
        <v>10</v>
      </c>
      <c r="E5" s="1">
        <v>6</v>
      </c>
      <c r="F5" s="1">
        <v>8</v>
      </c>
      <c r="G5" s="3">
        <f t="shared" ref="G5:G8" si="0">SUMPRODUCT(B5:F5,$A$15:$E$15)/SUM($A$15:$E$15)</f>
        <v>9.7058823529411757</v>
      </c>
      <c r="H5" s="3" t="str">
        <f t="shared" ref="H5:H8" si="1">IF(G5&gt;=10,"Admis","Recalé")</f>
        <v>Recalé</v>
      </c>
    </row>
    <row r="6" spans="1:8" x14ac:dyDescent="0.25">
      <c r="A6" s="1" t="s">
        <v>8</v>
      </c>
      <c r="B6" s="1">
        <v>14</v>
      </c>
      <c r="C6" s="1">
        <v>16</v>
      </c>
      <c r="D6" s="1">
        <v>18</v>
      </c>
      <c r="E6" s="1">
        <v>12</v>
      </c>
      <c r="F6" s="1">
        <v>12</v>
      </c>
      <c r="G6" s="3">
        <f t="shared" si="0"/>
        <v>15.058823529411764</v>
      </c>
      <c r="H6" s="3" t="str">
        <f t="shared" si="1"/>
        <v>Admis</v>
      </c>
    </row>
    <row r="7" spans="1:8" x14ac:dyDescent="0.25">
      <c r="A7" s="1" t="s">
        <v>10</v>
      </c>
      <c r="B7" s="1">
        <v>7</v>
      </c>
      <c r="C7" s="1">
        <v>9</v>
      </c>
      <c r="D7" s="1">
        <v>6</v>
      </c>
      <c r="E7" s="1">
        <v>10</v>
      </c>
      <c r="F7" s="1">
        <v>8</v>
      </c>
      <c r="G7" s="3">
        <f t="shared" si="0"/>
        <v>7.5294117647058822</v>
      </c>
      <c r="H7" s="3" t="str">
        <f t="shared" si="1"/>
        <v>Recalé</v>
      </c>
    </row>
    <row r="8" spans="1:8" x14ac:dyDescent="0.25">
      <c r="A8" s="1" t="s">
        <v>7</v>
      </c>
      <c r="B8" s="1">
        <v>12</v>
      </c>
      <c r="C8" s="1">
        <v>15</v>
      </c>
      <c r="D8" s="1">
        <v>12</v>
      </c>
      <c r="E8" s="1">
        <v>8</v>
      </c>
      <c r="F8" s="1">
        <v>9</v>
      </c>
      <c r="G8" s="3">
        <f t="shared" si="0"/>
        <v>11.705882352941176</v>
      </c>
      <c r="H8" s="3" t="str">
        <f t="shared" si="1"/>
        <v>Admis</v>
      </c>
    </row>
    <row r="9" spans="1:8" x14ac:dyDescent="0.25">
      <c r="A9" s="5" t="s">
        <v>6</v>
      </c>
      <c r="B9" s="5">
        <f t="shared" ref="B9:G9" si="2">AVERAGE(B4:B8)</f>
        <v>11.2</v>
      </c>
      <c r="C9" s="5">
        <f t="shared" si="2"/>
        <v>13.2</v>
      </c>
      <c r="D9" s="5">
        <f t="shared" si="2"/>
        <v>11.6</v>
      </c>
      <c r="E9" s="5">
        <f t="shared" si="2"/>
        <v>9</v>
      </c>
      <c r="F9" s="5">
        <f t="shared" si="2"/>
        <v>9.4</v>
      </c>
      <c r="G9" s="6">
        <f>AVERAGE(G4:G8)</f>
        <v>11.2</v>
      </c>
      <c r="H9" s="6"/>
    </row>
    <row r="10" spans="1:8" x14ac:dyDescent="0.25">
      <c r="A10" s="5" t="s">
        <v>14</v>
      </c>
      <c r="B10" s="5">
        <f t="shared" ref="B10:G10" si="3">MIN(B4:B8)</f>
        <v>7</v>
      </c>
      <c r="C10" s="5">
        <f t="shared" si="3"/>
        <v>9</v>
      </c>
      <c r="D10" s="5">
        <f t="shared" si="3"/>
        <v>6</v>
      </c>
      <c r="E10" s="5">
        <f t="shared" si="3"/>
        <v>6</v>
      </c>
      <c r="F10" s="5">
        <f t="shared" si="3"/>
        <v>8</v>
      </c>
      <c r="G10" s="6">
        <f t="shared" si="3"/>
        <v>7.5294117647058822</v>
      </c>
      <c r="H10" s="6"/>
    </row>
    <row r="11" spans="1:8" x14ac:dyDescent="0.25">
      <c r="A11" s="5" t="s">
        <v>15</v>
      </c>
      <c r="B11" s="5">
        <f t="shared" ref="B11:G11" si="4">MAX(B4:B8)</f>
        <v>14</v>
      </c>
      <c r="C11" s="5">
        <f t="shared" si="4"/>
        <v>16</v>
      </c>
      <c r="D11" s="5">
        <f t="shared" si="4"/>
        <v>18</v>
      </c>
      <c r="E11" s="5">
        <f t="shared" si="4"/>
        <v>12</v>
      </c>
      <c r="F11" s="5">
        <f t="shared" si="4"/>
        <v>12</v>
      </c>
      <c r="G11" s="6">
        <f t="shared" si="4"/>
        <v>15.058823529411764</v>
      </c>
      <c r="H11" s="6"/>
    </row>
    <row r="13" spans="1:8" x14ac:dyDescent="0.25">
      <c r="A13" s="18" t="s">
        <v>13</v>
      </c>
      <c r="B13" s="18"/>
      <c r="C13" s="18"/>
      <c r="D13" s="18"/>
      <c r="E13" s="18"/>
      <c r="F13" s="4"/>
    </row>
    <row r="14" spans="1:8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8" x14ac:dyDescent="0.25">
      <c r="A15" s="1">
        <v>5</v>
      </c>
      <c r="B15" s="1">
        <v>3</v>
      </c>
      <c r="C15" s="1">
        <v>5</v>
      </c>
      <c r="D15" s="1">
        <v>2</v>
      </c>
      <c r="E15" s="1">
        <v>2</v>
      </c>
    </row>
  </sheetData>
  <mergeCells count="2">
    <mergeCell ref="A1:G1"/>
    <mergeCell ref="A13:E1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Moyenne pondérée</vt:lpstr>
      <vt:lpstr>Feuil2</vt:lpstr>
      <vt:lpstr>Test - SI()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Samuel</cp:lastModifiedBy>
  <cp:lastPrinted>2020-09-21T19:19:25Z</cp:lastPrinted>
  <dcterms:created xsi:type="dcterms:W3CDTF">2017-01-09T04:48:22Z</dcterms:created>
  <dcterms:modified xsi:type="dcterms:W3CDTF">2020-09-21T21:38:37Z</dcterms:modified>
</cp:coreProperties>
</file>